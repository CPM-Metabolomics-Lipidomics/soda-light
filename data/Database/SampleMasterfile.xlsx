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Sheet1!$A$1:$AF$3763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<sst xmlns="http://schemas.openxmlformats.org/spreadsheetml/2006/main" count="94771" uniqueCount="4040">
  <si>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</si>
  <si>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</si>
  <si>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</si>
  <si>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</si>
  <si>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</si>
  <si>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</si>
  <si>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</si>
  <si>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</si>
  <si>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</si>
  <si>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</si>
  <si>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</si>
  <si>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</si>
  <si>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</si>
  <si>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</si>
  <si>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</si>
  <si>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</si>
  <si>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</si>
  <si>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</si>
  <si>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</si>
  <si>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</si>
  <si>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</si>
  <si>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</si>
  <si>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</si>
  <si>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</si>
  <si>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</si>
  <si>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</si>
  <si>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</si>
  <si>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</si>
  <si>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</si>
  <si>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</si>
  <si>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</si>
  <si>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</si>
  <si>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</si>
  <si>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</si>
  <si>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</si>
  <si>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</si>
  <si>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</si>
  <si>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</si>
  <si>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</si>
  <si>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</si>
  <si>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</si>
  <si>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</si>
  <si>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</si>
  <si>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</si>
  <si>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</si>
  <si>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</si>
  <si>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</si>
  <si>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</si>
  <si>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</si>
  <si>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</si>
  <si>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</si>
  <si>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</si>
  <si>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</si>
  <si>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</si>
  <si>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</si>
  <si>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</si>
  <si>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</si>
  <si>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</si>
  <si>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</si>
  <si>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</si>
  <si>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</si>
  <si>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</si>
  <si>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</si>
  <si>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</si>
  <si>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</si>
  <si>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</si>
  <si>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</si>
  <si>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</si>
  <si>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</si>
  <si>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</si>
  <si>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</si>
  <si>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</si>
  <si>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</si>
  <si>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</si>
  <si>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</si>
  <si>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</si>
  <si>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</si>
  <si>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</si>
  <si>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</si>
  <si>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</si>
  <si>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</si>
  <si>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</si>
  <si>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</si>
  <si>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</si>
  <si>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</si>
  <si>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</si>
  <si>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</si>
  <si>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</si>
  <si>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</si>
  <si>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</si>
  <si>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</si>
  <si>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</si>
  <si>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</si>
  <si>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</si>
  <si>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</si>
  <si>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</si>
  <si>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</si>
  <si>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</si>
  <si>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</si>
  <si>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</si>
  <si>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</si>
  <si>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</si>
  <si>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</si>
  <si>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</si>
  <si>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</si>
  <si>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</si>
  <si>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</si>
  <si>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</si>
  <si>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</si>
  <si>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</si>
  <si>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</si>
  <si>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</si>
  <si>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</si>
  <si>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</si>
  <si>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</si>
  <si>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</si>
  <si>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</si>
  <si>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</si>
  <si>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</si>
  <si>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</si>
  <si>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</si>
  <si>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</si>
  <si>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</si>
  <si>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</si>
  <si>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</si>
  <si>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</si>
  <si>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</si>
  <si>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</si>
  <si>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</si>
  <si>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</si>
  <si>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</si>
  <si>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</si>
  <si>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</si>
  <si>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</si>
  <si>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</si>
  <si>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</si>
  <si>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</si>
  <si>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</si>
  <si>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</si>
  <si>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</si>
  <si>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</si>
  <si>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</si>
  <si>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</si>
  <si>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</si>
  <si>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</si>
  <si>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</si>
  <si>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</si>
  <si>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</si>
  <si>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</si>
  <si>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</si>
  <si>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</si>
  <si>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</si>
  <si>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</si>
  <si>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</si>
  <si>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</si>
  <si>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</si>
  <si>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</si>
  <si>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</si>
  <si>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</si>
  <si>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</si>
  <si>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</si>
  <si>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</si>
  <si>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</si>
  <si>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</si>
  <si>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</si>
  <si>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</si>
  <si>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</si>
  <si>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</si>
  <si>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</si>
  <si>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</si>
  <si>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</si>
  <si>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</si>
  <si>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</si>
  <si>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</si>
  <si>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</si>
  <si>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</si>
  <si>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</si>
  <si>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</si>
  <si>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</si>
  <si>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</si>
  <si>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</si>
  <si>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</si>
  <si>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</si>
  <si>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</si>
  <si>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</si>
  <si>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</si>
  <si>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</si>
  <si>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</si>
  <si>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</si>
  <si>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</si>
  <si>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</si>
  <si>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</si>
  <si>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</si>
  <si>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</si>
  <si>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</si>
  <si>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</si>
  <si>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</si>
  <si>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</si>
  <si>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</si>
  <si>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</si>
  <si>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</si>
  <si>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</si>
  <si>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</si>
  <si>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</si>
  <si>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</si>
  <si>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</si>
  <si>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</si>
  <si>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</si>
  <si>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</si>
  <si>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</si>
  <si>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</si>
  <si>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</si>
  <si>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</si>
  <si>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</si>
  <si>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</si>
  <si>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</si>
  <si>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</si>
  <si>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</si>
  <si>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</si>
  <si>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</si>
  <si>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</si>
  <si>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</si>
  <si>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</si>
  <si>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</si>
  <si>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</si>
  <si>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</si>
  <si>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</si>
  <si>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</si>
  <si>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</si>
  <si>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</si>
  <si>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</si>
  <si>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</si>
  <si>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</si>
  <si>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</si>
  <si>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</si>
  <si>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</si>
  <si>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</si>
  <si>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</si>
  <si>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</si>
  <si>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</si>
  <si>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</si>
  <si>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</si>
  <si>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</si>
  <si>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</si>
  <si>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</si>
  <si>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</si>
  <si>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</si>
  <si>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</si>
  <si>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</si>
  <si>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</si>
  <si>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</si>
  <si>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</si>
  <si>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</si>
  <si>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</si>
  <si>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</si>
  <si>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</si>
  <si>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</si>
  <si>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</si>
  <si>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</si>
  <si>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</si>
  <si>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</si>
  <si>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</si>
  <si>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</si>
  <si>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</si>
  <si>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</si>
  <si>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</si>
  <si>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</si>
  <si>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</si>
  <si>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</si>
  <si>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</si>
  <si>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</si>
  <si>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</si>
  <si>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</si>
  <si>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</si>
  <si>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</si>
  <si>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</si>
  <si>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</si>
  <si>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</si>
  <si>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</si>
  <si>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</si>
  <si>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</si>
  <si>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</si>
  <si>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</si>
  <si>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</si>
  <si>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</si>
  <si>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</si>
  <si>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</si>
  <si>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</si>
  <si>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</si>
  <si>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</si>
  <si>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</si>
  <si>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</si>
  <si>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</si>
  <si>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</si>
  <si>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</si>
  <si>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</si>
  <si>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</si>
  <si>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</si>
  <si>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</si>
  <si>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</si>
  <si>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</si>
  <si>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</si>
  <si>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</si>
  <si>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</si>
  <si>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</si>
  <si>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</si>
  <si>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</si>
  <si>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</si>
  <si>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</si>
  <si>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</si>
  <si>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</si>
  <si>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</si>
  <si>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</si>
  <si>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</si>
  <si>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</si>
  <si>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</si>
  <si>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</si>
  <si>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</si>
  <si>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</si>
  <si>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</si>
  <si>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</si>
  <si>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</si>
  <si>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</si>
  <si>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</si>
  <si>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</si>
  <si>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</si>
  <si>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</si>
  <si>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</si>
  <si>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</si>
  <si>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</si>
  <si>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</si>
  <si>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</si>
  <si>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</si>
  <si>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</si>
  <si>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</si>
  <si>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</si>
  <si>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</si>
  <si>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</si>
  <si>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</si>
  <si>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</si>
  <si>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</si>
  <si>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</si>
  <si>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</si>
  <si>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</si>
  <si>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</si>
  <si>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</si>
  <si>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</si>
  <si>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</si>
  <si>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</si>
  <si>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</si>
  <si>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</si>
  <si>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</si>
  <si>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</si>
  <si>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</si>
  <si>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</si>
  <si>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</si>
  <si>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</si>
  <si>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</si>
  <si>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</si>
  <si>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</si>
  <si>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</si>
  <si>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</si>
  <si>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</si>
  <si>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</si>
  <si>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</si>
  <si>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</si>
  <si>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</si>
  <si>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</si>
  <si>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</si>
  <si>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</si>
  <si>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</si>
  <si>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</si>
  <si>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</si>
  <si>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</si>
  <si>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</si>
  <si>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</si>
  <si>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</si>
  <si>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</si>
  <si>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</si>
  <si>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</si>
  <si>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</si>
  <si>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</si>
  <si>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</si>
  <si>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</si>
  <si>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</si>
  <si>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</si>
  <si>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</si>
  <si>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</si>
  <si>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</si>
  <si>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</si>
  <si>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</si>
  <si>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</si>
  <si>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</si>
  <si>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</si>
  <si>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</si>
  <si>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</si>
  <si>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</si>
  <si>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</si>
  <si>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</si>
  <si>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</si>
  <si>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</si>
  <si>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</si>
  <si>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</si>
  <si>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</si>
  <si>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</si>
  <si>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</si>
  <si>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</si>
  <si>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</si>
  <si>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</si>
  <si>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</si>
  <si>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</si>
  <si>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</si>
  <si>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</si>
  <si>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</si>
  <si>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</si>
  <si>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</si>
  <si>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</si>
  <si>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</si>
  <si>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</si>
  <si>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</si>
  <si>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</si>
  <si>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</si>
  <si>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</si>
  <si>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</si>
  <si>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</si>
  <si>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</si>
  <si>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</si>
  <si>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</si>
  <si>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</si>
  <si>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</si>
  <si>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</si>
  <si>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</si>
  <si>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</si>
  <si>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</si>
  <si>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</si>
  <si>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</si>
  <si>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</si>
  <si>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</si>
  <si>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</si>
  <si>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</si>
  <si>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</si>
  <si>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</si>
  <si>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</si>
  <si>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</si>
  <si>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</si>
  <si>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</si>
  <si>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</si>
  <si>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</si>
  <si>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</si>
  <si>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</si>
  <si>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</si>
  <si>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</si>
  <si>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</si>
  <si>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</si>
  <si>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</si>
  <si>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</si>
  <si>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</si>
  <si>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</si>
  <si>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</si>
  <si>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</si>
  <si>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</si>
  <si>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</si>
  <si>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</si>
  <si>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</si>
  <si>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</si>
  <si>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</si>
  <si>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</si>
  <si>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</si>
  <si>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</si>
  <si>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</si>
  <si>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</si>
  <si>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</si>
  <si>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</si>
  <si>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</si>
  <si>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</si>
  <si>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</si>
  <si>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</si>
  <si>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</si>
  <si>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</si>
  <si>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</si>
  <si>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</si>
  <si>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</si>
  <si>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</si>
  <si>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</si>
  <si>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</si>
  <si>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</si>
  <si>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</si>
  <si>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</si>
  <si>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</si>
  <si>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</si>
  <si>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</si>
  <si>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</si>
  <si>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</si>
  <si>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</si>
  <si>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</si>
  <si>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</si>
  <si>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</si>
  <si>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</si>
  <si>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</si>
  <si>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</si>
  <si>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</si>
  <si>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</si>
  <si>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</si>
  <si>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</si>
  <si>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</si>
  <si>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</si>
  <si>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</si>
  <si>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</si>
  <si>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</si>
  <si>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</si>
  <si>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</si>
  <si>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</si>
  <si>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</si>
  <si>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</si>
  <si>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</si>
  <si>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</si>
  <si>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</si>
  <si>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</si>
  <si>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</si>
  <si>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</si>
  <si>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</si>
  <si>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</si>
  <si>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</si>
  <si>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</si>
  <si>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</si>
  <si>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</si>
  <si>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</si>
  <si>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</si>
  <si>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</si>
  <si>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</si>
  <si>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</si>
  <si>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</si>
  <si>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</si>
  <si>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</si>
  <si>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</si>
  <si>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</si>
  <si>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</si>
  <si>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</si>
  <si>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</si>
  <si>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</si>
  <si>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</si>
  <si>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</si>
  <si>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</si>
  <si>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</si>
  <si>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</si>
  <si>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</si>
  <si>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</si>
  <si>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</si>
  <si>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</si>
  <si>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</si>
  <si>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</si>
  <si>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</si>
  <si>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</si>
  <si>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</si>
  <si>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</si>
  <si>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</si>
  <si>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</si>
  <si>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</si>
  <si>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</si>
  <si>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</si>
  <si>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</si>
  <si>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</si>
  <si>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</si>
  <si>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</si>
  <si>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</si>
  <si>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</si>
  <si>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</si>
  <si>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</si>
  <si>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</si>
  <si>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</si>
  <si>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</si>
  <si>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</si>
  <si>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</si>
  <si>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</si>
  <si>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</si>
  <si>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</si>
  <si>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</si>
  <si>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</si>
  <si>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</si>
  <si>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</si>
  <si>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</si>
  <si>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</si>
  <si>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</si>
  <si>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</si>
  <si>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</si>
  <si>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</si>
  <si>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</si>
  <si>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</si>
  <si>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</si>
  <si>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</si>
  <si>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</si>
  <si>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</si>
  <si>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</si>
  <si>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</si>
  <si>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</si>
  <si>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</si>
  <si>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</si>
  <si>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</si>
  <si>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</si>
  <si>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</si>
  <si>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</si>
  <si>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</si>
  <si>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</si>
  <si>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</si>
  <si>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</si>
  <si>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</si>
  <si>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</si>
  <si>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</si>
  <si>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</si>
  <si>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</si>
  <si>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</si>
  <si>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</si>
  <si>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</si>
  <si>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</si>
  <si>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</si>
  <si>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</si>
  <si>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</si>
  <si>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</si>
  <si>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</si>
  <si>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</si>
  <si>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</si>
  <si>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</si>
  <si>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</si>
  <si>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</si>
  <si>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</si>
  <si>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</si>
  <si>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</si>
  <si>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</si>
  <si>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</si>
  <si>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</si>
  <si>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</si>
  <si>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</si>
  <si>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</si>
  <si>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</si>
  <si>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</si>
  <si>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</si>
  <si>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</si>
  <si>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</si>
  <si>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</si>
  <si>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</si>
  <si>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</si>
  <si>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</si>
  <si>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</si>
  <si>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</si>
  <si>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</si>
  <si>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</si>
  <si>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</si>
  <si>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</si>
  <si>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</si>
  <si>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</si>
  <si>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</si>
  <si>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</si>
  <si>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</si>
  <si>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</si>
  <si>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</si>
  <si>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</si>
  <si>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</si>
  <si>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</si>
  <si>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</si>
  <si>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</si>
  <si>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</si>
  <si>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</si>
  <si>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</si>
  <si>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</si>
  <si>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</si>
  <si>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</si>
  <si>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</si>
  <si>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</si>
  <si>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</si>
  <si>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</si>
  <si>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</si>
  <si>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</si>
  <si>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</si>
  <si>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</si>
  <si>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</si>
  <si>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</si>
  <si>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</si>
  <si>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</si>
  <si>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</si>
  <si>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</si>
  <si>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</si>
  <si>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</si>
  <si>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</si>
  <si>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</si>
  <si>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</si>
  <si>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</si>
  <si>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</si>
  <si>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</si>
  <si>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</si>
  <si>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</si>
  <si>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</si>
  <si>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</si>
  <si>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</si>
  <si>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</si>
  <si>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</si>
  <si>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</si>
  <si>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</si>
  <si>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</si>
  <si>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</si>
  <si>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</si>
  <si>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</si>
  <si>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</si>
  <si>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</si>
  <si>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</si>
  <si>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</si>
  <si>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</si>
  <si>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</si>
  <si>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</si>
  <si>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</si>
  <si>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</si>
  <si>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</si>
  <si>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</si>
  <si>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</si>
  <si>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</si>
  <si>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</si>
  <si>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</si>
  <si>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</si>
  <si>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</si>
  <si>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</si>
  <si>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</si>
  <si>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</si>
  <si>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</si>
  <si>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</si>
  <si>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</si>
  <si>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</si>
  <si>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</si>
  <si>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</si>
  <si>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</si>
  <si>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</si>
  <si>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</si>
  <si>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</si>
  <si>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</si>
  <si>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</si>
  <si>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</si>
  <si>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</si>
  <si>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</si>
  <si>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</si>
  <si>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</si>
  <si>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</si>
  <si>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</si>
  <si>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</si>
  <si>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</si>
  <si>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</si>
  <si>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</si>
  <si>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</si>
  <si>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</si>
  <si>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</si>
  <si>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</si>
  <si>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</si>
  <si>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</si>
  <si>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</si>
  <si>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</si>
  <si>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</si>
  <si>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</si>
  <si>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</si>
  <si>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</si>
  <si>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</si>
  <si>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</si>
  <si>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</si>
  <si>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</si>
  <si>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</si>
  <si>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</si>
  <si>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</si>
  <si>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</si>
  <si>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</si>
  <si>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</si>
  <si>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</si>
  <si>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</si>
  <si>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</si>
  <si>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</si>
  <si>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</si>
  <si>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</si>
  <si>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</si>
  <si>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</si>
  <si>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</si>
  <si>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</si>
  <si>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</si>
  <si>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</si>
  <si>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</si>
  <si>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</si>
  <si>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</si>
  <si>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</si>
  <si>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</si>
  <si>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</si>
  <si>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</si>
  <si>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</si>
  <si>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</si>
  <si>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</si>
  <si>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</si>
  <si>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</si>
  <si>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</si>
  <si>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</si>
  <si>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</si>
  <si>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</si>
  <si>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</si>
  <si>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</si>
  <si>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</si>
  <si>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</si>
  <si>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</si>
  <si>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</si>
  <si>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</si>
  <si>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</si>
  <si>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</si>
  <si>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</si>
  <si>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</si>
  <si>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</si>
  <si>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</si>
  <si>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</si>
  <si>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</si>
  <si>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</si>
  <si>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</si>
  <si>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</si>
  <si>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</si>
  <si>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</si>
  <si>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</si>
  <si>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</si>
  <si>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</si>
  <si>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</si>
  <si>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</si>
  <si>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</si>
  <si>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</si>
  <si>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</si>
  <si>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</si>
  <si>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</si>
  <si>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</si>
  <si>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</si>
  <si>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</si>
  <si>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</si>
  <si>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</si>
  <si>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</si>
  <si>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</si>
  <si>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</si>
  <si>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</si>
  <si>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</si>
  <si>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</si>
  <si>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</si>
  <si>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</si>
  <si>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</si>
  <si>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</si>
  <si>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</si>
  <si>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</si>
  <si>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</si>
  <si>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</si>
  <si>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</si>
  <si>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</si>
  <si>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</si>
  <si>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</si>
  <si>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</si>
  <si>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</si>
  <si>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</si>
  <si>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</si>
  <si>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</si>
  <si>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</si>
  <si>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</si>
  <si>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</si>
  <si>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</si>
  <si>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</si>
  <si>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</si>
  <si>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</si>
  <si>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</si>
  <si>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</si>
  <si>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</si>
  <si>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</si>
  <si>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</si>
  <si>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</si>
  <si>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</si>
  <si>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</si>
  <si>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</si>
  <si>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</si>
  <si>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</si>
  <si>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</si>
  <si>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</si>
  <si>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</si>
  <si>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</si>
  <si>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</si>
  <si>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</si>
  <si>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</si>
  <si>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</si>
  <si>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</si>
  <si>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</si>
  <si>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</si>
  <si>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</si>
  <si>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</si>
  <si>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</si>
  <si>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</si>
  <si>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</si>
  <si>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</si>
  <si>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</si>
  <si>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</si>
  <si>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</si>
  <si>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</si>
  <si>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</si>
  <si>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</si>
  <si>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</si>
  <si>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</si>
  <si>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</si>
  <si>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</si>
  <si>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</si>
  <si>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</si>
  <si>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</si>
  <si>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</si>
  <si>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</si>
  <si>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</si>
  <si>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</si>
  <si>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</si>
  <si>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</si>
  <si>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</si>
  <si>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</si>
  <si>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</si>
  <si>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</si>
  <si>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</si>
  <si>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</si>
  <si>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</si>
  <si>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</si>
  <si>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</si>
  <si>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</si>
  <si>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</si>
  <si>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</si>
  <si>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</si>
  <si>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</si>
  <si>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</si>
  <si>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</si>
  <si>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</si>
  <si>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</si>
  <si>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</si>
  <si>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</si>
  <si>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</si>
  <si>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</si>
  <si>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</si>
  <si>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</si>
  <si>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</si>
  <si>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</si>
  <si>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</si>
  <si>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</si>
  <si>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</si>
  <si>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</si>
  <si>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</si>
  <si>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</si>
  <si>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</si>
  <si>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</si>
  <si>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</si>
  <si>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</si>
  <si>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</si>
  <si>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</si>
  <si>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</si>
  <si>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</si>
  <si>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</si>
  <si>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</si>
  <si>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</si>
  <si>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</si>
  <si>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</si>
  <si>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</si>
  <si>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</si>
  <si>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</si>
  <si>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</si>
  <si>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</si>
  <si>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</si>
  <si>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</si>
  <si>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</si>
  <si>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</si>
  <si>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</si>
  <si>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</si>
  <si>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</si>
  <si>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</si>
  <si>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</si>
  <si>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</si>
  <si>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</si>
  <si>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</si>
  <si>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</si>
  <si>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</si>
  <si>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</si>
  <si>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</si>
  <si>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</si>
  <si>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</si>
  <si>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</si>
  <si>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</si>
  <si>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</si>
  <si>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</si>
  <si>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</si>
  <si>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</si>
  <si>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</si>
  <si>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</si>
  <si>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</si>
  <si>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</si>
  <si>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</si>
  <si>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</si>
  <si>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</si>
  <si>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</si>
  <si>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</si>
  <si>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</si>
  <si>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</si>
  <si>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</si>
  <si>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</si>
  <si>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</si>
  <si>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</si>
  <si>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</si>
  <si>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</si>
  <si>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</si>
  <si>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</si>
  <si>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</si>
  <si>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</si>
  <si>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</si>
  <si>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</si>
  <si>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</si>
  <si>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</si>
  <si>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</si>
  <si>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</si>
  <si>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</si>
  <si>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</si>
  <si>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</si>
  <si>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</si>
  <si>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</si>
  <si>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</si>
  <si>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</si>
  <si>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</si>
  <si>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</si>
  <si>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</si>
  <si>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</si>
  <si>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</si>
  <si>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</si>
  <si>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</si>
  <si>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</si>
  <si>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</si>
  <si>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</si>
  <si>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</si>
  <si>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</si>
  <si>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</si>
  <si>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</si>
  <si>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</si>
  <si>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</si>
  <si>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</si>
  <si>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</si>
  <si>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</si>
  <si>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</si>
  <si>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</si>
  <si>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</si>
  <si>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</si>
  <si>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</si>
  <si>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</si>
  <si>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</si>
  <si>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</si>
  <si>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</si>
  <si>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</si>
  <si>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</si>
  <si>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</si>
  <si>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</si>
  <si>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</si>
  <si>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</si>
  <si>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</si>
  <si>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</si>
  <si>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</si>
  <si>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</si>
  <si>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</si>
  <si>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</si>
  <si>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</si>
  <si>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</si>
  <si>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</si>
  <si>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</si>
  <si>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</si>
  <si>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</si>
  <si>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</si>
  <si>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</si>
  <si>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</si>
  <si>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</si>
  <si>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</si>
  <si>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</si>
  <si>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</si>
  <si>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</si>
  <si>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</si>
  <si>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</si>
  <si>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</si>
  <si>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</si>
  <si>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</si>
  <si>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</si>
  <si>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</si>
  <si>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</si>
  <si>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</si>
  <si>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</si>
  <si>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</si>
  <si>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</si>
  <si>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</si>
  <si>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</si>
  <si>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</si>
  <si>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</si>
  <si>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</si>
  <si>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</si>
  <si>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</si>
  <si>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</si>
  <si>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</si>
  <si>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</si>
  <si>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</si>
  <si>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</si>
  <si>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</si>
  <si>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</si>
  <si>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</si>
  <si>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</si>
  <si>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</si>
  <si>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</si>
  <si>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</si>
  <si>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</si>
  <si>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</si>
  <si>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</si>
  <si>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</si>
  <si>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</si>
  <si>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</si>
  <si>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</si>
  <si>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</si>
  <si>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</si>
  <si>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</si>
  <si>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</si>
  <si>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</si>
  <si>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</si>
  <si>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</si>
  <si>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</si>
  <si>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</si>
  <si>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</si>
  <si>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</si>
  <si>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</si>
  <si>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</si>
  <si>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</si>
  <si>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</si>
  <si>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</si>
  <si>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</si>
  <si>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</si>
  <si>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</si>
  <si>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</si>
  <si>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</si>
  <si>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</si>
  <si>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</si>
  <si>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</si>
  <si>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</si>
  <si>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</si>
  <si>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</si>
  <si>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</si>
  <si>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</si>
  <si>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</si>
  <si>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</si>
  <si>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</si>
  <si>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</si>
  <si>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</si>
  <si>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</si>
  <si>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</si>
  <si>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</si>
  <si>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</si>
  <si>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</si>
  <si>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</si>
  <si>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</si>
  <si>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</si>
  <si>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</si>
  <si>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</si>
  <si>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</si>
  <si>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</si>
  <si>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</si>
  <si>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</si>
  <si>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</si>
  <si>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</si>
  <si>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</si>
  <si>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</si>
  <si>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</si>
  <si>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</si>
  <si>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</si>
  <si>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</si>
  <si>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</si>
  <si>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</si>
  <si>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</si>
  <si>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</si>
  <si>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</si>
  <si>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</si>
  <si>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</si>
  <si>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</si>
  <si>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</si>
  <si>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</si>
  <si>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</si>
  <si>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</si>
  <si>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</si>
  <si>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</si>
  <si>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</si>
  <si>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</si>
  <si>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</si>
  <si>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</si>
  <si>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</si>
  <si>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</si>
  <si>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</si>
  <si>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</si>
  <si>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</si>
  <si>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</si>
  <si>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</si>
  <si>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</si>
  <si>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</si>
  <si>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</si>
  <si>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</si>
  <si>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</si>
  <si>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</si>
  <si>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</si>
  <si>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</si>
  <si>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</si>
  <si>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</si>
  <si>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</si>
  <si>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</si>
  <si>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</si>
  <si>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</si>
  <si>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</si>
  <si>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</si>
  <si>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</si>
  <si>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</si>
  <si>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</si>
  <si>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</si>
  <si>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</si>
  <si>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</si>
  <si>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</si>
  <si>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</si>
  <si>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</si>
  <si>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</si>
  <si>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</si>
  <si>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</si>
  <si>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</si>
  <si>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</si>
  <si>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</si>
  <si>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</si>
  <si>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</si>
  <si>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</si>
  <si>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</si>
  <si>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</si>
  <si>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</si>
  <si>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</si>
  <si>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</si>
  <si>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</si>
  <si>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</si>
  <si>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</si>
  <si>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</si>
  <si>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</si>
  <si>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</si>
  <si>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</si>
  <si>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</si>
  <si>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</si>
  <si>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</si>
  <si>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</si>
  <si>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</si>
  <si>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</si>
  <si>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</si>
  <si>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</si>
  <si>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</si>
  <si>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</si>
  <si>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</si>
  <si>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</si>
  <si>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</si>
  <si>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</si>
  <si>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</si>
  <si>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</si>
  <si>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</si>
  <si>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</si>
  <si>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</si>
  <si>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</si>
  <si>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</si>
  <si>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</si>
  <si>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</si>
  <si>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</si>
  <si>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</si>
  <si>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</si>
  <si>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</si>
  <si>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</si>
  <si>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</si>
  <si>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</si>
  <si>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</si>
  <si>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</si>
  <si>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</si>
  <si>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</si>
  <si>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</si>
  <si>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</si>
  <si>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</si>
  <si>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</si>
  <si>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</si>
  <si>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</si>
  <si>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</si>
  <si>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</si>
  <si>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</si>
  <si>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</si>
  <si>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</si>
  <si>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</si>
  <si>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</si>
  <si>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</si>
  <si>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</si>
  <si>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</si>
  <si>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</si>
  <si>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</si>
  <si>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</si>
  <si>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</si>
  <si>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</si>
  <si>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</si>
  <si>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</si>
  <si>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</si>
  <si>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</si>
  <si>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</si>
  <si>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</si>
  <si>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</si>
  <si>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</si>
  <si>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</si>
  <si>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</si>
  <si>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</si>
  <si>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</si>
  <si>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</si>
  <si>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</si>
  <si>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</si>
  <si>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</si>
  <si>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</si>
  <si>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</si>
  <si>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</si>
  <si>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</si>
  <si>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</si>
  <si>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</si>
  <si>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</si>
  <si>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</si>
  <si>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</si>
  <si>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</si>
  <si>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</si>
  <si>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</si>
  <si>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</si>
  <si>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</si>
  <si>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</si>
  <si>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</si>
  <si>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</si>
  <si>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</si>
  <si>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</si>
  <si>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</si>
  <si>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</si>
  <si>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</si>
  <si>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</si>
  <si>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</si>
  <si>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</si>
  <si>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</si>
  <si>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</si>
  <si>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</si>
  <si>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</si>
  <si>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</si>
  <si>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</si>
  <si>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</si>
  <si>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</si>
  <si>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</si>
  <si>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</si>
  <si>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</si>
  <si>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</si>
  <si>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</si>
  <si>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</si>
  <si>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</si>
  <si>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</si>
  <si>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</si>
  <si>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</si>
  <si>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</si>
  <si>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</si>
  <si>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</si>
  <si>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</si>
  <si>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</si>
  <si>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</si>
  <si>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</si>
  <si>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</si>
  <si>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</si>
  <si>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</si>
  <si>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</si>
  <si>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</si>
  <si>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</si>
  <si>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</si>
  <si>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</si>
  <si>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</si>
  <si>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</si>
  <si>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</si>
  <si>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</si>
  <si>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</si>
  <si>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</si>
  <si>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</si>
  <si>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</si>
  <si>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</si>
  <si>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</si>
  <si>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</si>
  <si>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</si>
  <si>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</si>
  <si>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</si>
  <si>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</si>
  <si>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</si>
  <si>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</si>
  <si>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</si>
  <si>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</si>
  <si>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</si>
  <si>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</si>
  <si>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</si>
  <si>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</si>
  <si>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</si>
  <si>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</si>
  <si>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</si>
  <si>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</si>
  <si>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</si>
  <si>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</si>
  <si>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</si>
  <si>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</si>
  <si>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</si>
  <si>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</si>
  <si>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</si>
  <si>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</si>
  <si>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</si>
  <si>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</si>
  <si>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</si>
  <si>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</si>
  <si>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</si>
  <si>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</si>
  <si>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</si>
  <si>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</si>
  <si>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</si>
  <si>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</si>
  <si>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</si>
  <si>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</si>
  <si>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</si>
  <si>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</si>
  <si>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</si>
  <si>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</si>
  <si>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</si>
  <si>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</si>
  <si>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</si>
  <si>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</si>
  <si>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</si>
  <si>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</si>
  <si>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</si>
  <si>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</si>
  <si>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</si>
  <si>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</si>
  <si>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</si>
  <si>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</si>
  <si>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</si>
  <si>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</si>
  <si>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</si>
  <si>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</si>
  <si>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</si>
  <si>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</si>
  <si>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</si>
  <si>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</si>
  <si>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</si>
  <si>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</si>
  <si>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</si>
  <si>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</si>
  <si>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</si>
  <si>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</si>
  <si>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</si>
  <si>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</si>
  <si>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</si>
  <si>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</si>
  <si>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</si>
  <si>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</si>
  <si>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</si>
  <si>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</si>
  <si>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</si>
  <si>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</si>
  <si>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</si>
  <si>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</si>
  <si>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</si>
  <si>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</si>
  <si>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</si>
  <si>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</si>
  <si>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</si>
  <si>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</si>
  <si>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</si>
  <si>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</si>
  <si>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</si>
  <si>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</si>
  <si>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</si>
  <si>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</si>
  <si>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</si>
  <si>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</si>
  <si>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</si>
  <si>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</si>
  <si>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</si>
  <si>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</si>
  <si>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</si>
  <si>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</si>
  <si>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</si>
  <si>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</si>
  <si>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</si>
  <si>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</si>
  <si>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</si>
  <si>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</si>
  <si>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</si>
  <si>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</si>
  <si>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</si>
  <si>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</si>
  <si>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</si>
  <si>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</si>
  <si>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</si>
  <si>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</si>
  <si>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</si>
  <si>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</si>
  <si>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</si>
  <si>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</si>
  <si>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</si>
  <si>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</si>
  <si>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</si>
  <si>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</si>
  <si>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</si>
  <si>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</si>
  <si>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</si>
  <si>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</si>
  <si>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</si>
  <si>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</si>
  <si>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</si>
  <si>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</si>
  <si>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</si>
  <si>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</si>
  <si>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</si>
  <si>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</si>
  <si>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</si>
  <si>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</si>
  <si>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</si>
  <si>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</si>
  <si>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</si>
  <si>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</si>
  <si>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</si>
  <si>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</si>
  <si>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</si>
  <si>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</si>
  <si>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</si>
  <si>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</si>
  <si>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</si>
  <si>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</si>
  <si>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</si>
  <si>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</si>
  <si>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</si>
  <si>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</si>
  <si>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</si>
  <si>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</si>
  <si>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</si>
  <si>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</si>
  <si>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</si>
  <si>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</si>
  <si>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</si>
  <si>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</si>
  <si>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</si>
  <si>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</si>
  <si>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</si>
  <si>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</si>
  <si>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</si>
  <si>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</si>
  <si>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</si>
  <si>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</si>
  <si>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</si>
  <si>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</si>
  <si>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</si>
  <si>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</si>
  <si>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</si>
  <si>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</si>
  <si>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</si>
  <si>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</si>
  <si>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</si>
  <si>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</si>
  <si>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</si>
  <si>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</si>
  <si>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</si>
  <si>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</si>
  <si>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</si>
  <si>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</si>
  <si>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</si>
  <si>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</si>
  <si>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</si>
  <si>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</si>
  <si>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</si>
  <si>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</si>
  <si>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</si>
  <si>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</si>
  <si>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</si>
  <si>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</si>
  <si>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</si>
  <si>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</si>
  <si>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</si>
  <si>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</si>
  <si>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</si>
  <si>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</si>
  <si>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</si>
  <si>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</si>
  <si>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</si>
  <si>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</si>
  <si>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</si>
  <si>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</si>
  <si>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</si>
  <si>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</si>
  <si>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</si>
  <si>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</si>
  <si>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</si>
  <si>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</si>
  <si>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</si>
  <si>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</si>
  <si>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</si>
  <si>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</si>
  <si>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</si>
  <si>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</si>
  <si>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</si>
  <si>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</si>
  <si>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</si>
  <si>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</si>
  <si>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</si>
  <si>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</si>
  <si>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</si>
  <si>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</si>
  <si>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</si>
  <si>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</si>
  <si>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</si>
  <si>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</si>
  <si>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</si>
  <si>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</si>
  <si>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</si>
  <si>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</si>
  <si>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</si>
  <si>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</si>
  <si>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</si>
  <si>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</si>
  <si>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</si>
  <si>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</si>
  <si>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</si>
  <si>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</si>
  <si>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</si>
  <si>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</si>
  <si>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</si>
  <si>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</si>
  <si>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</si>
  <si>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</si>
  <si>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</si>
  <si>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</si>
  <si>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</si>
  <si>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</si>
  <si>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</si>
  <si>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</si>
  <si>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</si>
  <si>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</si>
  <si>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</si>
  <si>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</si>
  <si>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</si>
  <si>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</si>
  <si>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</si>
  <si>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</si>
  <si>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</si>
  <si>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</si>
  <si>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</si>
  <si>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</si>
  <si>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</si>
  <si>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</si>
  <si>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</si>
  <si>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</si>
  <si>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</si>
  <si>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</si>
  <si>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</si>
  <si>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</si>
  <si>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</si>
  <si>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</si>
  <si>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</si>
  <si>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</si>
  <si>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</si>
  <si>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</si>
  <si>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</si>
  <si>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</si>
  <si>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</si>
  <si>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</si>
  <si>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</si>
  <si>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</si>
  <si>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</si>
  <si>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</si>
  <si>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</si>
  <si>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</si>
  <si>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</si>
  <si>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</si>
  <si>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</si>
  <si>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</si>
  <si>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</si>
  <si>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</si>
  <si>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</si>
  <si>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</si>
  <si>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</si>
  <si>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</si>
  <si>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</si>
  <si>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</si>
  <si>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</si>
  <si>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</si>
  <si>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</si>
  <si>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</si>
  <si>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</si>
  <si>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</si>
  <si>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</si>
  <si>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</si>
  <si>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</si>
  <si>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</si>
  <si>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</si>
  <si>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</si>
  <si>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</si>
  <si>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</si>
  <si>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</si>
  <si>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</si>
  <si>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</si>
  <si>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</si>
  <si>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</si>
  <si>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</si>
  <si>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</si>
  <si>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</si>
  <si>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</si>
  <si>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</si>
  <si>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</si>
  <si>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</si>
  <si>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</si>
  <si>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</si>
  <si>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</si>
  <si>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</si>
  <si>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</si>
  <si>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</si>
  <si>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</si>
  <si>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</si>
  <si>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</si>
  <si>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</si>
  <si>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</si>
  <si>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</si>
  <si>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</si>
  <si>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</si>
  <si>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</si>
  <si>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</si>
  <si>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</si>
  <si>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</si>
  <si>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</si>
  <si>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</si>
  <si>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</si>
  <si>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</si>
  <si>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</si>
  <si>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</si>
  <si>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</si>
  <si>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</si>
  <si>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</si>
  <si>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</si>
  <si>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</si>
  <si>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</si>
  <si>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</si>
  <si>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</si>
  <si>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</si>
  <si>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</si>
  <si>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</si>
  <si>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</si>
  <si>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</si>
  <si>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</si>
  <si>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</si>
  <si>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</si>
  <si>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</si>
  <si>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</si>
  <si>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</si>
  <si>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</si>
  <si>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</si>
  <si>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</si>
  <si>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</si>
  <si>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</si>
  <si>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</si>
  <si>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</si>
  <si>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</si>
  <si>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</si>
  <si>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</si>
  <si>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</si>
  <si>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</si>
  <si>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</si>
  <si>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</si>
  <si>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</si>
  <si>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</si>
  <si>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</si>
  <si>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</si>
  <si>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</si>
  <si>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</si>
  <si>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</si>
  <si>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</si>
  <si>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</si>
  <si>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</si>
  <si>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</si>
  <si>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</si>
  <si>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</si>
  <si>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</si>
  <si>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</si>
  <si>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</si>
  <si>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</si>
  <si>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</si>
  <si>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</si>
  <si>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</si>
  <si>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</si>
  <si>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</si>
  <si>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</si>
  <si>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</si>
  <si>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</si>
  <si>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</si>
  <si>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</si>
  <si>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</si>
  <si>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</si>
  <si>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</si>
  <si>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</si>
  <si>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</si>
  <si>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</si>
  <si>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</si>
  <si>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</si>
  <si>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</si>
  <si>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</si>
  <si>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</si>
  <si>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</si>
  <si>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</si>
  <si>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</si>
  <si>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</si>
  <si>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</si>
  <si>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</si>
  <si>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</si>
  <si>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</si>
  <si>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</si>
  <si>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</si>
  <si>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</si>
  <si>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</si>
  <si>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</si>
  <si>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</si>
  <si>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</si>
  <si>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</si>
  <si>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</si>
  <si>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</si>
  <si>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</si>
  <si>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</si>
  <si>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</si>
  <si>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</si>
  <si>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</si>
  <si>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</si>
  <si>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</si>
  <si>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</si>
  <si>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</si>
  <si>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</si>
  <si>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</si>
  <si>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</si>
  <si>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</si>
  <si>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</si>
  <si>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</si>
  <si>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</si>
  <si>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</si>
  <si>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</si>
  <si>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</si>
  <si>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</si>
  <si>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</si>
  <si>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</si>
  <si>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</si>
  <si>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</si>
  <si>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</si>
  <si>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</si>
  <si>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</si>
  <si>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</si>
  <si>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</si>
  <si>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</si>
  <si>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</si>
  <si>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</si>
  <si>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</si>
  <si>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</si>
  <si>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</si>
  <si>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</si>
  <si>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</si>
  <si>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</si>
  <si>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</si>
  <si>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</si>
  <si>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</si>
  <si>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</si>
  <si>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</si>
  <si>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</si>
  <si>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</si>
  <si>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</si>
  <si>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</si>
  <si>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</si>
  <si>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</si>
  <si>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</si>
  <si>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</si>
  <si>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</si>
  <si>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</si>
  <si>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</si>
  <si>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</si>
  <si>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</si>
  <si>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</si>
  <si>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</si>
  <si>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</si>
  <si>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</si>
  <si>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</si>
  <si>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</si>
  <si>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</si>
  <si>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</si>
  <si>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</si>
  <si>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</si>
  <si>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</si>
  <si>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</si>
  <si>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</si>
  <si>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</si>
  <si>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</si>
  <si>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</si>
  <si>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</si>
  <si>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</si>
  <si>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</si>
  <si>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</si>
  <si>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</si>
  <si>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</si>
  <si>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</si>
  <si>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</si>
  <si>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</si>
  <si>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</si>
  <si>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</si>
  <si>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</si>
  <si>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</si>
  <si>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</si>
  <si>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</si>
  <si>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</si>
  <si>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</si>
  <si>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</si>
  <si>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</si>
  <si>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</si>
  <si>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</si>
  <si>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</si>
  <si>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</si>
  <si>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</si>
  <si>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</si>
  <si>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</si>
  <si>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</si>
  <si>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</si>
  <si>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</si>
  <si>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</si>
  <si>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</si>
  <si>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</si>
  <si>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</si>
  <si>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</si>
  <si>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</si>
  <si>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</si>
  <si>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</si>
  <si>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</si>
  <si>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</si>
  <si>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</si>
  <si>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</si>
  <si>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</si>
  <si>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</si>
  <si>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</si>
  <si>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</si>
  <si>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</si>
  <si>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</si>
  <si>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</si>
  <si>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</si>
  <si>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</si>
  <si>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</si>
  <si>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</si>
  <si>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</si>
  <si>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</si>
  <si>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</si>
  <si>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</si>
  <si>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</si>
  <si>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</si>
  <si>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</si>
  <si>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</si>
  <si>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</si>
  <si>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</si>
  <si>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</si>
  <si>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</si>
  <si>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</si>
  <si>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</si>
  <si>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</si>
  <si>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</si>
  <si>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</si>
  <si>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</si>
  <si>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</si>
  <si>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</si>
  <si>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</si>
  <si>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</si>
  <si>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</si>
  <si>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</si>
  <si>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</si>
  <si>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</si>
  <si>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</si>
  <si>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</si>
  <si>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</si>
  <si>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</si>
  <si>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</si>
  <si>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</si>
  <si>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</si>
  <si>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</si>
  <si>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</si>
  <si>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</si>
  <si>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</si>
  <si>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</si>
  <si>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</si>
  <si>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</si>
  <si>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</si>
  <si>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</si>
  <si>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</si>
  <si>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</si>
  <si>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</si>
  <si>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</si>
  <si>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</si>
  <si>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</si>
  <si>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</si>
  <si>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</si>
  <si>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</si>
  <si>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</si>
  <si>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</si>
  <si>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</si>
  <si>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</si>
  <si>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</si>
  <si>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</si>
  <si>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</si>
  <si>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</si>
  <si>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</si>
  <si>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</si>
  <si>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</si>
  <si>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</si>
  <si>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</si>
  <si>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</si>
  <si>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</si>
  <si>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</si>
  <si>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</si>
  <si>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</si>
  <si>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</si>
  <si>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</si>
  <si>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</si>
  <si>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</si>
  <si>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</si>
  <si>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</si>
  <si>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</si>
  <si>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</si>
  <si>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</si>
  <si>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</si>
  <si>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</si>
  <si>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</si>
  <si>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</si>
  <si>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</si>
  <si>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</si>
  <si>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</si>
  <si>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</si>
  <si>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</si>
  <si>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</si>
  <si>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</si>
  <si>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</si>
  <si>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</si>
  <si>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</si>
  <si>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</si>
  <si>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</si>
  <si>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</si>
  <si>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</si>
  <si>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</si>
  <si>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</si>
  <si>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</si>
  <si>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</si>
  <si>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</si>
  <si>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</si>
  <si>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</si>
  <si>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</si>
  <si>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</si>
  <si>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</si>
  <si>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</si>
  <si>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</si>
  <si>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</si>
  <si>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</si>
  <si>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</si>
  <si>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</si>
  <si>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</si>
  <si>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</si>
  <si>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</si>
  <si>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</si>
  <si>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</si>
  <si>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</si>
  <si>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</si>
  <si>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</si>
  <si>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</si>
  <si>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</si>
  <si>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</si>
  <si>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</si>
  <si>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</si>
  <si>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</si>
  <si>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</si>
  <si>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</si>
  <si>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</si>
  <si>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</si>
  <si>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</si>
  <si>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</si>
  <si>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</si>
  <si>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</si>
  <si>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</si>
  <si>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</si>
  <si>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</si>
  <si>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</si>
  <si>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</si>
  <si>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</si>
  <si>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</si>
  <si>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</si>
  <si>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</si>
  <si>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</si>
  <si>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</si>
  <si>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</si>
  <si>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</si>
  <si>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</si>
  <si>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</si>
  <si>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</si>
  <si>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</si>
  <si>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</si>
  <si>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</si>
  <si>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</si>
  <si>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</si>
  <si>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</si>
  <si>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</si>
  <si>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</si>
  <si>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</si>
  <si>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</si>
  <si>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</si>
  <si>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</si>
  <si>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</si>
  <si>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</si>
  <si>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</si>
  <si>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</si>
  <si>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</si>
  <si>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</si>
  <si>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</si>
  <si>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</si>
  <si>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</si>
  <si>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</si>
  <si>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</si>
  <si>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</si>
  <si>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</si>
  <si>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</si>
  <si>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</si>
  <si>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</si>
  <si>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</si>
  <si>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</si>
  <si>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</si>
  <si>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</si>
  <si>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</si>
  <si>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</si>
  <si>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</si>
  <si>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</si>
  <si>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</si>
  <si>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</si>
  <si>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</si>
  <si>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</si>
  <si>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</si>
  <si>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</si>
  <si>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</si>
  <si>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</si>
  <si>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</si>
  <si>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</si>
  <si>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</si>
  <si>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</si>
  <si>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</si>
  <si>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</si>
  <si>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</si>
  <si>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</si>
  <si>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</si>
  <si>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</si>
  <si>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</si>
  <si>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</si>
  <si>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</si>
  <si>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</si>
  <si>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</si>
  <si>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</si>
  <si>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</si>
  <si>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</si>
  <si>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</si>
  <si>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</si>
  <si>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</si>
  <si>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</si>
  <si>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</si>
  <si>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</si>
  <si>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</si>
  <si>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</si>
  <si>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</si>
  <si>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</si>
  <si>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</si>
  <si>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</si>
  <si>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</si>
  <si>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</si>
  <si>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</si>
  <si>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</si>
  <si>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</si>
  <si>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</si>
  <si>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</si>
  <si>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</si>
  <si>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</si>
  <si>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</si>
  <si>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</si>
  <si>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</si>
  <si>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</si>
  <si>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</si>
  <si>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</si>
  <si>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</si>
  <si>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</si>
  <si>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</si>
  <si>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</si>
  <si>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</si>
  <si>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</si>
  <si>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</si>
  <si>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</si>
  <si>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</si>
  <si>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</si>
  <si>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</si>
  <si>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</si>
  <si>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</si>
  <si>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</si>
  <si>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</si>
  <si>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</si>
  <si>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</si>
  <si>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</si>
  <si>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</si>
  <si>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</si>
  <si>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</si>
  <si>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</si>
  <si>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</si>
  <si>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</si>
  <si>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</si>
  <si>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</si>
  <si>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</si>
  <si>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</si>
  <si>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</si>
  <si>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</si>
  <si>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</si>
  <si>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</si>
  <si>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</si>
  <si>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</si>
  <si>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</si>
  <si>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</si>
  <si>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</si>
  <si>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</si>
  <si>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</si>
  <si>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</si>
  <si>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</si>
  <si>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</si>
  <si>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</si>
  <si>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</si>
  <si>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</si>
  <si>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</si>
  <si>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</si>
  <si>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</si>
  <si>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</si>
  <si>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</si>
  <si>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</si>
  <si>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</si>
  <si>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</si>
  <si>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</si>
  <si>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</si>
  <si>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</si>
  <si>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</si>
  <si>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</si>
  <si>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</si>
  <si>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</si>
  <si>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</si>
  <si>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</si>
  <si>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</si>
  <si>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</si>
  <si>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</si>
  <si>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</si>
  <si>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</si>
  <si>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</si>
  <si>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</si>
  <si>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</si>
  <si>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</si>
  <si>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</si>
  <si>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</si>
  <si>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</si>
  <si>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</si>
  <si>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</si>
  <si>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</si>
  <si>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</si>
  <si>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</si>
  <si>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</si>
  <si>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</si>
  <si>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</si>
  <si>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</si>
  <si>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</si>
  <si>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</si>
  <si>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</si>
  <si>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</si>
  <si>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</si>
  <si>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</si>
  <si>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</si>
  <si>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</si>
  <si>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</si>
  <si>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</si>
  <si>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</si>
  <si>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</si>
  <si>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</si>
  <si>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</si>
  <si>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</si>
  <si>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</si>
  <si>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</si>
  <si>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</si>
  <si>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</si>
  <si>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</si>
  <si>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</si>
  <si>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</si>
  <si>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</si>
  <si>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</si>
  <si>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</si>
  <si>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</si>
  <si>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</si>
  <si>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</si>
  <si>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</si>
  <si>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</si>
  <si>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</si>
  <si>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</si>
  <si>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</si>
  <si>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</si>
  <si>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</si>
  <si>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</si>
  <si>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</si>
  <si>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</si>
  <si>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</si>
  <si>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</si>
  <si>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</si>
  <si>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</si>
  <si>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</si>
  <si>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</si>
  <si>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</si>
  <si>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</si>
  <si>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</si>
  <si>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</si>
  <si>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</si>
  <si>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</si>
  <si>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</si>
  <si>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</si>
  <si>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</si>
  <si>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</si>
  <si>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</si>
  <si>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</si>
  <si>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</si>
  <si>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</si>
  <si>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</si>
  <si>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</si>
  <si>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</si>
  <si>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</si>
  <si>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</si>
  <si>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</si>
  <si>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</si>
  <si>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</si>
  <si>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</si>
  <si>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</si>
  <si>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</si>
  <si>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</si>
  <si>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</si>
  <si>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</si>
  <si>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</si>
  <si>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</si>
  <si>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</si>
  <si>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</si>
  <si>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</si>
  <si>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</si>
  <si>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</si>
  <si>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</si>
  <si>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</si>
  <si>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</si>
  <si>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</si>
  <si>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</si>
  <si>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</si>
  <si>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</si>
  <si>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</si>
  <si>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</si>
  <si>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</si>
  <si>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</si>
  <si>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</si>
  <si>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</si>
  <si>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</si>
  <si>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</si>
  <si>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</si>
  <si>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</si>
  <si>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</si>
  <si>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</si>
  <si>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</si>
  <si>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</si>
  <si>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</si>
  <si>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</si>
  <si>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</si>
  <si>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</si>
  <si>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</si>
  <si>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</si>
  <si>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</si>
  <si>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</si>
  <si>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</si>
  <si>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</si>
  <si>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</si>
  <si>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</si>
  <si>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</si>
  <si>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</si>
  <si>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</si>
  <si>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</si>
  <si>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</si>
  <si>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</si>
  <si>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</si>
  <si>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</si>
  <si>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</si>
  <si>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</si>
  <si>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</si>
  <si>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</si>
  <si>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</si>
  <si>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</si>
  <si>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</si>
  <si>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</si>
  <si>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</si>
  <si>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</si>
  <si>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</si>
  <si>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</si>
  <si>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</si>
  <si>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</si>
  <si>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</si>
  <si>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</si>
  <si>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</si>
  <si>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</si>
  <si>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</si>
  <si>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</si>
  <si>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</si>
  <si>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</si>
  <si>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</si>
  <si>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</si>
  <si>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</si>
  <si>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</si>
  <si>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</si>
  <si>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</si>
  <si>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</si>
  <si>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</si>
  <si>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</si>
  <si>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</si>
  <si>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</si>
  <si>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</si>
  <si>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</si>
  <si>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</si>
  <si>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</si>
  <si>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</si>
  <si>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</si>
  <si>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</si>
  <si>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</si>
  <si>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</si>
  <si>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</si>
  <si>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</si>
  <si>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</si>
  <si>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</si>
  <si>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</si>
  <si>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</si>
  <si>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</si>
  <si>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</si>
  <si>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</si>
  <si>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</si>
  <si>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</si>
  <si>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</si>
  <si>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</si>
  <si>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</si>
  <si>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</si>
  <si>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</si>
  <si>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</si>
  <si>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</si>
  <si>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</si>
  <si>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</si>
  <si>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</si>
  <si>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</si>
  <si>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</si>
  <si>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</si>
  <si>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</si>
  <si>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</si>
  <si>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</si>
  <si>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</si>
  <si>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</si>
  <si>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</si>
  <si>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</si>
  <si>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</si>
  <si>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</si>
  <si>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</si>
  <si>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</si>
  <si>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</si>
  <si>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</si>
  <si>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</si>
  <si>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</si>
  <si>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</si>
  <si>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</si>
  <si>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</si>
  <si>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</si>
  <si>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</si>
  <si>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</si>
  <si>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</si>
  <si>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</si>
  <si>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</si>
  <si>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</si>
  <si>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</si>
  <si>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</si>
  <si>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</si>
  <si>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</si>
  <si>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</si>
  <si>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</si>
  <si>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</si>
  <si>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</si>
  <si>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</si>
  <si>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</si>
  <si>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</si>
  <si>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</si>
  <si>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</si>
  <si>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</si>
  <si>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</si>
  <si>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</si>
  <si>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</si>
  <si>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</si>
  <si>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</si>
  <si>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</si>
  <si>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</si>
  <si>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</si>
  <si>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</si>
  <si>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</si>
  <si>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</si>
  <si>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</si>
  <si>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</si>
  <si>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</si>
  <si>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</si>
  <si>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</si>
  <si>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</si>
  <si>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</si>
  <si>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</si>
  <si>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</si>
  <si>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</si>
  <si>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</si>
  <si>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</si>
  <si>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</si>
  <si>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</si>
  <si>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</si>
  <si>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</si>
  <si>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</si>
  <si>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</si>
  <si>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</si>
  <si>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</si>
  <si>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</si>
  <si>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</si>
  <si>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</si>
  <si>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</si>
  <si>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</si>
  <si>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</si>
  <si>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</si>
  <si>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</si>
  <si>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</si>
  <si>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</si>
  <si>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</si>
  <si>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</si>
  <si>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</si>
  <si>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</si>
  <si>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</si>
  <si>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</si>
  <si>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</si>
  <si>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</si>
  <si>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</si>
  <si>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</si>
  <si>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</si>
  <si>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</si>
  <si>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</si>
  <si>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</si>
  <si>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</si>
  <si>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</si>
  <si>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</si>
  <si>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</si>
  <si>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</si>
  <si>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</si>
  <si>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</si>
  <si>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</si>
  <si>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</si>
  <si>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</si>
  <si>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</si>
  <si>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</si>
  <si>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</si>
  <si>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</si>
  <si>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</si>
  <si>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</si>
  <si>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</si>
  <si>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</si>
  <si>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</si>
  <si>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</si>
  <si>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</si>
  <si>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</si>
  <si>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</si>
  <si>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</si>
  <si>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</si>
  <si>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</si>
  <si>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</si>
  <si>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</si>
  <si>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</si>
  <si>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</si>
  <si>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</si>
  <si>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</si>
  <si>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</si>
  <si>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</si>
  <si>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</si>
  <si>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</si>
  <si>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</si>
  <si>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</si>
  <si>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</si>
  <si>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</si>
  <si>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</si>
  <si>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</si>
  <si>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</si>
  <si>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</si>
  <si>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</si>
  <si>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</si>
  <si>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</si>
  <si>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</si>
  <si>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</si>
  <si>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</si>
  <si>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</si>
  <si>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</si>
  <si>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</si>
  <si>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</si>
  <si>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</si>
  <si>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</si>
  <si>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</si>
  <si>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</si>
  <si>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</si>
  <si>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</si>
  <si>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</si>
  <si>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</si>
  <si>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</si>
  <si>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</si>
  <si>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</si>
  <si>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</si>
  <si>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</si>
  <si>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</si>
  <si>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</si>
  <si>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</si>
  <si>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</si>
  <si>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</si>
  <si>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</si>
  <si>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</si>
  <si>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</si>
  <si>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</si>
  <si>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</si>
  <si>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</si>
  <si>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</si>
  <si>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</si>
  <si>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</si>
  <si>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</si>
  <si>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</si>
  <si>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</si>
  <si>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</si>
  <si>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</si>
  <si>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</si>
  <si>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</si>
  <si>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</si>
  <si>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</si>
  <si>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</si>
  <si>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</si>
  <si>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</si>
  <si>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</si>
  <si>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</si>
  <si>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</si>
  <si>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</si>
  <si>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</si>
  <si>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</si>
  <si>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</si>
  <si>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</si>
  <si>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</si>
  <si>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</si>
  <si>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</si>
  <si>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</si>
  <si>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</si>
  <si>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</si>
  <si>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</si>
  <si>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</si>
  <si>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</si>
  <si>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</si>
  <si>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</si>
  <si>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</si>
  <si>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</si>
  <si>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</si>
  <si>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</si>
  <si>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</si>
  <si>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</si>
  <si>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</si>
  <si>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</si>
  <si>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</si>
  <si>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</si>
  <si>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</si>
  <si>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</si>
  <si>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</si>
  <si>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</si>
  <si>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</si>
  <si>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</si>
  <si>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</si>
  <si>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</si>
  <si>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</si>
  <si>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</si>
  <si>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</si>
  <si>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</si>
  <si>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</si>
  <si>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</si>
  <si>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</si>
  <si>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</si>
  <si>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</si>
  <si>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</si>
  <si>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</si>
  <si>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</si>
  <si>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</si>
  <si>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</si>
  <si>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</si>
  <si>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</si>
  <si>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</si>
  <si>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</si>
  <si>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</si>
  <si>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</si>
  <si>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</si>
  <si>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</si>
  <si>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</si>
  <si>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</si>
  <si>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</si>
  <si>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</si>
  <si>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</si>
  <si>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</si>
  <si>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</si>
  <si>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</si>
  <si>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</si>
  <si>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</si>
  <si>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</si>
  <si>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</si>
  <si>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</si>
  <si>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</si>
  <si>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</si>
  <si>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</si>
  <si>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</si>
  <si>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</si>
  <si>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</si>
  <si>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</si>
  <si>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</si>
  <si>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</si>
  <si>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</si>
  <si>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</si>
  <si>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</si>
  <si>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</si>
  <si>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</si>
  <si>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</si>
  <si>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</si>
  <si>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</si>
  <si>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</si>
  <si>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</si>
  <si>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</si>
  <si>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</si>
  <si>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</si>
  <si>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</si>
  <si>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</si>
  <si>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</si>
  <si>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</si>
  <si>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</si>
  <si>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</si>
  <si>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</si>
  <si>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</si>
  <si>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</si>
  <si>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</si>
  <si>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</si>
  <si>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</si>
  <si>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</si>
  <si>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</si>
  <si>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</si>
  <si>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</si>
  <si>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</si>
  <si>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</si>
  <si>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</si>
  <si>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</si>
  <si>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</si>
  <si>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</si>
  <si>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</si>
  <si>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</si>
  <si>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</si>
  <si>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</si>
  <si>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</si>
  <si>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</si>
  <si>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</si>
  <si>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</si>
  <si>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</si>
  <si>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</si>
  <si>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</si>
  <si>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</si>
  <si>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</si>
  <si>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</si>
  <si>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</si>
  <si>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</si>
  <si>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</si>
  <si>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</si>
  <si>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</si>
  <si>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</si>
  <si>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</si>
  <si>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</si>
  <si>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</si>
  <si>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</si>
  <si>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</si>
  <si>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</si>
  <si>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</si>
  <si>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</si>
  <si>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</si>
  <si>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</si>
  <si>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</si>
  <si>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</si>
  <si>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</si>
  <si>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</si>
  <si>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</si>
  <si>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</si>
  <si>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</si>
  <si>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</si>
  <si>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</si>
  <si>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</si>
  <si>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</si>
  <si>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</si>
  <si>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</si>
  <si>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</si>
  <si>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</si>
  <si>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</si>
  <si>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</si>
  <si>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</si>
  <si>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</si>
  <si>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</si>
  <si>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</si>
  <si>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</si>
  <si>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</si>
  <si>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</si>
  <si>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</si>
  <si>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</si>
  <si>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</si>
  <si>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</si>
  <si>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</si>
  <si>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</si>
  <si>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</si>
  <si>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</si>
  <si>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</si>
  <si>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</si>
  <si>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</si>
  <si>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</si>
  <si>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</si>
  <si>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</si>
  <si>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</si>
  <si>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</si>
  <si>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</si>
  <si>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</si>
  <si>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</si>
  <si>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</si>
  <si>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</si>
  <si>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</si>
  <si>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</si>
  <si>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</si>
  <si>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</si>
  <si>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</si>
  <si>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</si>
  <si>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</si>
  <si>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</si>
  <si>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</si>
  <si>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</si>
  <si>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</si>
  <si>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</si>
  <si>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</si>
  <si>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</si>
  <si>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</si>
  <si>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</si>
  <si>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</si>
  <si>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</si>
  <si>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</si>
  <si>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</si>
  <si>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</si>
  <si>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</si>
  <si>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</si>
  <si>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</si>
  <si>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</si>
  <si>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</si>
  <si>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</si>
  <si>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</si>
  <si>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</si>
  <si>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</si>
  <si>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</si>
  <si>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</si>
  <si>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</si>
  <si>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</si>
  <si>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</si>
  <si>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</si>
  <si>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</si>
  <si>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</si>
  <si>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</si>
  <si>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</si>
  <si>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</si>
  <si>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</si>
  <si>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</si>
  <si>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</si>
  <si>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</si>
  <si>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</si>
  <si>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</si>
  <si>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</si>
  <si>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</si>
  <si>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</si>
  <si>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</si>
  <si>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</si>
  <si>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</si>
  <si>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</si>
  <si>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</si>
  <si>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</si>
  <si>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</si>
  <si>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</si>
  <si>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</si>
  <si>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</si>
  <si>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</si>
  <si>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</si>
  <si>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</si>
  <si>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</si>
  <si>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</si>
  <si>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</si>
  <si>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</si>
  <si>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</si>
  <si>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</si>
  <si>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</si>
  <si>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</si>
  <si>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</si>
  <si>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</si>
  <si>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</si>
  <si>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</si>
  <si>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</si>
  <si>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</si>
  <si>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</si>
  <si>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</si>
  <si>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</si>
  <si>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</si>
  <si>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</si>
  <si>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</si>
  <si>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</si>
  <si>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</si>
  <si>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</si>
  <si>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</si>
  <si>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</si>
  <si>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</si>
  <si>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</si>
  <si>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</si>
  <si>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</si>
  <si>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</si>
  <si>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</si>
  <si>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</si>
  <si>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</si>
  <si>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</si>
  <si>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</si>
  <si>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</si>
  <si>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</si>
  <si>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</si>
  <si>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</si>
  <si>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</si>
  <si>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</si>
  <si>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</si>
  <si>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</si>
  <si>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</si>
  <si>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</si>
  <si>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</si>
  <si>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</si>
  <si>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</si>
  <si>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</si>
  <si>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</si>
  <si>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</si>
  <si>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</si>
  <si>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</si>
  <si>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</si>
  <si>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</si>
  <si>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</si>
  <si>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</si>
  <si>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</si>
  <si>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</si>
  <si>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</si>
  <si>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</si>
  <si>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</si>
  <si>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</si>
  <si>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</si>
  <si>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</si>
  <si>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</si>
  <si>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</si>
  <si>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</si>
  <si>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</si>
  <si>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</si>
  <si>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</si>
  <si>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</si>
  <si>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</si>
  <si>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</si>
  <si>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</si>
  <si>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</si>
  <si>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</si>
  <si>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</si>
  <si>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</si>
  <si>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</si>
  <si>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</si>
  <si>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</si>
  <si>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</si>
  <si>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</si>
  <si>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</si>
  <si>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</si>
  <si>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</si>
  <si>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</si>
  <si>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</si>
  <si>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</si>
  <si>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</si>
  <si>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</si>
  <si>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</si>
  <si>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</si>
  <si>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</si>
  <si>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</si>
  <si>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</si>
  <si>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</si>
  <si>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</si>
  <si>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</si>
  <si>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</si>
  <si>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</si>
  <si>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</si>
  <si>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</si>
  <si>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</si>
  <si>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</si>
  <si>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</si>
  <si>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</si>
  <si>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</si>
  <si>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</si>
  <si>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</si>
  <si>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</si>
  <si>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</si>
  <si>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</si>
  <si>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</si>
  <si>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</si>
  <si>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</si>
  <si>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</si>
  <si>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</si>
  <si>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</si>
  <si>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</si>
  <si>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</si>
  <si>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</si>
  <si>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</si>
  <si>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</si>
  <si>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</si>
  <si>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</si>
  <si>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</si>
  <si>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</si>
  <si>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</si>
  <si>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</si>
  <si>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</si>
  <si>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</si>
  <si>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</si>
  <si>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</si>
  <si>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</si>
  <si>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</si>
  <si>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</si>
  <si>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</si>
  <si>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</si>
  <si>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</si>
  <si>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</si>
  <si>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</si>
  <si>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</si>
  <si>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</si>
  <si>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</si>
  <si>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</si>
  <si>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</si>
  <si>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</si>
  <si>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</si>
  <si>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</si>
  <si>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</si>
  <si>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</si>
  <si>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</si>
  <si>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</si>
  <si>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</si>
  <si>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</si>
  <si>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</si>
  <si>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</si>
  <si>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</si>
  <si>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</si>
  <si>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</si>
  <si>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</si>
  <si>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</si>
  <si>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</si>
  <si>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</si>
  <si>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</si>
  <si>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</si>
  <si>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</si>
  <si>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</si>
  <si>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</si>
  <si>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</si>
  <si>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</si>
  <si>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</si>
  <si>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</si>
  <si>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</si>
  <si>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</si>
  <si>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</si>
  <si>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</si>
  <si>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</si>
  <si>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</si>
  <si>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</si>
  <si>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</si>
  <si>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</si>
  <si>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</si>
  <si>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</si>
  <si>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</si>
  <si>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</si>
  <si>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</si>
  <si>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</si>
  <si>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</si>
  <si>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</si>
  <si>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</si>
  <si>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</si>
  <si>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</si>
  <si>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</si>
  <si>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</si>
  <si>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</si>
  <si>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</si>
  <si>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</si>
  <si>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</si>
  <si>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</si>
  <si>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</si>
  <si>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</si>
  <si>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</si>
  <si>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</si>
  <si>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</si>
  <si>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</si>
  <si>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</si>
  <si>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</si>
  <si>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</si>
  <si>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</si>
  <si>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</si>
  <si>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</si>
  <si>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</si>
  <si>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</si>
  <si>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</si>
  <si>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</si>
  <si>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</si>
  <si>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</si>
  <si>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</si>
  <si>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</si>
  <si>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</si>
  <si>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</si>
  <si>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</si>
  <si>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</si>
  <si>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</si>
  <si>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</si>
  <si>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</si>
  <si>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</si>
  <si>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</si>
  <si>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</si>
  <si>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</si>
  <si>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</si>
  <si>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</si>
  <si>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</si>
  <si>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</si>
  <si>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</si>
  <si>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</si>
  <si>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</si>
  <si>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</si>
  <si>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</si>
  <si>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</si>
  <si>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</si>
  <si>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</si>
  <si>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</si>
  <si>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</si>
  <si>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</si>
  <si>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</si>
  <si>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</si>
  <si>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</si>
  <si>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</si>
  <si>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</si>
  <si>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</si>
  <si>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</si>
  <si>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</si>
  <si>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</si>
  <si>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</si>
  <si>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</si>
  <si>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</si>
  <si>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</si>
  <si>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</si>
  <si>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</si>
  <si>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</si>
  <si>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</si>
  <si>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</si>
  <si>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</si>
  <si>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</si>
  <si>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</si>
  <si>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</si>
  <si>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</si>
  <si>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</si>
  <si>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</si>
  <si>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</si>
  <si>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</si>
  <si>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</si>
  <si>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</si>
  <si>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</si>
  <si>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</si>
  <si>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</si>
  <si>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</si>
  <si>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</si>
  <si>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</si>
  <si>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</si>
  <si>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</si>
  <si>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</si>
  <si>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</si>
  <si>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</si>
  <si>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</si>
  <si>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</si>
  <si>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</si>
  <si>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</si>
  <si>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</si>
  <si>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</si>
  <si>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</si>
  <si>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</si>
  <si>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</si>
  <si>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</si>
  <si>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</si>
  <si>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</si>
  <si>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</si>
  <si>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</si>
  <si>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</si>
  <si>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</si>
  <si>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</si>
  <si>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</si>
  <si>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</si>
  <si>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</si>
  <si>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</si>
  <si>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</si>
  <si>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</si>
  <si>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</si>
  <si>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</si>
  <si>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</si>
  <si>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</si>
  <si>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</si>
  <si>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</si>
  <si>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</si>
  <si>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</si>
  <si>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</si>
  <si>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</si>
  <si>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</si>
  <si>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</si>
  <si>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</si>
  <si>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</si>
  <si>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</si>
  <si>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</si>
  <si>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</si>
  <si>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</si>
  <si>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</si>
  <si>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</si>
  <si>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</si>
  <si>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</si>
  <si>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</si>
  <si>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</si>
  <si>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</si>
  <si>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</si>
  <si>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</si>
  <si>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</si>
  <si>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</si>
  <si>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</si>
  <si>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</si>
  <si>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</si>
  <si>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</si>
  <si>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</si>
  <si>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</si>
  <si>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</si>
  <si>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</si>
  <si>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</si>
  <si>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</si>
  <si>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</si>
  <si>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</si>
  <si>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</si>
  <si>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</si>
  <si>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</si>
  <si>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</si>
  <si>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</si>
  <si>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</si>
  <si>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</si>
  <si>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</si>
  <si>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</si>
  <si>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</si>
  <si>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</si>
  <si>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</si>
  <si>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</si>
  <si>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</si>
  <si>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</si>
  <si>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</si>
  <si>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</si>
  <si>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</si>
  <si>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</si>
  <si>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</si>
  <si>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</si>
  <si>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</si>
  <si>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</si>
  <si>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</si>
  <si>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</si>
  <si>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</si>
  <si>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</si>
  <si>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</si>
  <si>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</si>
  <si>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</si>
  <si>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</si>
  <si>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</si>
  <si>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</si>
  <si>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</si>
  <si>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</si>
  <si>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</si>
  <si>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</si>
  <si>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</si>
  <si>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</si>
  <si>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</si>
  <si>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</si>
  <si>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</si>
  <si>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</si>
  <si>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</si>
  <si>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</si>
  <si>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</si>
  <si>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</si>
  <si>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</si>
  <si>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</si>
  <si>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</si>
  <si>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</si>
  <si>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</si>
  <si>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</si>
  <si>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</si>
  <si>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</si>
  <si>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</si>
  <si>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</si>
  <si>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</si>
  <si>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</si>
  <si>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</si>
  <si>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</si>
  <si>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</si>
  <si>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</si>
  <si>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</si>
  <si>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</si>
  <si>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</si>
  <si>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</si>
  <si>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</si>
  <si>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</si>
  <si>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</si>
  <si>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</si>
  <si>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</si>
  <si>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</si>
  <si>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</si>
  <si>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</si>
  <si>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</si>
  <si>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</si>
  <si>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</si>
  <si>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</si>
  <si>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</si>
  <si>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</si>
  <si>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</si>
  <si>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</si>
  <si>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</si>
  <si>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</si>
  <si>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</si>
  <si>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</si>
  <si>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</si>
  <si>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</si>
  <si>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</si>
  <si>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</si>
  <si>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</si>
  <si>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</si>
  <si>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</si>
  <si>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</si>
  <si>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</si>
  <si>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</si>
  <si>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</si>
  <si>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</si>
  <si>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</si>
  <si>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</si>
  <si>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</si>
  <si>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</si>
  <si>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</si>
  <si>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</si>
  <si>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</si>
  <si>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</si>
  <si>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</si>
  <si>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</si>
  <si>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</si>
  <si>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</si>
  <si>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</si>
  <si>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</si>
  <si>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</si>
  <si>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</si>
  <si>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</si>
  <si>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</si>
  <si>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</si>
  <si>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</si>
  <si>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</si>
  <si>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</si>
  <si>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</si>
  <si>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</si>
  <si>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</si>
  <si>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</si>
  <si>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</si>
  <si>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</si>
  <si>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</si>
  <si>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</si>
  <si>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</si>
  <si>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</si>
  <si>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</si>
  <si>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</si>
  <si>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</si>
  <si>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</si>
  <si>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</si>
  <si>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</si>
  <si>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</si>
  <si>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</si>
  <si>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</si>
  <si>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Longitudinal analysis of lipid changes in the sciatic nerve caused by overexpression of PMP22 in models of CMT1A (C22 – age)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</si>
  <si>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</si>
  <si>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</si>
  <si>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</si>
  <si>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</si>
  <si>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</si>
  <si>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</si>
  <si>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 – 12 weeks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</si>
  <si>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</si>
  <si>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</si>
  <si>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</si>
  <si>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</si>
  <si>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</si>
  <si>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</si>
  <si>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</si>
  <si>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</si>
  <si>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</si>
  <si>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</si>
  <si>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</si>
  <si>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 – 03 weeks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</si>
  <si>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</si>
  <si>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</si>
  <si>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</si>
  <si>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</si>
  <si>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</si>
  <si>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</si>
  <si>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</si>
  <si>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</si>
  <si>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</si>
  <si>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</si>
  <si>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 – 05 weeks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</si>
  <si>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</si>
  <si>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</si>
  <si>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</si>
  <si>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</si>
  <si>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</si>
  <si>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</si>
  <si>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</si>
  <si>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</si>
  <si>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 – 07 weeks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</si>
  <si>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</si>
  <si>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</si>
  <si>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</si>
  <si>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</si>
  <si>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</si>
  <si>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</si>
  <si>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</si>
  <si>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</si>
  <si>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</si>
  <si>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</si>
  <si>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 – 09 weeks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</si>
  <si>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</si>
  <si>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</si>
  <si>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</si>
  <si>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</si>
  <si>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</si>
  <si>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</si>
  <si>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</si>
  <si>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</si>
  <si>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</si>
  <si>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</si>
  <si>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</si>
  <si>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</si>
  <si>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</si>
  <si>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</si>
  <si>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</si>
  <si>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</si>
  <si>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</si>
  <si>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</si>
  <si>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</si>
  <si>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</si>
  <si>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</si>
  <si>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</si>
  <si>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</si>
  <si>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</si>
  <si>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</si>
  <si>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</si>
  <si>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</si>
  <si>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</si>
  <si>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</si>
  <si>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</si>
  <si>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</si>
  <si>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</si>
  <si>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</si>
  <si>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</si>
  <si>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</si>
  <si>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</si>
  <si>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</si>
  <si>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</si>
  <si>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</si>
  <si>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</si>
  <si>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</si>
  <si>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</si>
  <si>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</si>
  <si>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</si>
  <si>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</si>
  <si>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</si>
  <si>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</si>
  <si>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</si>
  <si>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</si>
  <si>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</si>
  <si>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</si>
  <si>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</si>
  <si>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</si>
  <si>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</si>
  <si>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</si>
  <si>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</si>
  <si>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</si>
  <si>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</si>
  <si>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</si>
  <si>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</si>
  <si>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</si>
  <si>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</si>
  <si>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</si>
  <si>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</si>
  <si>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</si>
  <si>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</si>
  <si>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</si>
  <si>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</si>
  <si>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</si>
  <si>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Longitudinal analysis of lipid changes in the sciatic nerve caused by overexpression of PMP22 in models of CMT1A (C22 - WT – age)</t>
  </si>
  <si>
    <t xml:space="preserve">NLA_092</t>
  </si>
  <si>
    <t xml:space="preserve">WT_C22-subgroup31</t>
  </si>
  <si>
    <t xml:space="preserve">NLA_2025_002_WT_C22-subgroup31</t>
  </si>
  <si>
    <t xml:space="preserve">C22 - WT – 03 weeks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</si>
  <si>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</si>
  <si>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</si>
  <si>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</si>
  <si>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</si>
  <si>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</si>
  <si>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</si>
  <si>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</si>
  <si>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</si>
  <si>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</si>
  <si>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</si>
  <si>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C22 - WT – 05 weeks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</si>
  <si>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</si>
  <si>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</si>
  <si>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</si>
  <si>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</si>
  <si>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</si>
  <si>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</si>
  <si>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</si>
  <si>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</si>
  <si>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C22 - WT – 07 weeks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</si>
  <si>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</si>
  <si>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</si>
  <si>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</si>
  <si>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</si>
  <si>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</si>
  <si>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</si>
  <si>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</si>
  <si>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</si>
  <si>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</si>
  <si>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</si>
  <si>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C22 - WT – 09 weeks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</si>
  <si>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</si>
  <si>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</si>
  <si>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</si>
  <si>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</si>
  <si>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</si>
  <si>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</si>
  <si>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</si>
  <si>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</si>
  <si>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WT_C22-subgroup121</t>
  </si>
  <si>
    <t xml:space="preserve">NLA_2025_002_WT_C22-subgroup121</t>
  </si>
  <si>
    <t xml:space="preserve">C22 - WT – 12 weeks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</si>
  <si>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</si>
  <si>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</si>
  <si>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</si>
  <si>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</si>
  <si>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</si>
  <si>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</si>
  <si>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</si>
  <si>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</si>
  <si>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Longitudinal analysis of lipid changes in the sciatic nerve caused by overexpression of PMP22 in models of CMT1A (C3 – age)</t>
  </si>
  <si>
    <t xml:space="preserve">NLA_093</t>
  </si>
  <si>
    <t xml:space="preserve">C3-subgroup121</t>
  </si>
  <si>
    <t xml:space="preserve">NLA_2025_002_C3-subgroup121</t>
  </si>
  <si>
    <t xml:space="preserve">C3 – 12 weeks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</si>
  <si>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</si>
  <si>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</si>
  <si>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</si>
  <si>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</si>
  <si>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</si>
  <si>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</si>
  <si>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</si>
  <si>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</si>
  <si>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</si>
  <si>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</si>
  <si>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 – 03 weeks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</si>
  <si>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</si>
  <si>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</si>
  <si>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</si>
  <si>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</si>
  <si>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</si>
  <si>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</si>
  <si>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</si>
  <si>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</si>
  <si>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</si>
  <si>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</si>
  <si>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 – 05 weeks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</si>
  <si>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</si>
  <si>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</si>
  <si>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</si>
  <si>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</si>
  <si>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</si>
  <si>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</si>
  <si>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</si>
  <si>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</si>
  <si>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</si>
  <si>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</si>
  <si>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 – 07 weeks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</si>
  <si>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</si>
  <si>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</si>
  <si>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</si>
  <si>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</si>
  <si>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</si>
  <si>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</si>
  <si>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</si>
  <si>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</si>
  <si>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</si>
  <si>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</si>
  <si>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 – 09 weeks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</si>
  <si>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</si>
  <si>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</si>
  <si>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</si>
  <si>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</si>
  <si>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</si>
  <si>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</si>
  <si>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</si>
  <si>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</si>
  <si>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Longitudinal analysis of lipid changes in the sciatic nerve caused by overexpression of PMP22 in models of CMT1A (C3 - WT – age)</t>
  </si>
  <si>
    <t xml:space="preserve">NLA_094</t>
  </si>
  <si>
    <t xml:space="preserve">WT_C3-subgroup121</t>
  </si>
  <si>
    <t xml:space="preserve">NLA_2025_002_WT_C3-subgroup121</t>
  </si>
  <si>
    <t xml:space="preserve">C3 - WT – 12 weeks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</si>
  <si>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</si>
  <si>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</si>
  <si>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</si>
  <si>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</si>
  <si>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</si>
  <si>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</si>
  <si>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</si>
  <si>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</si>
  <si>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</si>
  <si>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</si>
  <si>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C3 - WT – 03 weeks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</si>
  <si>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</si>
  <si>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</si>
  <si>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</si>
  <si>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</si>
  <si>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</si>
  <si>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</si>
  <si>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</si>
  <si>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</si>
  <si>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</si>
  <si>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</si>
  <si>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C3 - WT – 05 weeks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</si>
  <si>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</si>
  <si>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</si>
  <si>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</si>
  <si>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</si>
  <si>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</si>
  <si>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</si>
  <si>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</si>
  <si>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</si>
  <si>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</si>
  <si>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</si>
  <si>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C3 - WT – 07 weeks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</si>
  <si>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</si>
  <si>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</si>
  <si>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</si>
  <si>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</si>
  <si>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</si>
  <si>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</si>
  <si>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</si>
  <si>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</si>
  <si>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</si>
  <si>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</si>
  <si>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C3 - WT – 09 weeks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</si>
  <si>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</si>
  <si>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</si>
  <si>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</si>
  <si>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</si>
  <si>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</si>
  <si>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</si>
  <si>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</si>
  <si>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</si>
  <si>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Longitudinal analysis of lipid changes in the sciatic nerve caused by overexpression of PMP22 in models of CMT1A (C22 - age (no TG))</t>
  </si>
  <si>
    <t xml:space="preserve">NLA_095</t>
  </si>
  <si>
    <t xml:space="preserve">NLA_2025_003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</si>
  <si>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</si>
  <si>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</si>
  <si>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</si>
  <si>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</si>
  <si>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</si>
  <si>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</si>
  <si>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</si>
  <si>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</si>
  <si>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</si>
  <si>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</si>
  <si>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</si>
  <si>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</si>
  <si>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</si>
  <si>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</si>
  <si>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</si>
  <si>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</si>
  <si>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</si>
  <si>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</si>
  <si>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</si>
  <si>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</si>
  <si>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</si>
  <si>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</si>
  <si>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</si>
  <si>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</si>
  <si>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</si>
  <si>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</si>
  <si>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</si>
  <si>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</si>
  <si>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</si>
  <si>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</si>
  <si>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</si>
  <si>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</si>
  <si>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</si>
  <si>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</si>
  <si>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</si>
  <si>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</si>
  <si>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</si>
  <si>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</si>
  <si>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</si>
  <si>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</si>
  <si>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</si>
  <si>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</si>
  <si>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</si>
  <si>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</si>
  <si>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</si>
  <si>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</si>
  <si>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</si>
  <si>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</si>
  <si>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</si>
  <si>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</si>
  <si>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</si>
  <si>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</si>
  <si>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</si>
  <si>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</si>
  <si>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Longitudinal analysis of lipid changes in the sciatic nerve caused by overexpression of PMP22 in models of CMT1A (C22 - WT - age (no TG))</t>
  </si>
  <si>
    <t xml:space="preserve">NLA_096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</si>
  <si>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</si>
  <si>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</si>
  <si>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</si>
  <si>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</si>
  <si>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</si>
  <si>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</si>
  <si>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</si>
  <si>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</si>
  <si>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</si>
  <si>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</si>
  <si>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</si>
  <si>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</si>
  <si>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</si>
  <si>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</si>
  <si>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</si>
  <si>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</si>
  <si>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</si>
  <si>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</si>
  <si>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</si>
  <si>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</si>
  <si>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</si>
  <si>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</si>
  <si>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</si>
  <si>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</si>
  <si>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Longitudinal analysis of lipid changes in the sciatic nerve caused by overexpression of PMP22 in models of CMT1A (C3 - age (no TG))</t>
  </si>
  <si>
    <t xml:space="preserve">NLA_097</t>
  </si>
  <si>
    <t xml:space="preserve">Longitudinal analysis of lipid changes in the sciatic nerve caused by overexpression of PMP22 in models of CMT1A (C3 - WT - age (no TG))</t>
  </si>
  <si>
    <t xml:space="preserve">NLA_098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</si>
  <si>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</si>
  <si>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</si>
  <si>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</si>
  <si>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</si>
  <si>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</si>
  <si>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</si>
  <si>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</si>
  <si>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</si>
  <si>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</si>
  <si>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</si>
  <si>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</si>
  <si>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</si>
  <si>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</si>
  <si>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</si>
  <si>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</si>
  <si>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</si>
  <si>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</si>
  <si>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</si>
  <si>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</si>
  <si>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</si>
  <si>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</si>
  <si>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</si>
  <si>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</si>
  <si>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</si>
  <si>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</si>
  <si>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Longitudinal analysis of lipid changes in the sciatic nerve caused by overexpression of PMP22 in models of CMT1A (C22)</t>
  </si>
  <si>
    <t xml:space="preserve">NLA_099</t>
  </si>
  <si>
    <t xml:space="preserve">C22</t>
  </si>
  <si>
    <t xml:space="preserve">C22 – WT</t>
  </si>
  <si>
    <t xml:space="preserve">Longitudinal analysis of lipid changes in the sciatic nerve caused by overexpression of PMP22 in models of CMT1A (C3)</t>
  </si>
  <si>
    <t xml:space="preserve">NLA_100</t>
  </si>
  <si>
    <t xml:space="preserve">C3</t>
  </si>
  <si>
    <t xml:space="preserve">C3 - WT</t>
  </si>
  <si>
    <t xml:space="preserve">Longitudinal analysis of lipid changes in the sciatic nerve caused by overexpression of PMP22 in models of CMT1A (C22) (no TG)</t>
  </si>
  <si>
    <t xml:space="preserve">NLA_101</t>
  </si>
  <si>
    <t xml:space="preserve">Longitudinal analysis of lipid changes in the sciatic nerve caused by overexpression of PMP22 in models of CMT1A (C3) (no TG)</t>
  </si>
  <si>
    <t xml:space="preserve">NLA_102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</si>
  <si>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</si>
  <si>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</si>
  <si>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</si>
  <si>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</si>
  <si>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</si>
  <si>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</si>
  <si>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</si>
  <si>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</si>
  <si>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</si>
  <si>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</si>
  <si>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</si>
  <si>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</si>
  <si>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</si>
  <si>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</si>
  <si>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</si>
  <si>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</si>
  <si>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</si>
  <si>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</si>
  <si>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</si>
  <si>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</si>
  <si>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</si>
  <si>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</si>
  <si>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</si>
  <si>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</si>
  <si>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</si>
  <si>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Longitudinal analysis of lipid changes in the sciatic nerve caused by overexpression of PMP22 in models of CMT1A (C22 - 3 weeks)</t>
  </si>
  <si>
    <t xml:space="preserve">NLA_103</t>
  </si>
  <si>
    <t xml:space="preserve">Longitudinal analysis of lipid changes in the sciatic nerve caused by overexpression of PMP22 in models of CMT1A (C22 – 5 weeks)</t>
  </si>
  <si>
    <t xml:space="preserve">NLA_104</t>
  </si>
  <si>
    <t xml:space="preserve">Longitudinal analysis of lipid changes in the sciatic nerve caused by overexpression of PMP22 in models of CMT1A (C22 – 7 weeks)</t>
  </si>
  <si>
    <t xml:space="preserve">NLA_105</t>
  </si>
  <si>
    <t xml:space="preserve">Longitudinal analysis of lipid changes in the sciatic nerve caused by overexpression of PMP22 in models of CMT1A (C22 – 9 weeks)</t>
  </si>
  <si>
    <t xml:space="preserve">NLA_106</t>
  </si>
  <si>
    <t xml:space="preserve">Longitudinal analysis of lipid changes in the sciatic nerve caused by overexpression of PMP22 in models of CMT1A (C22 – 12 weeks)</t>
  </si>
  <si>
    <t xml:space="preserve">NLA_107</t>
  </si>
  <si>
    <t xml:space="preserve">Longitudinal analysis of lipid changes in the sciatic nerve caused by overexpression of PMP22 in models of CMT1A (C22 - 3 weeks) (no TG)</t>
  </si>
  <si>
    <t xml:space="preserve">NLA_108</t>
  </si>
  <si>
    <t xml:space="preserve">Longitudinal analysis of lipid changes in the sciatic nerve caused by overexpression of PMP22 in models of CMT1A (C22 – 5 weeks) (no TG)</t>
  </si>
  <si>
    <t xml:space="preserve">NLA_109</t>
  </si>
  <si>
    <t xml:space="preserve">Longitudinal analysis of lipid changes in the sciatic nerve caused by overexpression of PMP22 in models of CMT1A (C22 – 7 weeks) (no TG)</t>
  </si>
  <si>
    <t xml:space="preserve">NLA_110</t>
  </si>
  <si>
    <t xml:space="preserve">Longitudinal analysis of lipid changes in the sciatic nerve caused by overexpression of PMP22 in models of CMT1A (C22 – 9 weeks) (no TG)</t>
  </si>
  <si>
    <t xml:space="preserve">NLA_111</t>
  </si>
  <si>
    <t xml:space="preserve">Longitudinal analysis of lipid changes in the sciatic nerve caused by overexpression of PMP22 in models of CMT1A (C22 – 12 weeks) (no TG)</t>
  </si>
  <si>
    <t xml:space="preserve">NLA_112</t>
  </si>
  <si>
    <t xml:space="preserve">Longitudinal analysis of lipid changes in the sciatic nerve caused by overexpression of PMP22 in models of CMT1A (C3 – 3 weeks)</t>
  </si>
  <si>
    <t xml:space="preserve">NLA_113</t>
  </si>
  <si>
    <t xml:space="preserve">Longitudinal analysis of lipid changes in the sciatic nerve caused by overexpression of PMP22 in models of CMT1A (C3 – 5 weeks)</t>
  </si>
  <si>
    <t xml:space="preserve">NLA_114</t>
  </si>
  <si>
    <t xml:space="preserve">Longitudinal analysis of lipid changes in the sciatic nerve caused by overexpression of PMP22 in models of CMT1A (C3 – 7 weeks)</t>
  </si>
  <si>
    <t xml:space="preserve">NLA_115</t>
  </si>
  <si>
    <t xml:space="preserve">Longitudinal analysis of lipid changes in the sciatic nerve caused by overexpression of PMP22 in models of CMT1A (C3 – 9 weeks)</t>
  </si>
  <si>
    <t xml:space="preserve">NLA_116</t>
  </si>
  <si>
    <t xml:space="preserve">Longitudinal analysis of lipid changes in the sciatic nerve caused by overexpression of PMP22 in models of CMT1A (C3 – 12 weeks)</t>
  </si>
  <si>
    <t xml:space="preserve">NLA_117</t>
  </si>
  <si>
    <t xml:space="preserve">Longitudinal analysis of lipid changes in the sciatic nerve caused by overexpression of PMP22 in models of CMT1A (C3 – 3 weeks) (no TG)</t>
  </si>
  <si>
    <t xml:space="preserve">NLA_118</t>
  </si>
  <si>
    <t xml:space="preserve">Longitudinal analysis of lipid changes in the sciatic nerve caused by overexpression of PMP22 in models of CMT1A (C3 – 5 weeks) (no TG)</t>
  </si>
  <si>
    <t xml:space="preserve">NLA_119</t>
  </si>
  <si>
    <t xml:space="preserve">Longitudinal analysis of lipid changes in the sciatic nerve caused by overexpression of PMP22 in models of CMT1A (C3 – 7 weeks) (no TG)</t>
  </si>
  <si>
    <t xml:space="preserve">NLA_120</t>
  </si>
  <si>
    <t xml:space="preserve">Longitudinal analysis of lipid changes in the sciatic nerve caused by overexpression of PMP22 in models of CMT1A (C3 – 9 weeks) (no TG)</t>
  </si>
  <si>
    <t xml:space="preserve">NLA_121</t>
  </si>
  <si>
    <t xml:space="preserve">Longitudinal analysis of lipid changes in the sciatic nerve caused by overexpression of PMP22 in models of CMT1A (C3 – 12 weeks) (no TG)</t>
  </si>
  <si>
    <t xml:space="preserve">NLA_122</t>
  </si>
  <si>
    <t xml:space="preserve">Mouse hippocampus MAPT P301S (PS19) vs WT (Maroto Juanes)</t>
  </si>
  <si>
    <t xml:space="preserve">10.1016/j.jlr.2025.100952</t>
  </si>
  <si>
    <t xml:space="preserve">NLA_179</t>
  </si>
  <si>
    <t xml:space="preserve">NLA_2024_025</t>
  </si>
  <si>
    <t xml:space="preserve">2024/06/04</t>
  </si>
  <si>
    <t xml:space="preserve">NB_2024_020</t>
  </si>
  <si>
    <t xml:space="preserve">2</t>
  </si>
  <si>
    <t xml:space="preserve">NLA_2024_025_2</t>
  </si>
  <si>
    <t xml:space="preserve">Hippocampus</t>
  </si>
  <si>
    <t xml:space="preserve">4</t>
  </si>
  <si>
    <t xml:space="preserve">NLA_2024_025_4</t>
  </si>
  <si>
    <t xml:space="preserve">MAPT P301S (PS19)</t>
  </si>
  <si>
    <t xml:space="preserve">5</t>
  </si>
  <si>
    <t xml:space="preserve">NLA_2024_025_5</t>
  </si>
  <si>
    <t xml:space="preserve">8</t>
  </si>
  <si>
    <t xml:space="preserve">NLA_2024_025_8</t>
  </si>
  <si>
    <t xml:space="preserve">9</t>
  </si>
  <si>
    <t xml:space="preserve">NLA_2024_025_9</t>
  </si>
  <si>
    <t xml:space="preserve">NLA_2024_025_11</t>
  </si>
  <si>
    <t xml:space="preserve">NLA_2024_025_14</t>
  </si>
  <si>
    <t xml:space="preserve">NLA_2024_025_15</t>
  </si>
  <si>
    <t xml:space="preserve">NLA_2024_025_18</t>
  </si>
  <si>
    <t xml:space="preserve">19</t>
  </si>
  <si>
    <t xml:space="preserve">NLA_2024_025_19</t>
  </si>
  <si>
    <t xml:space="preserve">NLA_2024_025_20</t>
  </si>
  <si>
    <t xml:space="preserve">NLA_2024_025_23</t>
  </si>
  <si>
    <t xml:space="preserve">NLA_2024_025_24</t>
  </si>
  <si>
    <t xml:space="preserve">NLA_2024_025_27</t>
  </si>
  <si>
    <t xml:space="preserve">NLA_2024_025_28</t>
  </si>
  <si>
    <t xml:space="preserve">NLA_2024_025_31</t>
  </si>
  <si>
    <t xml:space="preserve">NLA_2024_025_35</t>
  </si>
  <si>
    <t xml:space="preserve">NLA_2024_025_36</t>
  </si>
  <si>
    <t xml:space="preserve">NLA_2024_025_41</t>
  </si>
  <si>
    <t xml:space="preserve">NLA_2024_025_42</t>
  </si>
  <si>
    <t xml:space="preserve">NLA_2024_025_43</t>
  </si>
  <si>
    <t xml:space="preserve">NLA_2024_025_47</t>
  </si>
  <si>
    <t xml:space="preserve">49</t>
  </si>
  <si>
    <t xml:space="preserve">NLA_2024_025_49</t>
  </si>
  <si>
    <t xml:space="preserve">51</t>
  </si>
  <si>
    <t xml:space="preserve">NLA_2024_025_51</t>
  </si>
  <si>
    <t xml:space="preserve">53</t>
  </si>
  <si>
    <t xml:space="preserve">NLA_2024_025_53</t>
  </si>
  <si>
    <t xml:space="preserve">NLA_2024_025_Blank_1</t>
  </si>
  <si>
    <t xml:space="preserve">NLA_2024_025_Blank_2</t>
  </si>
  <si>
    <t xml:space="preserve">NLA_2024_025_Blank_3</t>
  </si>
  <si>
    <t xml:space="preserve">NLA_2024_025_Blank_4</t>
  </si>
  <si>
    <t xml:space="preserve">NLA_2024_025_Blank_5</t>
  </si>
  <si>
    <t xml:space="preserve">Blank5</t>
  </si>
  <si>
    <t xml:space="preserve">Blank_6</t>
  </si>
  <si>
    <t xml:space="preserve">NLA_2024_025_Blank_6</t>
  </si>
  <si>
    <t xml:space="preserve">Blank6</t>
  </si>
  <si>
    <t xml:space="preserve">NLA_2024_025_PS_1</t>
  </si>
  <si>
    <t xml:space="preserve">Pool1</t>
  </si>
  <si>
    <t xml:space="preserve">Pooled sample Brain</t>
  </si>
  <si>
    <t xml:space="preserve">NLA_2024_025_PS_2</t>
  </si>
  <si>
    <t xml:space="preserve">Pool2</t>
  </si>
  <si>
    <t xml:space="preserve">NLA_2024_025_PS_3</t>
  </si>
  <si>
    <t xml:space="preserve">Pool3</t>
  </si>
  <si>
    <t xml:space="preserve">NLA_2024_025_PS_4</t>
  </si>
  <si>
    <t xml:space="preserve">Pool4</t>
  </si>
  <si>
    <t xml:space="preserve">PS_5</t>
  </si>
  <si>
    <t xml:space="preserve">NLA_2024_025_PS_5</t>
  </si>
  <si>
    <t xml:space="preserve">Pool5</t>
  </si>
  <si>
    <t xml:space="preserve">PS_6</t>
  </si>
  <si>
    <t xml:space="preserve">NLA_2024_025_PS_6</t>
  </si>
  <si>
    <t xml:space="preserve">Pool6</t>
  </si>
  <si>
    <t xml:space="preserve">NLA_2024_025_QC_1</t>
  </si>
  <si>
    <t xml:space="preserve">QC1</t>
  </si>
  <si>
    <t xml:space="preserve">NLA_2024_025_QC_2</t>
  </si>
  <si>
    <t xml:space="preserve">QC2</t>
  </si>
  <si>
    <t xml:space="preserve">NLA_2024_025_QC_3</t>
  </si>
  <si>
    <t xml:space="preserve">QC3</t>
  </si>
  <si>
    <t xml:space="preserve">NLA_2024_025_QC_4</t>
  </si>
  <si>
    <t xml:space="preserve">QC4</t>
  </si>
  <si>
    <t xml:space="preserve">NLA_2024_025_QC_5</t>
  </si>
  <si>
    <t xml:space="preserve">QC5</t>
  </si>
  <si>
    <t xml:space="preserve">QC_6</t>
  </si>
  <si>
    <t xml:space="preserve">NLA_2024_025_QC_6</t>
  </si>
  <si>
    <t xml:space="preserve">QC6</t>
  </si>
  <si>
    <t xml:space="preserve">Mouse cortex MAPT P301S (PS19) vs WT (Maroto Juanes)</t>
  </si>
  <si>
    <t xml:space="preserve">NLA_180</t>
  </si>
  <si>
    <t xml:space="preserve">NLA_2023_023</t>
  </si>
  <si>
    <t xml:space="preserve">2023/04/21</t>
  </si>
  <si>
    <t xml:space="preserve">NB_2023_022_2</t>
  </si>
  <si>
    <t xml:space="preserve">PH26929</t>
  </si>
  <si>
    <t xml:space="preserve">NLA_2023_023_PH26929</t>
  </si>
  <si>
    <t xml:space="preserve">PH26931</t>
  </si>
  <si>
    <t xml:space="preserve">NLA_2023_023_PH26931</t>
  </si>
  <si>
    <t xml:space="preserve">PH26937</t>
  </si>
  <si>
    <t xml:space="preserve">NLA_2023_023_PH26937</t>
  </si>
  <si>
    <t xml:space="preserve">PH26925</t>
  </si>
  <si>
    <t xml:space="preserve">NLA_2023_023_PH26925</t>
  </si>
  <si>
    <t xml:space="preserve">PH26916</t>
  </si>
  <si>
    <t xml:space="preserve">NLA_2023_023_PH26916</t>
  </si>
  <si>
    <t xml:space="preserve">PH26895</t>
  </si>
  <si>
    <t xml:space="preserve">NLA_2023_023_PH26895</t>
  </si>
  <si>
    <t xml:space="preserve">PH26901</t>
  </si>
  <si>
    <t xml:space="preserve">NLA_2023_023_PH26901</t>
  </si>
  <si>
    <t xml:space="preserve">PH26928</t>
  </si>
  <si>
    <t xml:space="preserve">NLA_2023_023_PH26928</t>
  </si>
  <si>
    <t xml:space="preserve">PH26941</t>
  </si>
  <si>
    <t xml:space="preserve">NLA_2023_023_PH26941</t>
  </si>
  <si>
    <t xml:space="preserve">PH26930</t>
  </si>
  <si>
    <t xml:space="preserve">NLA_2023_023_PH26930</t>
  </si>
  <si>
    <t xml:space="preserve">NLA_2023_023_Blank_1</t>
  </si>
  <si>
    <t xml:space="preserve">NLA_2023_023_Blank_2</t>
  </si>
  <si>
    <t xml:space="preserve">NLA_2023_023_Blank_3</t>
  </si>
  <si>
    <t xml:space="preserve">QCP_1</t>
  </si>
  <si>
    <t xml:space="preserve">NLA_2023_023_QCP_1</t>
  </si>
  <si>
    <t xml:space="preserve">QCP_2</t>
  </si>
  <si>
    <t xml:space="preserve">NLA_2023_023_QCP_2</t>
  </si>
  <si>
    <t xml:space="preserve">QCP_3</t>
  </si>
  <si>
    <t xml:space="preserve">NLA_2023_023_QCP_3</t>
  </si>
  <si>
    <t xml:space="preserve">NLA_2023_023_PS_1</t>
  </si>
  <si>
    <t xml:space="preserve">Pooled Sample</t>
  </si>
  <si>
    <t xml:space="preserve">NLA_2023_023_PS_2</t>
  </si>
  <si>
    <t xml:space="preserve">NLA_2023_023_PS_3</t>
  </si>
  <si>
    <t xml:space="preserve">NLA_2023_022</t>
  </si>
  <si>
    <t xml:space="preserve">NB_2023_022_1</t>
  </si>
  <si>
    <t xml:space="preserve">PH26894</t>
  </si>
  <si>
    <t xml:space="preserve">NLA_2023_022_PH26894</t>
  </si>
  <si>
    <t xml:space="preserve">PH26904</t>
  </si>
  <si>
    <t xml:space="preserve">NLA_2023_022_PH26904</t>
  </si>
  <si>
    <t xml:space="preserve">PH26912</t>
  </si>
  <si>
    <t xml:space="preserve">NLA_2023_022_PH26912</t>
  </si>
  <si>
    <t xml:space="preserve">PH26922</t>
  </si>
  <si>
    <t xml:space="preserve">NLA_2023_022_PH26922</t>
  </si>
  <si>
    <t xml:space="preserve">PH26936</t>
  </si>
  <si>
    <t xml:space="preserve">NLA_2023_022_PH26936</t>
  </si>
  <si>
    <t xml:space="preserve">PH26940</t>
  </si>
  <si>
    <t xml:space="preserve">NLA_2023_022_PH26940</t>
  </si>
  <si>
    <t xml:space="preserve">PH26900</t>
  </si>
  <si>
    <t xml:space="preserve">NLA_2023_022_PH26900</t>
  </si>
  <si>
    <t xml:space="preserve">PH26924</t>
  </si>
  <si>
    <t xml:space="preserve">NLA_2023_022_PH26924</t>
  </si>
  <si>
    <t xml:space="preserve">PH26950</t>
  </si>
  <si>
    <t xml:space="preserve">NLA_2023_022_PH26950</t>
  </si>
  <si>
    <t xml:space="preserve">PH26906</t>
  </si>
  <si>
    <t xml:space="preserve">NLA_2023_022_PH26906</t>
  </si>
  <si>
    <t xml:space="preserve">PH26913</t>
  </si>
  <si>
    <t xml:space="preserve">NLA_2023_022_PH26913</t>
  </si>
  <si>
    <t xml:space="preserve">PH26951</t>
  </si>
  <si>
    <t xml:space="preserve">NLA_2023_022_PH26951</t>
  </si>
  <si>
    <t xml:space="preserve">PH26947</t>
  </si>
  <si>
    <t xml:space="preserve">NLA_2023_022_PH26947</t>
  </si>
  <si>
    <t xml:space="preserve">PH26923</t>
  </si>
  <si>
    <t xml:space="preserve">NLA_2023_022_PH26923</t>
  </si>
  <si>
    <t xml:space="preserve">PH26949</t>
  </si>
  <si>
    <t xml:space="preserve">NLA_2023_022_PH26949</t>
  </si>
  <si>
    <t xml:space="preserve">NLA_2023_022_Blank_1</t>
  </si>
  <si>
    <t xml:space="preserve">NLA_2023_022_Blank_2</t>
  </si>
  <si>
    <t xml:space="preserve">NLA_2023_022_Blank_3</t>
  </si>
  <si>
    <t xml:space="preserve">NLA_2023_022_Blank_4</t>
  </si>
  <si>
    <t xml:space="preserve">NLA_2023_022_QCP_1</t>
  </si>
  <si>
    <t xml:space="preserve">NLA_2023_022_QCP_2</t>
  </si>
  <si>
    <t xml:space="preserve">NLA_2023_022_QCP_3</t>
  </si>
  <si>
    <t xml:space="preserve">QCP_4</t>
  </si>
  <si>
    <t xml:space="preserve">NLA_2023_022_QCP_4</t>
  </si>
  <si>
    <t xml:space="preserve">NLA_2023_022_PS_1</t>
  </si>
  <si>
    <t xml:space="preserve">NLA_2023_022_PS_2</t>
  </si>
  <si>
    <t xml:space="preserve">NLA_2023_022_PS_3</t>
  </si>
  <si>
    <t xml:space="preserve">NLA_2023_022_PS_4</t>
  </si>
  <si>
    <t xml:space="preserve">Mouse WT cortex vs hippocampus (Maroto Juanes)</t>
  </si>
  <si>
    <t xml:space="preserve">NLA_181</t>
  </si>
  <si>
    <t xml:space="preserve">Pooled Sample Brain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</si>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</sst>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2" ySplit="1" topLeftCell="C3741" activePane="bottomRight" state="frozen"/>
      <selection pane="topLeft" activeCell="A1" activeCellId="0" sqref="A1"/>
      <selection pane="topRight" activeCell="C1" activeCellId="0" sqref="C1"/>
      <selection pane="bottomLeft" activeCell="A3741" activeCellId="0" sqref="A3741"/>
      <selection pane="bottomRight" activeCell="A3764" activeCellId="0" sqref="A3764"/>
    </sheetView>
  </sheetViews>
  <sheetFormatPr defaultColWidth="10.390625" defaultRowHeight="13.8" zeroHeight="false" outlineLevelRow="0" outlineLevelCol="0"/>
  <cols>
    <col collapsed="false" customWidth="true" hidden="false" outlineLevel="0" max="1" min="1" style="1" width="119.47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20.78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1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 t="s">
        <v>5</v>
      </c>
      <c r="G1" s="5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8" t="s">
        <v>11</v>
      </c>
      <c r="M1" s="9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0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 customFormat="false" ht="15" hidden="false" customHeight="false" outlineLevel="0" collapsed="false">
      <c r="A2" s="3" t="s">
        <v>32</v>
      </c>
      <c r="B2" s="4"/>
      <c r="C2" s="3" t="s">
        <v>33</v>
      </c>
      <c r="D2" s="5" t="s">
        <v>14</v>
      </c>
      <c r="E2" s="5" t="s">
        <v>34</v>
      </c>
      <c r="F2" s="6" t="s">
        <v>35</v>
      </c>
      <c r="G2" s="5" t="s">
        <v>36</v>
      </c>
      <c r="H2" s="7" t="s">
        <v>37</v>
      </c>
      <c r="I2" s="5" t="str">
        <f aca="false">CONCATENATE(E2, "_",H2)</f>
        <v>NLA_2023_001_009</v>
      </c>
      <c r="J2" s="5" t="s">
        <v>38</v>
      </c>
      <c r="K2" s="5" t="s">
        <v>39</v>
      </c>
      <c r="L2" s="11" t="n">
        <v>264.1</v>
      </c>
      <c r="M2" s="6" t="s">
        <v>40</v>
      </c>
      <c r="N2" s="5" t="s">
        <v>41</v>
      </c>
      <c r="O2" s="12" t="s">
        <v>42</v>
      </c>
      <c r="P2" s="12" t="s">
        <v>43</v>
      </c>
      <c r="Q2" s="12" t="s">
        <v>43</v>
      </c>
      <c r="R2" s="5" t="s">
        <v>44</v>
      </c>
      <c r="S2" s="12" t="s">
        <v>45</v>
      </c>
      <c r="T2" s="5" t="s">
        <v>46</v>
      </c>
      <c r="U2" s="5" t="n">
        <v>1000</v>
      </c>
      <c r="V2" s="1" t="n">
        <v>1</v>
      </c>
      <c r="W2" s="5"/>
      <c r="X2" s="8" t="s">
        <v>47</v>
      </c>
      <c r="Y2" s="8" t="n">
        <v>5500</v>
      </c>
      <c r="Z2" s="8" t="s">
        <v>48</v>
      </c>
      <c r="AA2" s="8" t="s">
        <v>49</v>
      </c>
      <c r="AB2" s="13" t="str">
        <f aca="true" t="array" ref="AB2:AB2">LEFT(AA2,LOOKUP(2^15,FIND(".",AA2,ROW(INDIRECT("1:"&amp;LEN(AA2)))))-1)</f>
        <v>NB_2023_002 - 12012023 - 1</v>
      </c>
      <c r="AC2" s="8" t="s">
        <v>50</v>
      </c>
      <c r="AD2" s="13" t="str">
        <f aca="true" t="array" ref="AD2:AD2">LEFT(AC2,LOOKUP(2^15,FIND(".",AC2,ROW(INDIRECT("1:"&amp;LEN(AC2)))))-1)</f>
        <v>NB_2023_002 - 12012023 - 2</v>
      </c>
      <c r="AE2" s="5" t="str">
        <f aca="false">CONCATENATE(AB2, "-",H2, ".mzML")</f>
        <v>NB_2023_002 - 12012023 - 1-009.mzML</v>
      </c>
      <c r="AF2" s="5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3" t="s">
        <v>32</v>
      </c>
      <c r="B3" s="4"/>
      <c r="C3" s="3" t="s">
        <v>33</v>
      </c>
      <c r="D3" s="5" t="s">
        <v>14</v>
      </c>
      <c r="E3" s="5" t="s">
        <v>34</v>
      </c>
      <c r="F3" s="6" t="s">
        <v>35</v>
      </c>
      <c r="G3" s="5" t="s">
        <v>36</v>
      </c>
      <c r="H3" s="7" t="s">
        <v>51</v>
      </c>
      <c r="I3" s="5" t="str">
        <f aca="false">CONCATENATE(E3, "_",H3)</f>
        <v>NLA_2023_001_012</v>
      </c>
      <c r="J3" s="5" t="s">
        <v>52</v>
      </c>
      <c r="K3" s="5" t="s">
        <v>53</v>
      </c>
      <c r="L3" s="11" t="n">
        <v>273.7</v>
      </c>
      <c r="M3" s="6" t="s">
        <v>40</v>
      </c>
      <c r="N3" s="5" t="s">
        <v>41</v>
      </c>
      <c r="O3" s="12" t="s">
        <v>54</v>
      </c>
      <c r="P3" s="12" t="s">
        <v>43</v>
      </c>
      <c r="Q3" s="12" t="s">
        <v>55</v>
      </c>
      <c r="R3" s="5" t="s">
        <v>44</v>
      </c>
      <c r="S3" s="12" t="s">
        <v>45</v>
      </c>
      <c r="T3" s="5" t="s">
        <v>46</v>
      </c>
      <c r="U3" s="5" t="n">
        <v>1000</v>
      </c>
      <c r="V3" s="1" t="n">
        <v>1</v>
      </c>
      <c r="W3" s="5"/>
      <c r="X3" s="8" t="s">
        <v>47</v>
      </c>
      <c r="Y3" s="8" t="n">
        <v>5500</v>
      </c>
      <c r="Z3" s="8" t="s">
        <v>48</v>
      </c>
      <c r="AA3" s="8" t="s">
        <v>49</v>
      </c>
      <c r="AB3" s="13" t="str">
        <f aca="true" t="array" ref="AB3:AB3">LEFT(AA3,LOOKUP(2^15,FIND(".",AA3,ROW(INDIRECT("1:"&amp;LEN(AA3)))))-1)</f>
        <v>NB_2023_002 - 12012023 - 1</v>
      </c>
      <c r="AC3" s="8" t="s">
        <v>50</v>
      </c>
      <c r="AD3" s="13" t="str">
        <f aca="true" t="array" ref="AD3:AD3">LEFT(AC3,LOOKUP(2^15,FIND(".",AC3,ROW(INDIRECT("1:"&amp;LEN(AC3)))))-1)</f>
        <v>NB_2023_002 - 12012023 - 2</v>
      </c>
      <c r="AE3" s="5" t="str">
        <f aca="false">CONCATENATE(AB3, "-",H3, ".mzML")</f>
        <v>NB_2023_002 - 12012023 - 1-012.mzML</v>
      </c>
      <c r="AF3" s="5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3" t="s">
        <v>32</v>
      </c>
      <c r="B4" s="4"/>
      <c r="C4" s="3" t="s">
        <v>33</v>
      </c>
      <c r="D4" s="5" t="s">
        <v>14</v>
      </c>
      <c r="E4" s="5" t="s">
        <v>34</v>
      </c>
      <c r="F4" s="6" t="s">
        <v>35</v>
      </c>
      <c r="G4" s="5" t="s">
        <v>36</v>
      </c>
      <c r="H4" s="7" t="s">
        <v>56</v>
      </c>
      <c r="I4" s="5" t="str">
        <f aca="false">CONCATENATE(E4, "_",H4)</f>
        <v>NLA_2023_001_013</v>
      </c>
      <c r="J4" s="5" t="s">
        <v>52</v>
      </c>
      <c r="K4" s="5" t="s">
        <v>57</v>
      </c>
      <c r="L4" s="11" t="n">
        <v>293.6</v>
      </c>
      <c r="M4" s="6" t="s">
        <v>40</v>
      </c>
      <c r="N4" s="5" t="s">
        <v>41</v>
      </c>
      <c r="O4" s="12" t="s">
        <v>54</v>
      </c>
      <c r="P4" s="12" t="s">
        <v>43</v>
      </c>
      <c r="Q4" s="12" t="s">
        <v>55</v>
      </c>
      <c r="R4" s="5" t="s">
        <v>44</v>
      </c>
      <c r="S4" s="12" t="s">
        <v>45</v>
      </c>
      <c r="T4" s="5" t="s">
        <v>46</v>
      </c>
      <c r="U4" s="5" t="n">
        <v>1000</v>
      </c>
      <c r="V4" s="1" t="n">
        <v>1</v>
      </c>
      <c r="W4" s="5"/>
      <c r="X4" s="8" t="s">
        <v>47</v>
      </c>
      <c r="Y4" s="8" t="n">
        <v>5500</v>
      </c>
      <c r="Z4" s="8" t="s">
        <v>48</v>
      </c>
      <c r="AA4" s="8" t="s">
        <v>49</v>
      </c>
      <c r="AB4" s="13" t="str">
        <f aca="true" t="array" ref="AB4:AB4">LEFT(AA4,LOOKUP(2^15,FIND(".",AA4,ROW(INDIRECT("1:"&amp;LEN(AA4)))))-1)</f>
        <v>NB_2023_002 - 12012023 - 1</v>
      </c>
      <c r="AC4" s="8" t="s">
        <v>50</v>
      </c>
      <c r="AD4" s="13" t="str">
        <f aca="true" t="array" ref="AD4:AD4">LEFT(AC4,LOOKUP(2^15,FIND(".",AC4,ROW(INDIRECT("1:"&amp;LEN(AC4)))))-1)</f>
        <v>NB_2023_002 - 12012023 - 2</v>
      </c>
      <c r="AE4" s="5" t="str">
        <f aca="false">CONCATENATE(AB4, "-",H4, ".mzML")</f>
        <v>NB_2023_002 - 12012023 - 1-013.mzML</v>
      </c>
      <c r="AF4" s="5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3" t="s">
        <v>32</v>
      </c>
      <c r="B5" s="4"/>
      <c r="C5" s="3" t="s">
        <v>33</v>
      </c>
      <c r="D5" s="5" t="s">
        <v>14</v>
      </c>
      <c r="E5" s="5" t="s">
        <v>34</v>
      </c>
      <c r="F5" s="6" t="s">
        <v>35</v>
      </c>
      <c r="G5" s="5" t="s">
        <v>36</v>
      </c>
      <c r="H5" s="7" t="s">
        <v>58</v>
      </c>
      <c r="I5" s="5" t="str">
        <f aca="false">CONCATENATE(E5, "_",H5)</f>
        <v>NLA_2023_001_014</v>
      </c>
      <c r="J5" s="5" t="s">
        <v>38</v>
      </c>
      <c r="K5" s="5" t="s">
        <v>59</v>
      </c>
      <c r="L5" s="11" t="n">
        <v>186.4</v>
      </c>
      <c r="M5" s="6" t="s">
        <v>40</v>
      </c>
      <c r="N5" s="5" t="s">
        <v>41</v>
      </c>
      <c r="O5" s="12" t="s">
        <v>42</v>
      </c>
      <c r="P5" s="12" t="s">
        <v>43</v>
      </c>
      <c r="Q5" s="12" t="s">
        <v>43</v>
      </c>
      <c r="R5" s="5" t="s">
        <v>44</v>
      </c>
      <c r="S5" s="12" t="s">
        <v>45</v>
      </c>
      <c r="T5" s="5" t="s">
        <v>46</v>
      </c>
      <c r="U5" s="5" t="n">
        <v>1000</v>
      </c>
      <c r="V5" s="1" t="n">
        <v>1</v>
      </c>
      <c r="W5" s="5"/>
      <c r="X5" s="8" t="s">
        <v>47</v>
      </c>
      <c r="Y5" s="8" t="n">
        <v>5500</v>
      </c>
      <c r="Z5" s="8" t="s">
        <v>48</v>
      </c>
      <c r="AA5" s="8" t="s">
        <v>49</v>
      </c>
      <c r="AB5" s="13" t="str">
        <f aca="true" t="array" ref="AB5:AB5">LEFT(AA5,LOOKUP(2^15,FIND(".",AA5,ROW(INDIRECT("1:"&amp;LEN(AA5)))))-1)</f>
        <v>NB_2023_002 - 12012023 - 1</v>
      </c>
      <c r="AC5" s="8" t="s">
        <v>50</v>
      </c>
      <c r="AD5" s="13" t="str">
        <f aca="true" t="array" ref="AD5:AD5">LEFT(AC5,LOOKUP(2^15,FIND(".",AC5,ROW(INDIRECT("1:"&amp;LEN(AC5)))))-1)</f>
        <v>NB_2023_002 - 12012023 - 2</v>
      </c>
      <c r="AE5" s="5" t="str">
        <f aca="false">CONCATENATE(AB5, "-",H5, ".mzML")</f>
        <v>NB_2023_002 - 12012023 - 1-014.mzML</v>
      </c>
      <c r="AF5" s="5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3" t="s">
        <v>32</v>
      </c>
      <c r="B6" s="4"/>
      <c r="C6" s="3" t="s">
        <v>33</v>
      </c>
      <c r="D6" s="5" t="s">
        <v>14</v>
      </c>
      <c r="E6" s="5" t="s">
        <v>34</v>
      </c>
      <c r="F6" s="6" t="s">
        <v>35</v>
      </c>
      <c r="G6" s="5" t="s">
        <v>36</v>
      </c>
      <c r="H6" s="7" t="s">
        <v>60</v>
      </c>
      <c r="I6" s="5" t="str">
        <f aca="false">CONCATENATE(E6, "_",H6)</f>
        <v>NLA_2023_001_016</v>
      </c>
      <c r="J6" s="5" t="s">
        <v>52</v>
      </c>
      <c r="K6" s="5" t="s">
        <v>61</v>
      </c>
      <c r="L6" s="11" t="n">
        <v>266.3</v>
      </c>
      <c r="M6" s="6" t="s">
        <v>40</v>
      </c>
      <c r="N6" s="5" t="s">
        <v>41</v>
      </c>
      <c r="O6" s="12" t="s">
        <v>54</v>
      </c>
      <c r="P6" s="12" t="s">
        <v>43</v>
      </c>
      <c r="Q6" s="12" t="s">
        <v>55</v>
      </c>
      <c r="R6" s="5" t="s">
        <v>44</v>
      </c>
      <c r="S6" s="12" t="s">
        <v>45</v>
      </c>
      <c r="T6" s="5" t="s">
        <v>46</v>
      </c>
      <c r="U6" s="5" t="n">
        <v>1000</v>
      </c>
      <c r="V6" s="1" t="n">
        <v>1</v>
      </c>
      <c r="W6" s="5"/>
      <c r="X6" s="8" t="s">
        <v>47</v>
      </c>
      <c r="Y6" s="8" t="n">
        <v>5500</v>
      </c>
      <c r="Z6" s="8" t="s">
        <v>48</v>
      </c>
      <c r="AA6" s="8" t="s">
        <v>49</v>
      </c>
      <c r="AB6" s="13" t="str">
        <f aca="true" t="array" ref="AB6:AB6">LEFT(AA6,LOOKUP(2^15,FIND(".",AA6,ROW(INDIRECT("1:"&amp;LEN(AA6)))))-1)</f>
        <v>NB_2023_002 - 12012023 - 1</v>
      </c>
      <c r="AC6" s="8" t="s">
        <v>50</v>
      </c>
      <c r="AD6" s="13" t="str">
        <f aca="true" t="array" ref="AD6:AD6">LEFT(AC6,LOOKUP(2^15,FIND(".",AC6,ROW(INDIRECT("1:"&amp;LEN(AC6)))))-1)</f>
        <v>NB_2023_002 - 12012023 - 2</v>
      </c>
      <c r="AE6" s="5" t="str">
        <f aca="false">CONCATENATE(AB6, "-",H6, ".mzML")</f>
        <v>NB_2023_002 - 12012023 - 1-016.mzML</v>
      </c>
      <c r="AF6" s="5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3" t="s">
        <v>32</v>
      </c>
      <c r="B7" s="4"/>
      <c r="C7" s="3" t="s">
        <v>33</v>
      </c>
      <c r="D7" s="5" t="s">
        <v>14</v>
      </c>
      <c r="E7" s="5" t="s">
        <v>34</v>
      </c>
      <c r="F7" s="6" t="s">
        <v>35</v>
      </c>
      <c r="G7" s="5" t="s">
        <v>36</v>
      </c>
      <c r="H7" s="7" t="s">
        <v>62</v>
      </c>
      <c r="I7" s="5" t="str">
        <f aca="false">CONCATENATE(E7, "_",H7)</f>
        <v>NLA_2023_001_021</v>
      </c>
      <c r="J7" s="5" t="s">
        <v>38</v>
      </c>
      <c r="K7" s="5" t="s">
        <v>63</v>
      </c>
      <c r="L7" s="11" t="n">
        <v>203.8</v>
      </c>
      <c r="M7" s="6" t="s">
        <v>40</v>
      </c>
      <c r="N7" s="5" t="s">
        <v>41</v>
      </c>
      <c r="O7" s="12" t="s">
        <v>42</v>
      </c>
      <c r="P7" s="12" t="s">
        <v>43</v>
      </c>
      <c r="Q7" s="12" t="s">
        <v>43</v>
      </c>
      <c r="R7" s="5" t="s">
        <v>44</v>
      </c>
      <c r="S7" s="12" t="s">
        <v>45</v>
      </c>
      <c r="T7" s="5" t="s">
        <v>46</v>
      </c>
      <c r="U7" s="5" t="n">
        <v>1000</v>
      </c>
      <c r="V7" s="1" t="n">
        <v>1</v>
      </c>
      <c r="W7" s="5"/>
      <c r="X7" s="8" t="s">
        <v>47</v>
      </c>
      <c r="Y7" s="8" t="n">
        <v>5500</v>
      </c>
      <c r="Z7" s="8" t="s">
        <v>48</v>
      </c>
      <c r="AA7" s="8" t="s">
        <v>49</v>
      </c>
      <c r="AB7" s="13" t="str">
        <f aca="true" t="array" ref="AB7:AB7">LEFT(AA7,LOOKUP(2^15,FIND(".",AA7,ROW(INDIRECT("1:"&amp;LEN(AA7)))))-1)</f>
        <v>NB_2023_002 - 12012023 - 1</v>
      </c>
      <c r="AC7" s="8" t="s">
        <v>50</v>
      </c>
      <c r="AD7" s="13" t="str">
        <f aca="true" t="array" ref="AD7:AD7">LEFT(AC7,LOOKUP(2^15,FIND(".",AC7,ROW(INDIRECT("1:"&amp;LEN(AC7)))))-1)</f>
        <v>NB_2023_002 - 12012023 - 2</v>
      </c>
      <c r="AE7" s="5" t="str">
        <f aca="false">CONCATENATE(AB7, "-",H7, ".mzML")</f>
        <v>NB_2023_002 - 12012023 - 1-021.mzML</v>
      </c>
      <c r="AF7" s="5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3" t="s">
        <v>32</v>
      </c>
      <c r="B8" s="4"/>
      <c r="C8" s="3" t="s">
        <v>33</v>
      </c>
      <c r="D8" s="5" t="s">
        <v>14</v>
      </c>
      <c r="E8" s="5" t="s">
        <v>34</v>
      </c>
      <c r="F8" s="6" t="s">
        <v>35</v>
      </c>
      <c r="G8" s="5" t="s">
        <v>34</v>
      </c>
      <c r="H8" s="7" t="s">
        <v>64</v>
      </c>
      <c r="I8" s="5" t="str">
        <f aca="false">CONCATENATE(E8, "_",H8)</f>
        <v>NLA_2023_001_Blank_1</v>
      </c>
      <c r="J8" s="5" t="s">
        <v>52</v>
      </c>
      <c r="K8" s="5" t="s">
        <v>64</v>
      </c>
      <c r="L8" s="8" t="s">
        <v>46</v>
      </c>
      <c r="M8" s="6" t="s">
        <v>46</v>
      </c>
      <c r="N8" s="5" t="s">
        <v>65</v>
      </c>
      <c r="O8" s="5" t="s">
        <v>46</v>
      </c>
      <c r="P8" s="5" t="s">
        <v>46</v>
      </c>
      <c r="Q8" s="5" t="s">
        <v>46</v>
      </c>
      <c r="R8" s="5" t="s">
        <v>46</v>
      </c>
      <c r="S8" s="5" t="s">
        <v>46</v>
      </c>
      <c r="T8" s="5" t="s">
        <v>46</v>
      </c>
      <c r="U8" s="5" t="s">
        <v>46</v>
      </c>
      <c r="V8" s="1" t="n">
        <v>1</v>
      </c>
      <c r="W8" s="5"/>
      <c r="X8" s="8" t="s">
        <v>46</v>
      </c>
      <c r="Y8" s="8" t="n">
        <v>5500</v>
      </c>
      <c r="Z8" s="8" t="s">
        <v>48</v>
      </c>
      <c r="AA8" s="8" t="s">
        <v>49</v>
      </c>
      <c r="AB8" s="13" t="str">
        <f aca="true" t="array" ref="AB8:AB8">LEFT(AA8,LOOKUP(2^15,FIND(".",AA8,ROW(INDIRECT("1:"&amp;LEN(AA8)))))-1)</f>
        <v>NB_2023_002 - 12012023 - 1</v>
      </c>
      <c r="AC8" s="8" t="s">
        <v>50</v>
      </c>
      <c r="AD8" s="13" t="str">
        <f aca="true" t="array" ref="AD8:AD8">LEFT(AC8,LOOKUP(2^15,FIND(".",AC8,ROW(INDIRECT("1:"&amp;LEN(AC8)))))-1)</f>
        <v>NB_2023_002 - 12012023 - 2</v>
      </c>
      <c r="AE8" s="5" t="str">
        <f aca="false">CONCATENATE(AB8, "-",H8, ".mzML")</f>
        <v>NB_2023_002 - 12012023 - 1-Blank_1.mzML</v>
      </c>
      <c r="AF8" s="5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3" t="s">
        <v>32</v>
      </c>
      <c r="B9" s="4"/>
      <c r="C9" s="3" t="s">
        <v>33</v>
      </c>
      <c r="D9" s="5" t="s">
        <v>14</v>
      </c>
      <c r="E9" s="5" t="s">
        <v>34</v>
      </c>
      <c r="F9" s="6" t="s">
        <v>35</v>
      </c>
      <c r="G9" s="5" t="s">
        <v>34</v>
      </c>
      <c r="H9" s="7" t="s">
        <v>66</v>
      </c>
      <c r="I9" s="5" t="str">
        <f aca="false">CONCATENATE(E9, "_",H9)</f>
        <v>NLA_2023_001_Blank_2</v>
      </c>
      <c r="J9" s="5" t="s">
        <v>52</v>
      </c>
      <c r="K9" s="5" t="s">
        <v>66</v>
      </c>
      <c r="L9" s="8" t="s">
        <v>46</v>
      </c>
      <c r="M9" s="6" t="s">
        <v>46</v>
      </c>
      <c r="N9" s="5" t="s">
        <v>65</v>
      </c>
      <c r="O9" s="5" t="s">
        <v>46</v>
      </c>
      <c r="P9" s="5" t="s">
        <v>46</v>
      </c>
      <c r="Q9" s="5" t="s">
        <v>46</v>
      </c>
      <c r="R9" s="5" t="s">
        <v>46</v>
      </c>
      <c r="S9" s="5" t="s">
        <v>46</v>
      </c>
      <c r="T9" s="5" t="s">
        <v>46</v>
      </c>
      <c r="U9" s="5" t="s">
        <v>46</v>
      </c>
      <c r="V9" s="1" t="n">
        <v>2</v>
      </c>
      <c r="W9" s="5"/>
      <c r="X9" s="8" t="s">
        <v>46</v>
      </c>
      <c r="Y9" s="8" t="n">
        <v>5500</v>
      </c>
      <c r="Z9" s="8" t="s">
        <v>48</v>
      </c>
      <c r="AA9" s="8" t="s">
        <v>49</v>
      </c>
      <c r="AB9" s="13" t="str">
        <f aca="true" t="array" ref="AB9:AB9">LEFT(AA9,LOOKUP(2^15,FIND(".",AA9,ROW(INDIRECT("1:"&amp;LEN(AA9)))))-1)</f>
        <v>NB_2023_002 - 12012023 - 1</v>
      </c>
      <c r="AC9" s="8" t="s">
        <v>50</v>
      </c>
      <c r="AD9" s="13" t="str">
        <f aca="true" t="array" ref="AD9:AD9">LEFT(AC9,LOOKUP(2^15,FIND(".",AC9,ROW(INDIRECT("1:"&amp;LEN(AC9)))))-1)</f>
        <v>NB_2023_002 - 12012023 - 2</v>
      </c>
      <c r="AE9" s="5" t="str">
        <f aca="false">CONCATENATE(AB9, "-",H9, ".mzML")</f>
        <v>NB_2023_002 - 12012023 - 1-Blank_2.mzML</v>
      </c>
      <c r="AF9" s="5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3" t="s">
        <v>32</v>
      </c>
      <c r="B10" s="4"/>
      <c r="C10" s="3" t="s">
        <v>33</v>
      </c>
      <c r="D10" s="5" t="s">
        <v>14</v>
      </c>
      <c r="E10" s="5" t="s">
        <v>34</v>
      </c>
      <c r="F10" s="6" t="s">
        <v>35</v>
      </c>
      <c r="G10" s="5" t="s">
        <v>34</v>
      </c>
      <c r="H10" s="7" t="s">
        <v>67</v>
      </c>
      <c r="I10" s="5" t="str">
        <f aca="false">CONCATENATE(E10, "_",H10)</f>
        <v>NLA_2023_001_Blank_3</v>
      </c>
      <c r="J10" s="5" t="s">
        <v>52</v>
      </c>
      <c r="K10" s="5" t="s">
        <v>67</v>
      </c>
      <c r="L10" s="8" t="s">
        <v>46</v>
      </c>
      <c r="M10" s="6" t="s">
        <v>46</v>
      </c>
      <c r="N10" s="5" t="s">
        <v>65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1" t="n">
        <v>3</v>
      </c>
      <c r="W10" s="5"/>
      <c r="X10" s="8" t="s">
        <v>46</v>
      </c>
      <c r="Y10" s="8" t="n">
        <v>5500</v>
      </c>
      <c r="Z10" s="8" t="s">
        <v>48</v>
      </c>
      <c r="AA10" s="8" t="s">
        <v>49</v>
      </c>
      <c r="AB10" s="13" t="str">
        <f aca="true" t="array" ref="AB10:AB10">LEFT(AA10,LOOKUP(2^15,FIND(".",AA10,ROW(INDIRECT("1:"&amp;LEN(AA10)))))-1)</f>
        <v>NB_2023_002 - 12012023 - 1</v>
      </c>
      <c r="AC10" s="8" t="s">
        <v>50</v>
      </c>
      <c r="AD10" s="13" t="str">
        <f aca="true" t="array" ref="AD10:AD10">LEFT(AC10,LOOKUP(2^15,FIND(".",AC10,ROW(INDIRECT("1:"&amp;LEN(AC10)))))-1)</f>
        <v>NB_2023_002 - 12012023 - 2</v>
      </c>
      <c r="AE10" s="5" t="str">
        <f aca="false">CONCATENATE(AB10, "-",H10, ".mzML")</f>
        <v>NB_2023_002 - 12012023 - 1-Blank_3.mzML</v>
      </c>
      <c r="AF10" s="5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3" t="s">
        <v>32</v>
      </c>
      <c r="B11" s="4"/>
      <c r="C11" s="3" t="s">
        <v>33</v>
      </c>
      <c r="D11" s="5" t="s">
        <v>14</v>
      </c>
      <c r="E11" s="5" t="s">
        <v>34</v>
      </c>
      <c r="F11" s="6" t="s">
        <v>35</v>
      </c>
      <c r="G11" s="5" t="s">
        <v>34</v>
      </c>
      <c r="H11" s="7" t="s">
        <v>68</v>
      </c>
      <c r="I11" s="5" t="str">
        <f aca="false">CONCATENATE(E11, "_",H11)</f>
        <v>NLA_2023_001_QC_C_1</v>
      </c>
      <c r="J11" s="5" t="s">
        <v>52</v>
      </c>
      <c r="K11" s="5" t="s">
        <v>68</v>
      </c>
      <c r="L11" s="8" t="s">
        <v>69</v>
      </c>
      <c r="M11" s="5" t="s">
        <v>46</v>
      </c>
      <c r="N11" s="5" t="s">
        <v>70</v>
      </c>
      <c r="O11" s="5" t="s">
        <v>46</v>
      </c>
      <c r="P11" s="5" t="s">
        <v>71</v>
      </c>
      <c r="Q11" s="5" t="s">
        <v>71</v>
      </c>
      <c r="R11" s="5" t="s">
        <v>72</v>
      </c>
      <c r="S11" s="5" t="s">
        <v>73</v>
      </c>
      <c r="T11" s="5" t="s">
        <v>46</v>
      </c>
      <c r="U11" s="5" t="n">
        <v>1000</v>
      </c>
      <c r="V11" s="1" t="n">
        <v>1</v>
      </c>
      <c r="W11" s="5"/>
      <c r="X11" s="5" t="s">
        <v>74</v>
      </c>
      <c r="Y11" s="8" t="n">
        <v>5500</v>
      </c>
      <c r="Z11" s="8" t="s">
        <v>48</v>
      </c>
      <c r="AA11" s="8" t="s">
        <v>49</v>
      </c>
      <c r="AB11" s="13" t="str">
        <f aca="true" t="array" ref="AB11:AB11">LEFT(AA11,LOOKUP(2^15,FIND(".",AA11,ROW(INDIRECT("1:"&amp;LEN(AA11)))))-1)</f>
        <v>NB_2023_002 - 12012023 - 1</v>
      </c>
      <c r="AC11" s="8" t="s">
        <v>50</v>
      </c>
      <c r="AD11" s="13" t="str">
        <f aca="true" t="array" ref="AD11:AD11">LEFT(AC11,LOOKUP(2^15,FIND(".",AC11,ROW(INDIRECT("1:"&amp;LEN(AC11)))))-1)</f>
        <v>NB_2023_002 - 12012023 - 2</v>
      </c>
      <c r="AE11" s="5" t="str">
        <f aca="false">CONCATENATE(AB11, "-",H11, ".mzML")</f>
        <v>NB_2023_002 - 12012023 - 1-QC_C_1.mzML</v>
      </c>
      <c r="AF11" s="5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3" t="s">
        <v>32</v>
      </c>
      <c r="B12" s="4"/>
      <c r="C12" s="3" t="s">
        <v>33</v>
      </c>
      <c r="D12" s="5" t="s">
        <v>14</v>
      </c>
      <c r="E12" s="5" t="s">
        <v>34</v>
      </c>
      <c r="F12" s="6" t="s">
        <v>35</v>
      </c>
      <c r="G12" s="5" t="s">
        <v>34</v>
      </c>
      <c r="H12" s="7" t="s">
        <v>75</v>
      </c>
      <c r="I12" s="5" t="str">
        <f aca="false">CONCATENATE(E12, "_",H12)</f>
        <v>NLA_2023_001_QC_C_2</v>
      </c>
      <c r="J12" s="5" t="s">
        <v>52</v>
      </c>
      <c r="K12" s="5" t="s">
        <v>75</v>
      </c>
      <c r="L12" s="8" t="s">
        <v>69</v>
      </c>
      <c r="M12" s="5" t="s">
        <v>46</v>
      </c>
      <c r="N12" s="5" t="s">
        <v>70</v>
      </c>
      <c r="O12" s="5" t="s">
        <v>46</v>
      </c>
      <c r="P12" s="5" t="s">
        <v>71</v>
      </c>
      <c r="Q12" s="5" t="s">
        <v>71</v>
      </c>
      <c r="R12" s="5" t="s">
        <v>72</v>
      </c>
      <c r="S12" s="5" t="s">
        <v>73</v>
      </c>
      <c r="T12" s="5" t="s">
        <v>46</v>
      </c>
      <c r="U12" s="5" t="n">
        <v>1000</v>
      </c>
      <c r="V12" s="1" t="n">
        <v>2</v>
      </c>
      <c r="W12" s="5"/>
      <c r="X12" s="5" t="s">
        <v>74</v>
      </c>
      <c r="Y12" s="8" t="n">
        <v>5500</v>
      </c>
      <c r="Z12" s="8" t="s">
        <v>48</v>
      </c>
      <c r="AA12" s="8" t="s">
        <v>49</v>
      </c>
      <c r="AB12" s="13" t="str">
        <f aca="true" t="array" ref="AB12:AB12">LEFT(AA12,LOOKUP(2^15,FIND(".",AA12,ROW(INDIRECT("1:"&amp;LEN(AA12)))))-1)</f>
        <v>NB_2023_002 - 12012023 - 1</v>
      </c>
      <c r="AC12" s="8" t="s">
        <v>50</v>
      </c>
      <c r="AD12" s="13" t="str">
        <f aca="true" t="array" ref="AD12:AD12">LEFT(AC12,LOOKUP(2^15,FIND(".",AC12,ROW(INDIRECT("1:"&amp;LEN(AC12)))))-1)</f>
        <v>NB_2023_002 - 12012023 - 2</v>
      </c>
      <c r="AE12" s="5" t="str">
        <f aca="false">CONCATENATE(AB12, "-",H12, ".mzML")</f>
        <v>NB_2023_002 - 12012023 - 1-QC_C_2.mzML</v>
      </c>
      <c r="AF12" s="5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3" t="s">
        <v>32</v>
      </c>
      <c r="B13" s="4"/>
      <c r="C13" s="3" t="s">
        <v>33</v>
      </c>
      <c r="D13" s="5" t="s">
        <v>14</v>
      </c>
      <c r="E13" s="5" t="s">
        <v>34</v>
      </c>
      <c r="F13" s="6" t="s">
        <v>35</v>
      </c>
      <c r="G13" s="5" t="s">
        <v>34</v>
      </c>
      <c r="H13" s="7" t="s">
        <v>76</v>
      </c>
      <c r="I13" s="5" t="str">
        <f aca="false">CONCATENATE(E13, "_",H13)</f>
        <v>NLA_2023_001_QC_C_3</v>
      </c>
      <c r="J13" s="5" t="s">
        <v>52</v>
      </c>
      <c r="K13" s="5" t="s">
        <v>76</v>
      </c>
      <c r="L13" s="8" t="s">
        <v>69</v>
      </c>
      <c r="M13" s="5" t="s">
        <v>46</v>
      </c>
      <c r="N13" s="5" t="s">
        <v>70</v>
      </c>
      <c r="O13" s="5" t="s">
        <v>46</v>
      </c>
      <c r="P13" s="5" t="s">
        <v>71</v>
      </c>
      <c r="Q13" s="5" t="s">
        <v>71</v>
      </c>
      <c r="R13" s="5" t="s">
        <v>72</v>
      </c>
      <c r="S13" s="5" t="s">
        <v>73</v>
      </c>
      <c r="T13" s="5" t="s">
        <v>46</v>
      </c>
      <c r="U13" s="5" t="n">
        <v>1000</v>
      </c>
      <c r="V13" s="1" t="n">
        <v>3</v>
      </c>
      <c r="W13" s="5"/>
      <c r="X13" s="5" t="s">
        <v>74</v>
      </c>
      <c r="Y13" s="8" t="n">
        <v>5500</v>
      </c>
      <c r="Z13" s="8" t="s">
        <v>48</v>
      </c>
      <c r="AA13" s="8" t="s">
        <v>49</v>
      </c>
      <c r="AB13" s="13" t="str">
        <f aca="true" t="array" ref="AB13:AB13">LEFT(AA13,LOOKUP(2^15,FIND(".",AA13,ROW(INDIRECT("1:"&amp;LEN(AA13)))))-1)</f>
        <v>NB_2023_002 - 12012023 - 1</v>
      </c>
      <c r="AC13" s="8" t="s">
        <v>50</v>
      </c>
      <c r="AD13" s="13" t="str">
        <f aca="true" t="array" ref="AD13:AD13">LEFT(AC13,LOOKUP(2^15,FIND(".",AC13,ROW(INDIRECT("1:"&amp;LEN(AC13)))))-1)</f>
        <v>NB_2023_002 - 12012023 - 2</v>
      </c>
      <c r="AE13" s="5" t="str">
        <f aca="false">CONCATENATE(AB13, "-",H13, ".mzML")</f>
        <v>NB_2023_002 - 12012023 - 1-QC_C_3.mzML</v>
      </c>
      <c r="AF13" s="5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3" t="s">
        <v>32</v>
      </c>
      <c r="B14" s="4"/>
      <c r="C14" s="3" t="s">
        <v>33</v>
      </c>
      <c r="D14" s="5" t="s">
        <v>14</v>
      </c>
      <c r="E14" s="5" t="s">
        <v>34</v>
      </c>
      <c r="F14" s="6" t="s">
        <v>35</v>
      </c>
      <c r="G14" s="5" t="s">
        <v>34</v>
      </c>
      <c r="H14" s="7" t="s">
        <v>77</v>
      </c>
      <c r="I14" s="5" t="str">
        <f aca="false">CONCATENATE(E14, "_",H14)</f>
        <v>NLA_2023_001_QC_P_1</v>
      </c>
      <c r="J14" s="5" t="s">
        <v>52</v>
      </c>
      <c r="K14" s="5" t="s">
        <v>77</v>
      </c>
      <c r="L14" s="8" t="s">
        <v>69</v>
      </c>
      <c r="M14" s="6" t="s">
        <v>46</v>
      </c>
      <c r="N14" s="5" t="s">
        <v>78</v>
      </c>
      <c r="O14" s="5" t="s">
        <v>46</v>
      </c>
      <c r="P14" s="5" t="s">
        <v>79</v>
      </c>
      <c r="Q14" s="5" t="s">
        <v>80</v>
      </c>
      <c r="R14" s="5" t="s">
        <v>81</v>
      </c>
      <c r="S14" s="5" t="s">
        <v>46</v>
      </c>
      <c r="T14" s="5" t="s">
        <v>46</v>
      </c>
      <c r="U14" s="5" t="s">
        <v>82</v>
      </c>
      <c r="V14" s="1" t="n">
        <v>1</v>
      </c>
      <c r="W14" s="5"/>
      <c r="X14" s="5" t="s">
        <v>83</v>
      </c>
      <c r="Y14" s="8" t="n">
        <v>5500</v>
      </c>
      <c r="Z14" s="8" t="s">
        <v>48</v>
      </c>
      <c r="AA14" s="8" t="s">
        <v>49</v>
      </c>
      <c r="AB14" s="13" t="str">
        <f aca="true" t="array" ref="AB14:AB14">LEFT(AA14,LOOKUP(2^15,FIND(".",AA14,ROW(INDIRECT("1:"&amp;LEN(AA14)))))-1)</f>
        <v>NB_2023_002 - 12012023 - 1</v>
      </c>
      <c r="AC14" s="8" t="s">
        <v>50</v>
      </c>
      <c r="AD14" s="13" t="str">
        <f aca="true" t="array" ref="AD14:AD14">LEFT(AC14,LOOKUP(2^15,FIND(".",AC14,ROW(INDIRECT("1:"&amp;LEN(AC14)))))-1)</f>
        <v>NB_2023_002 - 12012023 - 2</v>
      </c>
      <c r="AE14" s="5" t="str">
        <f aca="false">CONCATENATE(AB14, "-",H14, ".mzML")</f>
        <v>NB_2023_002 - 12012023 - 1-QC_P_1.mzML</v>
      </c>
      <c r="AF14" s="5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3" t="s">
        <v>32</v>
      </c>
      <c r="B15" s="4"/>
      <c r="C15" s="3" t="s">
        <v>33</v>
      </c>
      <c r="D15" s="5" t="s">
        <v>14</v>
      </c>
      <c r="E15" s="5" t="s">
        <v>34</v>
      </c>
      <c r="F15" s="6" t="s">
        <v>35</v>
      </c>
      <c r="G15" s="5" t="s">
        <v>34</v>
      </c>
      <c r="H15" s="7" t="s">
        <v>84</v>
      </c>
      <c r="I15" s="5" t="str">
        <f aca="false">CONCATENATE(E15, "_",H15)</f>
        <v>NLA_2023_001_QC_P_2</v>
      </c>
      <c r="J15" s="5" t="s">
        <v>52</v>
      </c>
      <c r="K15" s="5" t="s">
        <v>84</v>
      </c>
      <c r="L15" s="8" t="s">
        <v>69</v>
      </c>
      <c r="M15" s="6" t="s">
        <v>46</v>
      </c>
      <c r="N15" s="5" t="s">
        <v>78</v>
      </c>
      <c r="O15" s="5" t="s">
        <v>46</v>
      </c>
      <c r="P15" s="5" t="s">
        <v>79</v>
      </c>
      <c r="Q15" s="5" t="s">
        <v>80</v>
      </c>
      <c r="R15" s="5" t="s">
        <v>81</v>
      </c>
      <c r="S15" s="5" t="s">
        <v>46</v>
      </c>
      <c r="T15" s="5" t="s">
        <v>46</v>
      </c>
      <c r="U15" s="5" t="s">
        <v>82</v>
      </c>
      <c r="V15" s="1" t="n">
        <v>2</v>
      </c>
      <c r="W15" s="5"/>
      <c r="X15" s="5" t="s">
        <v>83</v>
      </c>
      <c r="Y15" s="8" t="n">
        <v>5500</v>
      </c>
      <c r="Z15" s="8" t="s">
        <v>48</v>
      </c>
      <c r="AA15" s="8" t="s">
        <v>49</v>
      </c>
      <c r="AB15" s="13" t="str">
        <f aca="true" t="array" ref="AB15:AB15">LEFT(AA15,LOOKUP(2^15,FIND(".",AA15,ROW(INDIRECT("1:"&amp;LEN(AA15)))))-1)</f>
        <v>NB_2023_002 - 12012023 - 1</v>
      </c>
      <c r="AC15" s="8" t="s">
        <v>50</v>
      </c>
      <c r="AD15" s="13" t="str">
        <f aca="true" t="array" ref="AD15:AD15">LEFT(AC15,LOOKUP(2^15,FIND(".",AC15,ROW(INDIRECT("1:"&amp;LEN(AC15)))))-1)</f>
        <v>NB_2023_002 - 12012023 - 2</v>
      </c>
      <c r="AE15" s="5" t="str">
        <f aca="false">CONCATENATE(AB15, "-",H15, ".mzML")</f>
        <v>NB_2023_002 - 12012023 - 1-QC_P_2.mzML</v>
      </c>
      <c r="AF15" s="5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3" t="s">
        <v>32</v>
      </c>
      <c r="B16" s="4"/>
      <c r="C16" s="3" t="s">
        <v>33</v>
      </c>
      <c r="D16" s="5" t="s">
        <v>14</v>
      </c>
      <c r="E16" s="5" t="s">
        <v>34</v>
      </c>
      <c r="F16" s="6" t="s">
        <v>35</v>
      </c>
      <c r="G16" s="5" t="s">
        <v>34</v>
      </c>
      <c r="H16" s="7" t="s">
        <v>85</v>
      </c>
      <c r="I16" s="5" t="str">
        <f aca="false">CONCATENATE(E16, "_",H16)</f>
        <v>NLA_2023_001_QC_P_3</v>
      </c>
      <c r="J16" s="5" t="s">
        <v>52</v>
      </c>
      <c r="K16" s="5" t="s">
        <v>85</v>
      </c>
      <c r="L16" s="8" t="s">
        <v>69</v>
      </c>
      <c r="M16" s="6" t="s">
        <v>46</v>
      </c>
      <c r="N16" s="5" t="s">
        <v>78</v>
      </c>
      <c r="O16" s="5" t="s">
        <v>46</v>
      </c>
      <c r="P16" s="5" t="s">
        <v>79</v>
      </c>
      <c r="Q16" s="5" t="s">
        <v>80</v>
      </c>
      <c r="R16" s="5" t="s">
        <v>81</v>
      </c>
      <c r="S16" s="5" t="s">
        <v>46</v>
      </c>
      <c r="T16" s="5" t="s">
        <v>46</v>
      </c>
      <c r="U16" s="5" t="s">
        <v>82</v>
      </c>
      <c r="V16" s="1" t="n">
        <v>3</v>
      </c>
      <c r="W16" s="5"/>
      <c r="X16" s="5" t="s">
        <v>83</v>
      </c>
      <c r="Y16" s="8" t="n">
        <v>5500</v>
      </c>
      <c r="Z16" s="8" t="s">
        <v>48</v>
      </c>
      <c r="AA16" s="8" t="s">
        <v>49</v>
      </c>
      <c r="AB16" s="13" t="str">
        <f aca="true" t="array" ref="AB16:AB16">LEFT(AA16,LOOKUP(2^15,FIND(".",AA16,ROW(INDIRECT("1:"&amp;LEN(AA16)))))-1)</f>
        <v>NB_2023_002 - 12012023 - 1</v>
      </c>
      <c r="AC16" s="8" t="s">
        <v>50</v>
      </c>
      <c r="AD16" s="13" t="str">
        <f aca="true" t="array" ref="AD16:AD16">LEFT(AC16,LOOKUP(2^15,FIND(".",AC16,ROW(INDIRECT("1:"&amp;LEN(AC16)))))-1)</f>
        <v>NB_2023_002 - 12012023 - 2</v>
      </c>
      <c r="AE16" s="5" t="str">
        <f aca="false">CONCATENATE(AB16, "-",H16, ".mzML")</f>
        <v>NB_2023_002 - 12012023 - 1-QC_P_3.mzML</v>
      </c>
      <c r="AF16" s="5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3" t="s">
        <v>86</v>
      </c>
      <c r="B17" s="4"/>
      <c r="C17" s="3" t="s">
        <v>87</v>
      </c>
      <c r="D17" s="5" t="s">
        <v>18</v>
      </c>
      <c r="E17" s="5" t="s">
        <v>34</v>
      </c>
      <c r="F17" s="6" t="s">
        <v>35</v>
      </c>
      <c r="G17" s="5" t="s">
        <v>36</v>
      </c>
      <c r="H17" s="7" t="s">
        <v>88</v>
      </c>
      <c r="I17" s="5" t="str">
        <f aca="false">CONCATENATE(E17, "_",H17)</f>
        <v>NLA_2023_001_002</v>
      </c>
      <c r="J17" s="5" t="s">
        <v>38</v>
      </c>
      <c r="K17" s="5" t="s">
        <v>89</v>
      </c>
      <c r="L17" s="11" t="n">
        <v>359.6</v>
      </c>
      <c r="M17" s="6" t="s">
        <v>40</v>
      </c>
      <c r="N17" s="5" t="s">
        <v>41</v>
      </c>
      <c r="O17" s="12" t="s">
        <v>42</v>
      </c>
      <c r="P17" s="12" t="s">
        <v>43</v>
      </c>
      <c r="Q17" s="12" t="s">
        <v>43</v>
      </c>
      <c r="R17" s="5" t="s">
        <v>44</v>
      </c>
      <c r="S17" s="12" t="s">
        <v>90</v>
      </c>
      <c r="T17" s="5" t="s">
        <v>46</v>
      </c>
      <c r="U17" s="5" t="n">
        <v>1000</v>
      </c>
      <c r="V17" s="1" t="n">
        <v>1</v>
      </c>
      <c r="W17" s="5"/>
      <c r="X17" s="8" t="s">
        <v>47</v>
      </c>
      <c r="Y17" s="8" t="n">
        <v>5500</v>
      </c>
      <c r="Z17" s="8" t="s">
        <v>48</v>
      </c>
      <c r="AA17" s="8" t="s">
        <v>49</v>
      </c>
      <c r="AB17" s="13" t="str">
        <f aca="true" t="array" ref="AB17:AB17">LEFT(AA17,LOOKUP(2^15,FIND(".",AA17,ROW(INDIRECT("1:"&amp;LEN(AA17)))))-1)</f>
        <v>NB_2023_002 - 12012023 - 1</v>
      </c>
      <c r="AC17" s="8" t="s">
        <v>50</v>
      </c>
      <c r="AD17" s="13" t="str">
        <f aca="true" t="array" ref="AD17:AD17">LEFT(AC17,LOOKUP(2^15,FIND(".",AC17,ROW(INDIRECT("1:"&amp;LEN(AC17)))))-1)</f>
        <v>NB_2023_002 - 12012023 - 2</v>
      </c>
      <c r="AE17" s="5" t="str">
        <f aca="false">CONCATENATE(AB17, "-",H17, ".mzML")</f>
        <v>NB_2023_002 - 12012023 - 1-002.mzML</v>
      </c>
      <c r="AF17" s="5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3" t="s">
        <v>86</v>
      </c>
      <c r="B18" s="4"/>
      <c r="C18" s="3" t="s">
        <v>87</v>
      </c>
      <c r="D18" s="5" t="s">
        <v>18</v>
      </c>
      <c r="E18" s="5" t="s">
        <v>34</v>
      </c>
      <c r="F18" s="6" t="s">
        <v>35</v>
      </c>
      <c r="G18" s="5" t="s">
        <v>36</v>
      </c>
      <c r="H18" s="7" t="s">
        <v>91</v>
      </c>
      <c r="I18" s="5" t="str">
        <f aca="false">CONCATENATE(E18, "_",H18)</f>
        <v>NLA_2023_001_005</v>
      </c>
      <c r="J18" s="5" t="s">
        <v>38</v>
      </c>
      <c r="K18" s="5" t="s">
        <v>92</v>
      </c>
      <c r="L18" s="11" t="n">
        <v>228.8</v>
      </c>
      <c r="M18" s="6" t="s">
        <v>40</v>
      </c>
      <c r="N18" s="5" t="s">
        <v>41</v>
      </c>
      <c r="O18" s="12" t="s">
        <v>42</v>
      </c>
      <c r="P18" s="12" t="s">
        <v>43</v>
      </c>
      <c r="Q18" s="12" t="s">
        <v>43</v>
      </c>
      <c r="R18" s="5" t="s">
        <v>44</v>
      </c>
      <c r="S18" s="12" t="s">
        <v>90</v>
      </c>
      <c r="T18" s="5" t="s">
        <v>46</v>
      </c>
      <c r="U18" s="5" t="n">
        <v>1000</v>
      </c>
      <c r="V18" s="1" t="n">
        <v>1</v>
      </c>
      <c r="W18" s="5"/>
      <c r="X18" s="8" t="s">
        <v>47</v>
      </c>
      <c r="Y18" s="8" t="n">
        <v>5500</v>
      </c>
      <c r="Z18" s="8" t="s">
        <v>48</v>
      </c>
      <c r="AA18" s="8" t="s">
        <v>49</v>
      </c>
      <c r="AB18" s="13" t="str">
        <f aca="true" t="array" ref="AB18:AB18">LEFT(AA18,LOOKUP(2^15,FIND(".",AA18,ROW(INDIRECT("1:"&amp;LEN(AA18)))))-1)</f>
        <v>NB_2023_002 - 12012023 - 1</v>
      </c>
      <c r="AC18" s="8" t="s">
        <v>50</v>
      </c>
      <c r="AD18" s="13" t="str">
        <f aca="true" t="array" ref="AD18:AD18">LEFT(AC18,LOOKUP(2^15,FIND(".",AC18,ROW(INDIRECT("1:"&amp;LEN(AC18)))))-1)</f>
        <v>NB_2023_002 - 12012023 - 2</v>
      </c>
      <c r="AE18" s="5" t="str">
        <f aca="false">CONCATENATE(AB18, "-",H18, ".mzML")</f>
        <v>NB_2023_002 - 12012023 - 1-005.mzML</v>
      </c>
      <c r="AF18" s="5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3" t="s">
        <v>86</v>
      </c>
      <c r="B19" s="4"/>
      <c r="C19" s="3" t="s">
        <v>87</v>
      </c>
      <c r="D19" s="5" t="s">
        <v>18</v>
      </c>
      <c r="E19" s="5" t="s">
        <v>34</v>
      </c>
      <c r="F19" s="6" t="s">
        <v>35</v>
      </c>
      <c r="G19" s="5" t="s">
        <v>36</v>
      </c>
      <c r="H19" s="7" t="s">
        <v>37</v>
      </c>
      <c r="I19" s="5" t="str">
        <f aca="false">CONCATENATE(E19, "_",H19)</f>
        <v>NLA_2023_001_009</v>
      </c>
      <c r="J19" s="5" t="s">
        <v>38</v>
      </c>
      <c r="K19" s="5" t="s">
        <v>39</v>
      </c>
      <c r="L19" s="11" t="n">
        <v>264.1</v>
      </c>
      <c r="M19" s="6" t="s">
        <v>40</v>
      </c>
      <c r="N19" s="5" t="s">
        <v>41</v>
      </c>
      <c r="O19" s="12" t="s">
        <v>42</v>
      </c>
      <c r="P19" s="12" t="s">
        <v>43</v>
      </c>
      <c r="Q19" s="12" t="s">
        <v>43</v>
      </c>
      <c r="R19" s="5" t="s">
        <v>44</v>
      </c>
      <c r="S19" s="12" t="s">
        <v>45</v>
      </c>
      <c r="T19" s="5" t="s">
        <v>46</v>
      </c>
      <c r="U19" s="5" t="n">
        <v>1000</v>
      </c>
      <c r="V19" s="1" t="n">
        <v>1</v>
      </c>
      <c r="W19" s="5"/>
      <c r="X19" s="8" t="s">
        <v>47</v>
      </c>
      <c r="Y19" s="8" t="n">
        <v>5500</v>
      </c>
      <c r="Z19" s="8" t="s">
        <v>48</v>
      </c>
      <c r="AA19" s="8" t="s">
        <v>49</v>
      </c>
      <c r="AB19" s="13" t="str">
        <f aca="true" t="array" ref="AB19:AB19">LEFT(AA19,LOOKUP(2^15,FIND(".",AA19,ROW(INDIRECT("1:"&amp;LEN(AA19)))))-1)</f>
        <v>NB_2023_002 - 12012023 - 1</v>
      </c>
      <c r="AC19" s="8" t="s">
        <v>50</v>
      </c>
      <c r="AD19" s="13" t="str">
        <f aca="true" t="array" ref="AD19:AD19">LEFT(AC19,LOOKUP(2^15,FIND(".",AC19,ROW(INDIRECT("1:"&amp;LEN(AC19)))))-1)</f>
        <v>NB_2023_002 - 12012023 - 2</v>
      </c>
      <c r="AE19" s="5" t="str">
        <f aca="false">CONCATENATE(AB19, "-",H19, ".mzML")</f>
        <v>NB_2023_002 - 12012023 - 1-009.mzML</v>
      </c>
      <c r="AF19" s="5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3" t="s">
        <v>86</v>
      </c>
      <c r="B20" s="4"/>
      <c r="C20" s="3" t="s">
        <v>87</v>
      </c>
      <c r="D20" s="5" t="s">
        <v>18</v>
      </c>
      <c r="E20" s="5" t="s">
        <v>34</v>
      </c>
      <c r="F20" s="6" t="s">
        <v>35</v>
      </c>
      <c r="G20" s="5" t="s">
        <v>36</v>
      </c>
      <c r="H20" s="7" t="s">
        <v>58</v>
      </c>
      <c r="I20" s="5" t="str">
        <f aca="false">CONCATENATE(E20, "_",H20)</f>
        <v>NLA_2023_001_014</v>
      </c>
      <c r="J20" s="5" t="s">
        <v>38</v>
      </c>
      <c r="K20" s="5" t="s">
        <v>59</v>
      </c>
      <c r="L20" s="11" t="n">
        <v>186.4</v>
      </c>
      <c r="M20" s="6" t="s">
        <v>40</v>
      </c>
      <c r="N20" s="5" t="s">
        <v>41</v>
      </c>
      <c r="O20" s="12" t="s">
        <v>42</v>
      </c>
      <c r="P20" s="12" t="s">
        <v>43</v>
      </c>
      <c r="Q20" s="12" t="s">
        <v>43</v>
      </c>
      <c r="R20" s="5" t="s">
        <v>44</v>
      </c>
      <c r="S20" s="12" t="s">
        <v>45</v>
      </c>
      <c r="T20" s="5" t="s">
        <v>46</v>
      </c>
      <c r="U20" s="5" t="n">
        <v>1000</v>
      </c>
      <c r="V20" s="1" t="n">
        <v>1</v>
      </c>
      <c r="W20" s="5"/>
      <c r="X20" s="8" t="s">
        <v>47</v>
      </c>
      <c r="Y20" s="8" t="n">
        <v>5500</v>
      </c>
      <c r="Z20" s="8" t="s">
        <v>48</v>
      </c>
      <c r="AA20" s="8" t="s">
        <v>49</v>
      </c>
      <c r="AB20" s="13" t="str">
        <f aca="true" t="array" ref="AB20:AB20">LEFT(AA20,LOOKUP(2^15,FIND(".",AA20,ROW(INDIRECT("1:"&amp;LEN(AA20)))))-1)</f>
        <v>NB_2023_002 - 12012023 - 1</v>
      </c>
      <c r="AC20" s="8" t="s">
        <v>50</v>
      </c>
      <c r="AD20" s="13" t="str">
        <f aca="true" t="array" ref="AD20:AD20">LEFT(AC20,LOOKUP(2^15,FIND(".",AC20,ROW(INDIRECT("1:"&amp;LEN(AC20)))))-1)</f>
        <v>NB_2023_002 - 12012023 - 2</v>
      </c>
      <c r="AE20" s="5" t="str">
        <f aca="false">CONCATENATE(AB20, "-",H20, ".mzML")</f>
        <v>NB_2023_002 - 12012023 - 1-014.mzML</v>
      </c>
      <c r="AF20" s="5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3" t="s">
        <v>86</v>
      </c>
      <c r="B21" s="4"/>
      <c r="C21" s="3" t="s">
        <v>87</v>
      </c>
      <c r="D21" s="5" t="s">
        <v>18</v>
      </c>
      <c r="E21" s="5" t="s">
        <v>34</v>
      </c>
      <c r="F21" s="6" t="s">
        <v>35</v>
      </c>
      <c r="G21" s="5" t="s">
        <v>36</v>
      </c>
      <c r="H21" s="7" t="s">
        <v>93</v>
      </c>
      <c r="I21" s="5" t="str">
        <f aca="false">CONCATENATE(E21, "_",H21)</f>
        <v>NLA_2023_001_018</v>
      </c>
      <c r="J21" s="5" t="s">
        <v>38</v>
      </c>
      <c r="K21" s="5" t="s">
        <v>94</v>
      </c>
      <c r="L21" s="11" t="n">
        <v>217</v>
      </c>
      <c r="M21" s="6" t="s">
        <v>40</v>
      </c>
      <c r="N21" s="5" t="s">
        <v>41</v>
      </c>
      <c r="O21" s="12" t="s">
        <v>42</v>
      </c>
      <c r="P21" s="12" t="s">
        <v>43</v>
      </c>
      <c r="Q21" s="12" t="s">
        <v>43</v>
      </c>
      <c r="R21" s="5" t="s">
        <v>44</v>
      </c>
      <c r="S21" s="12" t="s">
        <v>90</v>
      </c>
      <c r="T21" s="5" t="s">
        <v>46</v>
      </c>
      <c r="U21" s="5" t="n">
        <v>1000</v>
      </c>
      <c r="V21" s="1" t="n">
        <v>1</v>
      </c>
      <c r="W21" s="5"/>
      <c r="X21" s="8" t="s">
        <v>47</v>
      </c>
      <c r="Y21" s="8" t="n">
        <v>5500</v>
      </c>
      <c r="Z21" s="8" t="s">
        <v>48</v>
      </c>
      <c r="AA21" s="8" t="s">
        <v>49</v>
      </c>
      <c r="AB21" s="13" t="str">
        <f aca="true" t="array" ref="AB21:AB21">LEFT(AA21,LOOKUP(2^15,FIND(".",AA21,ROW(INDIRECT("1:"&amp;LEN(AA21)))))-1)</f>
        <v>NB_2023_002 - 12012023 - 1</v>
      </c>
      <c r="AC21" s="8" t="s">
        <v>50</v>
      </c>
      <c r="AD21" s="13" t="str">
        <f aca="true" t="array" ref="AD21:AD21">LEFT(AC21,LOOKUP(2^15,FIND(".",AC21,ROW(INDIRECT("1:"&amp;LEN(AC21)))))-1)</f>
        <v>NB_2023_002 - 12012023 - 2</v>
      </c>
      <c r="AE21" s="5" t="str">
        <f aca="false">CONCATENATE(AB21, "-",H21, ".mzML")</f>
        <v>NB_2023_002 - 12012023 - 1-018.mzML</v>
      </c>
      <c r="AF21" s="5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3" t="s">
        <v>86</v>
      </c>
      <c r="B22" s="4"/>
      <c r="C22" s="3" t="s">
        <v>87</v>
      </c>
      <c r="D22" s="5" t="s">
        <v>18</v>
      </c>
      <c r="E22" s="5" t="s">
        <v>34</v>
      </c>
      <c r="F22" s="6" t="s">
        <v>35</v>
      </c>
      <c r="G22" s="5" t="s">
        <v>36</v>
      </c>
      <c r="H22" s="7" t="s">
        <v>62</v>
      </c>
      <c r="I22" s="5" t="str">
        <f aca="false">CONCATENATE(E22, "_",H22)</f>
        <v>NLA_2023_001_021</v>
      </c>
      <c r="J22" s="5" t="s">
        <v>38</v>
      </c>
      <c r="K22" s="5" t="s">
        <v>63</v>
      </c>
      <c r="L22" s="11" t="n">
        <v>203.8</v>
      </c>
      <c r="M22" s="6" t="s">
        <v>40</v>
      </c>
      <c r="N22" s="5" t="s">
        <v>41</v>
      </c>
      <c r="O22" s="12" t="s">
        <v>42</v>
      </c>
      <c r="P22" s="12" t="s">
        <v>43</v>
      </c>
      <c r="Q22" s="12" t="s">
        <v>43</v>
      </c>
      <c r="R22" s="5" t="s">
        <v>44</v>
      </c>
      <c r="S22" s="12" t="s">
        <v>45</v>
      </c>
      <c r="T22" s="5" t="s">
        <v>46</v>
      </c>
      <c r="U22" s="5" t="n">
        <v>1000</v>
      </c>
      <c r="V22" s="1" t="n">
        <v>1</v>
      </c>
      <c r="W22" s="5"/>
      <c r="X22" s="8" t="s">
        <v>47</v>
      </c>
      <c r="Y22" s="8" t="n">
        <v>5500</v>
      </c>
      <c r="Z22" s="8" t="s">
        <v>48</v>
      </c>
      <c r="AA22" s="8" t="s">
        <v>49</v>
      </c>
      <c r="AB22" s="13" t="str">
        <f aca="true" t="array" ref="AB22:AB22">LEFT(AA22,LOOKUP(2^15,FIND(".",AA22,ROW(INDIRECT("1:"&amp;LEN(AA22)))))-1)</f>
        <v>NB_2023_002 - 12012023 - 1</v>
      </c>
      <c r="AC22" s="8" t="s">
        <v>50</v>
      </c>
      <c r="AD22" s="13" t="str">
        <f aca="true" t="array" ref="AD22:AD22">LEFT(AC22,LOOKUP(2^15,FIND(".",AC22,ROW(INDIRECT("1:"&amp;LEN(AC22)))))-1)</f>
        <v>NB_2023_002 - 12012023 - 2</v>
      </c>
      <c r="AE22" s="5" t="str">
        <f aca="false">CONCATENATE(AB22, "-",H22, ".mzML")</f>
        <v>NB_2023_002 - 12012023 - 1-021.mzML</v>
      </c>
      <c r="AF22" s="5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3" t="s">
        <v>86</v>
      </c>
      <c r="B23" s="4"/>
      <c r="C23" s="3" t="s">
        <v>87</v>
      </c>
      <c r="D23" s="5" t="s">
        <v>18</v>
      </c>
      <c r="E23" s="5" t="s">
        <v>34</v>
      </c>
      <c r="F23" s="6" t="s">
        <v>35</v>
      </c>
      <c r="G23" s="5" t="s">
        <v>34</v>
      </c>
      <c r="H23" s="7" t="s">
        <v>64</v>
      </c>
      <c r="I23" s="5" t="str">
        <f aca="false">CONCATENATE(E23, "_",H23)</f>
        <v>NLA_2023_001_Blank_1</v>
      </c>
      <c r="J23" s="5" t="s">
        <v>52</v>
      </c>
      <c r="K23" s="5" t="s">
        <v>64</v>
      </c>
      <c r="L23" s="8" t="s">
        <v>46</v>
      </c>
      <c r="M23" s="6" t="s">
        <v>46</v>
      </c>
      <c r="N23" s="5" t="s">
        <v>65</v>
      </c>
      <c r="O23" s="5" t="s">
        <v>46</v>
      </c>
      <c r="P23" s="5" t="s">
        <v>46</v>
      </c>
      <c r="Q23" s="5" t="s">
        <v>46</v>
      </c>
      <c r="R23" s="5" t="s">
        <v>46</v>
      </c>
      <c r="S23" s="5" t="s">
        <v>46</v>
      </c>
      <c r="T23" s="5" t="s">
        <v>46</v>
      </c>
      <c r="U23" s="5" t="s">
        <v>46</v>
      </c>
      <c r="V23" s="1" t="n">
        <v>1</v>
      </c>
      <c r="W23" s="5"/>
      <c r="X23" s="8" t="s">
        <v>46</v>
      </c>
      <c r="Y23" s="8" t="n">
        <v>5500</v>
      </c>
      <c r="Z23" s="8" t="s">
        <v>48</v>
      </c>
      <c r="AA23" s="8" t="s">
        <v>49</v>
      </c>
      <c r="AB23" s="13" t="str">
        <f aca="true" t="array" ref="AB23:AB23">LEFT(AA23,LOOKUP(2^15,FIND(".",AA23,ROW(INDIRECT("1:"&amp;LEN(AA23)))))-1)</f>
        <v>NB_2023_002 - 12012023 - 1</v>
      </c>
      <c r="AC23" s="8" t="s">
        <v>50</v>
      </c>
      <c r="AD23" s="13" t="str">
        <f aca="true" t="array" ref="AD23:AD23">LEFT(AC23,LOOKUP(2^15,FIND(".",AC23,ROW(INDIRECT("1:"&amp;LEN(AC23)))))-1)</f>
        <v>NB_2023_002 - 12012023 - 2</v>
      </c>
      <c r="AE23" s="5" t="str">
        <f aca="false">CONCATENATE(AB23, "-",H23, ".mzML")</f>
        <v>NB_2023_002 - 12012023 - 1-Blank_1.mzML</v>
      </c>
      <c r="AF23" s="5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3" t="s">
        <v>86</v>
      </c>
      <c r="B24" s="4"/>
      <c r="C24" s="3" t="s">
        <v>87</v>
      </c>
      <c r="D24" s="5" t="s">
        <v>18</v>
      </c>
      <c r="E24" s="5" t="s">
        <v>34</v>
      </c>
      <c r="F24" s="6" t="s">
        <v>35</v>
      </c>
      <c r="G24" s="5" t="s">
        <v>34</v>
      </c>
      <c r="H24" s="7" t="s">
        <v>66</v>
      </c>
      <c r="I24" s="5" t="str">
        <f aca="false">CONCATENATE(E24, "_",H24)</f>
        <v>NLA_2023_001_Blank_2</v>
      </c>
      <c r="J24" s="5" t="s">
        <v>52</v>
      </c>
      <c r="K24" s="5" t="s">
        <v>66</v>
      </c>
      <c r="L24" s="8" t="s">
        <v>46</v>
      </c>
      <c r="M24" s="6" t="s">
        <v>46</v>
      </c>
      <c r="N24" s="5" t="s">
        <v>65</v>
      </c>
      <c r="O24" s="5" t="s">
        <v>46</v>
      </c>
      <c r="P24" s="5" t="s">
        <v>46</v>
      </c>
      <c r="Q24" s="5" t="s">
        <v>46</v>
      </c>
      <c r="R24" s="5" t="s">
        <v>46</v>
      </c>
      <c r="S24" s="5" t="s">
        <v>46</v>
      </c>
      <c r="T24" s="5" t="s">
        <v>46</v>
      </c>
      <c r="U24" s="5" t="s">
        <v>46</v>
      </c>
      <c r="V24" s="1" t="n">
        <v>2</v>
      </c>
      <c r="W24" s="5"/>
      <c r="X24" s="8" t="s">
        <v>46</v>
      </c>
      <c r="Y24" s="8" t="n">
        <v>5500</v>
      </c>
      <c r="Z24" s="8" t="s">
        <v>48</v>
      </c>
      <c r="AA24" s="8" t="s">
        <v>49</v>
      </c>
      <c r="AB24" s="13" t="str">
        <f aca="true" t="array" ref="AB24:AB24">LEFT(AA24,LOOKUP(2^15,FIND(".",AA24,ROW(INDIRECT("1:"&amp;LEN(AA24)))))-1)</f>
        <v>NB_2023_002 - 12012023 - 1</v>
      </c>
      <c r="AC24" s="8" t="s">
        <v>50</v>
      </c>
      <c r="AD24" s="13" t="str">
        <f aca="true" t="array" ref="AD24:AD24">LEFT(AC24,LOOKUP(2^15,FIND(".",AC24,ROW(INDIRECT("1:"&amp;LEN(AC24)))))-1)</f>
        <v>NB_2023_002 - 12012023 - 2</v>
      </c>
      <c r="AE24" s="5" t="str">
        <f aca="false">CONCATENATE(AB24, "-",H24, ".mzML")</f>
        <v>NB_2023_002 - 12012023 - 1-Blank_2.mzML</v>
      </c>
      <c r="AF24" s="5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3" t="s">
        <v>86</v>
      </c>
      <c r="B25" s="4"/>
      <c r="C25" s="3" t="s">
        <v>87</v>
      </c>
      <c r="D25" s="5" t="s">
        <v>18</v>
      </c>
      <c r="E25" s="5" t="s">
        <v>34</v>
      </c>
      <c r="F25" s="6" t="s">
        <v>35</v>
      </c>
      <c r="G25" s="5" t="s">
        <v>34</v>
      </c>
      <c r="H25" s="7" t="s">
        <v>67</v>
      </c>
      <c r="I25" s="5" t="str">
        <f aca="false">CONCATENATE(E25, "_",H25)</f>
        <v>NLA_2023_001_Blank_3</v>
      </c>
      <c r="J25" s="5" t="s">
        <v>52</v>
      </c>
      <c r="K25" s="5" t="s">
        <v>67</v>
      </c>
      <c r="L25" s="8" t="s">
        <v>46</v>
      </c>
      <c r="M25" s="6" t="s">
        <v>46</v>
      </c>
      <c r="N25" s="5" t="s">
        <v>65</v>
      </c>
      <c r="O25" s="5" t="s">
        <v>46</v>
      </c>
      <c r="P25" s="5" t="s">
        <v>46</v>
      </c>
      <c r="Q25" s="5" t="s">
        <v>46</v>
      </c>
      <c r="R25" s="5" t="s">
        <v>46</v>
      </c>
      <c r="S25" s="5" t="s">
        <v>46</v>
      </c>
      <c r="T25" s="5" t="s">
        <v>46</v>
      </c>
      <c r="U25" s="5" t="s">
        <v>46</v>
      </c>
      <c r="V25" s="1" t="n">
        <v>3</v>
      </c>
      <c r="W25" s="5"/>
      <c r="X25" s="8" t="s">
        <v>46</v>
      </c>
      <c r="Y25" s="8" t="n">
        <v>5500</v>
      </c>
      <c r="Z25" s="8" t="s">
        <v>48</v>
      </c>
      <c r="AA25" s="8" t="s">
        <v>49</v>
      </c>
      <c r="AB25" s="13" t="str">
        <f aca="true" t="array" ref="AB25:AB25">LEFT(AA25,LOOKUP(2^15,FIND(".",AA25,ROW(INDIRECT("1:"&amp;LEN(AA25)))))-1)</f>
        <v>NB_2023_002 - 12012023 - 1</v>
      </c>
      <c r="AC25" s="8" t="s">
        <v>50</v>
      </c>
      <c r="AD25" s="13" t="str">
        <f aca="true" t="array" ref="AD25:AD25">LEFT(AC25,LOOKUP(2^15,FIND(".",AC25,ROW(INDIRECT("1:"&amp;LEN(AC25)))))-1)</f>
        <v>NB_2023_002 - 12012023 - 2</v>
      </c>
      <c r="AE25" s="5" t="str">
        <f aca="false">CONCATENATE(AB25, "-",H25, ".mzML")</f>
        <v>NB_2023_002 - 12012023 - 1-Blank_3.mzML</v>
      </c>
      <c r="AF25" s="5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3" t="s">
        <v>86</v>
      </c>
      <c r="B26" s="4"/>
      <c r="C26" s="3" t="s">
        <v>87</v>
      </c>
      <c r="D26" s="5" t="s">
        <v>18</v>
      </c>
      <c r="E26" s="5" t="s">
        <v>34</v>
      </c>
      <c r="F26" s="6" t="s">
        <v>35</v>
      </c>
      <c r="G26" s="5" t="s">
        <v>34</v>
      </c>
      <c r="H26" s="7" t="s">
        <v>68</v>
      </c>
      <c r="I26" s="5" t="str">
        <f aca="false">CONCATENATE(E26, "_",H26)</f>
        <v>NLA_2023_001_QC_C_1</v>
      </c>
      <c r="J26" s="5" t="s">
        <v>52</v>
      </c>
      <c r="K26" s="5" t="s">
        <v>68</v>
      </c>
      <c r="L26" s="8" t="s">
        <v>69</v>
      </c>
      <c r="M26" s="5" t="s">
        <v>46</v>
      </c>
      <c r="N26" s="5" t="s">
        <v>70</v>
      </c>
      <c r="O26" s="5" t="s">
        <v>46</v>
      </c>
      <c r="P26" s="5" t="s">
        <v>71</v>
      </c>
      <c r="Q26" s="5" t="s">
        <v>71</v>
      </c>
      <c r="R26" s="5" t="s">
        <v>72</v>
      </c>
      <c r="S26" s="5" t="s">
        <v>73</v>
      </c>
      <c r="T26" s="5" t="s">
        <v>46</v>
      </c>
      <c r="U26" s="5" t="n">
        <v>1000</v>
      </c>
      <c r="V26" s="1" t="n">
        <v>1</v>
      </c>
      <c r="W26" s="5"/>
      <c r="X26" s="5" t="s">
        <v>74</v>
      </c>
      <c r="Y26" s="8" t="n">
        <v>5500</v>
      </c>
      <c r="Z26" s="8" t="s">
        <v>48</v>
      </c>
      <c r="AA26" s="8" t="s">
        <v>49</v>
      </c>
      <c r="AB26" s="13" t="str">
        <f aca="true" t="array" ref="AB26:AB26">LEFT(AA26,LOOKUP(2^15,FIND(".",AA26,ROW(INDIRECT("1:"&amp;LEN(AA26)))))-1)</f>
        <v>NB_2023_002 - 12012023 - 1</v>
      </c>
      <c r="AC26" s="8" t="s">
        <v>50</v>
      </c>
      <c r="AD26" s="13" t="str">
        <f aca="true" t="array" ref="AD26:AD26">LEFT(AC26,LOOKUP(2^15,FIND(".",AC26,ROW(INDIRECT("1:"&amp;LEN(AC26)))))-1)</f>
        <v>NB_2023_002 - 12012023 - 2</v>
      </c>
      <c r="AE26" s="5" t="str">
        <f aca="false">CONCATENATE(AB26, "-",H26, ".mzML")</f>
        <v>NB_2023_002 - 12012023 - 1-QC_C_1.mzML</v>
      </c>
      <c r="AF26" s="5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3" t="s">
        <v>86</v>
      </c>
      <c r="B27" s="4"/>
      <c r="C27" s="3" t="s">
        <v>87</v>
      </c>
      <c r="D27" s="5" t="s">
        <v>18</v>
      </c>
      <c r="E27" s="5" t="s">
        <v>34</v>
      </c>
      <c r="F27" s="6" t="s">
        <v>35</v>
      </c>
      <c r="G27" s="5" t="s">
        <v>34</v>
      </c>
      <c r="H27" s="7" t="s">
        <v>75</v>
      </c>
      <c r="I27" s="5" t="str">
        <f aca="false">CONCATENATE(E27, "_",H27)</f>
        <v>NLA_2023_001_QC_C_2</v>
      </c>
      <c r="J27" s="5" t="s">
        <v>52</v>
      </c>
      <c r="K27" s="5" t="s">
        <v>75</v>
      </c>
      <c r="L27" s="8" t="s">
        <v>69</v>
      </c>
      <c r="M27" s="5" t="s">
        <v>46</v>
      </c>
      <c r="N27" s="5" t="s">
        <v>70</v>
      </c>
      <c r="O27" s="5" t="s">
        <v>46</v>
      </c>
      <c r="P27" s="5" t="s">
        <v>71</v>
      </c>
      <c r="Q27" s="5" t="s">
        <v>71</v>
      </c>
      <c r="R27" s="5" t="s">
        <v>72</v>
      </c>
      <c r="S27" s="5" t="s">
        <v>73</v>
      </c>
      <c r="T27" s="5" t="s">
        <v>46</v>
      </c>
      <c r="U27" s="5" t="n">
        <v>1000</v>
      </c>
      <c r="V27" s="1" t="n">
        <v>2</v>
      </c>
      <c r="W27" s="5"/>
      <c r="X27" s="5" t="s">
        <v>74</v>
      </c>
      <c r="Y27" s="8" t="n">
        <v>5500</v>
      </c>
      <c r="Z27" s="8" t="s">
        <v>48</v>
      </c>
      <c r="AA27" s="8" t="s">
        <v>49</v>
      </c>
      <c r="AB27" s="13" t="str">
        <f aca="true" t="array" ref="AB27:AB27">LEFT(AA27,LOOKUP(2^15,FIND(".",AA27,ROW(INDIRECT("1:"&amp;LEN(AA27)))))-1)</f>
        <v>NB_2023_002 - 12012023 - 1</v>
      </c>
      <c r="AC27" s="8" t="s">
        <v>50</v>
      </c>
      <c r="AD27" s="13" t="str">
        <f aca="true" t="array" ref="AD27:AD27">LEFT(AC27,LOOKUP(2^15,FIND(".",AC27,ROW(INDIRECT("1:"&amp;LEN(AC27)))))-1)</f>
        <v>NB_2023_002 - 12012023 - 2</v>
      </c>
      <c r="AE27" s="5" t="str">
        <f aca="false">CONCATENATE(AB27, "-",H27, ".mzML")</f>
        <v>NB_2023_002 - 12012023 - 1-QC_C_2.mzML</v>
      </c>
      <c r="AF27" s="5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3" t="s">
        <v>86</v>
      </c>
      <c r="B28" s="4"/>
      <c r="C28" s="3" t="s">
        <v>87</v>
      </c>
      <c r="D28" s="5" t="s">
        <v>18</v>
      </c>
      <c r="E28" s="5" t="s">
        <v>34</v>
      </c>
      <c r="F28" s="6" t="s">
        <v>35</v>
      </c>
      <c r="G28" s="5" t="s">
        <v>34</v>
      </c>
      <c r="H28" s="7" t="s">
        <v>76</v>
      </c>
      <c r="I28" s="5" t="str">
        <f aca="false">CONCATENATE(E28, "_",H28)</f>
        <v>NLA_2023_001_QC_C_3</v>
      </c>
      <c r="J28" s="5" t="s">
        <v>52</v>
      </c>
      <c r="K28" s="5" t="s">
        <v>76</v>
      </c>
      <c r="L28" s="8" t="s">
        <v>69</v>
      </c>
      <c r="M28" s="5" t="s">
        <v>46</v>
      </c>
      <c r="N28" s="5" t="s">
        <v>70</v>
      </c>
      <c r="O28" s="5" t="s">
        <v>46</v>
      </c>
      <c r="P28" s="5" t="s">
        <v>71</v>
      </c>
      <c r="Q28" s="5" t="s">
        <v>71</v>
      </c>
      <c r="R28" s="5" t="s">
        <v>72</v>
      </c>
      <c r="S28" s="5" t="s">
        <v>73</v>
      </c>
      <c r="T28" s="5" t="s">
        <v>46</v>
      </c>
      <c r="U28" s="5" t="n">
        <v>1000</v>
      </c>
      <c r="V28" s="1" t="n">
        <v>3</v>
      </c>
      <c r="W28" s="5"/>
      <c r="X28" s="5" t="s">
        <v>74</v>
      </c>
      <c r="Y28" s="8" t="n">
        <v>5500</v>
      </c>
      <c r="Z28" s="8" t="s">
        <v>48</v>
      </c>
      <c r="AA28" s="8" t="s">
        <v>49</v>
      </c>
      <c r="AB28" s="13" t="str">
        <f aca="true" t="array" ref="AB28:AB28">LEFT(AA28,LOOKUP(2^15,FIND(".",AA28,ROW(INDIRECT("1:"&amp;LEN(AA28)))))-1)</f>
        <v>NB_2023_002 - 12012023 - 1</v>
      </c>
      <c r="AC28" s="8" t="s">
        <v>50</v>
      </c>
      <c r="AD28" s="13" t="str">
        <f aca="true" t="array" ref="AD28:AD28">LEFT(AC28,LOOKUP(2^15,FIND(".",AC28,ROW(INDIRECT("1:"&amp;LEN(AC28)))))-1)</f>
        <v>NB_2023_002 - 12012023 - 2</v>
      </c>
      <c r="AE28" s="5" t="str">
        <f aca="false">CONCATENATE(AB28, "-",H28, ".mzML")</f>
        <v>NB_2023_002 - 12012023 - 1-QC_C_3.mzML</v>
      </c>
      <c r="AF28" s="5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3" t="s">
        <v>86</v>
      </c>
      <c r="B29" s="4"/>
      <c r="C29" s="3" t="s">
        <v>87</v>
      </c>
      <c r="D29" s="5" t="s">
        <v>18</v>
      </c>
      <c r="E29" s="5" t="s">
        <v>34</v>
      </c>
      <c r="F29" s="6" t="s">
        <v>35</v>
      </c>
      <c r="G29" s="5" t="s">
        <v>34</v>
      </c>
      <c r="H29" s="7" t="s">
        <v>77</v>
      </c>
      <c r="I29" s="5" t="str">
        <f aca="false">CONCATENATE(E29, "_",H29)</f>
        <v>NLA_2023_001_QC_P_1</v>
      </c>
      <c r="J29" s="5" t="s">
        <v>52</v>
      </c>
      <c r="K29" s="5" t="s">
        <v>77</v>
      </c>
      <c r="L29" s="8" t="s">
        <v>69</v>
      </c>
      <c r="M29" s="6" t="s">
        <v>46</v>
      </c>
      <c r="N29" s="5" t="s">
        <v>78</v>
      </c>
      <c r="O29" s="5" t="s">
        <v>46</v>
      </c>
      <c r="P29" s="5" t="s">
        <v>79</v>
      </c>
      <c r="Q29" s="5" t="s">
        <v>80</v>
      </c>
      <c r="R29" s="5" t="s">
        <v>81</v>
      </c>
      <c r="S29" s="5" t="s">
        <v>46</v>
      </c>
      <c r="T29" s="5" t="s">
        <v>46</v>
      </c>
      <c r="U29" s="5" t="s">
        <v>82</v>
      </c>
      <c r="V29" s="1" t="n">
        <v>1</v>
      </c>
      <c r="W29" s="5"/>
      <c r="X29" s="5" t="s">
        <v>83</v>
      </c>
      <c r="Y29" s="8" t="n">
        <v>5500</v>
      </c>
      <c r="Z29" s="8" t="s">
        <v>48</v>
      </c>
      <c r="AA29" s="8" t="s">
        <v>49</v>
      </c>
      <c r="AB29" s="13" t="str">
        <f aca="true" t="array" ref="AB29:AB29">LEFT(AA29,LOOKUP(2^15,FIND(".",AA29,ROW(INDIRECT("1:"&amp;LEN(AA29)))))-1)</f>
        <v>NB_2023_002 - 12012023 - 1</v>
      </c>
      <c r="AC29" s="8" t="s">
        <v>50</v>
      </c>
      <c r="AD29" s="13" t="str">
        <f aca="true" t="array" ref="AD29:AD29">LEFT(AC29,LOOKUP(2^15,FIND(".",AC29,ROW(INDIRECT("1:"&amp;LEN(AC29)))))-1)</f>
        <v>NB_2023_002 - 12012023 - 2</v>
      </c>
      <c r="AE29" s="5" t="str">
        <f aca="false">CONCATENATE(AB29, "-",H29, ".mzML")</f>
        <v>NB_2023_002 - 12012023 - 1-QC_P_1.mzML</v>
      </c>
      <c r="AF29" s="5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3" t="s">
        <v>86</v>
      </c>
      <c r="B30" s="4"/>
      <c r="C30" s="3" t="s">
        <v>87</v>
      </c>
      <c r="D30" s="5" t="s">
        <v>18</v>
      </c>
      <c r="E30" s="5" t="s">
        <v>34</v>
      </c>
      <c r="F30" s="6" t="s">
        <v>35</v>
      </c>
      <c r="G30" s="5" t="s">
        <v>34</v>
      </c>
      <c r="H30" s="7" t="s">
        <v>84</v>
      </c>
      <c r="I30" s="5" t="str">
        <f aca="false">CONCATENATE(E30, "_",H30)</f>
        <v>NLA_2023_001_QC_P_2</v>
      </c>
      <c r="J30" s="5" t="s">
        <v>52</v>
      </c>
      <c r="K30" s="5" t="s">
        <v>84</v>
      </c>
      <c r="L30" s="8" t="s">
        <v>69</v>
      </c>
      <c r="M30" s="6" t="s">
        <v>46</v>
      </c>
      <c r="N30" s="5" t="s">
        <v>78</v>
      </c>
      <c r="O30" s="5" t="s">
        <v>46</v>
      </c>
      <c r="P30" s="5" t="s">
        <v>79</v>
      </c>
      <c r="Q30" s="5" t="s">
        <v>80</v>
      </c>
      <c r="R30" s="5" t="s">
        <v>81</v>
      </c>
      <c r="S30" s="5" t="s">
        <v>46</v>
      </c>
      <c r="T30" s="5" t="s">
        <v>46</v>
      </c>
      <c r="U30" s="5" t="s">
        <v>82</v>
      </c>
      <c r="V30" s="1" t="n">
        <v>2</v>
      </c>
      <c r="W30" s="5"/>
      <c r="X30" s="5" t="s">
        <v>83</v>
      </c>
      <c r="Y30" s="8" t="n">
        <v>5500</v>
      </c>
      <c r="Z30" s="8" t="s">
        <v>48</v>
      </c>
      <c r="AA30" s="8" t="s">
        <v>49</v>
      </c>
      <c r="AB30" s="13" t="str">
        <f aca="true" t="array" ref="AB30:AB30">LEFT(AA30,LOOKUP(2^15,FIND(".",AA30,ROW(INDIRECT("1:"&amp;LEN(AA30)))))-1)</f>
        <v>NB_2023_002 - 12012023 - 1</v>
      </c>
      <c r="AC30" s="8" t="s">
        <v>50</v>
      </c>
      <c r="AD30" s="13" t="str">
        <f aca="true" t="array" ref="AD30:AD30">LEFT(AC30,LOOKUP(2^15,FIND(".",AC30,ROW(INDIRECT("1:"&amp;LEN(AC30)))))-1)</f>
        <v>NB_2023_002 - 12012023 - 2</v>
      </c>
      <c r="AE30" s="5" t="str">
        <f aca="false">CONCATENATE(AB30, "-",H30, ".mzML")</f>
        <v>NB_2023_002 - 12012023 - 1-QC_P_2.mzML</v>
      </c>
      <c r="AF30" s="5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3" t="s">
        <v>86</v>
      </c>
      <c r="B31" s="4"/>
      <c r="C31" s="3" t="s">
        <v>87</v>
      </c>
      <c r="D31" s="5" t="s">
        <v>18</v>
      </c>
      <c r="E31" s="5" t="s">
        <v>34</v>
      </c>
      <c r="F31" s="6" t="s">
        <v>35</v>
      </c>
      <c r="G31" s="5" t="s">
        <v>34</v>
      </c>
      <c r="H31" s="7" t="s">
        <v>85</v>
      </c>
      <c r="I31" s="5" t="str">
        <f aca="false">CONCATENATE(E31, "_",H31)</f>
        <v>NLA_2023_001_QC_P_3</v>
      </c>
      <c r="J31" s="5" t="s">
        <v>52</v>
      </c>
      <c r="K31" s="5" t="s">
        <v>85</v>
      </c>
      <c r="L31" s="8" t="s">
        <v>69</v>
      </c>
      <c r="M31" s="6" t="s">
        <v>46</v>
      </c>
      <c r="N31" s="5" t="s">
        <v>78</v>
      </c>
      <c r="O31" s="5" t="s">
        <v>46</v>
      </c>
      <c r="P31" s="5" t="s">
        <v>79</v>
      </c>
      <c r="Q31" s="5" t="s">
        <v>80</v>
      </c>
      <c r="R31" s="5" t="s">
        <v>81</v>
      </c>
      <c r="S31" s="5" t="s">
        <v>46</v>
      </c>
      <c r="T31" s="5" t="s">
        <v>46</v>
      </c>
      <c r="U31" s="5" t="s">
        <v>82</v>
      </c>
      <c r="V31" s="1" t="n">
        <v>3</v>
      </c>
      <c r="W31" s="5"/>
      <c r="X31" s="5" t="s">
        <v>83</v>
      </c>
      <c r="Y31" s="8" t="n">
        <v>5500</v>
      </c>
      <c r="Z31" s="8" t="s">
        <v>48</v>
      </c>
      <c r="AA31" s="8" t="s">
        <v>49</v>
      </c>
      <c r="AB31" s="13" t="str">
        <f aca="true" t="array" ref="AB31:AB31">LEFT(AA31,LOOKUP(2^15,FIND(".",AA31,ROW(INDIRECT("1:"&amp;LEN(AA31)))))-1)</f>
        <v>NB_2023_002 - 12012023 - 1</v>
      </c>
      <c r="AC31" s="8" t="s">
        <v>50</v>
      </c>
      <c r="AD31" s="13" t="str">
        <f aca="true" t="array" ref="AD31:AD31">LEFT(AC31,LOOKUP(2^15,FIND(".",AC31,ROW(INDIRECT("1:"&amp;LEN(AC31)))))-1)</f>
        <v>NB_2023_002 - 12012023 - 2</v>
      </c>
      <c r="AE31" s="5" t="str">
        <f aca="false">CONCATENATE(AB31, "-",H31, ".mzML")</f>
        <v>NB_2023_002 - 12012023 - 1-QC_P_3.mzML</v>
      </c>
      <c r="AF31" s="5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3" t="s">
        <v>95</v>
      </c>
      <c r="B32" s="4"/>
      <c r="C32" s="3" t="s">
        <v>96</v>
      </c>
      <c r="D32" s="5" t="s">
        <v>14</v>
      </c>
      <c r="E32" s="5" t="s">
        <v>34</v>
      </c>
      <c r="F32" s="6" t="s">
        <v>35</v>
      </c>
      <c r="G32" s="5" t="s">
        <v>36</v>
      </c>
      <c r="H32" s="7" t="s">
        <v>88</v>
      </c>
      <c r="I32" s="5" t="str">
        <f aca="false">CONCATENATE(E32, "_",H32)</f>
        <v>NLA_2023_001_002</v>
      </c>
      <c r="J32" s="5" t="s">
        <v>38</v>
      </c>
      <c r="K32" s="5" t="s">
        <v>89</v>
      </c>
      <c r="L32" s="11" t="n">
        <v>359.6</v>
      </c>
      <c r="M32" s="6" t="s">
        <v>40</v>
      </c>
      <c r="N32" s="5" t="s">
        <v>41</v>
      </c>
      <c r="O32" s="12" t="s">
        <v>42</v>
      </c>
      <c r="P32" s="12" t="s">
        <v>43</v>
      </c>
      <c r="Q32" s="12" t="s">
        <v>43</v>
      </c>
      <c r="R32" s="5" t="s">
        <v>44</v>
      </c>
      <c r="S32" s="12" t="s">
        <v>90</v>
      </c>
      <c r="T32" s="5" t="s">
        <v>46</v>
      </c>
      <c r="U32" s="5" t="n">
        <v>1000</v>
      </c>
      <c r="V32" s="1" t="n">
        <v>1</v>
      </c>
      <c r="W32" s="5"/>
      <c r="X32" s="8" t="s">
        <v>47</v>
      </c>
      <c r="Y32" s="8" t="n">
        <v>5500</v>
      </c>
      <c r="Z32" s="8" t="s">
        <v>48</v>
      </c>
      <c r="AA32" s="8" t="s">
        <v>49</v>
      </c>
      <c r="AB32" s="13" t="str">
        <f aca="true" t="array" ref="AB32:AB32">LEFT(AA32,LOOKUP(2^15,FIND(".",AA32,ROW(INDIRECT("1:"&amp;LEN(AA32)))))-1)</f>
        <v>NB_2023_002 - 12012023 - 1</v>
      </c>
      <c r="AC32" s="8" t="s">
        <v>50</v>
      </c>
      <c r="AD32" s="13" t="str">
        <f aca="true" t="array" ref="AD32:AD32">LEFT(AC32,LOOKUP(2^15,FIND(".",AC32,ROW(INDIRECT("1:"&amp;LEN(AC32)))))-1)</f>
        <v>NB_2023_002 - 12012023 - 2</v>
      </c>
      <c r="AE32" s="5" t="str">
        <f aca="false">CONCATENATE(AB32, "-",H32, ".mzML")</f>
        <v>NB_2023_002 - 12012023 - 1-002.mzML</v>
      </c>
      <c r="AF32" s="5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3" t="s">
        <v>95</v>
      </c>
      <c r="B33" s="4"/>
      <c r="C33" s="3" t="s">
        <v>96</v>
      </c>
      <c r="D33" s="5" t="s">
        <v>14</v>
      </c>
      <c r="E33" s="5" t="s">
        <v>34</v>
      </c>
      <c r="F33" s="6" t="s">
        <v>35</v>
      </c>
      <c r="G33" s="5" t="s">
        <v>36</v>
      </c>
      <c r="H33" s="7" t="s">
        <v>97</v>
      </c>
      <c r="I33" s="5" t="str">
        <f aca="false">CONCATENATE(E33, "_",H33)</f>
        <v>NLA_2023_001_003</v>
      </c>
      <c r="J33" s="5" t="s">
        <v>52</v>
      </c>
      <c r="K33" s="5" t="s">
        <v>98</v>
      </c>
      <c r="L33" s="11" t="n">
        <v>268.8</v>
      </c>
      <c r="M33" s="6" t="s">
        <v>40</v>
      </c>
      <c r="N33" s="5" t="s">
        <v>41</v>
      </c>
      <c r="O33" s="12" t="s">
        <v>54</v>
      </c>
      <c r="P33" s="12" t="s">
        <v>43</v>
      </c>
      <c r="Q33" s="12" t="s">
        <v>55</v>
      </c>
      <c r="R33" s="5" t="s">
        <v>44</v>
      </c>
      <c r="S33" s="12" t="s">
        <v>90</v>
      </c>
      <c r="T33" s="5" t="s">
        <v>46</v>
      </c>
      <c r="U33" s="5" t="n">
        <v>1000</v>
      </c>
      <c r="V33" s="1" t="n">
        <v>1</v>
      </c>
      <c r="W33" s="5"/>
      <c r="X33" s="8" t="s">
        <v>47</v>
      </c>
      <c r="Y33" s="8" t="n">
        <v>5500</v>
      </c>
      <c r="Z33" s="8" t="s">
        <v>48</v>
      </c>
      <c r="AA33" s="8" t="s">
        <v>49</v>
      </c>
      <c r="AB33" s="13" t="str">
        <f aca="true" t="array" ref="AB33:AB33">LEFT(AA33,LOOKUP(2^15,FIND(".",AA33,ROW(INDIRECT("1:"&amp;LEN(AA33)))))-1)</f>
        <v>NB_2023_002 - 12012023 - 1</v>
      </c>
      <c r="AC33" s="8" t="s">
        <v>50</v>
      </c>
      <c r="AD33" s="13" t="str">
        <f aca="true" t="array" ref="AD33:AD33">LEFT(AC33,LOOKUP(2^15,FIND(".",AC33,ROW(INDIRECT("1:"&amp;LEN(AC33)))))-1)</f>
        <v>NB_2023_002 - 12012023 - 2</v>
      </c>
      <c r="AE33" s="5" t="str">
        <f aca="false">CONCATENATE(AB33, "-",H33, ".mzML")</f>
        <v>NB_2023_002 - 12012023 - 1-003.mzML</v>
      </c>
      <c r="AF33" s="5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3" t="s">
        <v>95</v>
      </c>
      <c r="B34" s="4"/>
      <c r="C34" s="3" t="s">
        <v>96</v>
      </c>
      <c r="D34" s="5" t="s">
        <v>14</v>
      </c>
      <c r="E34" s="5" t="s">
        <v>34</v>
      </c>
      <c r="F34" s="6" t="s">
        <v>35</v>
      </c>
      <c r="G34" s="5" t="s">
        <v>36</v>
      </c>
      <c r="H34" s="7" t="s">
        <v>99</v>
      </c>
      <c r="I34" s="5" t="str">
        <f aca="false">CONCATENATE(E34, "_",H34)</f>
        <v>NLA_2023_001_004</v>
      </c>
      <c r="J34" s="5" t="s">
        <v>52</v>
      </c>
      <c r="K34" s="5" t="s">
        <v>100</v>
      </c>
      <c r="L34" s="11" t="n">
        <v>211.7</v>
      </c>
      <c r="M34" s="6" t="s">
        <v>40</v>
      </c>
      <c r="N34" s="5" t="s">
        <v>41</v>
      </c>
      <c r="O34" s="12" t="s">
        <v>54</v>
      </c>
      <c r="P34" s="12" t="s">
        <v>43</v>
      </c>
      <c r="Q34" s="12" t="s">
        <v>55</v>
      </c>
      <c r="R34" s="5" t="s">
        <v>44</v>
      </c>
      <c r="S34" s="12" t="s">
        <v>90</v>
      </c>
      <c r="T34" s="5" t="s">
        <v>46</v>
      </c>
      <c r="U34" s="5" t="n">
        <v>1000</v>
      </c>
      <c r="V34" s="1" t="n">
        <v>1</v>
      </c>
      <c r="W34" s="5"/>
      <c r="X34" s="8" t="s">
        <v>47</v>
      </c>
      <c r="Y34" s="8" t="n">
        <v>5500</v>
      </c>
      <c r="Z34" s="8" t="s">
        <v>48</v>
      </c>
      <c r="AA34" s="8" t="s">
        <v>49</v>
      </c>
      <c r="AB34" s="13" t="str">
        <f aca="true" t="array" ref="AB34:AB34">LEFT(AA34,LOOKUP(2^15,FIND(".",AA34,ROW(INDIRECT("1:"&amp;LEN(AA34)))))-1)</f>
        <v>NB_2023_002 - 12012023 - 1</v>
      </c>
      <c r="AC34" s="8" t="s">
        <v>50</v>
      </c>
      <c r="AD34" s="13" t="str">
        <f aca="true" t="array" ref="AD34:AD34">LEFT(AC34,LOOKUP(2^15,FIND(".",AC34,ROW(INDIRECT("1:"&amp;LEN(AC34)))))-1)</f>
        <v>NB_2023_002 - 12012023 - 2</v>
      </c>
      <c r="AE34" s="5" t="str">
        <f aca="false">CONCATENATE(AB34, "-",H34, ".mzML")</f>
        <v>NB_2023_002 - 12012023 - 1-004.mzML</v>
      </c>
      <c r="AF34" s="5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3" t="s">
        <v>95</v>
      </c>
      <c r="B35" s="4"/>
      <c r="C35" s="3" t="s">
        <v>96</v>
      </c>
      <c r="D35" s="5" t="s">
        <v>14</v>
      </c>
      <c r="E35" s="5" t="s">
        <v>34</v>
      </c>
      <c r="F35" s="6" t="s">
        <v>35</v>
      </c>
      <c r="G35" s="5" t="s">
        <v>36</v>
      </c>
      <c r="H35" s="7" t="s">
        <v>91</v>
      </c>
      <c r="I35" s="5" t="str">
        <f aca="false">CONCATENATE(E35, "_",H35)</f>
        <v>NLA_2023_001_005</v>
      </c>
      <c r="J35" s="5" t="s">
        <v>38</v>
      </c>
      <c r="K35" s="5" t="s">
        <v>92</v>
      </c>
      <c r="L35" s="11" t="n">
        <v>228.8</v>
      </c>
      <c r="M35" s="6" t="s">
        <v>40</v>
      </c>
      <c r="N35" s="5" t="s">
        <v>41</v>
      </c>
      <c r="O35" s="12" t="s">
        <v>42</v>
      </c>
      <c r="P35" s="12" t="s">
        <v>43</v>
      </c>
      <c r="Q35" s="12" t="s">
        <v>43</v>
      </c>
      <c r="R35" s="5" t="s">
        <v>44</v>
      </c>
      <c r="S35" s="12" t="s">
        <v>90</v>
      </c>
      <c r="T35" s="5" t="s">
        <v>46</v>
      </c>
      <c r="U35" s="5" t="n">
        <v>1000</v>
      </c>
      <c r="V35" s="1" t="n">
        <v>1</v>
      </c>
      <c r="W35" s="5"/>
      <c r="X35" s="8" t="s">
        <v>47</v>
      </c>
      <c r="Y35" s="8" t="n">
        <v>5500</v>
      </c>
      <c r="Z35" s="8" t="s">
        <v>48</v>
      </c>
      <c r="AA35" s="8" t="s">
        <v>49</v>
      </c>
      <c r="AB35" s="13" t="str">
        <f aca="true" t="array" ref="AB35:AB35">LEFT(AA35,LOOKUP(2^15,FIND(".",AA35,ROW(INDIRECT("1:"&amp;LEN(AA35)))))-1)</f>
        <v>NB_2023_002 - 12012023 - 1</v>
      </c>
      <c r="AC35" s="8" t="s">
        <v>50</v>
      </c>
      <c r="AD35" s="13" t="str">
        <f aca="true" t="array" ref="AD35:AD35">LEFT(AC35,LOOKUP(2^15,FIND(".",AC35,ROW(INDIRECT("1:"&amp;LEN(AC35)))))-1)</f>
        <v>NB_2023_002 - 12012023 - 2</v>
      </c>
      <c r="AE35" s="5" t="str">
        <f aca="false">CONCATENATE(AB35, "-",H35, ".mzML")</f>
        <v>NB_2023_002 - 12012023 - 1-005.mzML</v>
      </c>
      <c r="AF35" s="5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3" t="s">
        <v>95</v>
      </c>
      <c r="B36" s="4"/>
      <c r="C36" s="3" t="s">
        <v>96</v>
      </c>
      <c r="D36" s="5" t="s">
        <v>14</v>
      </c>
      <c r="E36" s="5" t="s">
        <v>34</v>
      </c>
      <c r="F36" s="6" t="s">
        <v>35</v>
      </c>
      <c r="G36" s="5" t="s">
        <v>36</v>
      </c>
      <c r="H36" s="7" t="s">
        <v>101</v>
      </c>
      <c r="I36" s="5" t="str">
        <f aca="false">CONCATENATE(E36, "_",H36)</f>
        <v>NLA_2023_001_006</v>
      </c>
      <c r="J36" s="5" t="s">
        <v>52</v>
      </c>
      <c r="K36" s="5" t="s">
        <v>102</v>
      </c>
      <c r="L36" s="11" t="n">
        <v>185.7</v>
      </c>
      <c r="M36" s="6" t="s">
        <v>40</v>
      </c>
      <c r="N36" s="5" t="s">
        <v>41</v>
      </c>
      <c r="O36" s="12" t="s">
        <v>54</v>
      </c>
      <c r="P36" s="12" t="s">
        <v>43</v>
      </c>
      <c r="Q36" s="12" t="s">
        <v>55</v>
      </c>
      <c r="R36" s="5" t="s">
        <v>44</v>
      </c>
      <c r="S36" s="12" t="s">
        <v>90</v>
      </c>
      <c r="T36" s="5" t="s">
        <v>46</v>
      </c>
      <c r="U36" s="5" t="n">
        <v>1000</v>
      </c>
      <c r="V36" s="1" t="n">
        <v>1</v>
      </c>
      <c r="W36" s="5"/>
      <c r="X36" s="8" t="s">
        <v>47</v>
      </c>
      <c r="Y36" s="8" t="n">
        <v>5500</v>
      </c>
      <c r="Z36" s="8" t="s">
        <v>48</v>
      </c>
      <c r="AA36" s="8" t="s">
        <v>49</v>
      </c>
      <c r="AB36" s="13" t="str">
        <f aca="true" t="array" ref="AB36:AB36">LEFT(AA36,LOOKUP(2^15,FIND(".",AA36,ROW(INDIRECT("1:"&amp;LEN(AA36)))))-1)</f>
        <v>NB_2023_002 - 12012023 - 1</v>
      </c>
      <c r="AC36" s="8" t="s">
        <v>50</v>
      </c>
      <c r="AD36" s="13" t="str">
        <f aca="true" t="array" ref="AD36:AD36">LEFT(AC36,LOOKUP(2^15,FIND(".",AC36,ROW(INDIRECT("1:"&amp;LEN(AC36)))))-1)</f>
        <v>NB_2023_002 - 12012023 - 2</v>
      </c>
      <c r="AE36" s="5" t="str">
        <f aca="false">CONCATENATE(AB36, "-",H36, ".mzML")</f>
        <v>NB_2023_002 - 12012023 - 1-006.mzML</v>
      </c>
      <c r="AF36" s="5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3" t="s">
        <v>95</v>
      </c>
      <c r="B37" s="4"/>
      <c r="C37" s="3" t="s">
        <v>96</v>
      </c>
      <c r="D37" s="5" t="s">
        <v>14</v>
      </c>
      <c r="E37" s="5" t="s">
        <v>34</v>
      </c>
      <c r="F37" s="6" t="s">
        <v>35</v>
      </c>
      <c r="G37" s="5" t="s">
        <v>36</v>
      </c>
      <c r="H37" s="7" t="s">
        <v>93</v>
      </c>
      <c r="I37" s="5" t="str">
        <f aca="false">CONCATENATE(E37, "_",H37)</f>
        <v>NLA_2023_001_018</v>
      </c>
      <c r="J37" s="5" t="s">
        <v>38</v>
      </c>
      <c r="K37" s="5" t="s">
        <v>94</v>
      </c>
      <c r="L37" s="11" t="n">
        <v>217</v>
      </c>
      <c r="M37" s="6" t="s">
        <v>40</v>
      </c>
      <c r="N37" s="5" t="s">
        <v>41</v>
      </c>
      <c r="O37" s="12" t="s">
        <v>42</v>
      </c>
      <c r="P37" s="12" t="s">
        <v>43</v>
      </c>
      <c r="Q37" s="12" t="s">
        <v>43</v>
      </c>
      <c r="R37" s="5" t="s">
        <v>44</v>
      </c>
      <c r="S37" s="12" t="s">
        <v>90</v>
      </c>
      <c r="T37" s="5" t="s">
        <v>46</v>
      </c>
      <c r="U37" s="5" t="n">
        <v>1000</v>
      </c>
      <c r="V37" s="1" t="n">
        <v>1</v>
      </c>
      <c r="W37" s="5"/>
      <c r="X37" s="8" t="s">
        <v>47</v>
      </c>
      <c r="Y37" s="8" t="n">
        <v>5500</v>
      </c>
      <c r="Z37" s="8" t="s">
        <v>48</v>
      </c>
      <c r="AA37" s="8" t="s">
        <v>49</v>
      </c>
      <c r="AB37" s="13" t="str">
        <f aca="true" t="array" ref="AB37:AB37">LEFT(AA37,LOOKUP(2^15,FIND(".",AA37,ROW(INDIRECT("1:"&amp;LEN(AA37)))))-1)</f>
        <v>NB_2023_002 - 12012023 - 1</v>
      </c>
      <c r="AC37" s="8" t="s">
        <v>50</v>
      </c>
      <c r="AD37" s="13" t="str">
        <f aca="true" t="array" ref="AD37:AD37">LEFT(AC37,LOOKUP(2^15,FIND(".",AC37,ROW(INDIRECT("1:"&amp;LEN(AC37)))))-1)</f>
        <v>NB_2023_002 - 12012023 - 2</v>
      </c>
      <c r="AE37" s="5" t="str">
        <f aca="false">CONCATENATE(AB37, "-",H37, ".mzML")</f>
        <v>NB_2023_002 - 12012023 - 1-018.mzML</v>
      </c>
      <c r="AF37" s="5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3" t="s">
        <v>95</v>
      </c>
      <c r="B38" s="4"/>
      <c r="C38" s="3" t="s">
        <v>96</v>
      </c>
      <c r="D38" s="5" t="s">
        <v>14</v>
      </c>
      <c r="E38" s="5" t="s">
        <v>34</v>
      </c>
      <c r="F38" s="6" t="s">
        <v>35</v>
      </c>
      <c r="G38" s="5" t="s">
        <v>34</v>
      </c>
      <c r="H38" s="7" t="s">
        <v>64</v>
      </c>
      <c r="I38" s="5" t="str">
        <f aca="false">CONCATENATE(E38, "_",H38)</f>
        <v>NLA_2023_001_Blank_1</v>
      </c>
      <c r="J38" s="5" t="s">
        <v>52</v>
      </c>
      <c r="K38" s="5" t="s">
        <v>64</v>
      </c>
      <c r="L38" s="8" t="s">
        <v>46</v>
      </c>
      <c r="M38" s="6" t="s">
        <v>46</v>
      </c>
      <c r="N38" s="5" t="s">
        <v>65</v>
      </c>
      <c r="O38" s="5" t="s">
        <v>46</v>
      </c>
      <c r="P38" s="5" t="s">
        <v>46</v>
      </c>
      <c r="Q38" s="5" t="s">
        <v>46</v>
      </c>
      <c r="R38" s="5" t="s">
        <v>46</v>
      </c>
      <c r="S38" s="5" t="s">
        <v>46</v>
      </c>
      <c r="T38" s="5" t="s">
        <v>46</v>
      </c>
      <c r="U38" s="5" t="s">
        <v>46</v>
      </c>
      <c r="V38" s="1" t="n">
        <v>1</v>
      </c>
      <c r="W38" s="5"/>
      <c r="X38" s="8" t="s">
        <v>46</v>
      </c>
      <c r="Y38" s="8" t="n">
        <v>5500</v>
      </c>
      <c r="Z38" s="8" t="s">
        <v>48</v>
      </c>
      <c r="AA38" s="8" t="s">
        <v>49</v>
      </c>
      <c r="AB38" s="13" t="str">
        <f aca="true" t="array" ref="AB38:AB38">LEFT(AA38,LOOKUP(2^15,FIND(".",AA38,ROW(INDIRECT("1:"&amp;LEN(AA38)))))-1)</f>
        <v>NB_2023_002 - 12012023 - 1</v>
      </c>
      <c r="AC38" s="8" t="s">
        <v>50</v>
      </c>
      <c r="AD38" s="13" t="str">
        <f aca="true" t="array" ref="AD38:AD38">LEFT(AC38,LOOKUP(2^15,FIND(".",AC38,ROW(INDIRECT("1:"&amp;LEN(AC38)))))-1)</f>
        <v>NB_2023_002 - 12012023 - 2</v>
      </c>
      <c r="AE38" s="5" t="str">
        <f aca="false">CONCATENATE(AB38, "-",H38, ".mzML")</f>
        <v>NB_2023_002 - 12012023 - 1-Blank_1.mzML</v>
      </c>
      <c r="AF38" s="5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3" t="s">
        <v>95</v>
      </c>
      <c r="B39" s="4"/>
      <c r="C39" s="3" t="s">
        <v>96</v>
      </c>
      <c r="D39" s="5" t="s">
        <v>14</v>
      </c>
      <c r="E39" s="5" t="s">
        <v>34</v>
      </c>
      <c r="F39" s="6" t="s">
        <v>35</v>
      </c>
      <c r="G39" s="5" t="s">
        <v>34</v>
      </c>
      <c r="H39" s="7" t="s">
        <v>66</v>
      </c>
      <c r="I39" s="5" t="str">
        <f aca="false">CONCATENATE(E39, "_",H39)</f>
        <v>NLA_2023_001_Blank_2</v>
      </c>
      <c r="J39" s="5" t="s">
        <v>52</v>
      </c>
      <c r="K39" s="5" t="s">
        <v>66</v>
      </c>
      <c r="L39" s="8" t="s">
        <v>46</v>
      </c>
      <c r="M39" s="6" t="s">
        <v>46</v>
      </c>
      <c r="N39" s="5" t="s">
        <v>65</v>
      </c>
      <c r="O39" s="5" t="s">
        <v>46</v>
      </c>
      <c r="P39" s="5" t="s">
        <v>46</v>
      </c>
      <c r="Q39" s="5" t="s">
        <v>46</v>
      </c>
      <c r="R39" s="5" t="s">
        <v>46</v>
      </c>
      <c r="S39" s="5" t="s">
        <v>46</v>
      </c>
      <c r="T39" s="5" t="s">
        <v>46</v>
      </c>
      <c r="U39" s="5" t="s">
        <v>46</v>
      </c>
      <c r="V39" s="1" t="n">
        <v>2</v>
      </c>
      <c r="W39" s="5"/>
      <c r="X39" s="8" t="s">
        <v>46</v>
      </c>
      <c r="Y39" s="8" t="n">
        <v>5500</v>
      </c>
      <c r="Z39" s="8" t="s">
        <v>48</v>
      </c>
      <c r="AA39" s="8" t="s">
        <v>49</v>
      </c>
      <c r="AB39" s="13" t="str">
        <f aca="true" t="array" ref="AB39:AB39">LEFT(AA39,LOOKUP(2^15,FIND(".",AA39,ROW(INDIRECT("1:"&amp;LEN(AA39)))))-1)</f>
        <v>NB_2023_002 - 12012023 - 1</v>
      </c>
      <c r="AC39" s="8" t="s">
        <v>50</v>
      </c>
      <c r="AD39" s="13" t="str">
        <f aca="true" t="array" ref="AD39:AD39">LEFT(AC39,LOOKUP(2^15,FIND(".",AC39,ROW(INDIRECT("1:"&amp;LEN(AC39)))))-1)</f>
        <v>NB_2023_002 - 12012023 - 2</v>
      </c>
      <c r="AE39" s="5" t="str">
        <f aca="false">CONCATENATE(AB39, "-",H39, ".mzML")</f>
        <v>NB_2023_002 - 12012023 - 1-Blank_2.mzML</v>
      </c>
      <c r="AF39" s="5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3" t="s">
        <v>95</v>
      </c>
      <c r="B40" s="4"/>
      <c r="C40" s="3" t="s">
        <v>96</v>
      </c>
      <c r="D40" s="5" t="s">
        <v>14</v>
      </c>
      <c r="E40" s="5" t="s">
        <v>34</v>
      </c>
      <c r="F40" s="6" t="s">
        <v>35</v>
      </c>
      <c r="G40" s="5" t="s">
        <v>34</v>
      </c>
      <c r="H40" s="7" t="s">
        <v>67</v>
      </c>
      <c r="I40" s="5" t="str">
        <f aca="false">CONCATENATE(E40, "_",H40)</f>
        <v>NLA_2023_001_Blank_3</v>
      </c>
      <c r="J40" s="5" t="s">
        <v>52</v>
      </c>
      <c r="K40" s="5" t="s">
        <v>67</v>
      </c>
      <c r="L40" s="8" t="s">
        <v>46</v>
      </c>
      <c r="M40" s="6" t="s">
        <v>46</v>
      </c>
      <c r="N40" s="5" t="s">
        <v>65</v>
      </c>
      <c r="O40" s="5" t="s">
        <v>46</v>
      </c>
      <c r="P40" s="5" t="s">
        <v>46</v>
      </c>
      <c r="Q40" s="5" t="s">
        <v>46</v>
      </c>
      <c r="R40" s="5" t="s">
        <v>46</v>
      </c>
      <c r="S40" s="5" t="s">
        <v>46</v>
      </c>
      <c r="T40" s="5" t="s">
        <v>46</v>
      </c>
      <c r="U40" s="5" t="s">
        <v>46</v>
      </c>
      <c r="V40" s="1" t="n">
        <v>3</v>
      </c>
      <c r="W40" s="5"/>
      <c r="X40" s="8" t="s">
        <v>46</v>
      </c>
      <c r="Y40" s="8" t="n">
        <v>5500</v>
      </c>
      <c r="Z40" s="8" t="s">
        <v>48</v>
      </c>
      <c r="AA40" s="8" t="s">
        <v>49</v>
      </c>
      <c r="AB40" s="13" t="str">
        <f aca="true" t="array" ref="AB40:AB40">LEFT(AA40,LOOKUP(2^15,FIND(".",AA40,ROW(INDIRECT("1:"&amp;LEN(AA40)))))-1)</f>
        <v>NB_2023_002 - 12012023 - 1</v>
      </c>
      <c r="AC40" s="8" t="s">
        <v>50</v>
      </c>
      <c r="AD40" s="13" t="str">
        <f aca="true" t="array" ref="AD40:AD40">LEFT(AC40,LOOKUP(2^15,FIND(".",AC40,ROW(INDIRECT("1:"&amp;LEN(AC40)))))-1)</f>
        <v>NB_2023_002 - 12012023 - 2</v>
      </c>
      <c r="AE40" s="5" t="str">
        <f aca="false">CONCATENATE(AB40, "-",H40, ".mzML")</f>
        <v>NB_2023_002 - 12012023 - 1-Blank_3.mzML</v>
      </c>
      <c r="AF40" s="5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3" t="s">
        <v>95</v>
      </c>
      <c r="B41" s="4"/>
      <c r="C41" s="3" t="s">
        <v>96</v>
      </c>
      <c r="D41" s="5" t="s">
        <v>14</v>
      </c>
      <c r="E41" s="5" t="s">
        <v>34</v>
      </c>
      <c r="F41" s="6" t="s">
        <v>35</v>
      </c>
      <c r="G41" s="5" t="s">
        <v>34</v>
      </c>
      <c r="H41" s="7" t="s">
        <v>68</v>
      </c>
      <c r="I41" s="5" t="str">
        <f aca="false">CONCATENATE(E41, "_",H41)</f>
        <v>NLA_2023_001_QC_C_1</v>
      </c>
      <c r="J41" s="5" t="s">
        <v>52</v>
      </c>
      <c r="K41" s="5" t="s">
        <v>68</v>
      </c>
      <c r="L41" s="8" t="s">
        <v>69</v>
      </c>
      <c r="M41" s="5" t="s">
        <v>46</v>
      </c>
      <c r="N41" s="5" t="s">
        <v>70</v>
      </c>
      <c r="O41" s="5" t="s">
        <v>46</v>
      </c>
      <c r="P41" s="5" t="s">
        <v>71</v>
      </c>
      <c r="Q41" s="5" t="s">
        <v>71</v>
      </c>
      <c r="R41" s="5" t="s">
        <v>72</v>
      </c>
      <c r="S41" s="5" t="s">
        <v>73</v>
      </c>
      <c r="T41" s="5" t="s">
        <v>46</v>
      </c>
      <c r="U41" s="5" t="n">
        <v>1000</v>
      </c>
      <c r="V41" s="1" t="n">
        <v>1</v>
      </c>
      <c r="W41" s="5"/>
      <c r="X41" s="5" t="s">
        <v>74</v>
      </c>
      <c r="Y41" s="8" t="n">
        <v>5500</v>
      </c>
      <c r="Z41" s="8" t="s">
        <v>48</v>
      </c>
      <c r="AA41" s="8" t="s">
        <v>49</v>
      </c>
      <c r="AB41" s="13" t="str">
        <f aca="true" t="array" ref="AB41:AB41">LEFT(AA41,LOOKUP(2^15,FIND(".",AA41,ROW(INDIRECT("1:"&amp;LEN(AA41)))))-1)</f>
        <v>NB_2023_002 - 12012023 - 1</v>
      </c>
      <c r="AC41" s="8" t="s">
        <v>50</v>
      </c>
      <c r="AD41" s="13" t="str">
        <f aca="true" t="array" ref="AD41:AD41">LEFT(AC41,LOOKUP(2^15,FIND(".",AC41,ROW(INDIRECT("1:"&amp;LEN(AC41)))))-1)</f>
        <v>NB_2023_002 - 12012023 - 2</v>
      </c>
      <c r="AE41" s="5" t="str">
        <f aca="false">CONCATENATE(AB41, "-",H41, ".mzML")</f>
        <v>NB_2023_002 - 12012023 - 1-QC_C_1.mzML</v>
      </c>
      <c r="AF41" s="5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3" t="s">
        <v>95</v>
      </c>
      <c r="B42" s="4"/>
      <c r="C42" s="3" t="s">
        <v>96</v>
      </c>
      <c r="D42" s="5" t="s">
        <v>14</v>
      </c>
      <c r="E42" s="5" t="s">
        <v>34</v>
      </c>
      <c r="F42" s="6" t="s">
        <v>35</v>
      </c>
      <c r="G42" s="5" t="s">
        <v>34</v>
      </c>
      <c r="H42" s="7" t="s">
        <v>75</v>
      </c>
      <c r="I42" s="5" t="str">
        <f aca="false">CONCATENATE(E42, "_",H42)</f>
        <v>NLA_2023_001_QC_C_2</v>
      </c>
      <c r="J42" s="5" t="s">
        <v>52</v>
      </c>
      <c r="K42" s="5" t="s">
        <v>75</v>
      </c>
      <c r="L42" s="8" t="s">
        <v>69</v>
      </c>
      <c r="M42" s="5" t="s">
        <v>46</v>
      </c>
      <c r="N42" s="5" t="s">
        <v>70</v>
      </c>
      <c r="O42" s="5" t="s">
        <v>46</v>
      </c>
      <c r="P42" s="5" t="s">
        <v>71</v>
      </c>
      <c r="Q42" s="5" t="s">
        <v>71</v>
      </c>
      <c r="R42" s="5" t="s">
        <v>72</v>
      </c>
      <c r="S42" s="5" t="s">
        <v>73</v>
      </c>
      <c r="T42" s="5" t="s">
        <v>46</v>
      </c>
      <c r="U42" s="5" t="n">
        <v>1000</v>
      </c>
      <c r="V42" s="1" t="n">
        <v>2</v>
      </c>
      <c r="W42" s="5"/>
      <c r="X42" s="5" t="s">
        <v>74</v>
      </c>
      <c r="Y42" s="8" t="n">
        <v>5500</v>
      </c>
      <c r="Z42" s="8" t="s">
        <v>48</v>
      </c>
      <c r="AA42" s="8" t="s">
        <v>49</v>
      </c>
      <c r="AB42" s="13" t="str">
        <f aca="true" t="array" ref="AB42:AB42">LEFT(AA42,LOOKUP(2^15,FIND(".",AA42,ROW(INDIRECT("1:"&amp;LEN(AA42)))))-1)</f>
        <v>NB_2023_002 - 12012023 - 1</v>
      </c>
      <c r="AC42" s="8" t="s">
        <v>50</v>
      </c>
      <c r="AD42" s="13" t="str">
        <f aca="true" t="array" ref="AD42:AD42">LEFT(AC42,LOOKUP(2^15,FIND(".",AC42,ROW(INDIRECT("1:"&amp;LEN(AC42)))))-1)</f>
        <v>NB_2023_002 - 12012023 - 2</v>
      </c>
      <c r="AE42" s="5" t="str">
        <f aca="false">CONCATENATE(AB42, "-",H42, ".mzML")</f>
        <v>NB_2023_002 - 12012023 - 1-QC_C_2.mzML</v>
      </c>
      <c r="AF42" s="5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3" t="s">
        <v>95</v>
      </c>
      <c r="B43" s="4"/>
      <c r="C43" s="3" t="s">
        <v>96</v>
      </c>
      <c r="D43" s="5" t="s">
        <v>14</v>
      </c>
      <c r="E43" s="5" t="s">
        <v>34</v>
      </c>
      <c r="F43" s="6" t="s">
        <v>35</v>
      </c>
      <c r="G43" s="5" t="s">
        <v>34</v>
      </c>
      <c r="H43" s="7" t="s">
        <v>76</v>
      </c>
      <c r="I43" s="5" t="str">
        <f aca="false">CONCATENATE(E43, "_",H43)</f>
        <v>NLA_2023_001_QC_C_3</v>
      </c>
      <c r="J43" s="5" t="s">
        <v>52</v>
      </c>
      <c r="K43" s="5" t="s">
        <v>76</v>
      </c>
      <c r="L43" s="8" t="s">
        <v>69</v>
      </c>
      <c r="M43" s="5" t="s">
        <v>46</v>
      </c>
      <c r="N43" s="5" t="s">
        <v>70</v>
      </c>
      <c r="O43" s="5" t="s">
        <v>46</v>
      </c>
      <c r="P43" s="5" t="s">
        <v>71</v>
      </c>
      <c r="Q43" s="5" t="s">
        <v>71</v>
      </c>
      <c r="R43" s="5" t="s">
        <v>72</v>
      </c>
      <c r="S43" s="5" t="s">
        <v>73</v>
      </c>
      <c r="T43" s="5" t="s">
        <v>46</v>
      </c>
      <c r="U43" s="5" t="n">
        <v>1000</v>
      </c>
      <c r="V43" s="1" t="n">
        <v>3</v>
      </c>
      <c r="W43" s="5"/>
      <c r="X43" s="5" t="s">
        <v>74</v>
      </c>
      <c r="Y43" s="8" t="n">
        <v>5500</v>
      </c>
      <c r="Z43" s="8" t="s">
        <v>48</v>
      </c>
      <c r="AA43" s="8" t="s">
        <v>49</v>
      </c>
      <c r="AB43" s="13" t="str">
        <f aca="true" t="array" ref="AB43:AB43">LEFT(AA43,LOOKUP(2^15,FIND(".",AA43,ROW(INDIRECT("1:"&amp;LEN(AA43)))))-1)</f>
        <v>NB_2023_002 - 12012023 - 1</v>
      </c>
      <c r="AC43" s="8" t="s">
        <v>50</v>
      </c>
      <c r="AD43" s="13" t="str">
        <f aca="true" t="array" ref="AD43:AD43">LEFT(AC43,LOOKUP(2^15,FIND(".",AC43,ROW(INDIRECT("1:"&amp;LEN(AC43)))))-1)</f>
        <v>NB_2023_002 - 12012023 - 2</v>
      </c>
      <c r="AE43" s="5" t="str">
        <f aca="false">CONCATENATE(AB43, "-",H43, ".mzML")</f>
        <v>NB_2023_002 - 12012023 - 1-QC_C_3.mzML</v>
      </c>
      <c r="AF43" s="5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3" t="s">
        <v>95</v>
      </c>
      <c r="B44" s="4"/>
      <c r="C44" s="3" t="s">
        <v>96</v>
      </c>
      <c r="D44" s="5" t="s">
        <v>14</v>
      </c>
      <c r="E44" s="5" t="s">
        <v>34</v>
      </c>
      <c r="F44" s="6" t="s">
        <v>35</v>
      </c>
      <c r="G44" s="5" t="s">
        <v>34</v>
      </c>
      <c r="H44" s="7" t="s">
        <v>77</v>
      </c>
      <c r="I44" s="5" t="str">
        <f aca="false">CONCATENATE(E44, "_",H44)</f>
        <v>NLA_2023_001_QC_P_1</v>
      </c>
      <c r="J44" s="5" t="s">
        <v>52</v>
      </c>
      <c r="K44" s="5" t="s">
        <v>77</v>
      </c>
      <c r="L44" s="8" t="s">
        <v>69</v>
      </c>
      <c r="M44" s="6" t="s">
        <v>46</v>
      </c>
      <c r="N44" s="5" t="s">
        <v>78</v>
      </c>
      <c r="O44" s="5" t="s">
        <v>46</v>
      </c>
      <c r="P44" s="5" t="s">
        <v>79</v>
      </c>
      <c r="Q44" s="5" t="s">
        <v>80</v>
      </c>
      <c r="R44" s="5" t="s">
        <v>81</v>
      </c>
      <c r="S44" s="5" t="s">
        <v>46</v>
      </c>
      <c r="T44" s="5" t="s">
        <v>46</v>
      </c>
      <c r="U44" s="5" t="s">
        <v>82</v>
      </c>
      <c r="V44" s="1" t="n">
        <v>1</v>
      </c>
      <c r="W44" s="5"/>
      <c r="X44" s="5" t="s">
        <v>83</v>
      </c>
      <c r="Y44" s="8" t="n">
        <v>5500</v>
      </c>
      <c r="Z44" s="8" t="s">
        <v>48</v>
      </c>
      <c r="AA44" s="8" t="s">
        <v>49</v>
      </c>
      <c r="AB44" s="13" t="str">
        <f aca="true" t="array" ref="AB44:AB44">LEFT(AA44,LOOKUP(2^15,FIND(".",AA44,ROW(INDIRECT("1:"&amp;LEN(AA44)))))-1)</f>
        <v>NB_2023_002 - 12012023 - 1</v>
      </c>
      <c r="AC44" s="8" t="s">
        <v>50</v>
      </c>
      <c r="AD44" s="13" t="str">
        <f aca="true" t="array" ref="AD44:AD44">LEFT(AC44,LOOKUP(2^15,FIND(".",AC44,ROW(INDIRECT("1:"&amp;LEN(AC44)))))-1)</f>
        <v>NB_2023_002 - 12012023 - 2</v>
      </c>
      <c r="AE44" s="5" t="str">
        <f aca="false">CONCATENATE(AB44, "-",H44, ".mzML")</f>
        <v>NB_2023_002 - 12012023 - 1-QC_P_1.mzML</v>
      </c>
      <c r="AF44" s="5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3" t="s">
        <v>95</v>
      </c>
      <c r="B45" s="4"/>
      <c r="C45" s="3" t="s">
        <v>96</v>
      </c>
      <c r="D45" s="5" t="s">
        <v>14</v>
      </c>
      <c r="E45" s="5" t="s">
        <v>34</v>
      </c>
      <c r="F45" s="6" t="s">
        <v>35</v>
      </c>
      <c r="G45" s="5" t="s">
        <v>34</v>
      </c>
      <c r="H45" s="7" t="s">
        <v>84</v>
      </c>
      <c r="I45" s="5" t="str">
        <f aca="false">CONCATENATE(E45, "_",H45)</f>
        <v>NLA_2023_001_QC_P_2</v>
      </c>
      <c r="J45" s="5" t="s">
        <v>52</v>
      </c>
      <c r="K45" s="5" t="s">
        <v>84</v>
      </c>
      <c r="L45" s="8" t="s">
        <v>69</v>
      </c>
      <c r="M45" s="6" t="s">
        <v>46</v>
      </c>
      <c r="N45" s="5" t="s">
        <v>78</v>
      </c>
      <c r="O45" s="5" t="s">
        <v>46</v>
      </c>
      <c r="P45" s="5" t="s">
        <v>79</v>
      </c>
      <c r="Q45" s="5" t="s">
        <v>80</v>
      </c>
      <c r="R45" s="5" t="s">
        <v>81</v>
      </c>
      <c r="S45" s="5" t="s">
        <v>46</v>
      </c>
      <c r="T45" s="5" t="s">
        <v>46</v>
      </c>
      <c r="U45" s="5" t="s">
        <v>82</v>
      </c>
      <c r="V45" s="1" t="n">
        <v>2</v>
      </c>
      <c r="W45" s="5"/>
      <c r="X45" s="5" t="s">
        <v>83</v>
      </c>
      <c r="Y45" s="8" t="n">
        <v>5500</v>
      </c>
      <c r="Z45" s="8" t="s">
        <v>48</v>
      </c>
      <c r="AA45" s="8" t="s">
        <v>49</v>
      </c>
      <c r="AB45" s="13" t="str">
        <f aca="true" t="array" ref="AB45:AB45">LEFT(AA45,LOOKUP(2^15,FIND(".",AA45,ROW(INDIRECT("1:"&amp;LEN(AA45)))))-1)</f>
        <v>NB_2023_002 - 12012023 - 1</v>
      </c>
      <c r="AC45" s="8" t="s">
        <v>50</v>
      </c>
      <c r="AD45" s="13" t="str">
        <f aca="true" t="array" ref="AD45:AD45">LEFT(AC45,LOOKUP(2^15,FIND(".",AC45,ROW(INDIRECT("1:"&amp;LEN(AC45)))))-1)</f>
        <v>NB_2023_002 - 12012023 - 2</v>
      </c>
      <c r="AE45" s="5" t="str">
        <f aca="false">CONCATENATE(AB45, "-",H45, ".mzML")</f>
        <v>NB_2023_002 - 12012023 - 1-QC_P_2.mzML</v>
      </c>
      <c r="AF45" s="5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3" t="s">
        <v>95</v>
      </c>
      <c r="B46" s="4"/>
      <c r="C46" s="3" t="s">
        <v>96</v>
      </c>
      <c r="D46" s="5" t="s">
        <v>14</v>
      </c>
      <c r="E46" s="5" t="s">
        <v>34</v>
      </c>
      <c r="F46" s="6" t="s">
        <v>35</v>
      </c>
      <c r="G46" s="5" t="s">
        <v>34</v>
      </c>
      <c r="H46" s="7" t="s">
        <v>85</v>
      </c>
      <c r="I46" s="5" t="str">
        <f aca="false">CONCATENATE(E46, "_",H46)</f>
        <v>NLA_2023_001_QC_P_3</v>
      </c>
      <c r="J46" s="5" t="s">
        <v>52</v>
      </c>
      <c r="K46" s="5" t="s">
        <v>85</v>
      </c>
      <c r="L46" s="8" t="s">
        <v>69</v>
      </c>
      <c r="M46" s="6" t="s">
        <v>46</v>
      </c>
      <c r="N46" s="5" t="s">
        <v>78</v>
      </c>
      <c r="O46" s="5" t="s">
        <v>46</v>
      </c>
      <c r="P46" s="5" t="s">
        <v>79</v>
      </c>
      <c r="Q46" s="5" t="s">
        <v>80</v>
      </c>
      <c r="R46" s="5" t="s">
        <v>81</v>
      </c>
      <c r="S46" s="5" t="s">
        <v>46</v>
      </c>
      <c r="T46" s="5" t="s">
        <v>46</v>
      </c>
      <c r="U46" s="5" t="s">
        <v>82</v>
      </c>
      <c r="V46" s="1" t="n">
        <v>3</v>
      </c>
      <c r="W46" s="5"/>
      <c r="X46" s="5" t="s">
        <v>83</v>
      </c>
      <c r="Y46" s="8" t="n">
        <v>5500</v>
      </c>
      <c r="Z46" s="8" t="s">
        <v>48</v>
      </c>
      <c r="AA46" s="8" t="s">
        <v>49</v>
      </c>
      <c r="AB46" s="13" t="str">
        <f aca="true" t="array" ref="AB46:AB46">LEFT(AA46,LOOKUP(2^15,FIND(".",AA46,ROW(INDIRECT("1:"&amp;LEN(AA46)))))-1)</f>
        <v>NB_2023_002 - 12012023 - 1</v>
      </c>
      <c r="AC46" s="8" t="s">
        <v>50</v>
      </c>
      <c r="AD46" s="13" t="str">
        <f aca="true" t="array" ref="AD46:AD46">LEFT(AC46,LOOKUP(2^15,FIND(".",AC46,ROW(INDIRECT("1:"&amp;LEN(AC46)))))-1)</f>
        <v>NB_2023_002 - 12012023 - 2</v>
      </c>
      <c r="AE46" s="5" t="str">
        <f aca="false">CONCATENATE(AB46, "-",H46, ".mzML")</f>
        <v>NB_2023_002 - 12012023 - 1-QC_P_3.mzML</v>
      </c>
      <c r="AF46" s="5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3" t="s">
        <v>103</v>
      </c>
      <c r="B47" s="4"/>
      <c r="C47" s="3" t="s">
        <v>104</v>
      </c>
      <c r="D47" s="5" t="s">
        <v>14</v>
      </c>
      <c r="E47" s="5" t="s">
        <v>105</v>
      </c>
      <c r="F47" s="6" t="s">
        <v>106</v>
      </c>
      <c r="G47" s="5" t="s">
        <v>107</v>
      </c>
      <c r="H47" s="14" t="s">
        <v>108</v>
      </c>
      <c r="I47" s="5" t="str">
        <f aca="false">CONCATENATE(E47, "_",H47)</f>
        <v>NLA_2023_012_001</v>
      </c>
      <c r="J47" s="3" t="s">
        <v>52</v>
      </c>
      <c r="K47" s="3" t="s">
        <v>109</v>
      </c>
      <c r="L47" s="3" t="s">
        <v>69</v>
      </c>
      <c r="M47" s="15" t="s">
        <v>110</v>
      </c>
      <c r="N47" s="3" t="s">
        <v>41</v>
      </c>
      <c r="O47" s="3" t="s">
        <v>54</v>
      </c>
      <c r="P47" s="3" t="s">
        <v>43</v>
      </c>
      <c r="Q47" s="12" t="s">
        <v>55</v>
      </c>
      <c r="R47" s="5" t="s">
        <v>44</v>
      </c>
      <c r="S47" s="12" t="s">
        <v>90</v>
      </c>
      <c r="T47" s="3" t="s">
        <v>46</v>
      </c>
      <c r="U47" s="3" t="n">
        <v>650</v>
      </c>
      <c r="V47" s="3" t="n">
        <v>1</v>
      </c>
      <c r="W47" s="3" t="s">
        <v>111</v>
      </c>
      <c r="X47" s="5" t="s">
        <v>47</v>
      </c>
      <c r="Y47" s="12" t="n">
        <v>5500</v>
      </c>
      <c r="Z47" s="5" t="s">
        <v>112</v>
      </c>
      <c r="AA47" s="5" t="s">
        <v>113</v>
      </c>
      <c r="AB47" s="13" t="str">
        <f aca="true" t="array" ref="AB47:AB47">LEFT(AA47,LOOKUP(2^15,FIND(".",AA47,ROW(INDIRECT("1:"&amp;LEN(AA47)))))-1)</f>
        <v>NB_2023_020 - 20230929 - 1</v>
      </c>
      <c r="AC47" s="5" t="s">
        <v>114</v>
      </c>
      <c r="AD47" s="13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3" t="s">
        <v>103</v>
      </c>
      <c r="B48" s="4"/>
      <c r="C48" s="3" t="s">
        <v>104</v>
      </c>
      <c r="D48" s="5" t="s">
        <v>14</v>
      </c>
      <c r="E48" s="5" t="s">
        <v>105</v>
      </c>
      <c r="F48" s="6" t="s">
        <v>106</v>
      </c>
      <c r="G48" s="5" t="s">
        <v>115</v>
      </c>
      <c r="H48" s="14" t="s">
        <v>88</v>
      </c>
      <c r="I48" s="5" t="str">
        <f aca="false">CONCATENATE(E48, "_",H48)</f>
        <v>NLA_2023_012_002</v>
      </c>
      <c r="J48" s="3" t="s">
        <v>52</v>
      </c>
      <c r="K48" s="3" t="s">
        <v>116</v>
      </c>
      <c r="L48" s="3" t="s">
        <v>69</v>
      </c>
      <c r="M48" s="15" t="s">
        <v>110</v>
      </c>
      <c r="N48" s="3" t="s">
        <v>41</v>
      </c>
      <c r="O48" s="3" t="s">
        <v>54</v>
      </c>
      <c r="P48" s="3" t="s">
        <v>43</v>
      </c>
      <c r="Q48" s="12" t="s">
        <v>55</v>
      </c>
      <c r="R48" s="5" t="s">
        <v>44</v>
      </c>
      <c r="S48" s="12" t="s">
        <v>90</v>
      </c>
      <c r="T48" s="3" t="s">
        <v>46</v>
      </c>
      <c r="U48" s="3" t="n">
        <v>650</v>
      </c>
      <c r="V48" s="3" t="n">
        <v>2</v>
      </c>
      <c r="W48" s="3" t="s">
        <v>117</v>
      </c>
      <c r="X48" s="5" t="s">
        <v>47</v>
      </c>
      <c r="Y48" s="12" t="n">
        <v>5500</v>
      </c>
      <c r="Z48" s="5" t="s">
        <v>112</v>
      </c>
      <c r="AA48" s="5" t="s">
        <v>113</v>
      </c>
      <c r="AB48" s="13" t="str">
        <f aca="true" t="array" ref="AB48:AB48">LEFT(AA48,LOOKUP(2^15,FIND(".",AA48,ROW(INDIRECT("1:"&amp;LEN(AA48)))))-1)</f>
        <v>NB_2023_020 - 20230929 - 1</v>
      </c>
      <c r="AC48" s="5" t="s">
        <v>114</v>
      </c>
      <c r="AD48" s="13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3" t="s">
        <v>103</v>
      </c>
      <c r="B49" s="4"/>
      <c r="C49" s="3" t="s">
        <v>104</v>
      </c>
      <c r="D49" s="5" t="s">
        <v>14</v>
      </c>
      <c r="E49" s="5" t="s">
        <v>105</v>
      </c>
      <c r="F49" s="6" t="s">
        <v>106</v>
      </c>
      <c r="G49" s="5" t="s">
        <v>115</v>
      </c>
      <c r="H49" s="14" t="s">
        <v>97</v>
      </c>
      <c r="I49" s="5" t="str">
        <f aca="false">CONCATENATE(E49, "_",H49)</f>
        <v>NLA_2023_012_003</v>
      </c>
      <c r="J49" s="3" t="s">
        <v>52</v>
      </c>
      <c r="K49" s="3" t="s">
        <v>118</v>
      </c>
      <c r="L49" s="3" t="s">
        <v>69</v>
      </c>
      <c r="M49" s="15" t="s">
        <v>110</v>
      </c>
      <c r="N49" s="3" t="s">
        <v>41</v>
      </c>
      <c r="O49" s="3" t="s">
        <v>54</v>
      </c>
      <c r="P49" s="3" t="s">
        <v>43</v>
      </c>
      <c r="Q49" s="12" t="s">
        <v>55</v>
      </c>
      <c r="R49" s="5" t="s">
        <v>44</v>
      </c>
      <c r="S49" s="12" t="s">
        <v>90</v>
      </c>
      <c r="T49" s="3" t="s">
        <v>46</v>
      </c>
      <c r="U49" s="3" t="n">
        <v>650</v>
      </c>
      <c r="V49" s="3" t="n">
        <v>3</v>
      </c>
      <c r="W49" s="3" t="s">
        <v>119</v>
      </c>
      <c r="X49" s="5" t="s">
        <v>47</v>
      </c>
      <c r="Y49" s="12" t="n">
        <v>5500</v>
      </c>
      <c r="Z49" s="5" t="s">
        <v>112</v>
      </c>
      <c r="AA49" s="5" t="s">
        <v>113</v>
      </c>
      <c r="AB49" s="13" t="str">
        <f aca="true" t="array" ref="AB49:AB49">LEFT(AA49,LOOKUP(2^15,FIND(".",AA49,ROW(INDIRECT("1:"&amp;LEN(AA49)))))-1)</f>
        <v>NB_2023_020 - 20230929 - 1</v>
      </c>
      <c r="AC49" s="5" t="s">
        <v>114</v>
      </c>
      <c r="AD49" s="13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3" t="s">
        <v>103</v>
      </c>
      <c r="B50" s="4"/>
      <c r="C50" s="3" t="s">
        <v>104</v>
      </c>
      <c r="D50" s="5" t="s">
        <v>14</v>
      </c>
      <c r="E50" s="5" t="s">
        <v>105</v>
      </c>
      <c r="F50" s="6" t="s">
        <v>106</v>
      </c>
      <c r="G50" s="5" t="s">
        <v>115</v>
      </c>
      <c r="H50" s="14" t="s">
        <v>99</v>
      </c>
      <c r="I50" s="5" t="str">
        <f aca="false">CONCATENATE(E50, "_",H50)</f>
        <v>NLA_2023_012_004</v>
      </c>
      <c r="J50" s="3" t="s">
        <v>38</v>
      </c>
      <c r="K50" s="3" t="s">
        <v>120</v>
      </c>
      <c r="L50" s="3" t="s">
        <v>69</v>
      </c>
      <c r="M50" s="15" t="s">
        <v>110</v>
      </c>
      <c r="N50" s="3" t="s">
        <v>41</v>
      </c>
      <c r="O50" s="3" t="s">
        <v>42</v>
      </c>
      <c r="P50" s="3" t="s">
        <v>43</v>
      </c>
      <c r="Q50" s="3" t="s">
        <v>43</v>
      </c>
      <c r="R50" s="5" t="s">
        <v>44</v>
      </c>
      <c r="S50" s="12" t="s">
        <v>90</v>
      </c>
      <c r="T50" s="3" t="s">
        <v>46</v>
      </c>
      <c r="U50" s="3" t="n">
        <v>650</v>
      </c>
      <c r="V50" s="3" t="n">
        <v>1</v>
      </c>
      <c r="W50" s="3" t="s">
        <v>121</v>
      </c>
      <c r="X50" s="5" t="s">
        <v>47</v>
      </c>
      <c r="Y50" s="12" t="n">
        <v>5500</v>
      </c>
      <c r="Z50" s="5" t="s">
        <v>112</v>
      </c>
      <c r="AA50" s="5" t="s">
        <v>113</v>
      </c>
      <c r="AB50" s="13" t="str">
        <f aca="true" t="array" ref="AB50:AB50">LEFT(AA50,LOOKUP(2^15,FIND(".",AA50,ROW(INDIRECT("1:"&amp;LEN(AA50)))))-1)</f>
        <v>NB_2023_020 - 20230929 - 1</v>
      </c>
      <c r="AC50" s="5" t="s">
        <v>114</v>
      </c>
      <c r="AD50" s="13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3" t="s">
        <v>103</v>
      </c>
      <c r="B51" s="4"/>
      <c r="C51" s="3" t="s">
        <v>104</v>
      </c>
      <c r="D51" s="5" t="s">
        <v>14</v>
      </c>
      <c r="E51" s="5" t="s">
        <v>105</v>
      </c>
      <c r="F51" s="6" t="s">
        <v>106</v>
      </c>
      <c r="G51" s="5" t="s">
        <v>115</v>
      </c>
      <c r="H51" s="14" t="s">
        <v>91</v>
      </c>
      <c r="I51" s="5" t="str">
        <f aca="false">CONCATENATE(E51, "_",H51)</f>
        <v>NLA_2023_012_005</v>
      </c>
      <c r="J51" s="3" t="s">
        <v>38</v>
      </c>
      <c r="K51" s="3" t="s">
        <v>122</v>
      </c>
      <c r="L51" s="3" t="s">
        <v>69</v>
      </c>
      <c r="M51" s="15" t="s">
        <v>110</v>
      </c>
      <c r="N51" s="3" t="s">
        <v>41</v>
      </c>
      <c r="O51" s="3" t="s">
        <v>42</v>
      </c>
      <c r="P51" s="3" t="s">
        <v>43</v>
      </c>
      <c r="Q51" s="3" t="s">
        <v>43</v>
      </c>
      <c r="R51" s="5" t="s">
        <v>44</v>
      </c>
      <c r="S51" s="12" t="s">
        <v>90</v>
      </c>
      <c r="T51" s="3" t="s">
        <v>46</v>
      </c>
      <c r="U51" s="3" t="n">
        <v>650</v>
      </c>
      <c r="V51" s="3" t="n">
        <v>2</v>
      </c>
      <c r="W51" s="3" t="s">
        <v>123</v>
      </c>
      <c r="X51" s="5" t="s">
        <v>47</v>
      </c>
      <c r="Y51" s="12" t="n">
        <v>5500</v>
      </c>
      <c r="Z51" s="5" t="s">
        <v>112</v>
      </c>
      <c r="AA51" s="5" t="s">
        <v>113</v>
      </c>
      <c r="AB51" s="13" t="str">
        <f aca="true" t="array" ref="AB51:AB51">LEFT(AA51,LOOKUP(2^15,FIND(".",AA51,ROW(INDIRECT("1:"&amp;LEN(AA51)))))-1)</f>
        <v>NB_2023_020 - 20230929 - 1</v>
      </c>
      <c r="AC51" s="5" t="s">
        <v>114</v>
      </c>
      <c r="AD51" s="13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3" t="s">
        <v>103</v>
      </c>
      <c r="B52" s="4"/>
      <c r="C52" s="3" t="s">
        <v>104</v>
      </c>
      <c r="D52" s="5" t="s">
        <v>14</v>
      </c>
      <c r="E52" s="5" t="s">
        <v>105</v>
      </c>
      <c r="F52" s="6" t="s">
        <v>106</v>
      </c>
      <c r="G52" s="5" t="s">
        <v>115</v>
      </c>
      <c r="H52" s="14" t="s">
        <v>101</v>
      </c>
      <c r="I52" s="5" t="str">
        <f aca="false">CONCATENATE(E52, "_",H52)</f>
        <v>NLA_2023_012_006</v>
      </c>
      <c r="J52" s="3" t="s">
        <v>38</v>
      </c>
      <c r="K52" s="3" t="s">
        <v>124</v>
      </c>
      <c r="L52" s="3" t="s">
        <v>69</v>
      </c>
      <c r="M52" s="15" t="s">
        <v>110</v>
      </c>
      <c r="N52" s="3" t="s">
        <v>41</v>
      </c>
      <c r="O52" s="3" t="s">
        <v>42</v>
      </c>
      <c r="P52" s="3" t="s">
        <v>43</v>
      </c>
      <c r="Q52" s="3" t="s">
        <v>43</v>
      </c>
      <c r="R52" s="5" t="s">
        <v>44</v>
      </c>
      <c r="S52" s="12" t="s">
        <v>90</v>
      </c>
      <c r="T52" s="3" t="s">
        <v>46</v>
      </c>
      <c r="U52" s="3" t="n">
        <v>650</v>
      </c>
      <c r="V52" s="3" t="n">
        <v>3</v>
      </c>
      <c r="W52" s="3" t="s">
        <v>125</v>
      </c>
      <c r="X52" s="5" t="s">
        <v>47</v>
      </c>
      <c r="Y52" s="12" t="n">
        <v>5500</v>
      </c>
      <c r="Z52" s="5" t="s">
        <v>112</v>
      </c>
      <c r="AA52" s="5" t="s">
        <v>113</v>
      </c>
      <c r="AB52" s="13" t="str">
        <f aca="true" t="array" ref="AB52:AB52">LEFT(AA52,LOOKUP(2^15,FIND(".",AA52,ROW(INDIRECT("1:"&amp;LEN(AA52)))))-1)</f>
        <v>NB_2023_020 - 20230929 - 1</v>
      </c>
      <c r="AC52" s="5" t="s">
        <v>114</v>
      </c>
      <c r="AD52" s="13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3" t="s">
        <v>103</v>
      </c>
      <c r="B53" s="4"/>
      <c r="C53" s="3" t="s">
        <v>104</v>
      </c>
      <c r="D53" s="5" t="s">
        <v>14</v>
      </c>
      <c r="E53" s="5" t="s">
        <v>105</v>
      </c>
      <c r="F53" s="6" t="s">
        <v>106</v>
      </c>
      <c r="G53" s="5" t="s">
        <v>105</v>
      </c>
      <c r="H53" s="14" t="s">
        <v>64</v>
      </c>
      <c r="I53" s="5" t="str">
        <f aca="false">CONCATENATE(E53, "_",H53)</f>
        <v>NLA_2023_012_Blank_1</v>
      </c>
      <c r="J53" s="3" t="s">
        <v>52</v>
      </c>
      <c r="K53" s="16" t="s">
        <v>64</v>
      </c>
      <c r="L53" s="6" t="s">
        <v>46</v>
      </c>
      <c r="M53" s="15" t="s">
        <v>46</v>
      </c>
      <c r="N53" s="5" t="s">
        <v>65</v>
      </c>
      <c r="O53" s="5" t="s">
        <v>46</v>
      </c>
      <c r="P53" s="5" t="s">
        <v>46</v>
      </c>
      <c r="Q53" s="5" t="s">
        <v>46</v>
      </c>
      <c r="R53" s="5" t="s">
        <v>46</v>
      </c>
      <c r="S53" s="5" t="s">
        <v>46</v>
      </c>
      <c r="T53" s="5" t="s">
        <v>46</v>
      </c>
      <c r="U53" s="5" t="s">
        <v>46</v>
      </c>
      <c r="V53" s="1" t="n">
        <v>1</v>
      </c>
      <c r="W53" s="17" t="s">
        <v>126</v>
      </c>
      <c r="X53" s="5" t="s">
        <v>46</v>
      </c>
      <c r="Y53" s="12" t="n">
        <v>5500</v>
      </c>
      <c r="Z53" s="5" t="s">
        <v>112</v>
      </c>
      <c r="AA53" s="5" t="s">
        <v>113</v>
      </c>
      <c r="AB53" s="13" t="str">
        <f aca="true" t="array" ref="AB53:AB53">LEFT(AA53,LOOKUP(2^15,FIND(".",AA53,ROW(INDIRECT("1:"&amp;LEN(AA53)))))-1)</f>
        <v>NB_2023_020 - 20230929 - 1</v>
      </c>
      <c r="AC53" s="5" t="s">
        <v>114</v>
      </c>
      <c r="AD53" s="13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3" t="s">
        <v>103</v>
      </c>
      <c r="B54" s="4"/>
      <c r="C54" s="3" t="s">
        <v>104</v>
      </c>
      <c r="D54" s="5" t="s">
        <v>14</v>
      </c>
      <c r="E54" s="5" t="s">
        <v>105</v>
      </c>
      <c r="F54" s="6" t="s">
        <v>106</v>
      </c>
      <c r="G54" s="5" t="s">
        <v>105</v>
      </c>
      <c r="H54" s="14" t="s">
        <v>66</v>
      </c>
      <c r="I54" s="5" t="str">
        <f aca="false">CONCATENATE(E54, "_",H54)</f>
        <v>NLA_2023_012_Blank_2</v>
      </c>
      <c r="J54" s="3" t="s">
        <v>52</v>
      </c>
      <c r="K54" s="16" t="s">
        <v>66</v>
      </c>
      <c r="L54" s="6" t="s">
        <v>46</v>
      </c>
      <c r="M54" s="15" t="s">
        <v>46</v>
      </c>
      <c r="N54" s="5" t="s">
        <v>65</v>
      </c>
      <c r="O54" s="5" t="s">
        <v>46</v>
      </c>
      <c r="P54" s="5" t="s">
        <v>46</v>
      </c>
      <c r="Q54" s="5" t="s">
        <v>46</v>
      </c>
      <c r="R54" s="5" t="s">
        <v>46</v>
      </c>
      <c r="S54" s="5" t="s">
        <v>46</v>
      </c>
      <c r="T54" s="5" t="s">
        <v>46</v>
      </c>
      <c r="U54" s="5" t="s">
        <v>46</v>
      </c>
      <c r="V54" s="1" t="n">
        <v>2</v>
      </c>
      <c r="W54" s="17" t="s">
        <v>126</v>
      </c>
      <c r="X54" s="5" t="s">
        <v>46</v>
      </c>
      <c r="Y54" s="12" t="n">
        <v>5500</v>
      </c>
      <c r="Z54" s="5" t="s">
        <v>112</v>
      </c>
      <c r="AA54" s="5" t="s">
        <v>113</v>
      </c>
      <c r="AB54" s="13" t="str">
        <f aca="true" t="array" ref="AB54:AB54">LEFT(AA54,LOOKUP(2^15,FIND(".",AA54,ROW(INDIRECT("1:"&amp;LEN(AA54)))))-1)</f>
        <v>NB_2023_020 - 20230929 - 1</v>
      </c>
      <c r="AC54" s="5" t="s">
        <v>114</v>
      </c>
      <c r="AD54" s="13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3" t="s">
        <v>103</v>
      </c>
      <c r="B55" s="4"/>
      <c r="C55" s="3" t="s">
        <v>104</v>
      </c>
      <c r="D55" s="5" t="s">
        <v>14</v>
      </c>
      <c r="E55" s="5" t="s">
        <v>105</v>
      </c>
      <c r="F55" s="6" t="s">
        <v>106</v>
      </c>
      <c r="G55" s="5" t="s">
        <v>105</v>
      </c>
      <c r="H55" s="14" t="s">
        <v>67</v>
      </c>
      <c r="I55" s="5" t="str">
        <f aca="false">CONCATENATE(E55, "_",H55)</f>
        <v>NLA_2023_012_Blank_3</v>
      </c>
      <c r="J55" s="3" t="s">
        <v>52</v>
      </c>
      <c r="K55" s="16" t="s">
        <v>67</v>
      </c>
      <c r="L55" s="6" t="s">
        <v>46</v>
      </c>
      <c r="M55" s="15" t="s">
        <v>46</v>
      </c>
      <c r="N55" s="5" t="s">
        <v>65</v>
      </c>
      <c r="O55" s="5" t="s">
        <v>46</v>
      </c>
      <c r="P55" s="5" t="s">
        <v>46</v>
      </c>
      <c r="Q55" s="5" t="s">
        <v>46</v>
      </c>
      <c r="R55" s="5" t="s">
        <v>46</v>
      </c>
      <c r="S55" s="5" t="s">
        <v>46</v>
      </c>
      <c r="T55" s="5" t="s">
        <v>46</v>
      </c>
      <c r="U55" s="5" t="s">
        <v>46</v>
      </c>
      <c r="V55" s="1" t="n">
        <v>3</v>
      </c>
      <c r="W55" s="17" t="s">
        <v>126</v>
      </c>
      <c r="X55" s="5" t="s">
        <v>46</v>
      </c>
      <c r="Y55" s="12" t="n">
        <v>5500</v>
      </c>
      <c r="Z55" s="5" t="s">
        <v>112</v>
      </c>
      <c r="AA55" s="5" t="s">
        <v>113</v>
      </c>
      <c r="AB55" s="13" t="str">
        <f aca="true" t="array" ref="AB55:AB55">LEFT(AA55,LOOKUP(2^15,FIND(".",AA55,ROW(INDIRECT("1:"&amp;LEN(AA55)))))-1)</f>
        <v>NB_2023_020 - 20230929 - 1</v>
      </c>
      <c r="AC55" s="5" t="s">
        <v>114</v>
      </c>
      <c r="AD55" s="13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3" t="s">
        <v>103</v>
      </c>
      <c r="B56" s="4"/>
      <c r="C56" s="3" t="s">
        <v>104</v>
      </c>
      <c r="D56" s="5" t="s">
        <v>14</v>
      </c>
      <c r="E56" s="5" t="s">
        <v>105</v>
      </c>
      <c r="F56" s="6" t="s">
        <v>106</v>
      </c>
      <c r="G56" s="5" t="s">
        <v>105</v>
      </c>
      <c r="H56" s="14" t="s">
        <v>68</v>
      </c>
      <c r="I56" s="5" t="str">
        <f aca="false">CONCATENATE(E56, "_",H56)</f>
        <v>NLA_2023_012_QC_C_1</v>
      </c>
      <c r="J56" s="3" t="s">
        <v>52</v>
      </c>
      <c r="K56" s="16" t="s">
        <v>68</v>
      </c>
      <c r="L56" s="6" t="s">
        <v>69</v>
      </c>
      <c r="M56" s="15" t="s">
        <v>46</v>
      </c>
      <c r="N56" s="5" t="s">
        <v>70</v>
      </c>
      <c r="O56" s="5" t="s">
        <v>46</v>
      </c>
      <c r="P56" s="5" t="s">
        <v>71</v>
      </c>
      <c r="Q56" s="5" t="s">
        <v>71</v>
      </c>
      <c r="R56" s="5" t="s">
        <v>72</v>
      </c>
      <c r="S56" s="5" t="s">
        <v>73</v>
      </c>
      <c r="T56" s="5" t="s">
        <v>46</v>
      </c>
      <c r="U56" s="5" t="n">
        <v>1000</v>
      </c>
      <c r="V56" s="1" t="n">
        <v>1</v>
      </c>
      <c r="W56" s="17" t="s">
        <v>126</v>
      </c>
      <c r="X56" s="5" t="s">
        <v>74</v>
      </c>
      <c r="Y56" s="12" t="n">
        <v>5500</v>
      </c>
      <c r="Z56" s="5" t="s">
        <v>112</v>
      </c>
      <c r="AA56" s="5" t="s">
        <v>113</v>
      </c>
      <c r="AB56" s="13" t="str">
        <f aca="true" t="array" ref="AB56:AB56">LEFT(AA56,LOOKUP(2^15,FIND(".",AA56,ROW(INDIRECT("1:"&amp;LEN(AA56)))))-1)</f>
        <v>NB_2023_020 - 20230929 - 1</v>
      </c>
      <c r="AC56" s="5" t="s">
        <v>114</v>
      </c>
      <c r="AD56" s="13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3" t="s">
        <v>103</v>
      </c>
      <c r="B57" s="4"/>
      <c r="C57" s="3" t="s">
        <v>104</v>
      </c>
      <c r="D57" s="5" t="s">
        <v>14</v>
      </c>
      <c r="E57" s="5" t="s">
        <v>105</v>
      </c>
      <c r="F57" s="6" t="s">
        <v>106</v>
      </c>
      <c r="G57" s="5" t="s">
        <v>105</v>
      </c>
      <c r="H57" s="14" t="s">
        <v>75</v>
      </c>
      <c r="I57" s="5" t="str">
        <f aca="false">CONCATENATE(E57, "_",H57)</f>
        <v>NLA_2023_012_QC_C_2</v>
      </c>
      <c r="J57" s="3" t="s">
        <v>52</v>
      </c>
      <c r="K57" s="16" t="s">
        <v>75</v>
      </c>
      <c r="L57" s="6" t="s">
        <v>69</v>
      </c>
      <c r="M57" s="15" t="s">
        <v>46</v>
      </c>
      <c r="N57" s="5" t="s">
        <v>70</v>
      </c>
      <c r="O57" s="5" t="s">
        <v>46</v>
      </c>
      <c r="P57" s="5" t="s">
        <v>71</v>
      </c>
      <c r="Q57" s="5" t="s">
        <v>71</v>
      </c>
      <c r="R57" s="5" t="s">
        <v>72</v>
      </c>
      <c r="S57" s="5" t="s">
        <v>73</v>
      </c>
      <c r="T57" s="5" t="s">
        <v>46</v>
      </c>
      <c r="U57" s="5" t="n">
        <v>1000</v>
      </c>
      <c r="V57" s="1" t="n">
        <v>2</v>
      </c>
      <c r="W57" s="17" t="s">
        <v>126</v>
      </c>
      <c r="X57" s="5" t="s">
        <v>74</v>
      </c>
      <c r="Y57" s="12" t="n">
        <v>5500</v>
      </c>
      <c r="Z57" s="5" t="s">
        <v>112</v>
      </c>
      <c r="AA57" s="5" t="s">
        <v>113</v>
      </c>
      <c r="AB57" s="13" t="str">
        <f aca="true" t="array" ref="AB57:AB57">LEFT(AA57,LOOKUP(2^15,FIND(".",AA57,ROW(INDIRECT("1:"&amp;LEN(AA57)))))-1)</f>
        <v>NB_2023_020 - 20230929 - 1</v>
      </c>
      <c r="AC57" s="5" t="s">
        <v>114</v>
      </c>
      <c r="AD57" s="13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3" t="s">
        <v>103</v>
      </c>
      <c r="B58" s="4"/>
      <c r="C58" s="3" t="s">
        <v>104</v>
      </c>
      <c r="D58" s="5" t="s">
        <v>14</v>
      </c>
      <c r="E58" s="5" t="s">
        <v>105</v>
      </c>
      <c r="F58" s="6" t="s">
        <v>106</v>
      </c>
      <c r="G58" s="5" t="s">
        <v>105</v>
      </c>
      <c r="H58" s="14" t="s">
        <v>76</v>
      </c>
      <c r="I58" s="5" t="str">
        <f aca="false">CONCATENATE(E58, "_",H58)</f>
        <v>NLA_2023_012_QC_C_3</v>
      </c>
      <c r="J58" s="3" t="s">
        <v>52</v>
      </c>
      <c r="K58" s="16" t="s">
        <v>76</v>
      </c>
      <c r="L58" s="6" t="s">
        <v>69</v>
      </c>
      <c r="M58" s="15" t="s">
        <v>46</v>
      </c>
      <c r="N58" s="5" t="s">
        <v>70</v>
      </c>
      <c r="O58" s="5" t="s">
        <v>46</v>
      </c>
      <c r="P58" s="5" t="s">
        <v>71</v>
      </c>
      <c r="Q58" s="5" t="s">
        <v>71</v>
      </c>
      <c r="R58" s="5" t="s">
        <v>72</v>
      </c>
      <c r="S58" s="5" t="s">
        <v>73</v>
      </c>
      <c r="T58" s="5" t="s">
        <v>46</v>
      </c>
      <c r="U58" s="5" t="n">
        <v>1000</v>
      </c>
      <c r="V58" s="1" t="n">
        <v>3</v>
      </c>
      <c r="W58" s="17" t="s">
        <v>126</v>
      </c>
      <c r="X58" s="5" t="s">
        <v>74</v>
      </c>
      <c r="Y58" s="12" t="n">
        <v>5500</v>
      </c>
      <c r="Z58" s="5" t="s">
        <v>112</v>
      </c>
      <c r="AA58" s="5" t="s">
        <v>113</v>
      </c>
      <c r="AB58" s="13" t="str">
        <f aca="true" t="array" ref="AB58:AB58">LEFT(AA58,LOOKUP(2^15,FIND(".",AA58,ROW(INDIRECT("1:"&amp;LEN(AA58)))))-1)</f>
        <v>NB_2023_020 - 20230929 - 1</v>
      </c>
      <c r="AC58" s="5" t="s">
        <v>114</v>
      </c>
      <c r="AD58" s="13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3" t="s">
        <v>103</v>
      </c>
      <c r="B59" s="4"/>
      <c r="C59" s="3" t="s">
        <v>104</v>
      </c>
      <c r="D59" s="5" t="s">
        <v>14</v>
      </c>
      <c r="E59" s="5" t="s">
        <v>105</v>
      </c>
      <c r="F59" s="6" t="s">
        <v>106</v>
      </c>
      <c r="G59" s="5" t="s">
        <v>105</v>
      </c>
      <c r="H59" s="14" t="s">
        <v>77</v>
      </c>
      <c r="I59" s="5" t="str">
        <f aca="false">CONCATENATE(E59, "_",H59)</f>
        <v>NLA_2023_012_QC_P_1</v>
      </c>
      <c r="J59" s="3" t="s">
        <v>52</v>
      </c>
      <c r="K59" s="16" t="s">
        <v>77</v>
      </c>
      <c r="L59" s="6" t="s">
        <v>69</v>
      </c>
      <c r="M59" s="15" t="s">
        <v>46</v>
      </c>
      <c r="N59" s="5" t="s">
        <v>78</v>
      </c>
      <c r="O59" s="5" t="s">
        <v>46</v>
      </c>
      <c r="P59" s="5" t="s">
        <v>79</v>
      </c>
      <c r="Q59" s="5" t="s">
        <v>80</v>
      </c>
      <c r="R59" s="5" t="s">
        <v>81</v>
      </c>
      <c r="S59" s="5" t="s">
        <v>46</v>
      </c>
      <c r="T59" s="5" t="s">
        <v>46</v>
      </c>
      <c r="U59" s="5" t="s">
        <v>82</v>
      </c>
      <c r="V59" s="1" t="n">
        <v>1</v>
      </c>
      <c r="W59" s="17" t="s">
        <v>126</v>
      </c>
      <c r="X59" s="5" t="s">
        <v>83</v>
      </c>
      <c r="Y59" s="12" t="n">
        <v>5500</v>
      </c>
      <c r="Z59" s="5" t="s">
        <v>112</v>
      </c>
      <c r="AA59" s="5" t="s">
        <v>113</v>
      </c>
      <c r="AB59" s="13" t="str">
        <f aca="true" t="array" ref="AB59:AB59">LEFT(AA59,LOOKUP(2^15,FIND(".",AA59,ROW(INDIRECT("1:"&amp;LEN(AA59)))))-1)</f>
        <v>NB_2023_020 - 20230929 - 1</v>
      </c>
      <c r="AC59" s="5" t="s">
        <v>114</v>
      </c>
      <c r="AD59" s="13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3" t="s">
        <v>103</v>
      </c>
      <c r="B60" s="4"/>
      <c r="C60" s="3" t="s">
        <v>104</v>
      </c>
      <c r="D60" s="5" t="s">
        <v>14</v>
      </c>
      <c r="E60" s="5" t="s">
        <v>105</v>
      </c>
      <c r="F60" s="6" t="s">
        <v>106</v>
      </c>
      <c r="G60" s="5" t="s">
        <v>105</v>
      </c>
      <c r="H60" s="14" t="s">
        <v>84</v>
      </c>
      <c r="I60" s="5" t="str">
        <f aca="false">CONCATENATE(E60, "_",H60)</f>
        <v>NLA_2023_012_QC_P_2</v>
      </c>
      <c r="J60" s="3" t="s">
        <v>52</v>
      </c>
      <c r="K60" s="16" t="s">
        <v>84</v>
      </c>
      <c r="L60" s="6" t="s">
        <v>69</v>
      </c>
      <c r="M60" s="15" t="s">
        <v>46</v>
      </c>
      <c r="N60" s="5" t="s">
        <v>78</v>
      </c>
      <c r="O60" s="5" t="s">
        <v>46</v>
      </c>
      <c r="P60" s="5" t="s">
        <v>79</v>
      </c>
      <c r="Q60" s="5" t="s">
        <v>80</v>
      </c>
      <c r="R60" s="5" t="s">
        <v>81</v>
      </c>
      <c r="S60" s="5" t="s">
        <v>46</v>
      </c>
      <c r="T60" s="5" t="s">
        <v>46</v>
      </c>
      <c r="U60" s="5" t="s">
        <v>82</v>
      </c>
      <c r="V60" s="1" t="n">
        <v>2</v>
      </c>
      <c r="W60" s="17" t="s">
        <v>126</v>
      </c>
      <c r="X60" s="5" t="s">
        <v>83</v>
      </c>
      <c r="Y60" s="12" t="n">
        <v>5500</v>
      </c>
      <c r="Z60" s="5" t="s">
        <v>112</v>
      </c>
      <c r="AA60" s="5" t="s">
        <v>113</v>
      </c>
      <c r="AB60" s="13" t="str">
        <f aca="true" t="array" ref="AB60:AB60">LEFT(AA60,LOOKUP(2^15,FIND(".",AA60,ROW(INDIRECT("1:"&amp;LEN(AA60)))))-1)</f>
        <v>NB_2023_020 - 20230929 - 1</v>
      </c>
      <c r="AC60" s="5" t="s">
        <v>114</v>
      </c>
      <c r="AD60" s="13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3" t="s">
        <v>103</v>
      </c>
      <c r="B61" s="4"/>
      <c r="C61" s="3" t="s">
        <v>104</v>
      </c>
      <c r="D61" s="5" t="s">
        <v>14</v>
      </c>
      <c r="E61" s="5" t="s">
        <v>105</v>
      </c>
      <c r="F61" s="6" t="s">
        <v>106</v>
      </c>
      <c r="G61" s="5" t="s">
        <v>105</v>
      </c>
      <c r="H61" s="14" t="s">
        <v>85</v>
      </c>
      <c r="I61" s="5" t="str">
        <f aca="false">CONCATENATE(E61, "_",H61)</f>
        <v>NLA_2023_012_QC_P_3</v>
      </c>
      <c r="J61" s="3" t="s">
        <v>52</v>
      </c>
      <c r="K61" s="16" t="s">
        <v>85</v>
      </c>
      <c r="L61" s="6" t="s">
        <v>69</v>
      </c>
      <c r="M61" s="15" t="s">
        <v>46</v>
      </c>
      <c r="N61" s="5" t="s">
        <v>78</v>
      </c>
      <c r="O61" s="5" t="s">
        <v>46</v>
      </c>
      <c r="P61" s="5" t="s">
        <v>79</v>
      </c>
      <c r="Q61" s="5" t="s">
        <v>80</v>
      </c>
      <c r="R61" s="5" t="s">
        <v>81</v>
      </c>
      <c r="S61" s="5" t="s">
        <v>46</v>
      </c>
      <c r="T61" s="5" t="s">
        <v>46</v>
      </c>
      <c r="U61" s="5" t="s">
        <v>82</v>
      </c>
      <c r="V61" s="1" t="n">
        <v>3</v>
      </c>
      <c r="W61" s="17" t="s">
        <v>126</v>
      </c>
      <c r="X61" s="5" t="s">
        <v>83</v>
      </c>
      <c r="Y61" s="12" t="n">
        <v>5500</v>
      </c>
      <c r="Z61" s="5" t="s">
        <v>112</v>
      </c>
      <c r="AA61" s="5" t="s">
        <v>113</v>
      </c>
      <c r="AB61" s="13" t="str">
        <f aca="true" t="array" ref="AB61:AB61">LEFT(AA61,LOOKUP(2^15,FIND(".",AA61,ROW(INDIRECT("1:"&amp;LEN(AA61)))))-1)</f>
        <v>NB_2023_020 - 20230929 - 1</v>
      </c>
      <c r="AC61" s="5" t="s">
        <v>114</v>
      </c>
      <c r="AD61" s="13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3" t="s">
        <v>127</v>
      </c>
      <c r="B62" s="4"/>
      <c r="C62" s="3" t="s">
        <v>128</v>
      </c>
      <c r="D62" s="5" t="s">
        <v>18</v>
      </c>
      <c r="E62" s="5" t="s">
        <v>105</v>
      </c>
      <c r="F62" s="6" t="s">
        <v>106</v>
      </c>
      <c r="G62" s="5" t="s">
        <v>115</v>
      </c>
      <c r="H62" s="14" t="s">
        <v>99</v>
      </c>
      <c r="I62" s="5" t="str">
        <f aca="false">CONCATENATE(E62, "_",H62)</f>
        <v>NLA_2023_012_004</v>
      </c>
      <c r="J62" s="3" t="s">
        <v>38</v>
      </c>
      <c r="K62" s="3" t="s">
        <v>120</v>
      </c>
      <c r="L62" s="3" t="s">
        <v>69</v>
      </c>
      <c r="M62" s="15" t="s">
        <v>110</v>
      </c>
      <c r="N62" s="3" t="s">
        <v>41</v>
      </c>
      <c r="O62" s="3" t="s">
        <v>42</v>
      </c>
      <c r="P62" s="3" t="s">
        <v>43</v>
      </c>
      <c r="Q62" s="3" t="s">
        <v>43</v>
      </c>
      <c r="R62" s="5" t="s">
        <v>44</v>
      </c>
      <c r="S62" s="12" t="s">
        <v>90</v>
      </c>
      <c r="T62" s="3" t="s">
        <v>46</v>
      </c>
      <c r="U62" s="3" t="n">
        <v>650</v>
      </c>
      <c r="V62" s="3" t="n">
        <v>1</v>
      </c>
      <c r="W62" s="3" t="s">
        <v>121</v>
      </c>
      <c r="X62" s="5" t="s">
        <v>47</v>
      </c>
      <c r="Y62" s="12" t="n">
        <v>5500</v>
      </c>
      <c r="Z62" s="5" t="s">
        <v>112</v>
      </c>
      <c r="AA62" s="5" t="s">
        <v>113</v>
      </c>
      <c r="AB62" s="13" t="str">
        <f aca="true" t="array" ref="AB62:AB62">LEFT(AA62,LOOKUP(2^15,FIND(".",AA62,ROW(INDIRECT("1:"&amp;LEN(AA62)))))-1)</f>
        <v>NB_2023_020 - 20230929 - 1</v>
      </c>
      <c r="AC62" s="5" t="s">
        <v>114</v>
      </c>
      <c r="AD62" s="13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3" t="s">
        <v>127</v>
      </c>
      <c r="B63" s="4"/>
      <c r="C63" s="3" t="s">
        <v>128</v>
      </c>
      <c r="D63" s="5" t="s">
        <v>18</v>
      </c>
      <c r="E63" s="5" t="s">
        <v>105</v>
      </c>
      <c r="F63" s="6" t="s">
        <v>106</v>
      </c>
      <c r="G63" s="5" t="s">
        <v>115</v>
      </c>
      <c r="H63" s="14" t="s">
        <v>91</v>
      </c>
      <c r="I63" s="5" t="str">
        <f aca="false">CONCATENATE(E63, "_",H63)</f>
        <v>NLA_2023_012_005</v>
      </c>
      <c r="J63" s="3" t="s">
        <v>38</v>
      </c>
      <c r="K63" s="3" t="s">
        <v>122</v>
      </c>
      <c r="L63" s="3" t="s">
        <v>69</v>
      </c>
      <c r="M63" s="15" t="s">
        <v>110</v>
      </c>
      <c r="N63" s="3" t="s">
        <v>41</v>
      </c>
      <c r="O63" s="3" t="s">
        <v>42</v>
      </c>
      <c r="P63" s="3" t="s">
        <v>43</v>
      </c>
      <c r="Q63" s="3" t="s">
        <v>43</v>
      </c>
      <c r="R63" s="5" t="s">
        <v>44</v>
      </c>
      <c r="S63" s="12" t="s">
        <v>90</v>
      </c>
      <c r="T63" s="3" t="s">
        <v>46</v>
      </c>
      <c r="U63" s="3" t="n">
        <v>650</v>
      </c>
      <c r="V63" s="3" t="n">
        <v>2</v>
      </c>
      <c r="W63" s="3" t="s">
        <v>123</v>
      </c>
      <c r="X63" s="5" t="s">
        <v>47</v>
      </c>
      <c r="Y63" s="12" t="n">
        <v>5500</v>
      </c>
      <c r="Z63" s="5" t="s">
        <v>112</v>
      </c>
      <c r="AA63" s="5" t="s">
        <v>113</v>
      </c>
      <c r="AB63" s="13" t="str">
        <f aca="true" t="array" ref="AB63:AB63">LEFT(AA63,LOOKUP(2^15,FIND(".",AA63,ROW(INDIRECT("1:"&amp;LEN(AA63)))))-1)</f>
        <v>NB_2023_020 - 20230929 - 1</v>
      </c>
      <c r="AC63" s="5" t="s">
        <v>114</v>
      </c>
      <c r="AD63" s="13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3" t="s">
        <v>127</v>
      </c>
      <c r="B64" s="4"/>
      <c r="C64" s="3" t="s">
        <v>128</v>
      </c>
      <c r="D64" s="5" t="s">
        <v>18</v>
      </c>
      <c r="E64" s="5" t="s">
        <v>105</v>
      </c>
      <c r="F64" s="6" t="s">
        <v>106</v>
      </c>
      <c r="G64" s="5" t="s">
        <v>115</v>
      </c>
      <c r="H64" s="14" t="s">
        <v>101</v>
      </c>
      <c r="I64" s="5" t="str">
        <f aca="false">CONCATENATE(E64, "_",H64)</f>
        <v>NLA_2023_012_006</v>
      </c>
      <c r="J64" s="3" t="s">
        <v>38</v>
      </c>
      <c r="K64" s="3" t="s">
        <v>124</v>
      </c>
      <c r="L64" s="3" t="s">
        <v>69</v>
      </c>
      <c r="M64" s="15" t="s">
        <v>110</v>
      </c>
      <c r="N64" s="3" t="s">
        <v>41</v>
      </c>
      <c r="O64" s="3" t="s">
        <v>42</v>
      </c>
      <c r="P64" s="3" t="s">
        <v>43</v>
      </c>
      <c r="Q64" s="3" t="s">
        <v>43</v>
      </c>
      <c r="R64" s="5" t="s">
        <v>44</v>
      </c>
      <c r="S64" s="12" t="s">
        <v>90</v>
      </c>
      <c r="T64" s="3" t="s">
        <v>46</v>
      </c>
      <c r="U64" s="3" t="n">
        <v>650</v>
      </c>
      <c r="V64" s="3" t="n">
        <v>3</v>
      </c>
      <c r="W64" s="3" t="s">
        <v>125</v>
      </c>
      <c r="X64" s="5" t="s">
        <v>47</v>
      </c>
      <c r="Y64" s="12" t="n">
        <v>5500</v>
      </c>
      <c r="Z64" s="5" t="s">
        <v>112</v>
      </c>
      <c r="AA64" s="5" t="s">
        <v>113</v>
      </c>
      <c r="AB64" s="13" t="str">
        <f aca="true" t="array" ref="AB64:AB64">LEFT(AA64,LOOKUP(2^15,FIND(".",AA64,ROW(INDIRECT("1:"&amp;LEN(AA64)))))-1)</f>
        <v>NB_2023_020 - 20230929 - 1</v>
      </c>
      <c r="AC64" s="5" t="s">
        <v>114</v>
      </c>
      <c r="AD64" s="13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3" t="s">
        <v>127</v>
      </c>
      <c r="B65" s="4"/>
      <c r="C65" s="3" t="s">
        <v>128</v>
      </c>
      <c r="D65" s="5" t="s">
        <v>18</v>
      </c>
      <c r="E65" s="5" t="s">
        <v>105</v>
      </c>
      <c r="F65" s="6" t="s">
        <v>106</v>
      </c>
      <c r="G65" s="5" t="s">
        <v>115</v>
      </c>
      <c r="H65" s="14" t="s">
        <v>129</v>
      </c>
      <c r="I65" s="5" t="str">
        <f aca="false">CONCATENATE(E65, "_",H65)</f>
        <v>NLA_2023_012_010</v>
      </c>
      <c r="J65" s="3" t="s">
        <v>38</v>
      </c>
      <c r="K65" s="3" t="s">
        <v>130</v>
      </c>
      <c r="L65" s="3" t="s">
        <v>69</v>
      </c>
      <c r="M65" s="15" t="s">
        <v>110</v>
      </c>
      <c r="N65" s="3" t="s">
        <v>41</v>
      </c>
      <c r="O65" s="3" t="s">
        <v>42</v>
      </c>
      <c r="P65" s="3" t="s">
        <v>43</v>
      </c>
      <c r="Q65" s="3" t="s">
        <v>43</v>
      </c>
      <c r="R65" s="5" t="s">
        <v>44</v>
      </c>
      <c r="S65" s="3" t="s">
        <v>45</v>
      </c>
      <c r="T65" s="3" t="s">
        <v>46</v>
      </c>
      <c r="U65" s="3" t="n">
        <v>650</v>
      </c>
      <c r="V65" s="3" t="n">
        <v>1</v>
      </c>
      <c r="W65" s="3" t="s">
        <v>131</v>
      </c>
      <c r="X65" s="5" t="s">
        <v>47</v>
      </c>
      <c r="Y65" s="12" t="n">
        <v>5500</v>
      </c>
      <c r="Z65" s="5" t="s">
        <v>112</v>
      </c>
      <c r="AA65" s="5" t="s">
        <v>113</v>
      </c>
      <c r="AB65" s="13" t="str">
        <f aca="true" t="array" ref="AB65:AB65">LEFT(AA65,LOOKUP(2^15,FIND(".",AA65,ROW(INDIRECT("1:"&amp;LEN(AA65)))))-1)</f>
        <v>NB_2023_020 - 20230929 - 1</v>
      </c>
      <c r="AC65" s="5" t="s">
        <v>114</v>
      </c>
      <c r="AD65" s="13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3" t="s">
        <v>127</v>
      </c>
      <c r="B66" s="4"/>
      <c r="C66" s="3" t="s">
        <v>128</v>
      </c>
      <c r="D66" s="5" t="s">
        <v>18</v>
      </c>
      <c r="E66" s="5" t="s">
        <v>105</v>
      </c>
      <c r="F66" s="6" t="s">
        <v>106</v>
      </c>
      <c r="G66" s="5" t="s">
        <v>115</v>
      </c>
      <c r="H66" s="14" t="s">
        <v>132</v>
      </c>
      <c r="I66" s="5" t="str">
        <f aca="false">CONCATENATE(E66, "_",H66)</f>
        <v>NLA_2023_012_011</v>
      </c>
      <c r="J66" s="3" t="s">
        <v>38</v>
      </c>
      <c r="K66" s="3" t="s">
        <v>133</v>
      </c>
      <c r="L66" s="3" t="s">
        <v>69</v>
      </c>
      <c r="M66" s="15" t="s">
        <v>110</v>
      </c>
      <c r="N66" s="3" t="s">
        <v>41</v>
      </c>
      <c r="O66" s="3" t="s">
        <v>42</v>
      </c>
      <c r="P66" s="3" t="s">
        <v>43</v>
      </c>
      <c r="Q66" s="3" t="s">
        <v>43</v>
      </c>
      <c r="R66" s="5" t="s">
        <v>44</v>
      </c>
      <c r="S66" s="3" t="s">
        <v>45</v>
      </c>
      <c r="T66" s="3" t="s">
        <v>46</v>
      </c>
      <c r="U66" s="3" t="n">
        <v>650</v>
      </c>
      <c r="V66" s="3" t="n">
        <v>2</v>
      </c>
      <c r="W66" s="3" t="s">
        <v>134</v>
      </c>
      <c r="X66" s="5" t="s">
        <v>47</v>
      </c>
      <c r="Y66" s="12" t="n">
        <v>5500</v>
      </c>
      <c r="Z66" s="5" t="s">
        <v>112</v>
      </c>
      <c r="AA66" s="5" t="s">
        <v>113</v>
      </c>
      <c r="AB66" s="13" t="str">
        <f aca="true" t="array" ref="AB66:AB66">LEFT(AA66,LOOKUP(2^15,FIND(".",AA66,ROW(INDIRECT("1:"&amp;LEN(AA66)))))-1)</f>
        <v>NB_2023_020 - 20230929 - 1</v>
      </c>
      <c r="AC66" s="5" t="s">
        <v>114</v>
      </c>
      <c r="AD66" s="13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3" t="s">
        <v>127</v>
      </c>
      <c r="B67" s="4"/>
      <c r="C67" s="3" t="s">
        <v>128</v>
      </c>
      <c r="D67" s="5" t="s">
        <v>18</v>
      </c>
      <c r="E67" s="5" t="s">
        <v>105</v>
      </c>
      <c r="F67" s="6" t="s">
        <v>106</v>
      </c>
      <c r="G67" s="5" t="s">
        <v>115</v>
      </c>
      <c r="H67" s="14" t="s">
        <v>51</v>
      </c>
      <c r="I67" s="5" t="str">
        <f aca="false">CONCATENATE(E67, "_",H67)</f>
        <v>NLA_2023_012_012</v>
      </c>
      <c r="J67" s="3" t="s">
        <v>38</v>
      </c>
      <c r="K67" s="3" t="s">
        <v>135</v>
      </c>
      <c r="L67" s="3" t="s">
        <v>69</v>
      </c>
      <c r="M67" s="15" t="s">
        <v>110</v>
      </c>
      <c r="N67" s="3" t="s">
        <v>41</v>
      </c>
      <c r="O67" s="3" t="s">
        <v>42</v>
      </c>
      <c r="P67" s="3" t="s">
        <v>43</v>
      </c>
      <c r="Q67" s="3" t="s">
        <v>43</v>
      </c>
      <c r="R67" s="5" t="s">
        <v>44</v>
      </c>
      <c r="S67" s="3" t="s">
        <v>45</v>
      </c>
      <c r="T67" s="3" t="s">
        <v>46</v>
      </c>
      <c r="U67" s="3" t="n">
        <v>650</v>
      </c>
      <c r="V67" s="3" t="n">
        <v>3</v>
      </c>
      <c r="W67" s="3" t="s">
        <v>136</v>
      </c>
      <c r="X67" s="5" t="s">
        <v>47</v>
      </c>
      <c r="Y67" s="12" t="n">
        <v>5500</v>
      </c>
      <c r="Z67" s="5" t="s">
        <v>112</v>
      </c>
      <c r="AA67" s="5" t="s">
        <v>113</v>
      </c>
      <c r="AB67" s="13" t="str">
        <f aca="true" t="array" ref="AB67:AB67">LEFT(AA67,LOOKUP(2^15,FIND(".",AA67,ROW(INDIRECT("1:"&amp;LEN(AA67)))))-1)</f>
        <v>NB_2023_020 - 20230929 - 1</v>
      </c>
      <c r="AC67" s="5" t="s">
        <v>114</v>
      </c>
      <c r="AD67" s="13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3" t="s">
        <v>127</v>
      </c>
      <c r="B68" s="4"/>
      <c r="C68" s="3" t="s">
        <v>128</v>
      </c>
      <c r="D68" s="5" t="s">
        <v>18</v>
      </c>
      <c r="E68" s="5" t="s">
        <v>105</v>
      </c>
      <c r="F68" s="6" t="s">
        <v>106</v>
      </c>
      <c r="G68" s="5" t="s">
        <v>105</v>
      </c>
      <c r="H68" s="14" t="s">
        <v>64</v>
      </c>
      <c r="I68" s="5" t="str">
        <f aca="false">CONCATENATE(E68, "_",H68)</f>
        <v>NLA_2023_012_Blank_1</v>
      </c>
      <c r="J68" s="3" t="s">
        <v>52</v>
      </c>
      <c r="K68" s="16" t="s">
        <v>64</v>
      </c>
      <c r="L68" s="6" t="s">
        <v>46</v>
      </c>
      <c r="M68" s="15" t="s">
        <v>46</v>
      </c>
      <c r="N68" s="5" t="s">
        <v>65</v>
      </c>
      <c r="O68" s="5" t="s">
        <v>46</v>
      </c>
      <c r="P68" s="5" t="s">
        <v>46</v>
      </c>
      <c r="Q68" s="5" t="s">
        <v>46</v>
      </c>
      <c r="R68" s="5" t="s">
        <v>46</v>
      </c>
      <c r="S68" s="5" t="s">
        <v>46</v>
      </c>
      <c r="T68" s="5" t="s">
        <v>46</v>
      </c>
      <c r="U68" s="5" t="s">
        <v>46</v>
      </c>
      <c r="V68" s="1" t="n">
        <v>1</v>
      </c>
      <c r="W68" s="17" t="s">
        <v>126</v>
      </c>
      <c r="X68" s="5" t="s">
        <v>46</v>
      </c>
      <c r="Y68" s="12" t="n">
        <v>5500</v>
      </c>
      <c r="Z68" s="5" t="s">
        <v>112</v>
      </c>
      <c r="AA68" s="5" t="s">
        <v>113</v>
      </c>
      <c r="AB68" s="13" t="str">
        <f aca="true" t="array" ref="AB68:AB68">LEFT(AA68,LOOKUP(2^15,FIND(".",AA68,ROW(INDIRECT("1:"&amp;LEN(AA68)))))-1)</f>
        <v>NB_2023_020 - 20230929 - 1</v>
      </c>
      <c r="AC68" s="5" t="s">
        <v>114</v>
      </c>
      <c r="AD68" s="13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3" t="s">
        <v>127</v>
      </c>
      <c r="B69" s="4"/>
      <c r="C69" s="3" t="s">
        <v>128</v>
      </c>
      <c r="D69" s="5" t="s">
        <v>18</v>
      </c>
      <c r="E69" s="5" t="s">
        <v>105</v>
      </c>
      <c r="F69" s="6" t="s">
        <v>106</v>
      </c>
      <c r="G69" s="5" t="s">
        <v>105</v>
      </c>
      <c r="H69" s="14" t="s">
        <v>66</v>
      </c>
      <c r="I69" s="5" t="str">
        <f aca="false">CONCATENATE(E69, "_",H69)</f>
        <v>NLA_2023_012_Blank_2</v>
      </c>
      <c r="J69" s="3" t="s">
        <v>52</v>
      </c>
      <c r="K69" s="16" t="s">
        <v>66</v>
      </c>
      <c r="L69" s="6" t="s">
        <v>46</v>
      </c>
      <c r="M69" s="15" t="s">
        <v>46</v>
      </c>
      <c r="N69" s="5" t="s">
        <v>65</v>
      </c>
      <c r="O69" s="5" t="s">
        <v>46</v>
      </c>
      <c r="P69" s="5" t="s">
        <v>46</v>
      </c>
      <c r="Q69" s="5" t="s">
        <v>46</v>
      </c>
      <c r="R69" s="5" t="s">
        <v>46</v>
      </c>
      <c r="S69" s="5" t="s">
        <v>46</v>
      </c>
      <c r="T69" s="5" t="s">
        <v>46</v>
      </c>
      <c r="U69" s="5" t="s">
        <v>46</v>
      </c>
      <c r="V69" s="1" t="n">
        <v>2</v>
      </c>
      <c r="W69" s="17" t="s">
        <v>126</v>
      </c>
      <c r="X69" s="5" t="s">
        <v>46</v>
      </c>
      <c r="Y69" s="12" t="n">
        <v>5500</v>
      </c>
      <c r="Z69" s="5" t="s">
        <v>112</v>
      </c>
      <c r="AA69" s="5" t="s">
        <v>113</v>
      </c>
      <c r="AB69" s="13" t="str">
        <f aca="true" t="array" ref="AB69:AB69">LEFT(AA69,LOOKUP(2^15,FIND(".",AA69,ROW(INDIRECT("1:"&amp;LEN(AA69)))))-1)</f>
        <v>NB_2023_020 - 20230929 - 1</v>
      </c>
      <c r="AC69" s="5" t="s">
        <v>114</v>
      </c>
      <c r="AD69" s="13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3" t="s">
        <v>127</v>
      </c>
      <c r="B70" s="4"/>
      <c r="C70" s="3" t="s">
        <v>128</v>
      </c>
      <c r="D70" s="5" t="s">
        <v>18</v>
      </c>
      <c r="E70" s="5" t="s">
        <v>105</v>
      </c>
      <c r="F70" s="6" t="s">
        <v>106</v>
      </c>
      <c r="G70" s="5" t="s">
        <v>105</v>
      </c>
      <c r="H70" s="14" t="s">
        <v>67</v>
      </c>
      <c r="I70" s="5" t="str">
        <f aca="false">CONCATENATE(E70, "_",H70)</f>
        <v>NLA_2023_012_Blank_3</v>
      </c>
      <c r="J70" s="3" t="s">
        <v>52</v>
      </c>
      <c r="K70" s="16" t="s">
        <v>67</v>
      </c>
      <c r="L70" s="6" t="s">
        <v>46</v>
      </c>
      <c r="M70" s="15" t="s">
        <v>46</v>
      </c>
      <c r="N70" s="5" t="s">
        <v>65</v>
      </c>
      <c r="O70" s="5" t="s">
        <v>46</v>
      </c>
      <c r="P70" s="5" t="s">
        <v>46</v>
      </c>
      <c r="Q70" s="5" t="s">
        <v>46</v>
      </c>
      <c r="R70" s="5" t="s">
        <v>46</v>
      </c>
      <c r="S70" s="5" t="s">
        <v>46</v>
      </c>
      <c r="T70" s="5" t="s">
        <v>46</v>
      </c>
      <c r="U70" s="5" t="s">
        <v>46</v>
      </c>
      <c r="V70" s="1" t="n">
        <v>3</v>
      </c>
      <c r="W70" s="17" t="s">
        <v>126</v>
      </c>
      <c r="X70" s="5" t="s">
        <v>46</v>
      </c>
      <c r="Y70" s="12" t="n">
        <v>5500</v>
      </c>
      <c r="Z70" s="5" t="s">
        <v>112</v>
      </c>
      <c r="AA70" s="5" t="s">
        <v>113</v>
      </c>
      <c r="AB70" s="13" t="str">
        <f aca="true" t="array" ref="AB70:AB70">LEFT(AA70,LOOKUP(2^15,FIND(".",AA70,ROW(INDIRECT("1:"&amp;LEN(AA70)))))-1)</f>
        <v>NB_2023_020 - 20230929 - 1</v>
      </c>
      <c r="AC70" s="5" t="s">
        <v>114</v>
      </c>
      <c r="AD70" s="13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3" t="s">
        <v>127</v>
      </c>
      <c r="B71" s="4"/>
      <c r="C71" s="3" t="s">
        <v>128</v>
      </c>
      <c r="D71" s="5" t="s">
        <v>18</v>
      </c>
      <c r="E71" s="5" t="s">
        <v>105</v>
      </c>
      <c r="F71" s="6" t="s">
        <v>106</v>
      </c>
      <c r="G71" s="5" t="s">
        <v>105</v>
      </c>
      <c r="H71" s="14" t="s">
        <v>68</v>
      </c>
      <c r="I71" s="5" t="str">
        <f aca="false">CONCATENATE(E71, "_",H71)</f>
        <v>NLA_2023_012_QC_C_1</v>
      </c>
      <c r="J71" s="3" t="s">
        <v>52</v>
      </c>
      <c r="K71" s="16" t="s">
        <v>68</v>
      </c>
      <c r="L71" s="6" t="s">
        <v>69</v>
      </c>
      <c r="M71" s="15" t="s">
        <v>46</v>
      </c>
      <c r="N71" s="5" t="s">
        <v>70</v>
      </c>
      <c r="O71" s="5" t="s">
        <v>46</v>
      </c>
      <c r="P71" s="5" t="s">
        <v>71</v>
      </c>
      <c r="Q71" s="5" t="s">
        <v>71</v>
      </c>
      <c r="R71" s="5" t="s">
        <v>72</v>
      </c>
      <c r="S71" s="5" t="s">
        <v>73</v>
      </c>
      <c r="T71" s="5" t="s">
        <v>46</v>
      </c>
      <c r="U71" s="5" t="n">
        <v>1000</v>
      </c>
      <c r="V71" s="1" t="n">
        <v>1</v>
      </c>
      <c r="W71" s="17" t="s">
        <v>126</v>
      </c>
      <c r="X71" s="5" t="s">
        <v>74</v>
      </c>
      <c r="Y71" s="12" t="n">
        <v>5500</v>
      </c>
      <c r="Z71" s="5" t="s">
        <v>112</v>
      </c>
      <c r="AA71" s="5" t="s">
        <v>113</v>
      </c>
      <c r="AB71" s="13" t="str">
        <f aca="true" t="array" ref="AB71:AB71">LEFT(AA71,LOOKUP(2^15,FIND(".",AA71,ROW(INDIRECT("1:"&amp;LEN(AA71)))))-1)</f>
        <v>NB_2023_020 - 20230929 - 1</v>
      </c>
      <c r="AC71" s="5" t="s">
        <v>114</v>
      </c>
      <c r="AD71" s="13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3" t="s">
        <v>127</v>
      </c>
      <c r="B72" s="4"/>
      <c r="C72" s="3" t="s">
        <v>128</v>
      </c>
      <c r="D72" s="5" t="s">
        <v>18</v>
      </c>
      <c r="E72" s="5" t="s">
        <v>105</v>
      </c>
      <c r="F72" s="6" t="s">
        <v>106</v>
      </c>
      <c r="G72" s="5" t="s">
        <v>105</v>
      </c>
      <c r="H72" s="14" t="s">
        <v>75</v>
      </c>
      <c r="I72" s="5" t="str">
        <f aca="false">CONCATENATE(E72, "_",H72)</f>
        <v>NLA_2023_012_QC_C_2</v>
      </c>
      <c r="J72" s="3" t="s">
        <v>52</v>
      </c>
      <c r="K72" s="16" t="s">
        <v>75</v>
      </c>
      <c r="L72" s="6" t="s">
        <v>69</v>
      </c>
      <c r="M72" s="15" t="s">
        <v>46</v>
      </c>
      <c r="N72" s="5" t="s">
        <v>70</v>
      </c>
      <c r="O72" s="5" t="s">
        <v>46</v>
      </c>
      <c r="P72" s="5" t="s">
        <v>71</v>
      </c>
      <c r="Q72" s="5" t="s">
        <v>71</v>
      </c>
      <c r="R72" s="5" t="s">
        <v>72</v>
      </c>
      <c r="S72" s="5" t="s">
        <v>73</v>
      </c>
      <c r="T72" s="5" t="s">
        <v>46</v>
      </c>
      <c r="U72" s="5" t="n">
        <v>1000</v>
      </c>
      <c r="V72" s="1" t="n">
        <v>2</v>
      </c>
      <c r="W72" s="17" t="s">
        <v>126</v>
      </c>
      <c r="X72" s="5" t="s">
        <v>74</v>
      </c>
      <c r="Y72" s="12" t="n">
        <v>5500</v>
      </c>
      <c r="Z72" s="5" t="s">
        <v>112</v>
      </c>
      <c r="AA72" s="5" t="s">
        <v>113</v>
      </c>
      <c r="AB72" s="13" t="str">
        <f aca="true" t="array" ref="AB72:AB72">LEFT(AA72,LOOKUP(2^15,FIND(".",AA72,ROW(INDIRECT("1:"&amp;LEN(AA72)))))-1)</f>
        <v>NB_2023_020 - 20230929 - 1</v>
      </c>
      <c r="AC72" s="5" t="s">
        <v>114</v>
      </c>
      <c r="AD72" s="13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3" t="s">
        <v>127</v>
      </c>
      <c r="B73" s="4"/>
      <c r="C73" s="3" t="s">
        <v>128</v>
      </c>
      <c r="D73" s="5" t="s">
        <v>18</v>
      </c>
      <c r="E73" s="5" t="s">
        <v>105</v>
      </c>
      <c r="F73" s="6" t="s">
        <v>106</v>
      </c>
      <c r="G73" s="5" t="s">
        <v>105</v>
      </c>
      <c r="H73" s="14" t="s">
        <v>76</v>
      </c>
      <c r="I73" s="5" t="str">
        <f aca="false">CONCATENATE(E73, "_",H73)</f>
        <v>NLA_2023_012_QC_C_3</v>
      </c>
      <c r="J73" s="3" t="s">
        <v>52</v>
      </c>
      <c r="K73" s="16" t="s">
        <v>76</v>
      </c>
      <c r="L73" s="6" t="s">
        <v>69</v>
      </c>
      <c r="M73" s="15" t="s">
        <v>46</v>
      </c>
      <c r="N73" s="5" t="s">
        <v>70</v>
      </c>
      <c r="O73" s="5" t="s">
        <v>46</v>
      </c>
      <c r="P73" s="5" t="s">
        <v>71</v>
      </c>
      <c r="Q73" s="5" t="s">
        <v>71</v>
      </c>
      <c r="R73" s="5" t="s">
        <v>72</v>
      </c>
      <c r="S73" s="5" t="s">
        <v>73</v>
      </c>
      <c r="T73" s="5" t="s">
        <v>46</v>
      </c>
      <c r="U73" s="5" t="n">
        <v>1000</v>
      </c>
      <c r="V73" s="1" t="n">
        <v>3</v>
      </c>
      <c r="W73" s="17" t="s">
        <v>126</v>
      </c>
      <c r="X73" s="5" t="s">
        <v>74</v>
      </c>
      <c r="Y73" s="12" t="n">
        <v>5500</v>
      </c>
      <c r="Z73" s="5" t="s">
        <v>112</v>
      </c>
      <c r="AA73" s="5" t="s">
        <v>113</v>
      </c>
      <c r="AB73" s="13" t="str">
        <f aca="true" t="array" ref="AB73:AB73">LEFT(AA73,LOOKUP(2^15,FIND(".",AA73,ROW(INDIRECT("1:"&amp;LEN(AA73)))))-1)</f>
        <v>NB_2023_020 - 20230929 - 1</v>
      </c>
      <c r="AC73" s="5" t="s">
        <v>114</v>
      </c>
      <c r="AD73" s="13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3" t="s">
        <v>127</v>
      </c>
      <c r="B74" s="4"/>
      <c r="C74" s="3" t="s">
        <v>128</v>
      </c>
      <c r="D74" s="5" t="s">
        <v>18</v>
      </c>
      <c r="E74" s="5" t="s">
        <v>105</v>
      </c>
      <c r="F74" s="6" t="s">
        <v>106</v>
      </c>
      <c r="G74" s="5" t="s">
        <v>105</v>
      </c>
      <c r="H74" s="14" t="s">
        <v>77</v>
      </c>
      <c r="I74" s="5" t="str">
        <f aca="false">CONCATENATE(E74, "_",H74)</f>
        <v>NLA_2023_012_QC_P_1</v>
      </c>
      <c r="J74" s="3" t="s">
        <v>52</v>
      </c>
      <c r="K74" s="16" t="s">
        <v>77</v>
      </c>
      <c r="L74" s="6" t="s">
        <v>69</v>
      </c>
      <c r="M74" s="15" t="s">
        <v>46</v>
      </c>
      <c r="N74" s="5" t="s">
        <v>78</v>
      </c>
      <c r="O74" s="5" t="s">
        <v>46</v>
      </c>
      <c r="P74" s="5" t="s">
        <v>79</v>
      </c>
      <c r="Q74" s="5" t="s">
        <v>80</v>
      </c>
      <c r="R74" s="5" t="s">
        <v>81</v>
      </c>
      <c r="S74" s="5" t="s">
        <v>46</v>
      </c>
      <c r="T74" s="5" t="s">
        <v>46</v>
      </c>
      <c r="U74" s="5" t="s">
        <v>82</v>
      </c>
      <c r="V74" s="1" t="n">
        <v>1</v>
      </c>
      <c r="W74" s="17" t="s">
        <v>126</v>
      </c>
      <c r="X74" s="5" t="s">
        <v>83</v>
      </c>
      <c r="Y74" s="12" t="n">
        <v>5500</v>
      </c>
      <c r="Z74" s="5" t="s">
        <v>112</v>
      </c>
      <c r="AA74" s="5" t="s">
        <v>113</v>
      </c>
      <c r="AB74" s="13" t="str">
        <f aca="true" t="array" ref="AB74:AB74">LEFT(AA74,LOOKUP(2^15,FIND(".",AA74,ROW(INDIRECT("1:"&amp;LEN(AA74)))))-1)</f>
        <v>NB_2023_020 - 20230929 - 1</v>
      </c>
      <c r="AC74" s="5" t="s">
        <v>114</v>
      </c>
      <c r="AD74" s="13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3" t="s">
        <v>127</v>
      </c>
      <c r="B75" s="4"/>
      <c r="C75" s="3" t="s">
        <v>128</v>
      </c>
      <c r="D75" s="5" t="s">
        <v>18</v>
      </c>
      <c r="E75" s="5" t="s">
        <v>105</v>
      </c>
      <c r="F75" s="6" t="s">
        <v>106</v>
      </c>
      <c r="G75" s="5" t="s">
        <v>105</v>
      </c>
      <c r="H75" s="14" t="s">
        <v>84</v>
      </c>
      <c r="I75" s="5" t="str">
        <f aca="false">CONCATENATE(E75, "_",H75)</f>
        <v>NLA_2023_012_QC_P_2</v>
      </c>
      <c r="J75" s="3" t="s">
        <v>52</v>
      </c>
      <c r="K75" s="16" t="s">
        <v>84</v>
      </c>
      <c r="L75" s="6" t="s">
        <v>69</v>
      </c>
      <c r="M75" s="15" t="s">
        <v>46</v>
      </c>
      <c r="N75" s="5" t="s">
        <v>78</v>
      </c>
      <c r="O75" s="5" t="s">
        <v>46</v>
      </c>
      <c r="P75" s="5" t="s">
        <v>79</v>
      </c>
      <c r="Q75" s="5" t="s">
        <v>80</v>
      </c>
      <c r="R75" s="5" t="s">
        <v>81</v>
      </c>
      <c r="S75" s="5" t="s">
        <v>46</v>
      </c>
      <c r="T75" s="5" t="s">
        <v>46</v>
      </c>
      <c r="U75" s="5" t="s">
        <v>82</v>
      </c>
      <c r="V75" s="1" t="n">
        <v>2</v>
      </c>
      <c r="W75" s="17" t="s">
        <v>126</v>
      </c>
      <c r="X75" s="5" t="s">
        <v>83</v>
      </c>
      <c r="Y75" s="12" t="n">
        <v>5500</v>
      </c>
      <c r="Z75" s="5" t="s">
        <v>112</v>
      </c>
      <c r="AA75" s="5" t="s">
        <v>113</v>
      </c>
      <c r="AB75" s="13" t="str">
        <f aca="true" t="array" ref="AB75:AB75">LEFT(AA75,LOOKUP(2^15,FIND(".",AA75,ROW(INDIRECT("1:"&amp;LEN(AA75)))))-1)</f>
        <v>NB_2023_020 - 20230929 - 1</v>
      </c>
      <c r="AC75" s="5" t="s">
        <v>114</v>
      </c>
      <c r="AD75" s="13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3" t="s">
        <v>127</v>
      </c>
      <c r="B76" s="4"/>
      <c r="C76" s="3" t="s">
        <v>128</v>
      </c>
      <c r="D76" s="5" t="s">
        <v>18</v>
      </c>
      <c r="E76" s="5" t="s">
        <v>105</v>
      </c>
      <c r="F76" s="6" t="s">
        <v>106</v>
      </c>
      <c r="G76" s="5" t="s">
        <v>105</v>
      </c>
      <c r="H76" s="14" t="s">
        <v>85</v>
      </c>
      <c r="I76" s="5" t="str">
        <f aca="false">CONCATENATE(E76, "_",H76)</f>
        <v>NLA_2023_012_QC_P_3</v>
      </c>
      <c r="J76" s="3" t="s">
        <v>52</v>
      </c>
      <c r="K76" s="16" t="s">
        <v>85</v>
      </c>
      <c r="L76" s="6" t="s">
        <v>69</v>
      </c>
      <c r="M76" s="15" t="s">
        <v>46</v>
      </c>
      <c r="N76" s="5" t="s">
        <v>78</v>
      </c>
      <c r="O76" s="5" t="s">
        <v>46</v>
      </c>
      <c r="P76" s="5" t="s">
        <v>79</v>
      </c>
      <c r="Q76" s="5" t="s">
        <v>80</v>
      </c>
      <c r="R76" s="5" t="s">
        <v>81</v>
      </c>
      <c r="S76" s="5" t="s">
        <v>46</v>
      </c>
      <c r="T76" s="5" t="s">
        <v>46</v>
      </c>
      <c r="U76" s="5" t="s">
        <v>82</v>
      </c>
      <c r="V76" s="1" t="n">
        <v>3</v>
      </c>
      <c r="W76" s="17" t="s">
        <v>126</v>
      </c>
      <c r="X76" s="5" t="s">
        <v>83</v>
      </c>
      <c r="Y76" s="12" t="n">
        <v>5500</v>
      </c>
      <c r="Z76" s="5" t="s">
        <v>112</v>
      </c>
      <c r="AA76" s="5" t="s">
        <v>113</v>
      </c>
      <c r="AB76" s="13" t="str">
        <f aca="true" t="array" ref="AB76:AB76">LEFT(AA76,LOOKUP(2^15,FIND(".",AA76,ROW(INDIRECT("1:"&amp;LEN(AA76)))))-1)</f>
        <v>NB_2023_020 - 20230929 - 1</v>
      </c>
      <c r="AC76" s="5" t="s">
        <v>114</v>
      </c>
      <c r="AD76" s="13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3" t="s">
        <v>137</v>
      </c>
      <c r="B77" s="4"/>
      <c r="C77" s="3" t="s">
        <v>138</v>
      </c>
      <c r="D77" s="5" t="s">
        <v>14</v>
      </c>
      <c r="E77" s="5" t="s">
        <v>105</v>
      </c>
      <c r="F77" s="6" t="s">
        <v>106</v>
      </c>
      <c r="G77" s="5" t="s">
        <v>115</v>
      </c>
      <c r="H77" s="14" t="s">
        <v>139</v>
      </c>
      <c r="I77" s="5" t="str">
        <f aca="false">CONCATENATE(E77, "_",H77)</f>
        <v>NLA_2023_012_007</v>
      </c>
      <c r="J77" s="3" t="s">
        <v>52</v>
      </c>
      <c r="K77" s="3" t="s">
        <v>140</v>
      </c>
      <c r="L77" s="3" t="s">
        <v>69</v>
      </c>
      <c r="M77" s="15" t="s">
        <v>110</v>
      </c>
      <c r="N77" s="3" t="s">
        <v>41</v>
      </c>
      <c r="O77" s="3" t="s">
        <v>54</v>
      </c>
      <c r="P77" s="3" t="s">
        <v>43</v>
      </c>
      <c r="Q77" s="12" t="s">
        <v>55</v>
      </c>
      <c r="R77" s="5" t="s">
        <v>44</v>
      </c>
      <c r="S77" s="3" t="s">
        <v>45</v>
      </c>
      <c r="T77" s="3" t="s">
        <v>46</v>
      </c>
      <c r="U77" s="3" t="n">
        <v>650</v>
      </c>
      <c r="V77" s="3" t="n">
        <v>1</v>
      </c>
      <c r="W77" s="3" t="s">
        <v>141</v>
      </c>
      <c r="X77" s="5" t="s">
        <v>47</v>
      </c>
      <c r="Y77" s="12" t="n">
        <v>5500</v>
      </c>
      <c r="Z77" s="5" t="s">
        <v>112</v>
      </c>
      <c r="AA77" s="5" t="s">
        <v>113</v>
      </c>
      <c r="AB77" s="13" t="str">
        <f aca="true" t="array" ref="AB77:AB77">LEFT(AA77,LOOKUP(2^15,FIND(".",AA77,ROW(INDIRECT("1:"&amp;LEN(AA77)))))-1)</f>
        <v>NB_2023_020 - 20230929 - 1</v>
      </c>
      <c r="AC77" s="5" t="s">
        <v>114</v>
      </c>
      <c r="AD77" s="13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3" t="s">
        <v>137</v>
      </c>
      <c r="B78" s="4"/>
      <c r="C78" s="3" t="s">
        <v>138</v>
      </c>
      <c r="D78" s="5" t="s">
        <v>14</v>
      </c>
      <c r="E78" s="5" t="s">
        <v>105</v>
      </c>
      <c r="F78" s="6" t="s">
        <v>106</v>
      </c>
      <c r="G78" s="5" t="s">
        <v>115</v>
      </c>
      <c r="H78" s="14" t="s">
        <v>142</v>
      </c>
      <c r="I78" s="5" t="str">
        <f aca="false">CONCATENATE(E78, "_",H78)</f>
        <v>NLA_2023_012_008</v>
      </c>
      <c r="J78" s="3" t="s">
        <v>52</v>
      </c>
      <c r="K78" s="3" t="s">
        <v>143</v>
      </c>
      <c r="L78" s="3" t="s">
        <v>69</v>
      </c>
      <c r="M78" s="15" t="s">
        <v>110</v>
      </c>
      <c r="N78" s="3" t="s">
        <v>41</v>
      </c>
      <c r="O78" s="3" t="s">
        <v>54</v>
      </c>
      <c r="P78" s="3" t="s">
        <v>43</v>
      </c>
      <c r="Q78" s="12" t="s">
        <v>55</v>
      </c>
      <c r="R78" s="5" t="s">
        <v>44</v>
      </c>
      <c r="S78" s="3" t="s">
        <v>45</v>
      </c>
      <c r="T78" s="3" t="s">
        <v>46</v>
      </c>
      <c r="U78" s="3" t="n">
        <v>650</v>
      </c>
      <c r="V78" s="3" t="n">
        <v>2</v>
      </c>
      <c r="W78" s="3" t="s">
        <v>144</v>
      </c>
      <c r="X78" s="5" t="s">
        <v>47</v>
      </c>
      <c r="Y78" s="12" t="n">
        <v>5500</v>
      </c>
      <c r="Z78" s="5" t="s">
        <v>112</v>
      </c>
      <c r="AA78" s="5" t="s">
        <v>113</v>
      </c>
      <c r="AB78" s="13" t="str">
        <f aca="true" t="array" ref="AB78:AB78">LEFT(AA78,LOOKUP(2^15,FIND(".",AA78,ROW(INDIRECT("1:"&amp;LEN(AA78)))))-1)</f>
        <v>NB_2023_020 - 20230929 - 1</v>
      </c>
      <c r="AC78" s="5" t="s">
        <v>114</v>
      </c>
      <c r="AD78" s="13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3" t="s">
        <v>137</v>
      </c>
      <c r="B79" s="4"/>
      <c r="C79" s="3" t="s">
        <v>138</v>
      </c>
      <c r="D79" s="5" t="s">
        <v>14</v>
      </c>
      <c r="E79" s="5" t="s">
        <v>105</v>
      </c>
      <c r="F79" s="6" t="s">
        <v>106</v>
      </c>
      <c r="G79" s="5" t="s">
        <v>115</v>
      </c>
      <c r="H79" s="14" t="s">
        <v>37</v>
      </c>
      <c r="I79" s="5" t="str">
        <f aca="false">CONCATENATE(E79, "_",H79)</f>
        <v>NLA_2023_012_009</v>
      </c>
      <c r="J79" s="3" t="s">
        <v>52</v>
      </c>
      <c r="K79" s="3" t="s">
        <v>145</v>
      </c>
      <c r="L79" s="3" t="s">
        <v>69</v>
      </c>
      <c r="M79" s="15" t="s">
        <v>110</v>
      </c>
      <c r="N79" s="3" t="s">
        <v>41</v>
      </c>
      <c r="O79" s="3" t="s">
        <v>54</v>
      </c>
      <c r="P79" s="3" t="s">
        <v>43</v>
      </c>
      <c r="Q79" s="12" t="s">
        <v>55</v>
      </c>
      <c r="R79" s="5" t="s">
        <v>44</v>
      </c>
      <c r="S79" s="3" t="s">
        <v>45</v>
      </c>
      <c r="T79" s="3" t="s">
        <v>46</v>
      </c>
      <c r="U79" s="3" t="n">
        <v>650</v>
      </c>
      <c r="V79" s="3" t="n">
        <v>3</v>
      </c>
      <c r="W79" s="3" t="s">
        <v>146</v>
      </c>
      <c r="X79" s="5" t="s">
        <v>47</v>
      </c>
      <c r="Y79" s="12" t="n">
        <v>5500</v>
      </c>
      <c r="Z79" s="5" t="s">
        <v>112</v>
      </c>
      <c r="AA79" s="5" t="s">
        <v>113</v>
      </c>
      <c r="AB79" s="13" t="str">
        <f aca="true" t="array" ref="AB79:AB79">LEFT(AA79,LOOKUP(2^15,FIND(".",AA79,ROW(INDIRECT("1:"&amp;LEN(AA79)))))-1)</f>
        <v>NB_2023_020 - 20230929 - 1</v>
      </c>
      <c r="AC79" s="5" t="s">
        <v>114</v>
      </c>
      <c r="AD79" s="13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3" t="s">
        <v>137</v>
      </c>
      <c r="B80" s="4"/>
      <c r="C80" s="3" t="s">
        <v>138</v>
      </c>
      <c r="D80" s="5" t="s">
        <v>14</v>
      </c>
      <c r="E80" s="5" t="s">
        <v>105</v>
      </c>
      <c r="F80" s="6" t="s">
        <v>106</v>
      </c>
      <c r="G80" s="5" t="s">
        <v>115</v>
      </c>
      <c r="H80" s="14" t="s">
        <v>129</v>
      </c>
      <c r="I80" s="5" t="str">
        <f aca="false">CONCATENATE(E80, "_",H80)</f>
        <v>NLA_2023_012_010</v>
      </c>
      <c r="J80" s="3" t="s">
        <v>38</v>
      </c>
      <c r="K80" s="3" t="s">
        <v>130</v>
      </c>
      <c r="L80" s="3" t="s">
        <v>69</v>
      </c>
      <c r="M80" s="15" t="s">
        <v>110</v>
      </c>
      <c r="N80" s="3" t="s">
        <v>41</v>
      </c>
      <c r="O80" s="3" t="s">
        <v>42</v>
      </c>
      <c r="P80" s="3" t="s">
        <v>43</v>
      </c>
      <c r="Q80" s="3" t="s">
        <v>43</v>
      </c>
      <c r="R80" s="5" t="s">
        <v>44</v>
      </c>
      <c r="S80" s="3" t="s">
        <v>45</v>
      </c>
      <c r="T80" s="3" t="s">
        <v>46</v>
      </c>
      <c r="U80" s="3" t="n">
        <v>650</v>
      </c>
      <c r="V80" s="3" t="n">
        <v>1</v>
      </c>
      <c r="W80" s="3" t="s">
        <v>131</v>
      </c>
      <c r="X80" s="5" t="s">
        <v>47</v>
      </c>
      <c r="Y80" s="12" t="n">
        <v>5500</v>
      </c>
      <c r="Z80" s="5" t="s">
        <v>112</v>
      </c>
      <c r="AA80" s="5" t="s">
        <v>113</v>
      </c>
      <c r="AB80" s="13" t="str">
        <f aca="true" t="array" ref="AB80:AB80">LEFT(AA80,LOOKUP(2^15,FIND(".",AA80,ROW(INDIRECT("1:"&amp;LEN(AA80)))))-1)</f>
        <v>NB_2023_020 - 20230929 - 1</v>
      </c>
      <c r="AC80" s="5" t="s">
        <v>114</v>
      </c>
      <c r="AD80" s="13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3" t="s">
        <v>137</v>
      </c>
      <c r="B81" s="4"/>
      <c r="C81" s="3" t="s">
        <v>138</v>
      </c>
      <c r="D81" s="5" t="s">
        <v>14</v>
      </c>
      <c r="E81" s="5" t="s">
        <v>105</v>
      </c>
      <c r="F81" s="6" t="s">
        <v>106</v>
      </c>
      <c r="G81" s="5" t="s">
        <v>115</v>
      </c>
      <c r="H81" s="14" t="s">
        <v>132</v>
      </c>
      <c r="I81" s="5" t="str">
        <f aca="false">CONCATENATE(E81, "_",H81)</f>
        <v>NLA_2023_012_011</v>
      </c>
      <c r="J81" s="3" t="s">
        <v>38</v>
      </c>
      <c r="K81" s="3" t="s">
        <v>133</v>
      </c>
      <c r="L81" s="3" t="s">
        <v>69</v>
      </c>
      <c r="M81" s="15" t="s">
        <v>110</v>
      </c>
      <c r="N81" s="3" t="s">
        <v>41</v>
      </c>
      <c r="O81" s="3" t="s">
        <v>42</v>
      </c>
      <c r="P81" s="3" t="s">
        <v>43</v>
      </c>
      <c r="Q81" s="3" t="s">
        <v>43</v>
      </c>
      <c r="R81" s="5" t="s">
        <v>44</v>
      </c>
      <c r="S81" s="3" t="s">
        <v>45</v>
      </c>
      <c r="T81" s="3" t="s">
        <v>46</v>
      </c>
      <c r="U81" s="3" t="n">
        <v>650</v>
      </c>
      <c r="V81" s="3" t="n">
        <v>2</v>
      </c>
      <c r="W81" s="3" t="s">
        <v>134</v>
      </c>
      <c r="X81" s="5" t="s">
        <v>47</v>
      </c>
      <c r="Y81" s="12" t="n">
        <v>5500</v>
      </c>
      <c r="Z81" s="5" t="s">
        <v>112</v>
      </c>
      <c r="AA81" s="5" t="s">
        <v>113</v>
      </c>
      <c r="AB81" s="13" t="str">
        <f aca="true" t="array" ref="AB81:AB81">LEFT(AA81,LOOKUP(2^15,FIND(".",AA81,ROW(INDIRECT("1:"&amp;LEN(AA81)))))-1)</f>
        <v>NB_2023_020 - 20230929 - 1</v>
      </c>
      <c r="AC81" s="5" t="s">
        <v>114</v>
      </c>
      <c r="AD81" s="13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3" t="s">
        <v>137</v>
      </c>
      <c r="B82" s="4"/>
      <c r="C82" s="3" t="s">
        <v>138</v>
      </c>
      <c r="D82" s="5" t="s">
        <v>14</v>
      </c>
      <c r="E82" s="5" t="s">
        <v>105</v>
      </c>
      <c r="F82" s="6" t="s">
        <v>106</v>
      </c>
      <c r="G82" s="5" t="s">
        <v>115</v>
      </c>
      <c r="H82" s="14" t="s">
        <v>51</v>
      </c>
      <c r="I82" s="5" t="str">
        <f aca="false">CONCATENATE(E82, "_",H82)</f>
        <v>NLA_2023_012_012</v>
      </c>
      <c r="J82" s="3" t="s">
        <v>38</v>
      </c>
      <c r="K82" s="3" t="s">
        <v>135</v>
      </c>
      <c r="L82" s="3" t="s">
        <v>69</v>
      </c>
      <c r="M82" s="15" t="s">
        <v>110</v>
      </c>
      <c r="N82" s="3" t="s">
        <v>41</v>
      </c>
      <c r="O82" s="3" t="s">
        <v>42</v>
      </c>
      <c r="P82" s="3" t="s">
        <v>43</v>
      </c>
      <c r="Q82" s="3" t="s">
        <v>43</v>
      </c>
      <c r="R82" s="5" t="s">
        <v>44</v>
      </c>
      <c r="S82" s="3" t="s">
        <v>45</v>
      </c>
      <c r="T82" s="3" t="s">
        <v>46</v>
      </c>
      <c r="U82" s="3" t="n">
        <v>650</v>
      </c>
      <c r="V82" s="3" t="n">
        <v>3</v>
      </c>
      <c r="W82" s="3" t="s">
        <v>136</v>
      </c>
      <c r="X82" s="5" t="s">
        <v>47</v>
      </c>
      <c r="Y82" s="12" t="n">
        <v>5500</v>
      </c>
      <c r="Z82" s="5" t="s">
        <v>112</v>
      </c>
      <c r="AA82" s="5" t="s">
        <v>113</v>
      </c>
      <c r="AB82" s="13" t="str">
        <f aca="true" t="array" ref="AB82:AB82">LEFT(AA82,LOOKUP(2^15,FIND(".",AA82,ROW(INDIRECT("1:"&amp;LEN(AA82)))))-1)</f>
        <v>NB_2023_020 - 20230929 - 1</v>
      </c>
      <c r="AC82" s="5" t="s">
        <v>114</v>
      </c>
      <c r="AD82" s="13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3" t="s">
        <v>137</v>
      </c>
      <c r="B83" s="4"/>
      <c r="C83" s="3" t="s">
        <v>138</v>
      </c>
      <c r="D83" s="5" t="s">
        <v>14</v>
      </c>
      <c r="E83" s="5" t="s">
        <v>105</v>
      </c>
      <c r="F83" s="6" t="s">
        <v>106</v>
      </c>
      <c r="G83" s="5" t="s">
        <v>105</v>
      </c>
      <c r="H83" s="14" t="s">
        <v>64</v>
      </c>
      <c r="I83" s="5" t="str">
        <f aca="false">CONCATENATE(E83, "_",H83)</f>
        <v>NLA_2023_012_Blank_1</v>
      </c>
      <c r="J83" s="3" t="s">
        <v>52</v>
      </c>
      <c r="K83" s="16" t="s">
        <v>64</v>
      </c>
      <c r="L83" s="6" t="s">
        <v>46</v>
      </c>
      <c r="M83" s="15" t="s">
        <v>46</v>
      </c>
      <c r="N83" s="5" t="s">
        <v>65</v>
      </c>
      <c r="O83" s="5" t="s">
        <v>46</v>
      </c>
      <c r="P83" s="5" t="s">
        <v>46</v>
      </c>
      <c r="Q83" s="5" t="s">
        <v>46</v>
      </c>
      <c r="R83" s="5" t="s">
        <v>46</v>
      </c>
      <c r="S83" s="5" t="s">
        <v>46</v>
      </c>
      <c r="T83" s="5" t="s">
        <v>46</v>
      </c>
      <c r="U83" s="5" t="s">
        <v>46</v>
      </c>
      <c r="V83" s="1" t="n">
        <v>1</v>
      </c>
      <c r="W83" s="17" t="s">
        <v>126</v>
      </c>
      <c r="X83" s="5" t="s">
        <v>46</v>
      </c>
      <c r="Y83" s="12" t="n">
        <v>5500</v>
      </c>
      <c r="Z83" s="5" t="s">
        <v>112</v>
      </c>
      <c r="AA83" s="5" t="s">
        <v>113</v>
      </c>
      <c r="AB83" s="13" t="str">
        <f aca="true" t="array" ref="AB83:AB83">LEFT(AA83,LOOKUP(2^15,FIND(".",AA83,ROW(INDIRECT("1:"&amp;LEN(AA83)))))-1)</f>
        <v>NB_2023_020 - 20230929 - 1</v>
      </c>
      <c r="AC83" s="5" t="s">
        <v>114</v>
      </c>
      <c r="AD83" s="13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3" t="s">
        <v>137</v>
      </c>
      <c r="B84" s="4"/>
      <c r="C84" s="3" t="s">
        <v>138</v>
      </c>
      <c r="D84" s="5" t="s">
        <v>14</v>
      </c>
      <c r="E84" s="5" t="s">
        <v>105</v>
      </c>
      <c r="F84" s="6" t="s">
        <v>106</v>
      </c>
      <c r="G84" s="5" t="s">
        <v>105</v>
      </c>
      <c r="H84" s="14" t="s">
        <v>66</v>
      </c>
      <c r="I84" s="5" t="str">
        <f aca="false">CONCATENATE(E84, "_",H84)</f>
        <v>NLA_2023_012_Blank_2</v>
      </c>
      <c r="J84" s="3" t="s">
        <v>52</v>
      </c>
      <c r="K84" s="16" t="s">
        <v>66</v>
      </c>
      <c r="L84" s="6" t="s">
        <v>46</v>
      </c>
      <c r="M84" s="15" t="s">
        <v>46</v>
      </c>
      <c r="N84" s="5" t="s">
        <v>65</v>
      </c>
      <c r="O84" s="5" t="s">
        <v>46</v>
      </c>
      <c r="P84" s="5" t="s">
        <v>46</v>
      </c>
      <c r="Q84" s="5" t="s">
        <v>46</v>
      </c>
      <c r="R84" s="5" t="s">
        <v>46</v>
      </c>
      <c r="S84" s="5" t="s">
        <v>46</v>
      </c>
      <c r="T84" s="5" t="s">
        <v>46</v>
      </c>
      <c r="U84" s="5" t="s">
        <v>46</v>
      </c>
      <c r="V84" s="1" t="n">
        <v>2</v>
      </c>
      <c r="W84" s="17" t="s">
        <v>126</v>
      </c>
      <c r="X84" s="5" t="s">
        <v>46</v>
      </c>
      <c r="Y84" s="12" t="n">
        <v>5500</v>
      </c>
      <c r="Z84" s="5" t="s">
        <v>112</v>
      </c>
      <c r="AA84" s="5" t="s">
        <v>113</v>
      </c>
      <c r="AB84" s="13" t="str">
        <f aca="true" t="array" ref="AB84:AB84">LEFT(AA84,LOOKUP(2^15,FIND(".",AA84,ROW(INDIRECT("1:"&amp;LEN(AA84)))))-1)</f>
        <v>NB_2023_020 - 20230929 - 1</v>
      </c>
      <c r="AC84" s="5" t="s">
        <v>114</v>
      </c>
      <c r="AD84" s="13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3" t="s">
        <v>137</v>
      </c>
      <c r="B85" s="4"/>
      <c r="C85" s="3" t="s">
        <v>138</v>
      </c>
      <c r="D85" s="5" t="s">
        <v>14</v>
      </c>
      <c r="E85" s="5" t="s">
        <v>105</v>
      </c>
      <c r="F85" s="6" t="s">
        <v>106</v>
      </c>
      <c r="G85" s="5" t="s">
        <v>105</v>
      </c>
      <c r="H85" s="14" t="s">
        <v>67</v>
      </c>
      <c r="I85" s="5" t="str">
        <f aca="false">CONCATENATE(E85, "_",H85)</f>
        <v>NLA_2023_012_Blank_3</v>
      </c>
      <c r="J85" s="3" t="s">
        <v>52</v>
      </c>
      <c r="K85" s="16" t="s">
        <v>67</v>
      </c>
      <c r="L85" s="6" t="s">
        <v>46</v>
      </c>
      <c r="M85" s="15" t="s">
        <v>46</v>
      </c>
      <c r="N85" s="5" t="s">
        <v>65</v>
      </c>
      <c r="O85" s="5" t="s">
        <v>46</v>
      </c>
      <c r="P85" s="5" t="s">
        <v>46</v>
      </c>
      <c r="Q85" s="5" t="s">
        <v>46</v>
      </c>
      <c r="R85" s="5" t="s">
        <v>46</v>
      </c>
      <c r="S85" s="5" t="s">
        <v>46</v>
      </c>
      <c r="T85" s="5" t="s">
        <v>46</v>
      </c>
      <c r="U85" s="5" t="s">
        <v>46</v>
      </c>
      <c r="V85" s="1" t="n">
        <v>3</v>
      </c>
      <c r="W85" s="17" t="s">
        <v>126</v>
      </c>
      <c r="X85" s="5" t="s">
        <v>46</v>
      </c>
      <c r="Y85" s="12" t="n">
        <v>5500</v>
      </c>
      <c r="Z85" s="5" t="s">
        <v>112</v>
      </c>
      <c r="AA85" s="5" t="s">
        <v>113</v>
      </c>
      <c r="AB85" s="13" t="str">
        <f aca="true" t="array" ref="AB85:AB85">LEFT(AA85,LOOKUP(2^15,FIND(".",AA85,ROW(INDIRECT("1:"&amp;LEN(AA85)))))-1)</f>
        <v>NB_2023_020 - 20230929 - 1</v>
      </c>
      <c r="AC85" s="5" t="s">
        <v>114</v>
      </c>
      <c r="AD85" s="13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3" t="s">
        <v>137</v>
      </c>
      <c r="B86" s="4"/>
      <c r="C86" s="3" t="s">
        <v>138</v>
      </c>
      <c r="D86" s="5" t="s">
        <v>14</v>
      </c>
      <c r="E86" s="5" t="s">
        <v>105</v>
      </c>
      <c r="F86" s="6" t="s">
        <v>106</v>
      </c>
      <c r="G86" s="5" t="s">
        <v>105</v>
      </c>
      <c r="H86" s="14" t="s">
        <v>68</v>
      </c>
      <c r="I86" s="5" t="str">
        <f aca="false">CONCATENATE(E86, "_",H86)</f>
        <v>NLA_2023_012_QC_C_1</v>
      </c>
      <c r="J86" s="3" t="s">
        <v>52</v>
      </c>
      <c r="K86" s="16" t="s">
        <v>68</v>
      </c>
      <c r="L86" s="6" t="s">
        <v>69</v>
      </c>
      <c r="M86" s="15" t="s">
        <v>46</v>
      </c>
      <c r="N86" s="5" t="s">
        <v>70</v>
      </c>
      <c r="O86" s="5" t="s">
        <v>46</v>
      </c>
      <c r="P86" s="5" t="s">
        <v>71</v>
      </c>
      <c r="Q86" s="5" t="s">
        <v>71</v>
      </c>
      <c r="R86" s="5" t="s">
        <v>72</v>
      </c>
      <c r="S86" s="5" t="s">
        <v>73</v>
      </c>
      <c r="T86" s="5" t="s">
        <v>46</v>
      </c>
      <c r="U86" s="5" t="n">
        <v>1000</v>
      </c>
      <c r="V86" s="1" t="n">
        <v>1</v>
      </c>
      <c r="W86" s="17" t="s">
        <v>126</v>
      </c>
      <c r="X86" s="5" t="s">
        <v>74</v>
      </c>
      <c r="Y86" s="12" t="n">
        <v>5500</v>
      </c>
      <c r="Z86" s="5" t="s">
        <v>112</v>
      </c>
      <c r="AA86" s="5" t="s">
        <v>113</v>
      </c>
      <c r="AB86" s="13" t="str">
        <f aca="true" t="array" ref="AB86:AB86">LEFT(AA86,LOOKUP(2^15,FIND(".",AA86,ROW(INDIRECT("1:"&amp;LEN(AA86)))))-1)</f>
        <v>NB_2023_020 - 20230929 - 1</v>
      </c>
      <c r="AC86" s="5" t="s">
        <v>114</v>
      </c>
      <c r="AD86" s="13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3" t="s">
        <v>137</v>
      </c>
      <c r="B87" s="4"/>
      <c r="C87" s="3" t="s">
        <v>138</v>
      </c>
      <c r="D87" s="5" t="s">
        <v>14</v>
      </c>
      <c r="E87" s="5" t="s">
        <v>105</v>
      </c>
      <c r="F87" s="6" t="s">
        <v>106</v>
      </c>
      <c r="G87" s="5" t="s">
        <v>105</v>
      </c>
      <c r="H87" s="14" t="s">
        <v>75</v>
      </c>
      <c r="I87" s="5" t="str">
        <f aca="false">CONCATENATE(E87, "_",H87)</f>
        <v>NLA_2023_012_QC_C_2</v>
      </c>
      <c r="J87" s="3" t="s">
        <v>52</v>
      </c>
      <c r="K87" s="16" t="s">
        <v>75</v>
      </c>
      <c r="L87" s="6" t="s">
        <v>69</v>
      </c>
      <c r="M87" s="15" t="s">
        <v>46</v>
      </c>
      <c r="N87" s="5" t="s">
        <v>70</v>
      </c>
      <c r="O87" s="5" t="s">
        <v>46</v>
      </c>
      <c r="P87" s="5" t="s">
        <v>71</v>
      </c>
      <c r="Q87" s="5" t="s">
        <v>71</v>
      </c>
      <c r="R87" s="5" t="s">
        <v>72</v>
      </c>
      <c r="S87" s="5" t="s">
        <v>73</v>
      </c>
      <c r="T87" s="5" t="s">
        <v>46</v>
      </c>
      <c r="U87" s="5" t="n">
        <v>1000</v>
      </c>
      <c r="V87" s="1" t="n">
        <v>2</v>
      </c>
      <c r="W87" s="17" t="s">
        <v>126</v>
      </c>
      <c r="X87" s="5" t="s">
        <v>74</v>
      </c>
      <c r="Y87" s="12" t="n">
        <v>5500</v>
      </c>
      <c r="Z87" s="5" t="s">
        <v>112</v>
      </c>
      <c r="AA87" s="5" t="s">
        <v>113</v>
      </c>
      <c r="AB87" s="13" t="str">
        <f aca="true" t="array" ref="AB87:AB87">LEFT(AA87,LOOKUP(2^15,FIND(".",AA87,ROW(INDIRECT("1:"&amp;LEN(AA87)))))-1)</f>
        <v>NB_2023_020 - 20230929 - 1</v>
      </c>
      <c r="AC87" s="5" t="s">
        <v>114</v>
      </c>
      <c r="AD87" s="13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3" t="s">
        <v>137</v>
      </c>
      <c r="B88" s="4"/>
      <c r="C88" s="3" t="s">
        <v>138</v>
      </c>
      <c r="D88" s="5" t="s">
        <v>14</v>
      </c>
      <c r="E88" s="5" t="s">
        <v>105</v>
      </c>
      <c r="F88" s="6" t="s">
        <v>106</v>
      </c>
      <c r="G88" s="5" t="s">
        <v>105</v>
      </c>
      <c r="H88" s="14" t="s">
        <v>76</v>
      </c>
      <c r="I88" s="5" t="str">
        <f aca="false">CONCATENATE(E88, "_",H88)</f>
        <v>NLA_2023_012_QC_C_3</v>
      </c>
      <c r="J88" s="3" t="s">
        <v>52</v>
      </c>
      <c r="K88" s="16" t="s">
        <v>76</v>
      </c>
      <c r="L88" s="6" t="s">
        <v>69</v>
      </c>
      <c r="M88" s="15" t="s">
        <v>46</v>
      </c>
      <c r="N88" s="5" t="s">
        <v>70</v>
      </c>
      <c r="O88" s="5" t="s">
        <v>46</v>
      </c>
      <c r="P88" s="5" t="s">
        <v>71</v>
      </c>
      <c r="Q88" s="5" t="s">
        <v>71</v>
      </c>
      <c r="R88" s="5" t="s">
        <v>72</v>
      </c>
      <c r="S88" s="5" t="s">
        <v>73</v>
      </c>
      <c r="T88" s="5" t="s">
        <v>46</v>
      </c>
      <c r="U88" s="5" t="n">
        <v>1000</v>
      </c>
      <c r="V88" s="1" t="n">
        <v>3</v>
      </c>
      <c r="W88" s="17" t="s">
        <v>126</v>
      </c>
      <c r="X88" s="5" t="s">
        <v>74</v>
      </c>
      <c r="Y88" s="12" t="n">
        <v>5500</v>
      </c>
      <c r="Z88" s="5" t="s">
        <v>112</v>
      </c>
      <c r="AA88" s="5" t="s">
        <v>113</v>
      </c>
      <c r="AB88" s="13" t="str">
        <f aca="true" t="array" ref="AB88:AB88">LEFT(AA88,LOOKUP(2^15,FIND(".",AA88,ROW(INDIRECT("1:"&amp;LEN(AA88)))))-1)</f>
        <v>NB_2023_020 - 20230929 - 1</v>
      </c>
      <c r="AC88" s="5" t="s">
        <v>114</v>
      </c>
      <c r="AD88" s="13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3" t="s">
        <v>137</v>
      </c>
      <c r="B89" s="4"/>
      <c r="C89" s="3" t="s">
        <v>138</v>
      </c>
      <c r="D89" s="5" t="s">
        <v>14</v>
      </c>
      <c r="E89" s="5" t="s">
        <v>105</v>
      </c>
      <c r="F89" s="6" t="s">
        <v>106</v>
      </c>
      <c r="G89" s="5" t="s">
        <v>105</v>
      </c>
      <c r="H89" s="14" t="s">
        <v>77</v>
      </c>
      <c r="I89" s="5" t="str">
        <f aca="false">CONCATENATE(E89, "_",H89)</f>
        <v>NLA_2023_012_QC_P_1</v>
      </c>
      <c r="J89" s="3" t="s">
        <v>52</v>
      </c>
      <c r="K89" s="16" t="s">
        <v>77</v>
      </c>
      <c r="L89" s="6" t="s">
        <v>69</v>
      </c>
      <c r="M89" s="15" t="s">
        <v>46</v>
      </c>
      <c r="N89" s="5" t="s">
        <v>78</v>
      </c>
      <c r="O89" s="5" t="s">
        <v>46</v>
      </c>
      <c r="P89" s="5" t="s">
        <v>79</v>
      </c>
      <c r="Q89" s="5" t="s">
        <v>80</v>
      </c>
      <c r="R89" s="5" t="s">
        <v>81</v>
      </c>
      <c r="S89" s="5" t="s">
        <v>46</v>
      </c>
      <c r="T89" s="5" t="s">
        <v>46</v>
      </c>
      <c r="U89" s="5" t="s">
        <v>82</v>
      </c>
      <c r="V89" s="1" t="n">
        <v>1</v>
      </c>
      <c r="W89" s="17" t="s">
        <v>126</v>
      </c>
      <c r="X89" s="5" t="s">
        <v>83</v>
      </c>
      <c r="Y89" s="12" t="n">
        <v>5500</v>
      </c>
      <c r="Z89" s="5" t="s">
        <v>112</v>
      </c>
      <c r="AA89" s="5" t="s">
        <v>113</v>
      </c>
      <c r="AB89" s="13" t="str">
        <f aca="true" t="array" ref="AB89:AB89">LEFT(AA89,LOOKUP(2^15,FIND(".",AA89,ROW(INDIRECT("1:"&amp;LEN(AA89)))))-1)</f>
        <v>NB_2023_020 - 20230929 - 1</v>
      </c>
      <c r="AC89" s="5" t="s">
        <v>114</v>
      </c>
      <c r="AD89" s="13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3" t="s">
        <v>137</v>
      </c>
      <c r="B90" s="4"/>
      <c r="C90" s="3" t="s">
        <v>138</v>
      </c>
      <c r="D90" s="5" t="s">
        <v>14</v>
      </c>
      <c r="E90" s="5" t="s">
        <v>105</v>
      </c>
      <c r="F90" s="6" t="s">
        <v>106</v>
      </c>
      <c r="G90" s="5" t="s">
        <v>105</v>
      </c>
      <c r="H90" s="14" t="s">
        <v>84</v>
      </c>
      <c r="I90" s="5" t="str">
        <f aca="false">CONCATENATE(E90, "_",H90)</f>
        <v>NLA_2023_012_QC_P_2</v>
      </c>
      <c r="J90" s="3" t="s">
        <v>52</v>
      </c>
      <c r="K90" s="16" t="s">
        <v>84</v>
      </c>
      <c r="L90" s="6" t="s">
        <v>69</v>
      </c>
      <c r="M90" s="15" t="s">
        <v>46</v>
      </c>
      <c r="N90" s="5" t="s">
        <v>78</v>
      </c>
      <c r="O90" s="5" t="s">
        <v>46</v>
      </c>
      <c r="P90" s="5" t="s">
        <v>79</v>
      </c>
      <c r="Q90" s="5" t="s">
        <v>80</v>
      </c>
      <c r="R90" s="5" t="s">
        <v>81</v>
      </c>
      <c r="S90" s="5" t="s">
        <v>46</v>
      </c>
      <c r="T90" s="5" t="s">
        <v>46</v>
      </c>
      <c r="U90" s="5" t="s">
        <v>82</v>
      </c>
      <c r="V90" s="1" t="n">
        <v>2</v>
      </c>
      <c r="W90" s="17" t="s">
        <v>126</v>
      </c>
      <c r="X90" s="5" t="s">
        <v>83</v>
      </c>
      <c r="Y90" s="12" t="n">
        <v>5500</v>
      </c>
      <c r="Z90" s="5" t="s">
        <v>112</v>
      </c>
      <c r="AA90" s="5" t="s">
        <v>113</v>
      </c>
      <c r="AB90" s="13" t="str">
        <f aca="true" t="array" ref="AB90:AB90">LEFT(AA90,LOOKUP(2^15,FIND(".",AA90,ROW(INDIRECT("1:"&amp;LEN(AA90)))))-1)</f>
        <v>NB_2023_020 - 20230929 - 1</v>
      </c>
      <c r="AC90" s="5" t="s">
        <v>114</v>
      </c>
      <c r="AD90" s="13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3" t="s">
        <v>137</v>
      </c>
      <c r="B91" s="4"/>
      <c r="C91" s="3" t="s">
        <v>138</v>
      </c>
      <c r="D91" s="5" t="s">
        <v>14</v>
      </c>
      <c r="E91" s="5" t="s">
        <v>105</v>
      </c>
      <c r="F91" s="6" t="s">
        <v>106</v>
      </c>
      <c r="G91" s="5" t="s">
        <v>105</v>
      </c>
      <c r="H91" s="14" t="s">
        <v>85</v>
      </c>
      <c r="I91" s="5" t="str">
        <f aca="false">CONCATENATE(E91, "_",H91)</f>
        <v>NLA_2023_012_QC_P_3</v>
      </c>
      <c r="J91" s="3" t="s">
        <v>52</v>
      </c>
      <c r="K91" s="16" t="s">
        <v>85</v>
      </c>
      <c r="L91" s="6" t="s">
        <v>69</v>
      </c>
      <c r="M91" s="15" t="s">
        <v>46</v>
      </c>
      <c r="N91" s="5" t="s">
        <v>78</v>
      </c>
      <c r="O91" s="5" t="s">
        <v>46</v>
      </c>
      <c r="P91" s="5" t="s">
        <v>79</v>
      </c>
      <c r="Q91" s="5" t="s">
        <v>80</v>
      </c>
      <c r="R91" s="5" t="s">
        <v>81</v>
      </c>
      <c r="S91" s="5" t="s">
        <v>46</v>
      </c>
      <c r="T91" s="5" t="s">
        <v>46</v>
      </c>
      <c r="U91" s="5" t="s">
        <v>82</v>
      </c>
      <c r="V91" s="1" t="n">
        <v>3</v>
      </c>
      <c r="W91" s="17" t="s">
        <v>126</v>
      </c>
      <c r="X91" s="5" t="s">
        <v>83</v>
      </c>
      <c r="Y91" s="12" t="n">
        <v>5500</v>
      </c>
      <c r="Z91" s="5" t="s">
        <v>112</v>
      </c>
      <c r="AA91" s="5" t="s">
        <v>113</v>
      </c>
      <c r="AB91" s="13" t="str">
        <f aca="true" t="array" ref="AB91:AB91">LEFT(AA91,LOOKUP(2^15,FIND(".",AA91,ROW(INDIRECT("1:"&amp;LEN(AA91)))))-1)</f>
        <v>NB_2023_020 - 20230929 - 1</v>
      </c>
      <c r="AC91" s="5" t="s">
        <v>114</v>
      </c>
      <c r="AD91" s="13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3" t="s">
        <v>147</v>
      </c>
      <c r="B92" s="4"/>
      <c r="C92" s="3" t="s">
        <v>148</v>
      </c>
      <c r="D92" s="5" t="s">
        <v>19</v>
      </c>
      <c r="E92" s="5" t="s">
        <v>149</v>
      </c>
      <c r="F92" s="6" t="s">
        <v>150</v>
      </c>
      <c r="G92" s="5" t="s">
        <v>151</v>
      </c>
      <c r="H92" s="6" t="s">
        <v>108</v>
      </c>
      <c r="I92" s="5" t="str">
        <f aca="false">CONCATENATE(E92, "_",H92)</f>
        <v>NLA_2023_016_001</v>
      </c>
      <c r="J92" s="5" t="s">
        <v>52</v>
      </c>
      <c r="K92" s="5" t="s">
        <v>152</v>
      </c>
      <c r="L92" s="8" t="s">
        <v>69</v>
      </c>
      <c r="M92" s="5" t="s">
        <v>46</v>
      </c>
      <c r="N92" s="5" t="s">
        <v>70</v>
      </c>
      <c r="O92" s="5" t="s">
        <v>46</v>
      </c>
      <c r="P92" s="5" t="s">
        <v>71</v>
      </c>
      <c r="Q92" s="5" t="s">
        <v>71</v>
      </c>
      <c r="R92" s="5" t="s">
        <v>72</v>
      </c>
      <c r="S92" s="5" t="s">
        <v>73</v>
      </c>
      <c r="T92" s="5" t="s">
        <v>46</v>
      </c>
      <c r="U92" s="5" t="n">
        <v>1000</v>
      </c>
      <c r="V92" s="1" t="n">
        <v>1</v>
      </c>
      <c r="W92" s="5"/>
      <c r="X92" s="5" t="s">
        <v>74</v>
      </c>
      <c r="Y92" s="12" t="s">
        <v>153</v>
      </c>
      <c r="Z92" s="5" t="s">
        <v>154</v>
      </c>
      <c r="AA92" s="5" t="s">
        <v>155</v>
      </c>
      <c r="AB92" s="13" t="str">
        <f aca="true" t="array" ref="AB92:AB92">LEFT(AA92,LOOKUP(2^15,FIND(".",AA92,ROW(INDIRECT("1:"&amp;LEN(AA92)))))-1)</f>
        <v>LW_2023_003 - 20231031 - 1</v>
      </c>
      <c r="AC92" s="5" t="s">
        <v>156</v>
      </c>
      <c r="AD92" s="13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3" t="s">
        <v>147</v>
      </c>
      <c r="B93" s="4"/>
      <c r="C93" s="3" t="s">
        <v>148</v>
      </c>
      <c r="D93" s="5" t="s">
        <v>19</v>
      </c>
      <c r="E93" s="5" t="s">
        <v>149</v>
      </c>
      <c r="F93" s="6" t="s">
        <v>150</v>
      </c>
      <c r="G93" s="5" t="s">
        <v>151</v>
      </c>
      <c r="H93" s="6" t="s">
        <v>88</v>
      </c>
      <c r="I93" s="5" t="str">
        <f aca="false">CONCATENATE(E93, "_",H93)</f>
        <v>NLA_2023_016_002</v>
      </c>
      <c r="J93" s="5" t="s">
        <v>52</v>
      </c>
      <c r="K93" s="5" t="s">
        <v>157</v>
      </c>
      <c r="L93" s="6" t="s">
        <v>46</v>
      </c>
      <c r="M93" s="15" t="s">
        <v>46</v>
      </c>
      <c r="N93" s="5" t="s">
        <v>65</v>
      </c>
      <c r="O93" s="5" t="s">
        <v>46</v>
      </c>
      <c r="P93" s="5" t="s">
        <v>46</v>
      </c>
      <c r="Q93" s="5" t="s">
        <v>46</v>
      </c>
      <c r="R93" s="5" t="s">
        <v>46</v>
      </c>
      <c r="S93" s="5" t="s">
        <v>46</v>
      </c>
      <c r="T93" s="5" t="s">
        <v>46</v>
      </c>
      <c r="U93" s="5" t="s">
        <v>46</v>
      </c>
      <c r="V93" s="1" t="n">
        <v>1</v>
      </c>
      <c r="W93" s="5"/>
      <c r="X93" s="5" t="s">
        <v>46</v>
      </c>
      <c r="Y93" s="12" t="s">
        <v>153</v>
      </c>
      <c r="Z93" s="5" t="s">
        <v>154</v>
      </c>
      <c r="AA93" s="5" t="s">
        <v>155</v>
      </c>
      <c r="AB93" s="13" t="str">
        <f aca="true" t="array" ref="AB93:AB93">LEFT(AA93,LOOKUP(2^15,FIND(".",AA93,ROW(INDIRECT("1:"&amp;LEN(AA93)))))-1)</f>
        <v>LW_2023_003 - 20231031 - 1</v>
      </c>
      <c r="AC93" s="5" t="s">
        <v>156</v>
      </c>
      <c r="AD93" s="13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3" t="s">
        <v>147</v>
      </c>
      <c r="B94" s="4"/>
      <c r="C94" s="3" t="s">
        <v>148</v>
      </c>
      <c r="D94" s="5" t="s">
        <v>19</v>
      </c>
      <c r="E94" s="5" t="s">
        <v>149</v>
      </c>
      <c r="F94" s="6" t="s">
        <v>150</v>
      </c>
      <c r="G94" s="5" t="s">
        <v>151</v>
      </c>
      <c r="H94" s="6" t="s">
        <v>99</v>
      </c>
      <c r="I94" s="5" t="str">
        <f aca="false">CONCATENATE(E94, "_",H94)</f>
        <v>NLA_2023_016_004</v>
      </c>
      <c r="J94" s="12" t="s">
        <v>158</v>
      </c>
      <c r="K94" s="12" t="s">
        <v>159</v>
      </c>
      <c r="L94" s="12" t="s">
        <v>69</v>
      </c>
      <c r="M94" s="12" t="s">
        <v>160</v>
      </c>
      <c r="N94" s="5" t="s">
        <v>41</v>
      </c>
      <c r="O94" s="12" t="s">
        <v>161</v>
      </c>
      <c r="P94" s="12" t="s">
        <v>162</v>
      </c>
      <c r="Q94" s="12" t="s">
        <v>162</v>
      </c>
      <c r="R94" s="5" t="s">
        <v>72</v>
      </c>
      <c r="S94" s="12" t="s">
        <v>90</v>
      </c>
      <c r="T94" s="12" t="s">
        <v>163</v>
      </c>
      <c r="U94" s="12" t="n">
        <v>500</v>
      </c>
      <c r="V94" s="12" t="n">
        <v>1</v>
      </c>
      <c r="W94" s="5"/>
      <c r="X94" s="5" t="s">
        <v>47</v>
      </c>
      <c r="Y94" s="12" t="s">
        <v>153</v>
      </c>
      <c r="Z94" s="5" t="s">
        <v>154</v>
      </c>
      <c r="AA94" s="5" t="s">
        <v>155</v>
      </c>
      <c r="AB94" s="13" t="str">
        <f aca="true" t="array" ref="AB94:AB94">LEFT(AA94,LOOKUP(2^15,FIND(".",AA94,ROW(INDIRECT("1:"&amp;LEN(AA94)))))-1)</f>
        <v>LW_2023_003 - 20231031 - 1</v>
      </c>
      <c r="AC94" s="5" t="s">
        <v>156</v>
      </c>
      <c r="AD94" s="13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3" t="s">
        <v>147</v>
      </c>
      <c r="B95" s="4"/>
      <c r="C95" s="3" t="s">
        <v>148</v>
      </c>
      <c r="D95" s="5" t="s">
        <v>19</v>
      </c>
      <c r="E95" s="5" t="s">
        <v>149</v>
      </c>
      <c r="F95" s="6" t="s">
        <v>150</v>
      </c>
      <c r="G95" s="5" t="s">
        <v>151</v>
      </c>
      <c r="H95" s="6" t="s">
        <v>139</v>
      </c>
      <c r="I95" s="5" t="str">
        <f aca="false">CONCATENATE(E95, "_",H95)</f>
        <v>NLA_2023_016_007</v>
      </c>
      <c r="J95" s="5" t="s">
        <v>52</v>
      </c>
      <c r="K95" s="5" t="s">
        <v>164</v>
      </c>
      <c r="L95" s="8" t="s">
        <v>69</v>
      </c>
      <c r="M95" s="5" t="s">
        <v>46</v>
      </c>
      <c r="N95" s="5" t="s">
        <v>70</v>
      </c>
      <c r="O95" s="5" t="s">
        <v>46</v>
      </c>
      <c r="P95" s="5" t="s">
        <v>71</v>
      </c>
      <c r="Q95" s="5" t="s">
        <v>71</v>
      </c>
      <c r="R95" s="5" t="s">
        <v>72</v>
      </c>
      <c r="S95" s="5" t="s">
        <v>73</v>
      </c>
      <c r="T95" s="5" t="s">
        <v>46</v>
      </c>
      <c r="U95" s="5" t="n">
        <v>1000</v>
      </c>
      <c r="V95" s="1" t="n">
        <v>2</v>
      </c>
      <c r="W95" s="5"/>
      <c r="X95" s="5" t="s">
        <v>74</v>
      </c>
      <c r="Y95" s="12" t="s">
        <v>153</v>
      </c>
      <c r="Z95" s="5" t="s">
        <v>154</v>
      </c>
      <c r="AA95" s="5" t="s">
        <v>155</v>
      </c>
      <c r="AB95" s="13" t="str">
        <f aca="true" t="array" ref="AB95:AB95">LEFT(AA95,LOOKUP(2^15,FIND(".",AA95,ROW(INDIRECT("1:"&amp;LEN(AA95)))))-1)</f>
        <v>LW_2023_003 - 20231031 - 1</v>
      </c>
      <c r="AC95" s="5" t="s">
        <v>156</v>
      </c>
      <c r="AD95" s="13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3" t="s">
        <v>147</v>
      </c>
      <c r="B96" s="4"/>
      <c r="C96" s="3" t="s">
        <v>148</v>
      </c>
      <c r="D96" s="5" t="s">
        <v>19</v>
      </c>
      <c r="E96" s="5" t="s">
        <v>149</v>
      </c>
      <c r="F96" s="6" t="s">
        <v>150</v>
      </c>
      <c r="G96" s="5" t="s">
        <v>151</v>
      </c>
      <c r="H96" s="6" t="s">
        <v>142</v>
      </c>
      <c r="I96" s="5" t="str">
        <f aca="false">CONCATENATE(E96, "_",H96)</f>
        <v>NLA_2023_016_008</v>
      </c>
      <c r="J96" s="5" t="s">
        <v>52</v>
      </c>
      <c r="K96" s="5" t="s">
        <v>165</v>
      </c>
      <c r="L96" s="6" t="s">
        <v>46</v>
      </c>
      <c r="M96" s="15" t="s">
        <v>46</v>
      </c>
      <c r="N96" s="5" t="s">
        <v>65</v>
      </c>
      <c r="O96" s="5" t="s">
        <v>46</v>
      </c>
      <c r="P96" s="5" t="s">
        <v>46</v>
      </c>
      <c r="Q96" s="5" t="s">
        <v>46</v>
      </c>
      <c r="R96" s="5" t="s">
        <v>46</v>
      </c>
      <c r="S96" s="5" t="s">
        <v>46</v>
      </c>
      <c r="T96" s="5" t="s">
        <v>46</v>
      </c>
      <c r="U96" s="5" t="s">
        <v>46</v>
      </c>
      <c r="V96" s="1" t="n">
        <v>2</v>
      </c>
      <c r="W96" s="5"/>
      <c r="X96" s="5" t="s">
        <v>46</v>
      </c>
      <c r="Y96" s="12" t="s">
        <v>153</v>
      </c>
      <c r="Z96" s="5" t="s">
        <v>154</v>
      </c>
      <c r="AA96" s="5" t="s">
        <v>155</v>
      </c>
      <c r="AB96" s="13" t="str">
        <f aca="true" t="array" ref="AB96:AB96">LEFT(AA96,LOOKUP(2^15,FIND(".",AA96,ROW(INDIRECT("1:"&amp;LEN(AA96)))))-1)</f>
        <v>LW_2023_003 - 20231031 - 1</v>
      </c>
      <c r="AC96" s="5" t="s">
        <v>156</v>
      </c>
      <c r="AD96" s="13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3" t="s">
        <v>147</v>
      </c>
      <c r="B97" s="4"/>
      <c r="C97" s="3" t="s">
        <v>148</v>
      </c>
      <c r="D97" s="5" t="s">
        <v>19</v>
      </c>
      <c r="E97" s="5" t="s">
        <v>149</v>
      </c>
      <c r="F97" s="6" t="s">
        <v>150</v>
      </c>
      <c r="G97" s="5" t="s">
        <v>151</v>
      </c>
      <c r="H97" s="6" t="s">
        <v>37</v>
      </c>
      <c r="I97" s="5" t="str">
        <f aca="false">CONCATENATE(E97, "_",H97)</f>
        <v>NLA_2023_016_009</v>
      </c>
      <c r="J97" s="12" t="s">
        <v>166</v>
      </c>
      <c r="K97" s="12" t="s">
        <v>167</v>
      </c>
      <c r="L97" s="12" t="s">
        <v>69</v>
      </c>
      <c r="M97" s="12" t="s">
        <v>160</v>
      </c>
      <c r="N97" s="5" t="s">
        <v>41</v>
      </c>
      <c r="O97" s="12" t="s">
        <v>161</v>
      </c>
      <c r="P97" s="12" t="s">
        <v>162</v>
      </c>
      <c r="Q97" s="12" t="s">
        <v>162</v>
      </c>
      <c r="R97" s="5" t="s">
        <v>72</v>
      </c>
      <c r="S97" s="12" t="s">
        <v>90</v>
      </c>
      <c r="T97" s="5" t="s">
        <v>168</v>
      </c>
      <c r="U97" s="12" t="n">
        <v>500</v>
      </c>
      <c r="V97" s="12" t="n">
        <v>2</v>
      </c>
      <c r="W97" s="5"/>
      <c r="X97" s="5" t="s">
        <v>47</v>
      </c>
      <c r="Y97" s="12" t="s">
        <v>153</v>
      </c>
      <c r="Z97" s="5" t="s">
        <v>154</v>
      </c>
      <c r="AA97" s="5" t="s">
        <v>155</v>
      </c>
      <c r="AB97" s="13" t="str">
        <f aca="true" t="array" ref="AB97:AB97">LEFT(AA97,LOOKUP(2^15,FIND(".",AA97,ROW(INDIRECT("1:"&amp;LEN(AA97)))))-1)</f>
        <v>LW_2023_003 - 20231031 - 1</v>
      </c>
      <c r="AC97" s="5" t="s">
        <v>156</v>
      </c>
      <c r="AD97" s="13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3" t="s">
        <v>147</v>
      </c>
      <c r="B98" s="4"/>
      <c r="C98" s="3" t="s">
        <v>148</v>
      </c>
      <c r="D98" s="5" t="s">
        <v>19</v>
      </c>
      <c r="E98" s="5" t="s">
        <v>149</v>
      </c>
      <c r="F98" s="6" t="s">
        <v>150</v>
      </c>
      <c r="G98" s="5" t="s">
        <v>151</v>
      </c>
      <c r="H98" s="6" t="s">
        <v>129</v>
      </c>
      <c r="I98" s="5" t="str">
        <f aca="false">CONCATENATE(E98, "_",H98)</f>
        <v>NLA_2023_016_010</v>
      </c>
      <c r="J98" s="12" t="s">
        <v>158</v>
      </c>
      <c r="K98" s="12" t="s">
        <v>169</v>
      </c>
      <c r="L98" s="12" t="s">
        <v>69</v>
      </c>
      <c r="M98" s="12" t="s">
        <v>160</v>
      </c>
      <c r="N98" s="5" t="s">
        <v>41</v>
      </c>
      <c r="O98" s="12" t="s">
        <v>161</v>
      </c>
      <c r="P98" s="12" t="s">
        <v>162</v>
      </c>
      <c r="Q98" s="12" t="s">
        <v>162</v>
      </c>
      <c r="R98" s="5" t="s">
        <v>72</v>
      </c>
      <c r="S98" s="12" t="s">
        <v>90</v>
      </c>
      <c r="T98" s="12" t="s">
        <v>163</v>
      </c>
      <c r="U98" s="12" t="n">
        <v>500</v>
      </c>
      <c r="V98" s="12" t="n">
        <v>2</v>
      </c>
      <c r="W98" s="5"/>
      <c r="X98" s="5" t="s">
        <v>47</v>
      </c>
      <c r="Y98" s="12" t="s">
        <v>153</v>
      </c>
      <c r="Z98" s="5" t="s">
        <v>154</v>
      </c>
      <c r="AA98" s="5" t="s">
        <v>155</v>
      </c>
      <c r="AB98" s="13" t="str">
        <f aca="true" t="array" ref="AB98:AB98">LEFT(AA98,LOOKUP(2^15,FIND(".",AA98,ROW(INDIRECT("1:"&amp;LEN(AA98)))))-1)</f>
        <v>LW_2023_003 - 20231031 - 1</v>
      </c>
      <c r="AC98" s="5" t="s">
        <v>156</v>
      </c>
      <c r="AD98" s="13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3" t="s">
        <v>147</v>
      </c>
      <c r="B99" s="4"/>
      <c r="C99" s="3" t="s">
        <v>148</v>
      </c>
      <c r="D99" s="5" t="s">
        <v>19</v>
      </c>
      <c r="E99" s="5" t="s">
        <v>149</v>
      </c>
      <c r="F99" s="6" t="s">
        <v>150</v>
      </c>
      <c r="G99" s="5" t="s">
        <v>151</v>
      </c>
      <c r="H99" s="6" t="s">
        <v>56</v>
      </c>
      <c r="I99" s="5" t="str">
        <f aca="false">CONCATENATE(E99, "_",H99)</f>
        <v>NLA_2023_016_013</v>
      </c>
      <c r="J99" s="5" t="s">
        <v>52</v>
      </c>
      <c r="K99" s="5" t="s">
        <v>170</v>
      </c>
      <c r="L99" s="8" t="s">
        <v>69</v>
      </c>
      <c r="M99" s="5" t="s">
        <v>46</v>
      </c>
      <c r="N99" s="5" t="s">
        <v>70</v>
      </c>
      <c r="O99" s="5" t="s">
        <v>46</v>
      </c>
      <c r="P99" s="5" t="s">
        <v>71</v>
      </c>
      <c r="Q99" s="5" t="s">
        <v>71</v>
      </c>
      <c r="R99" s="5" t="s">
        <v>72</v>
      </c>
      <c r="S99" s="5" t="s">
        <v>73</v>
      </c>
      <c r="T99" s="5" t="s">
        <v>46</v>
      </c>
      <c r="U99" s="5" t="n">
        <v>1000</v>
      </c>
      <c r="V99" s="1" t="n">
        <v>3</v>
      </c>
      <c r="W99" s="5"/>
      <c r="X99" s="5" t="s">
        <v>74</v>
      </c>
      <c r="Y99" s="12" t="s">
        <v>153</v>
      </c>
      <c r="Z99" s="5" t="s">
        <v>154</v>
      </c>
      <c r="AA99" s="5" t="s">
        <v>155</v>
      </c>
      <c r="AB99" s="13" t="str">
        <f aca="true" t="array" ref="AB99:AB99">LEFT(AA99,LOOKUP(2^15,FIND(".",AA99,ROW(INDIRECT("1:"&amp;LEN(AA99)))))-1)</f>
        <v>LW_2023_003 - 20231031 - 1</v>
      </c>
      <c r="AC99" s="5" t="s">
        <v>156</v>
      </c>
      <c r="AD99" s="13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3" t="s">
        <v>147</v>
      </c>
      <c r="B100" s="4"/>
      <c r="C100" s="3" t="s">
        <v>148</v>
      </c>
      <c r="D100" s="5" t="s">
        <v>19</v>
      </c>
      <c r="E100" s="5" t="s">
        <v>149</v>
      </c>
      <c r="F100" s="6" t="s">
        <v>150</v>
      </c>
      <c r="G100" s="5" t="s">
        <v>151</v>
      </c>
      <c r="H100" s="6" t="s">
        <v>58</v>
      </c>
      <c r="I100" s="5" t="str">
        <f aca="false">CONCATENATE(E100, "_",H100)</f>
        <v>NLA_2023_016_014</v>
      </c>
      <c r="J100" s="5" t="s">
        <v>52</v>
      </c>
      <c r="K100" s="5" t="s">
        <v>171</v>
      </c>
      <c r="L100" s="6" t="s">
        <v>46</v>
      </c>
      <c r="M100" s="15" t="s">
        <v>46</v>
      </c>
      <c r="N100" s="5" t="s">
        <v>65</v>
      </c>
      <c r="O100" s="5" t="s">
        <v>46</v>
      </c>
      <c r="P100" s="5" t="s">
        <v>46</v>
      </c>
      <c r="Q100" s="5" t="s">
        <v>46</v>
      </c>
      <c r="R100" s="5" t="s">
        <v>46</v>
      </c>
      <c r="S100" s="5" t="s">
        <v>46</v>
      </c>
      <c r="T100" s="5" t="s">
        <v>46</v>
      </c>
      <c r="U100" s="5" t="s">
        <v>46</v>
      </c>
      <c r="V100" s="1" t="n">
        <v>3</v>
      </c>
      <c r="W100" s="5"/>
      <c r="X100" s="5" t="s">
        <v>46</v>
      </c>
      <c r="Y100" s="12" t="s">
        <v>153</v>
      </c>
      <c r="Z100" s="5" t="s">
        <v>154</v>
      </c>
      <c r="AA100" s="5" t="s">
        <v>155</v>
      </c>
      <c r="AB100" s="13" t="str">
        <f aca="true" t="array" ref="AB100:AB100">LEFT(AA100,LOOKUP(2^15,FIND(".",AA100,ROW(INDIRECT("1:"&amp;LEN(AA100)))))-1)</f>
        <v>LW_2023_003 - 20231031 - 1</v>
      </c>
      <c r="AC100" s="5" t="s">
        <v>156</v>
      </c>
      <c r="AD100" s="13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3" t="s">
        <v>147</v>
      </c>
      <c r="B101" s="4"/>
      <c r="C101" s="3" t="s">
        <v>148</v>
      </c>
      <c r="D101" s="5" t="s">
        <v>19</v>
      </c>
      <c r="E101" s="5" t="s">
        <v>149</v>
      </c>
      <c r="F101" s="6" t="s">
        <v>150</v>
      </c>
      <c r="G101" s="5" t="s">
        <v>151</v>
      </c>
      <c r="H101" s="6" t="s">
        <v>172</v>
      </c>
      <c r="I101" s="5" t="str">
        <f aca="false">CONCATENATE(E101, "_",H101)</f>
        <v>NLA_2023_016_015</v>
      </c>
      <c r="J101" s="12" t="s">
        <v>166</v>
      </c>
      <c r="K101" s="12" t="s">
        <v>173</v>
      </c>
      <c r="L101" s="12" t="s">
        <v>69</v>
      </c>
      <c r="M101" s="12" t="s">
        <v>160</v>
      </c>
      <c r="N101" s="5" t="s">
        <v>41</v>
      </c>
      <c r="O101" s="12" t="s">
        <v>161</v>
      </c>
      <c r="P101" s="12" t="s">
        <v>162</v>
      </c>
      <c r="Q101" s="12" t="s">
        <v>162</v>
      </c>
      <c r="R101" s="5" t="s">
        <v>72</v>
      </c>
      <c r="S101" s="12" t="s">
        <v>90</v>
      </c>
      <c r="T101" s="5" t="s">
        <v>168</v>
      </c>
      <c r="U101" s="12" t="n">
        <v>500</v>
      </c>
      <c r="V101" s="12" t="n">
        <v>3</v>
      </c>
      <c r="W101" s="5"/>
      <c r="X101" s="5" t="s">
        <v>47</v>
      </c>
      <c r="Y101" s="12" t="s">
        <v>153</v>
      </c>
      <c r="Z101" s="5" t="s">
        <v>154</v>
      </c>
      <c r="AA101" s="5" t="s">
        <v>155</v>
      </c>
      <c r="AB101" s="13" t="str">
        <f aca="true" t="array" ref="AB101:AB101">LEFT(AA101,LOOKUP(2^15,FIND(".",AA101,ROW(INDIRECT("1:"&amp;LEN(AA101)))))-1)</f>
        <v>LW_2023_003 - 20231031 - 1</v>
      </c>
      <c r="AC101" s="5" t="s">
        <v>156</v>
      </c>
      <c r="AD101" s="13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3" t="s">
        <v>147</v>
      </c>
      <c r="B102" s="4"/>
      <c r="C102" s="3" t="s">
        <v>148</v>
      </c>
      <c r="D102" s="5" t="s">
        <v>19</v>
      </c>
      <c r="E102" s="5" t="s">
        <v>149</v>
      </c>
      <c r="F102" s="6" t="s">
        <v>150</v>
      </c>
      <c r="G102" s="5" t="s">
        <v>151</v>
      </c>
      <c r="H102" s="6" t="s">
        <v>60</v>
      </c>
      <c r="I102" s="5" t="str">
        <f aca="false">CONCATENATE(E102, "_",H102)</f>
        <v>NLA_2023_016_016</v>
      </c>
      <c r="J102" s="12" t="s">
        <v>158</v>
      </c>
      <c r="K102" s="12" t="s">
        <v>174</v>
      </c>
      <c r="L102" s="12" t="s">
        <v>69</v>
      </c>
      <c r="M102" s="12" t="s">
        <v>160</v>
      </c>
      <c r="N102" s="5" t="s">
        <v>41</v>
      </c>
      <c r="O102" s="12" t="s">
        <v>161</v>
      </c>
      <c r="P102" s="12" t="s">
        <v>162</v>
      </c>
      <c r="Q102" s="12" t="s">
        <v>162</v>
      </c>
      <c r="R102" s="5" t="s">
        <v>72</v>
      </c>
      <c r="S102" s="12" t="s">
        <v>90</v>
      </c>
      <c r="T102" s="12" t="s">
        <v>163</v>
      </c>
      <c r="U102" s="12" t="n">
        <v>500</v>
      </c>
      <c r="V102" s="12" t="n">
        <v>3</v>
      </c>
      <c r="W102" s="5"/>
      <c r="X102" s="5" t="s">
        <v>47</v>
      </c>
      <c r="Y102" s="12" t="s">
        <v>153</v>
      </c>
      <c r="Z102" s="5" t="s">
        <v>154</v>
      </c>
      <c r="AA102" s="5" t="s">
        <v>155</v>
      </c>
      <c r="AB102" s="13" t="str">
        <f aca="true" t="array" ref="AB102:AB102">LEFT(AA102,LOOKUP(2^15,FIND(".",AA102,ROW(INDIRECT("1:"&amp;LEN(AA102)))))-1)</f>
        <v>LW_2023_003 - 20231031 - 1</v>
      </c>
      <c r="AC102" s="5" t="s">
        <v>156</v>
      </c>
      <c r="AD102" s="13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3" t="s">
        <v>175</v>
      </c>
      <c r="B103" s="4"/>
      <c r="C103" s="3" t="s">
        <v>176</v>
      </c>
      <c r="D103" s="5" t="s">
        <v>19</v>
      </c>
      <c r="E103" s="5" t="s">
        <v>149</v>
      </c>
      <c r="F103" s="6" t="s">
        <v>150</v>
      </c>
      <c r="G103" s="5" t="s">
        <v>151</v>
      </c>
      <c r="H103" s="6" t="s">
        <v>108</v>
      </c>
      <c r="I103" s="5" t="str">
        <f aca="false">CONCATENATE(E103, "_",H103)</f>
        <v>NLA_2023_016_001</v>
      </c>
      <c r="J103" s="5" t="s">
        <v>52</v>
      </c>
      <c r="K103" s="5" t="s">
        <v>152</v>
      </c>
      <c r="L103" s="8" t="s">
        <v>69</v>
      </c>
      <c r="M103" s="5" t="s">
        <v>46</v>
      </c>
      <c r="N103" s="5" t="s">
        <v>70</v>
      </c>
      <c r="O103" s="5" t="s">
        <v>46</v>
      </c>
      <c r="P103" s="5" t="s">
        <v>71</v>
      </c>
      <c r="Q103" s="5" t="s">
        <v>71</v>
      </c>
      <c r="R103" s="5" t="s">
        <v>72</v>
      </c>
      <c r="S103" s="5" t="s">
        <v>73</v>
      </c>
      <c r="T103" s="5" t="s">
        <v>46</v>
      </c>
      <c r="U103" s="5" t="n">
        <v>1000</v>
      </c>
      <c r="V103" s="1" t="n">
        <v>1</v>
      </c>
      <c r="W103" s="5"/>
      <c r="X103" s="5" t="s">
        <v>74</v>
      </c>
      <c r="Y103" s="12" t="s">
        <v>153</v>
      </c>
      <c r="Z103" s="5" t="s">
        <v>154</v>
      </c>
      <c r="AA103" s="5" t="s">
        <v>155</v>
      </c>
      <c r="AB103" s="13" t="str">
        <f aca="true" t="array" ref="AB103:AB103">LEFT(AA103,LOOKUP(2^15,FIND(".",AA103,ROW(INDIRECT("1:"&amp;LEN(AA103)))))-1)</f>
        <v>LW_2023_003 - 20231031 - 1</v>
      </c>
      <c r="AC103" s="5" t="s">
        <v>156</v>
      </c>
      <c r="AD103" s="13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3" t="s">
        <v>175</v>
      </c>
      <c r="B104" s="4"/>
      <c r="C104" s="3" t="s">
        <v>176</v>
      </c>
      <c r="D104" s="5" t="s">
        <v>19</v>
      </c>
      <c r="E104" s="5" t="s">
        <v>149</v>
      </c>
      <c r="F104" s="6" t="s">
        <v>150</v>
      </c>
      <c r="G104" s="5" t="s">
        <v>151</v>
      </c>
      <c r="H104" s="6" t="s">
        <v>88</v>
      </c>
      <c r="I104" s="5" t="str">
        <f aca="false">CONCATENATE(E104, "_",H104)</f>
        <v>NLA_2023_016_002</v>
      </c>
      <c r="J104" s="5" t="s">
        <v>52</v>
      </c>
      <c r="K104" s="5" t="s">
        <v>157</v>
      </c>
      <c r="L104" s="6" t="s">
        <v>46</v>
      </c>
      <c r="M104" s="15" t="s">
        <v>46</v>
      </c>
      <c r="N104" s="5" t="s">
        <v>65</v>
      </c>
      <c r="O104" s="5" t="s">
        <v>46</v>
      </c>
      <c r="P104" s="5" t="s">
        <v>46</v>
      </c>
      <c r="Q104" s="5" t="s">
        <v>46</v>
      </c>
      <c r="R104" s="5" t="s">
        <v>46</v>
      </c>
      <c r="S104" s="5" t="s">
        <v>46</v>
      </c>
      <c r="T104" s="5" t="s">
        <v>46</v>
      </c>
      <c r="U104" s="5" t="s">
        <v>46</v>
      </c>
      <c r="V104" s="1" t="n">
        <v>1</v>
      </c>
      <c r="W104" s="5"/>
      <c r="X104" s="5" t="s">
        <v>46</v>
      </c>
      <c r="Y104" s="12" t="s">
        <v>153</v>
      </c>
      <c r="Z104" s="5" t="s">
        <v>154</v>
      </c>
      <c r="AA104" s="5" t="s">
        <v>155</v>
      </c>
      <c r="AB104" s="13" t="str">
        <f aca="true" t="array" ref="AB104:AB104">LEFT(AA104,LOOKUP(2^15,FIND(".",AA104,ROW(INDIRECT("1:"&amp;LEN(AA104)))))-1)</f>
        <v>LW_2023_003 - 20231031 - 1</v>
      </c>
      <c r="AC104" s="5" t="s">
        <v>156</v>
      </c>
      <c r="AD104" s="13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3" t="s">
        <v>175</v>
      </c>
      <c r="B105" s="4"/>
      <c r="C105" s="3" t="s">
        <v>176</v>
      </c>
      <c r="D105" s="5" t="s">
        <v>19</v>
      </c>
      <c r="E105" s="5" t="s">
        <v>149</v>
      </c>
      <c r="F105" s="6" t="s">
        <v>150</v>
      </c>
      <c r="G105" s="5" t="s">
        <v>151</v>
      </c>
      <c r="H105" s="6" t="s">
        <v>91</v>
      </c>
      <c r="I105" s="5" t="str">
        <f aca="false">CONCATENATE(E105, "_",H105)</f>
        <v>NLA_2023_016_005</v>
      </c>
      <c r="J105" s="12" t="s">
        <v>166</v>
      </c>
      <c r="K105" s="12" t="s">
        <v>177</v>
      </c>
      <c r="L105" s="12" t="s">
        <v>69</v>
      </c>
      <c r="M105" s="12" t="s">
        <v>160</v>
      </c>
      <c r="N105" s="5" t="s">
        <v>41</v>
      </c>
      <c r="O105" s="12" t="s">
        <v>161</v>
      </c>
      <c r="P105" s="12" t="s">
        <v>43</v>
      </c>
      <c r="Q105" s="12" t="s">
        <v>43</v>
      </c>
      <c r="R105" s="5" t="s">
        <v>44</v>
      </c>
      <c r="S105" s="12" t="s">
        <v>90</v>
      </c>
      <c r="T105" s="5" t="s">
        <v>168</v>
      </c>
      <c r="U105" s="12" t="n">
        <v>1000</v>
      </c>
      <c r="V105" s="12" t="n">
        <v>1</v>
      </c>
      <c r="W105" s="5"/>
      <c r="X105" s="5" t="s">
        <v>47</v>
      </c>
      <c r="Y105" s="12" t="s">
        <v>153</v>
      </c>
      <c r="Z105" s="5" t="s">
        <v>154</v>
      </c>
      <c r="AA105" s="5" t="s">
        <v>155</v>
      </c>
      <c r="AB105" s="13" t="str">
        <f aca="true" t="array" ref="AB105:AB105">LEFT(AA105,LOOKUP(2^15,FIND(".",AA105,ROW(INDIRECT("1:"&amp;LEN(AA105)))))-1)</f>
        <v>LW_2023_003 - 20231031 - 1</v>
      </c>
      <c r="AC105" s="5" t="s">
        <v>156</v>
      </c>
      <c r="AD105" s="13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3" t="s">
        <v>175</v>
      </c>
      <c r="B106" s="4"/>
      <c r="C106" s="3" t="s">
        <v>176</v>
      </c>
      <c r="D106" s="5" t="s">
        <v>19</v>
      </c>
      <c r="E106" s="5" t="s">
        <v>149</v>
      </c>
      <c r="F106" s="6" t="s">
        <v>150</v>
      </c>
      <c r="G106" s="5" t="s">
        <v>151</v>
      </c>
      <c r="H106" s="6" t="s">
        <v>101</v>
      </c>
      <c r="I106" s="5" t="str">
        <f aca="false">CONCATENATE(E106, "_",H106)</f>
        <v>NLA_2023_016_006</v>
      </c>
      <c r="J106" s="12" t="s">
        <v>158</v>
      </c>
      <c r="K106" s="12" t="s">
        <v>178</v>
      </c>
      <c r="L106" s="12" t="s">
        <v>69</v>
      </c>
      <c r="M106" s="12" t="s">
        <v>160</v>
      </c>
      <c r="N106" s="5" t="s">
        <v>41</v>
      </c>
      <c r="O106" s="12" t="s">
        <v>161</v>
      </c>
      <c r="P106" s="12" t="s">
        <v>43</v>
      </c>
      <c r="Q106" s="12" t="s">
        <v>43</v>
      </c>
      <c r="R106" s="5" t="s">
        <v>44</v>
      </c>
      <c r="S106" s="12" t="s">
        <v>90</v>
      </c>
      <c r="T106" s="12" t="s">
        <v>163</v>
      </c>
      <c r="U106" s="12" t="n">
        <v>1000</v>
      </c>
      <c r="V106" s="12" t="n">
        <v>1</v>
      </c>
      <c r="W106" s="5"/>
      <c r="X106" s="5" t="s">
        <v>47</v>
      </c>
      <c r="Y106" s="12" t="s">
        <v>153</v>
      </c>
      <c r="Z106" s="5" t="s">
        <v>154</v>
      </c>
      <c r="AA106" s="5" t="s">
        <v>155</v>
      </c>
      <c r="AB106" s="13" t="str">
        <f aca="true" t="array" ref="AB106:AB106">LEFT(AA106,LOOKUP(2^15,FIND(".",AA106,ROW(INDIRECT("1:"&amp;LEN(AA106)))))-1)</f>
        <v>LW_2023_003 - 20231031 - 1</v>
      </c>
      <c r="AC106" s="5" t="s">
        <v>156</v>
      </c>
      <c r="AD106" s="13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3" t="s">
        <v>175</v>
      </c>
      <c r="B107" s="4"/>
      <c r="C107" s="3" t="s">
        <v>176</v>
      </c>
      <c r="D107" s="5" t="s">
        <v>19</v>
      </c>
      <c r="E107" s="5" t="s">
        <v>149</v>
      </c>
      <c r="F107" s="6" t="s">
        <v>150</v>
      </c>
      <c r="G107" s="5" t="s">
        <v>151</v>
      </c>
      <c r="H107" s="6" t="s">
        <v>139</v>
      </c>
      <c r="I107" s="5" t="str">
        <f aca="false">CONCATENATE(E107, "_",H107)</f>
        <v>NLA_2023_016_007</v>
      </c>
      <c r="J107" s="5" t="s">
        <v>52</v>
      </c>
      <c r="K107" s="5" t="s">
        <v>164</v>
      </c>
      <c r="L107" s="8" t="s">
        <v>69</v>
      </c>
      <c r="M107" s="5" t="s">
        <v>46</v>
      </c>
      <c r="N107" s="5" t="s">
        <v>70</v>
      </c>
      <c r="O107" s="5" t="s">
        <v>46</v>
      </c>
      <c r="P107" s="5" t="s">
        <v>71</v>
      </c>
      <c r="Q107" s="5" t="s">
        <v>71</v>
      </c>
      <c r="R107" s="5" t="s">
        <v>72</v>
      </c>
      <c r="S107" s="5" t="s">
        <v>73</v>
      </c>
      <c r="T107" s="5" t="s">
        <v>46</v>
      </c>
      <c r="U107" s="5" t="n">
        <v>1000</v>
      </c>
      <c r="V107" s="1" t="n">
        <v>2</v>
      </c>
      <c r="W107" s="5"/>
      <c r="X107" s="5" t="s">
        <v>74</v>
      </c>
      <c r="Y107" s="12" t="s">
        <v>153</v>
      </c>
      <c r="Z107" s="5" t="s">
        <v>154</v>
      </c>
      <c r="AA107" s="5" t="s">
        <v>155</v>
      </c>
      <c r="AB107" s="13" t="str">
        <f aca="true" t="array" ref="AB107:AB107">LEFT(AA107,LOOKUP(2^15,FIND(".",AA107,ROW(INDIRECT("1:"&amp;LEN(AA107)))))-1)</f>
        <v>LW_2023_003 - 20231031 - 1</v>
      </c>
      <c r="AC107" s="5" t="s">
        <v>156</v>
      </c>
      <c r="AD107" s="13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3" t="s">
        <v>175</v>
      </c>
      <c r="B108" s="4"/>
      <c r="C108" s="3" t="s">
        <v>176</v>
      </c>
      <c r="D108" s="5" t="s">
        <v>19</v>
      </c>
      <c r="E108" s="5" t="s">
        <v>149</v>
      </c>
      <c r="F108" s="6" t="s">
        <v>150</v>
      </c>
      <c r="G108" s="5" t="s">
        <v>151</v>
      </c>
      <c r="H108" s="6" t="s">
        <v>142</v>
      </c>
      <c r="I108" s="5" t="str">
        <f aca="false">CONCATENATE(E108, "_",H108)</f>
        <v>NLA_2023_016_008</v>
      </c>
      <c r="J108" s="5" t="s">
        <v>52</v>
      </c>
      <c r="K108" s="5" t="s">
        <v>165</v>
      </c>
      <c r="L108" s="6" t="s">
        <v>46</v>
      </c>
      <c r="M108" s="15" t="s">
        <v>46</v>
      </c>
      <c r="N108" s="5" t="s">
        <v>65</v>
      </c>
      <c r="O108" s="5" t="s">
        <v>46</v>
      </c>
      <c r="P108" s="5" t="s">
        <v>46</v>
      </c>
      <c r="Q108" s="5" t="s">
        <v>46</v>
      </c>
      <c r="R108" s="5" t="s">
        <v>46</v>
      </c>
      <c r="S108" s="5" t="s">
        <v>46</v>
      </c>
      <c r="T108" s="5" t="s">
        <v>46</v>
      </c>
      <c r="U108" s="5" t="s">
        <v>46</v>
      </c>
      <c r="V108" s="1" t="n">
        <v>2</v>
      </c>
      <c r="W108" s="5"/>
      <c r="X108" s="5" t="s">
        <v>46</v>
      </c>
      <c r="Y108" s="12" t="s">
        <v>153</v>
      </c>
      <c r="Z108" s="5" t="s">
        <v>154</v>
      </c>
      <c r="AA108" s="5" t="s">
        <v>155</v>
      </c>
      <c r="AB108" s="13" t="str">
        <f aca="true" t="array" ref="AB108:AB108">LEFT(AA108,LOOKUP(2^15,FIND(".",AA108,ROW(INDIRECT("1:"&amp;LEN(AA108)))))-1)</f>
        <v>LW_2023_003 - 20231031 - 1</v>
      </c>
      <c r="AC108" s="5" t="s">
        <v>156</v>
      </c>
      <c r="AD108" s="13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3" t="s">
        <v>175</v>
      </c>
      <c r="B109" s="4"/>
      <c r="C109" s="3" t="s">
        <v>176</v>
      </c>
      <c r="D109" s="5" t="s">
        <v>19</v>
      </c>
      <c r="E109" s="5" t="s">
        <v>149</v>
      </c>
      <c r="F109" s="6" t="s">
        <v>150</v>
      </c>
      <c r="G109" s="5" t="s">
        <v>151</v>
      </c>
      <c r="H109" s="6" t="s">
        <v>132</v>
      </c>
      <c r="I109" s="5" t="str">
        <f aca="false">CONCATENATE(E109, "_",H109)</f>
        <v>NLA_2023_016_011</v>
      </c>
      <c r="J109" s="12" t="s">
        <v>166</v>
      </c>
      <c r="K109" s="12" t="s">
        <v>179</v>
      </c>
      <c r="L109" s="12" t="s">
        <v>69</v>
      </c>
      <c r="M109" s="12" t="s">
        <v>160</v>
      </c>
      <c r="N109" s="5" t="s">
        <v>41</v>
      </c>
      <c r="O109" s="12" t="s">
        <v>161</v>
      </c>
      <c r="P109" s="12" t="s">
        <v>43</v>
      </c>
      <c r="Q109" s="12" t="s">
        <v>43</v>
      </c>
      <c r="R109" s="5" t="s">
        <v>44</v>
      </c>
      <c r="S109" s="12" t="s">
        <v>90</v>
      </c>
      <c r="T109" s="5" t="s">
        <v>168</v>
      </c>
      <c r="U109" s="12" t="n">
        <v>1000</v>
      </c>
      <c r="V109" s="12" t="n">
        <v>2</v>
      </c>
      <c r="W109" s="5"/>
      <c r="X109" s="5" t="s">
        <v>47</v>
      </c>
      <c r="Y109" s="12" t="s">
        <v>153</v>
      </c>
      <c r="Z109" s="5" t="s">
        <v>154</v>
      </c>
      <c r="AA109" s="5" t="s">
        <v>155</v>
      </c>
      <c r="AB109" s="13" t="str">
        <f aca="true" t="array" ref="AB109:AB109">LEFT(AA109,LOOKUP(2^15,FIND(".",AA109,ROW(INDIRECT("1:"&amp;LEN(AA109)))))-1)</f>
        <v>LW_2023_003 - 20231031 - 1</v>
      </c>
      <c r="AC109" s="5" t="s">
        <v>156</v>
      </c>
      <c r="AD109" s="13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3" t="s">
        <v>175</v>
      </c>
      <c r="B110" s="4"/>
      <c r="C110" s="3" t="s">
        <v>176</v>
      </c>
      <c r="D110" s="5" t="s">
        <v>19</v>
      </c>
      <c r="E110" s="5" t="s">
        <v>149</v>
      </c>
      <c r="F110" s="6" t="s">
        <v>150</v>
      </c>
      <c r="G110" s="5" t="s">
        <v>151</v>
      </c>
      <c r="H110" s="6" t="s">
        <v>51</v>
      </c>
      <c r="I110" s="5" t="str">
        <f aca="false">CONCATENATE(E110, "_",H110)</f>
        <v>NLA_2023_016_012</v>
      </c>
      <c r="J110" s="12" t="s">
        <v>158</v>
      </c>
      <c r="K110" s="12" t="s">
        <v>180</v>
      </c>
      <c r="L110" s="12" t="s">
        <v>69</v>
      </c>
      <c r="M110" s="12" t="s">
        <v>160</v>
      </c>
      <c r="N110" s="5" t="s">
        <v>41</v>
      </c>
      <c r="O110" s="12" t="s">
        <v>161</v>
      </c>
      <c r="P110" s="12" t="s">
        <v>43</v>
      </c>
      <c r="Q110" s="12" t="s">
        <v>43</v>
      </c>
      <c r="R110" s="5" t="s">
        <v>44</v>
      </c>
      <c r="S110" s="12" t="s">
        <v>90</v>
      </c>
      <c r="T110" s="12" t="s">
        <v>163</v>
      </c>
      <c r="U110" s="12" t="n">
        <v>1000</v>
      </c>
      <c r="V110" s="12" t="n">
        <v>2</v>
      </c>
      <c r="W110" s="5"/>
      <c r="X110" s="5" t="s">
        <v>47</v>
      </c>
      <c r="Y110" s="12" t="s">
        <v>153</v>
      </c>
      <c r="Z110" s="5" t="s">
        <v>154</v>
      </c>
      <c r="AA110" s="5" t="s">
        <v>155</v>
      </c>
      <c r="AB110" s="13" t="str">
        <f aca="true" t="array" ref="AB110:AB110">LEFT(AA110,LOOKUP(2^15,FIND(".",AA110,ROW(INDIRECT("1:"&amp;LEN(AA110)))))-1)</f>
        <v>LW_2023_003 - 20231031 - 1</v>
      </c>
      <c r="AC110" s="5" t="s">
        <v>156</v>
      </c>
      <c r="AD110" s="13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3" t="s">
        <v>175</v>
      </c>
      <c r="B111" s="4"/>
      <c r="C111" s="3" t="s">
        <v>176</v>
      </c>
      <c r="D111" s="5" t="s">
        <v>19</v>
      </c>
      <c r="E111" s="5" t="s">
        <v>149</v>
      </c>
      <c r="F111" s="6" t="s">
        <v>150</v>
      </c>
      <c r="G111" s="5" t="s">
        <v>151</v>
      </c>
      <c r="H111" s="6" t="s">
        <v>56</v>
      </c>
      <c r="I111" s="5" t="str">
        <f aca="false">CONCATENATE(E111, "_",H111)</f>
        <v>NLA_2023_016_013</v>
      </c>
      <c r="J111" s="5" t="s">
        <v>52</v>
      </c>
      <c r="K111" s="5" t="s">
        <v>170</v>
      </c>
      <c r="L111" s="8" t="s">
        <v>69</v>
      </c>
      <c r="M111" s="5" t="s">
        <v>46</v>
      </c>
      <c r="N111" s="5" t="s">
        <v>70</v>
      </c>
      <c r="O111" s="5" t="s">
        <v>46</v>
      </c>
      <c r="P111" s="5" t="s">
        <v>71</v>
      </c>
      <c r="Q111" s="5" t="s">
        <v>71</v>
      </c>
      <c r="R111" s="5" t="s">
        <v>72</v>
      </c>
      <c r="S111" s="5" t="s">
        <v>73</v>
      </c>
      <c r="T111" s="5" t="s">
        <v>46</v>
      </c>
      <c r="U111" s="5" t="n">
        <v>1000</v>
      </c>
      <c r="V111" s="1" t="n">
        <v>3</v>
      </c>
      <c r="W111" s="5"/>
      <c r="X111" s="5" t="s">
        <v>74</v>
      </c>
      <c r="Y111" s="12" t="s">
        <v>153</v>
      </c>
      <c r="Z111" s="5" t="s">
        <v>154</v>
      </c>
      <c r="AA111" s="5" t="s">
        <v>155</v>
      </c>
      <c r="AB111" s="13" t="str">
        <f aca="true" t="array" ref="AB111:AB111">LEFT(AA111,LOOKUP(2^15,FIND(".",AA111,ROW(INDIRECT("1:"&amp;LEN(AA111)))))-1)</f>
        <v>LW_2023_003 - 20231031 - 1</v>
      </c>
      <c r="AC111" s="5" t="s">
        <v>156</v>
      </c>
      <c r="AD111" s="13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3" t="s">
        <v>175</v>
      </c>
      <c r="B112" s="4"/>
      <c r="C112" s="3" t="s">
        <v>176</v>
      </c>
      <c r="D112" s="5" t="s">
        <v>19</v>
      </c>
      <c r="E112" s="5" t="s">
        <v>149</v>
      </c>
      <c r="F112" s="6" t="s">
        <v>150</v>
      </c>
      <c r="G112" s="5" t="s">
        <v>151</v>
      </c>
      <c r="H112" s="6" t="s">
        <v>58</v>
      </c>
      <c r="I112" s="5" t="str">
        <f aca="false">CONCATENATE(E112, "_",H112)</f>
        <v>NLA_2023_016_014</v>
      </c>
      <c r="J112" s="5" t="s">
        <v>52</v>
      </c>
      <c r="K112" s="5" t="s">
        <v>171</v>
      </c>
      <c r="L112" s="6" t="s">
        <v>46</v>
      </c>
      <c r="M112" s="15" t="s">
        <v>46</v>
      </c>
      <c r="N112" s="5" t="s">
        <v>65</v>
      </c>
      <c r="O112" s="5" t="s">
        <v>46</v>
      </c>
      <c r="P112" s="5" t="s">
        <v>46</v>
      </c>
      <c r="Q112" s="5" t="s">
        <v>46</v>
      </c>
      <c r="R112" s="5" t="s">
        <v>46</v>
      </c>
      <c r="S112" s="5" t="s">
        <v>46</v>
      </c>
      <c r="T112" s="5" t="s">
        <v>46</v>
      </c>
      <c r="U112" s="5" t="s">
        <v>46</v>
      </c>
      <c r="V112" s="1" t="n">
        <v>3</v>
      </c>
      <c r="W112" s="5"/>
      <c r="X112" s="5" t="s">
        <v>46</v>
      </c>
      <c r="Y112" s="12" t="s">
        <v>153</v>
      </c>
      <c r="Z112" s="5" t="s">
        <v>154</v>
      </c>
      <c r="AA112" s="5" t="s">
        <v>155</v>
      </c>
      <c r="AB112" s="13" t="str">
        <f aca="true" t="array" ref="AB112:AB112">LEFT(AA112,LOOKUP(2^15,FIND(".",AA112,ROW(INDIRECT("1:"&amp;LEN(AA112)))))-1)</f>
        <v>LW_2023_003 - 20231031 - 1</v>
      </c>
      <c r="AC112" s="5" t="s">
        <v>156</v>
      </c>
      <c r="AD112" s="13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3" t="s">
        <v>175</v>
      </c>
      <c r="B113" s="4"/>
      <c r="C113" s="3" t="s">
        <v>176</v>
      </c>
      <c r="D113" s="5" t="s">
        <v>19</v>
      </c>
      <c r="E113" s="5" t="s">
        <v>149</v>
      </c>
      <c r="F113" s="6" t="s">
        <v>150</v>
      </c>
      <c r="G113" s="5" t="s">
        <v>151</v>
      </c>
      <c r="H113" s="6" t="s">
        <v>181</v>
      </c>
      <c r="I113" s="5" t="str">
        <f aca="false">CONCATENATE(E113, "_",H113)</f>
        <v>NLA_2023_016_017</v>
      </c>
      <c r="J113" s="12" t="s">
        <v>166</v>
      </c>
      <c r="K113" s="12" t="s">
        <v>182</v>
      </c>
      <c r="L113" s="12" t="s">
        <v>69</v>
      </c>
      <c r="M113" s="12" t="s">
        <v>160</v>
      </c>
      <c r="N113" s="5" t="s">
        <v>41</v>
      </c>
      <c r="O113" s="12" t="s">
        <v>161</v>
      </c>
      <c r="P113" s="12" t="s">
        <v>43</v>
      </c>
      <c r="Q113" s="12" t="s">
        <v>43</v>
      </c>
      <c r="R113" s="5" t="s">
        <v>44</v>
      </c>
      <c r="S113" s="12" t="s">
        <v>90</v>
      </c>
      <c r="T113" s="5" t="s">
        <v>168</v>
      </c>
      <c r="U113" s="12" t="n">
        <v>1000</v>
      </c>
      <c r="V113" s="12" t="n">
        <v>3</v>
      </c>
      <c r="W113" s="5"/>
      <c r="X113" s="5" t="s">
        <v>47</v>
      </c>
      <c r="Y113" s="12" t="s">
        <v>153</v>
      </c>
      <c r="Z113" s="5" t="s">
        <v>154</v>
      </c>
      <c r="AA113" s="5" t="s">
        <v>155</v>
      </c>
      <c r="AB113" s="13" t="str">
        <f aca="true" t="array" ref="AB113:AB113">LEFT(AA113,LOOKUP(2^15,FIND(".",AA113,ROW(INDIRECT("1:"&amp;LEN(AA113)))))-1)</f>
        <v>LW_2023_003 - 20231031 - 1</v>
      </c>
      <c r="AC113" s="5" t="s">
        <v>156</v>
      </c>
      <c r="AD113" s="13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3" t="s">
        <v>175</v>
      </c>
      <c r="B114" s="4"/>
      <c r="C114" s="3" t="s">
        <v>176</v>
      </c>
      <c r="D114" s="5" t="s">
        <v>19</v>
      </c>
      <c r="E114" s="5" t="s">
        <v>149</v>
      </c>
      <c r="F114" s="6" t="s">
        <v>150</v>
      </c>
      <c r="G114" s="5" t="s">
        <v>151</v>
      </c>
      <c r="H114" s="6" t="s">
        <v>93</v>
      </c>
      <c r="I114" s="5" t="str">
        <f aca="false">CONCATENATE(E114, "_",H114)</f>
        <v>NLA_2023_016_018</v>
      </c>
      <c r="J114" s="12" t="s">
        <v>158</v>
      </c>
      <c r="K114" s="12" t="s">
        <v>183</v>
      </c>
      <c r="L114" s="12" t="s">
        <v>69</v>
      </c>
      <c r="M114" s="12" t="s">
        <v>160</v>
      </c>
      <c r="N114" s="5" t="s">
        <v>41</v>
      </c>
      <c r="O114" s="12" t="s">
        <v>161</v>
      </c>
      <c r="P114" s="12" t="s">
        <v>43</v>
      </c>
      <c r="Q114" s="12" t="s">
        <v>43</v>
      </c>
      <c r="R114" s="5" t="s">
        <v>44</v>
      </c>
      <c r="S114" s="12" t="s">
        <v>90</v>
      </c>
      <c r="T114" s="12" t="s">
        <v>163</v>
      </c>
      <c r="U114" s="12" t="n">
        <v>1000</v>
      </c>
      <c r="V114" s="12" t="n">
        <v>3</v>
      </c>
      <c r="W114" s="5"/>
      <c r="X114" s="5" t="s">
        <v>47</v>
      </c>
      <c r="Y114" s="12" t="s">
        <v>153</v>
      </c>
      <c r="Z114" s="5" t="s">
        <v>154</v>
      </c>
      <c r="AA114" s="5" t="s">
        <v>155</v>
      </c>
      <c r="AB114" s="13" t="str">
        <f aca="true" t="array" ref="AB114:AB114">LEFT(AA114,LOOKUP(2^15,FIND(".",AA114,ROW(INDIRECT("1:"&amp;LEN(AA114)))))-1)</f>
        <v>LW_2023_003 - 20231031 - 1</v>
      </c>
      <c r="AC114" s="5" t="s">
        <v>156</v>
      </c>
      <c r="AD114" s="13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3" t="s">
        <v>184</v>
      </c>
      <c r="B115" s="4"/>
      <c r="C115" s="3" t="s">
        <v>185</v>
      </c>
      <c r="D115" s="5" t="s">
        <v>19</v>
      </c>
      <c r="E115" s="5" t="s">
        <v>186</v>
      </c>
      <c r="F115" s="6" t="s">
        <v>187</v>
      </c>
      <c r="G115" s="5" t="s">
        <v>188</v>
      </c>
      <c r="H115" s="7" t="s">
        <v>189</v>
      </c>
      <c r="I115" s="5" t="str">
        <f aca="false">CONCATENATE(E115, "_",H115)</f>
        <v>NLA_2022_001_007-1</v>
      </c>
      <c r="J115" s="5" t="s">
        <v>38</v>
      </c>
      <c r="K115" s="5" t="s">
        <v>190</v>
      </c>
      <c r="L115" s="8" t="s">
        <v>69</v>
      </c>
      <c r="M115" s="6" t="s">
        <v>191</v>
      </c>
      <c r="N115" s="5" t="s">
        <v>41</v>
      </c>
      <c r="O115" s="5" t="s">
        <v>161</v>
      </c>
      <c r="P115" s="5" t="s">
        <v>192</v>
      </c>
      <c r="Q115" s="5" t="s">
        <v>192</v>
      </c>
      <c r="R115" s="5" t="s">
        <v>44</v>
      </c>
      <c r="S115" s="5" t="s">
        <v>73</v>
      </c>
      <c r="T115" s="5" t="s">
        <v>168</v>
      </c>
      <c r="U115" s="5" t="n">
        <v>1000</v>
      </c>
      <c r="V115" s="1" t="n">
        <v>1</v>
      </c>
      <c r="W115" s="5"/>
      <c r="X115" s="8" t="s">
        <v>193</v>
      </c>
      <c r="Y115" s="1" t="n">
        <v>5500</v>
      </c>
      <c r="Z115" s="5" t="s">
        <v>194</v>
      </c>
      <c r="AA115" s="5" t="s">
        <v>195</v>
      </c>
      <c r="AB115" s="13" t="str">
        <f aca="true" t="array" ref="AB115:AB115">LEFT(AA115,LOOKUP(2^15,FIND(".",AA115,ROW(INDIRECT("1:"&amp;LEN(AA115)))))-1)</f>
        <v>NB_2022_006+007+010 - 25022022 - 1</v>
      </c>
      <c r="AC115" s="5" t="s">
        <v>196</v>
      </c>
      <c r="AD115" s="13" t="str">
        <f aca="true" t="array" ref="AD115:AD115">LEFT(AC115,LOOKUP(2^15,FIND(".",AC115,ROW(INDIRECT("1:"&amp;LEN(AC115)))))-1)</f>
        <v>NB_2022_006+007+010 - 25022022 - 2</v>
      </c>
      <c r="AE115" s="5" t="str">
        <f aca="false">CONCATENATE(AB115, "-",H115, ".mzML")</f>
        <v>NB_2022_006+007+010 - 25022022 - 1-007-1.mzML</v>
      </c>
      <c r="AF115" s="5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3" t="s">
        <v>184</v>
      </c>
      <c r="B116" s="4"/>
      <c r="C116" s="3" t="s">
        <v>185</v>
      </c>
      <c r="D116" s="5" t="s">
        <v>19</v>
      </c>
      <c r="E116" s="5" t="s">
        <v>186</v>
      </c>
      <c r="F116" s="6" t="s">
        <v>187</v>
      </c>
      <c r="G116" s="5" t="s">
        <v>188</v>
      </c>
      <c r="H116" s="7" t="s">
        <v>197</v>
      </c>
      <c r="I116" s="5" t="str">
        <f aca="false">CONCATENATE(E116, "_",H116)</f>
        <v>NLA_2022_001_007-2</v>
      </c>
      <c r="J116" s="5" t="s">
        <v>38</v>
      </c>
      <c r="K116" s="5" t="s">
        <v>190</v>
      </c>
      <c r="L116" s="8" t="s">
        <v>69</v>
      </c>
      <c r="M116" s="6" t="s">
        <v>191</v>
      </c>
      <c r="N116" s="5" t="s">
        <v>41</v>
      </c>
      <c r="O116" s="5" t="s">
        <v>161</v>
      </c>
      <c r="P116" s="5" t="s">
        <v>192</v>
      </c>
      <c r="Q116" s="5" t="s">
        <v>192</v>
      </c>
      <c r="R116" s="5" t="s">
        <v>44</v>
      </c>
      <c r="S116" s="5" t="s">
        <v>73</v>
      </c>
      <c r="T116" s="5" t="s">
        <v>168</v>
      </c>
      <c r="U116" s="5" t="n">
        <v>1000</v>
      </c>
      <c r="V116" s="1" t="n">
        <v>2</v>
      </c>
      <c r="W116" s="5"/>
      <c r="X116" s="8" t="s">
        <v>193</v>
      </c>
      <c r="Y116" s="1" t="n">
        <v>5500</v>
      </c>
      <c r="Z116" s="5" t="s">
        <v>194</v>
      </c>
      <c r="AA116" s="5" t="s">
        <v>195</v>
      </c>
      <c r="AB116" s="13" t="str">
        <f aca="true" t="array" ref="AB116:AB116">LEFT(AA116,LOOKUP(2^15,FIND(".",AA116,ROW(INDIRECT("1:"&amp;LEN(AA116)))))-1)</f>
        <v>NB_2022_006+007+010 - 25022022 - 1</v>
      </c>
      <c r="AC116" s="5" t="s">
        <v>196</v>
      </c>
      <c r="AD116" s="13" t="str">
        <f aca="true" t="array" ref="AD116:AD116">LEFT(AC116,LOOKUP(2^15,FIND(".",AC116,ROW(INDIRECT("1:"&amp;LEN(AC116)))))-1)</f>
        <v>NB_2022_006+007+010 - 25022022 - 2</v>
      </c>
      <c r="AE116" s="5" t="str">
        <f aca="false">CONCATENATE(AB116, "-",H116, ".mzML")</f>
        <v>NB_2022_006+007+010 - 25022022 - 1-007-2.mzML</v>
      </c>
      <c r="AF116" s="5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3" t="s">
        <v>184</v>
      </c>
      <c r="B117" s="4"/>
      <c r="C117" s="3" t="s">
        <v>185</v>
      </c>
      <c r="D117" s="5" t="s">
        <v>19</v>
      </c>
      <c r="E117" s="5" t="s">
        <v>186</v>
      </c>
      <c r="F117" s="6" t="s">
        <v>187</v>
      </c>
      <c r="G117" s="5" t="s">
        <v>188</v>
      </c>
      <c r="H117" s="7" t="s">
        <v>198</v>
      </c>
      <c r="I117" s="5" t="str">
        <f aca="false">CONCATENATE(E117, "_",H117)</f>
        <v>NLA_2022_001_007-3</v>
      </c>
      <c r="J117" s="5" t="s">
        <v>38</v>
      </c>
      <c r="K117" s="5" t="s">
        <v>190</v>
      </c>
      <c r="L117" s="8" t="s">
        <v>69</v>
      </c>
      <c r="M117" s="6" t="s">
        <v>191</v>
      </c>
      <c r="N117" s="5" t="s">
        <v>41</v>
      </c>
      <c r="O117" s="5" t="s">
        <v>161</v>
      </c>
      <c r="P117" s="5" t="s">
        <v>192</v>
      </c>
      <c r="Q117" s="5" t="s">
        <v>192</v>
      </c>
      <c r="R117" s="5" t="s">
        <v>44</v>
      </c>
      <c r="S117" s="5" t="s">
        <v>73</v>
      </c>
      <c r="T117" s="5" t="s">
        <v>168</v>
      </c>
      <c r="U117" s="5" t="n">
        <v>1000</v>
      </c>
      <c r="V117" s="1" t="n">
        <v>3</v>
      </c>
      <c r="W117" s="5"/>
      <c r="X117" s="8" t="s">
        <v>193</v>
      </c>
      <c r="Y117" s="1" t="n">
        <v>5500</v>
      </c>
      <c r="Z117" s="5" t="s">
        <v>194</v>
      </c>
      <c r="AA117" s="5" t="s">
        <v>195</v>
      </c>
      <c r="AB117" s="13" t="str">
        <f aca="true" t="array" ref="AB117:AB117">LEFT(AA117,LOOKUP(2^15,FIND(".",AA117,ROW(INDIRECT("1:"&amp;LEN(AA117)))))-1)</f>
        <v>NB_2022_006+007+010 - 25022022 - 1</v>
      </c>
      <c r="AC117" s="5" t="s">
        <v>196</v>
      </c>
      <c r="AD117" s="13" t="str">
        <f aca="true" t="array" ref="AD117:AD117">LEFT(AC117,LOOKUP(2^15,FIND(".",AC117,ROW(INDIRECT("1:"&amp;LEN(AC117)))))-1)</f>
        <v>NB_2022_006+007+010 - 25022022 - 2</v>
      </c>
      <c r="AE117" s="5" t="str">
        <f aca="false">CONCATENATE(AB117, "-",H117, ".mzML")</f>
        <v>NB_2022_006+007+010 - 25022022 - 1-007-3.mzML</v>
      </c>
      <c r="AF117" s="5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3" t="s">
        <v>184</v>
      </c>
      <c r="B118" s="4"/>
      <c r="C118" s="3" t="s">
        <v>185</v>
      </c>
      <c r="D118" s="5" t="s">
        <v>19</v>
      </c>
      <c r="E118" s="5" t="s">
        <v>186</v>
      </c>
      <c r="F118" s="6" t="s">
        <v>187</v>
      </c>
      <c r="G118" s="5" t="s">
        <v>188</v>
      </c>
      <c r="H118" s="7" t="s">
        <v>199</v>
      </c>
      <c r="I118" s="5" t="str">
        <f aca="false">CONCATENATE(E118, "_",H118)</f>
        <v>NLA_2022_001_007-4</v>
      </c>
      <c r="J118" s="5" t="s">
        <v>52</v>
      </c>
      <c r="K118" s="5" t="s">
        <v>200</v>
      </c>
      <c r="L118" s="8" t="s">
        <v>69</v>
      </c>
      <c r="M118" s="6" t="s">
        <v>191</v>
      </c>
      <c r="N118" s="5" t="s">
        <v>41</v>
      </c>
      <c r="O118" s="5" t="s">
        <v>161</v>
      </c>
      <c r="P118" s="5" t="s">
        <v>192</v>
      </c>
      <c r="Q118" s="5" t="s">
        <v>192</v>
      </c>
      <c r="R118" s="5" t="s">
        <v>44</v>
      </c>
      <c r="S118" s="5" t="s">
        <v>73</v>
      </c>
      <c r="T118" s="18" t="s">
        <v>163</v>
      </c>
      <c r="U118" s="1" t="n">
        <v>1000</v>
      </c>
      <c r="V118" s="1" t="n">
        <v>1</v>
      </c>
      <c r="X118" s="8" t="s">
        <v>193</v>
      </c>
      <c r="Y118" s="1" t="n">
        <v>5500</v>
      </c>
      <c r="Z118" s="5" t="s">
        <v>194</v>
      </c>
      <c r="AA118" s="5" t="s">
        <v>195</v>
      </c>
      <c r="AB118" s="13" t="str">
        <f aca="true" t="array" ref="AB118:AB118">LEFT(AA118,LOOKUP(2^15,FIND(".",AA118,ROW(INDIRECT("1:"&amp;LEN(AA118)))))-1)</f>
        <v>NB_2022_006+007+010 - 25022022 - 1</v>
      </c>
      <c r="AC118" s="5" t="s">
        <v>196</v>
      </c>
      <c r="AD118" s="13" t="str">
        <f aca="true" t="array" ref="AD118:AD118">LEFT(AC118,LOOKUP(2^15,FIND(".",AC118,ROW(INDIRECT("1:"&amp;LEN(AC118)))))-1)</f>
        <v>NB_2022_006+007+010 - 25022022 - 2</v>
      </c>
      <c r="AE118" s="5" t="str">
        <f aca="false">CONCATENATE(AB118, "-",H118, ".mzML")</f>
        <v>NB_2022_006+007+010 - 25022022 - 1-007-4.mzML</v>
      </c>
      <c r="AF118" s="5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3" t="s">
        <v>184</v>
      </c>
      <c r="B119" s="4"/>
      <c r="C119" s="3" t="s">
        <v>185</v>
      </c>
      <c r="D119" s="5" t="s">
        <v>19</v>
      </c>
      <c r="E119" s="5" t="s">
        <v>186</v>
      </c>
      <c r="F119" s="6" t="s">
        <v>187</v>
      </c>
      <c r="G119" s="5" t="s">
        <v>188</v>
      </c>
      <c r="H119" s="7" t="s">
        <v>201</v>
      </c>
      <c r="I119" s="5" t="str">
        <f aca="false">CONCATENATE(E119, "_",H119)</f>
        <v>NLA_2022_001_007-5</v>
      </c>
      <c r="J119" s="5" t="s">
        <v>52</v>
      </c>
      <c r="K119" s="5" t="s">
        <v>200</v>
      </c>
      <c r="L119" s="8" t="s">
        <v>69</v>
      </c>
      <c r="M119" s="6" t="s">
        <v>191</v>
      </c>
      <c r="N119" s="5" t="s">
        <v>41</v>
      </c>
      <c r="O119" s="5" t="s">
        <v>161</v>
      </c>
      <c r="P119" s="5" t="s">
        <v>192</v>
      </c>
      <c r="Q119" s="5" t="s">
        <v>192</v>
      </c>
      <c r="R119" s="5" t="s">
        <v>44</v>
      </c>
      <c r="S119" s="5" t="s">
        <v>73</v>
      </c>
      <c r="T119" s="18" t="s">
        <v>163</v>
      </c>
      <c r="U119" s="1" t="n">
        <v>1000</v>
      </c>
      <c r="V119" s="1" t="n">
        <v>2</v>
      </c>
      <c r="X119" s="8" t="s">
        <v>193</v>
      </c>
      <c r="Y119" s="1" t="n">
        <v>5500</v>
      </c>
      <c r="Z119" s="5" t="s">
        <v>194</v>
      </c>
      <c r="AA119" s="5" t="s">
        <v>195</v>
      </c>
      <c r="AB119" s="13" t="str">
        <f aca="true" t="array" ref="AB119:AB119">LEFT(AA119,LOOKUP(2^15,FIND(".",AA119,ROW(INDIRECT("1:"&amp;LEN(AA119)))))-1)</f>
        <v>NB_2022_006+007+010 - 25022022 - 1</v>
      </c>
      <c r="AC119" s="5" t="s">
        <v>196</v>
      </c>
      <c r="AD119" s="13" t="str">
        <f aca="true" t="array" ref="AD119:AD119">LEFT(AC119,LOOKUP(2^15,FIND(".",AC119,ROW(INDIRECT("1:"&amp;LEN(AC119)))))-1)</f>
        <v>NB_2022_006+007+010 - 25022022 - 2</v>
      </c>
      <c r="AE119" s="5" t="str">
        <f aca="false">CONCATENATE(AB119, "-",H119, ".mzML")</f>
        <v>NB_2022_006+007+010 - 25022022 - 1-007-5.mzML</v>
      </c>
      <c r="AF119" s="5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3" t="s">
        <v>184</v>
      </c>
      <c r="B120" s="4"/>
      <c r="C120" s="3" t="s">
        <v>185</v>
      </c>
      <c r="D120" s="5" t="s">
        <v>19</v>
      </c>
      <c r="E120" s="5" t="s">
        <v>186</v>
      </c>
      <c r="F120" s="6" t="s">
        <v>187</v>
      </c>
      <c r="G120" s="5" t="s">
        <v>188</v>
      </c>
      <c r="H120" s="7" t="s">
        <v>202</v>
      </c>
      <c r="I120" s="5" t="str">
        <f aca="false">CONCATENATE(E120, "_",H120)</f>
        <v>NLA_2022_001_007-6</v>
      </c>
      <c r="J120" s="5" t="s">
        <v>52</v>
      </c>
      <c r="K120" s="5" t="s">
        <v>200</v>
      </c>
      <c r="L120" s="8" t="s">
        <v>69</v>
      </c>
      <c r="M120" s="6" t="s">
        <v>191</v>
      </c>
      <c r="N120" s="5" t="s">
        <v>41</v>
      </c>
      <c r="O120" s="5" t="s">
        <v>161</v>
      </c>
      <c r="P120" s="5" t="s">
        <v>192</v>
      </c>
      <c r="Q120" s="5" t="s">
        <v>192</v>
      </c>
      <c r="R120" s="5" t="s">
        <v>44</v>
      </c>
      <c r="S120" s="5" t="s">
        <v>73</v>
      </c>
      <c r="T120" s="18" t="s">
        <v>163</v>
      </c>
      <c r="U120" s="1" t="n">
        <v>1000</v>
      </c>
      <c r="V120" s="1" t="n">
        <v>3</v>
      </c>
      <c r="X120" s="8" t="s">
        <v>193</v>
      </c>
      <c r="Y120" s="1" t="n">
        <v>5500</v>
      </c>
      <c r="Z120" s="5" t="s">
        <v>194</v>
      </c>
      <c r="AA120" s="5" t="s">
        <v>195</v>
      </c>
      <c r="AB120" s="13" t="str">
        <f aca="true" t="array" ref="AB120:AB120">LEFT(AA120,LOOKUP(2^15,FIND(".",AA120,ROW(INDIRECT("1:"&amp;LEN(AA120)))))-1)</f>
        <v>NB_2022_006+007+010 - 25022022 - 1</v>
      </c>
      <c r="AC120" s="5" t="s">
        <v>196</v>
      </c>
      <c r="AD120" s="13" t="str">
        <f aca="true" t="array" ref="AD120:AD120">LEFT(AC120,LOOKUP(2^15,FIND(".",AC120,ROW(INDIRECT("1:"&amp;LEN(AC120)))))-1)</f>
        <v>NB_2022_006+007+010 - 25022022 - 2</v>
      </c>
      <c r="AE120" s="5" t="str">
        <f aca="false">CONCATENATE(AB120, "-",H120, ".mzML")</f>
        <v>NB_2022_006+007+010 - 25022022 - 1-007-6.mzML</v>
      </c>
      <c r="AF120" s="5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3" t="s">
        <v>184</v>
      </c>
      <c r="B121" s="4"/>
      <c r="C121" s="3" t="s">
        <v>185</v>
      </c>
      <c r="D121" s="5" t="s">
        <v>19</v>
      </c>
      <c r="E121" s="5" t="s">
        <v>186</v>
      </c>
      <c r="F121" s="6" t="s">
        <v>187</v>
      </c>
      <c r="G121" s="5" t="s">
        <v>203</v>
      </c>
      <c r="H121" s="19" t="s">
        <v>64</v>
      </c>
      <c r="I121" s="5" t="str">
        <f aca="false">CONCATENATE(E121, "_",H121)</f>
        <v>NLA_2022_001_Blank_1</v>
      </c>
      <c r="J121" s="5" t="s">
        <v>52</v>
      </c>
      <c r="K121" s="5" t="s">
        <v>64</v>
      </c>
      <c r="L121" s="8" t="s">
        <v>46</v>
      </c>
      <c r="M121" s="6" t="s">
        <v>46</v>
      </c>
      <c r="N121" s="5" t="s">
        <v>65</v>
      </c>
      <c r="O121" s="5" t="s">
        <v>46</v>
      </c>
      <c r="P121" s="5" t="s">
        <v>46</v>
      </c>
      <c r="Q121" s="5" t="s">
        <v>46</v>
      </c>
      <c r="R121" s="5" t="s">
        <v>46</v>
      </c>
      <c r="S121" s="5" t="s">
        <v>46</v>
      </c>
      <c r="T121" s="5" t="s">
        <v>46</v>
      </c>
      <c r="U121" s="5" t="s">
        <v>46</v>
      </c>
      <c r="V121" s="1" t="n">
        <v>1</v>
      </c>
      <c r="W121" s="5"/>
      <c r="X121" s="5" t="s">
        <v>46</v>
      </c>
      <c r="Y121" s="1" t="n">
        <v>5500</v>
      </c>
      <c r="Z121" s="5" t="s">
        <v>194</v>
      </c>
      <c r="AA121" s="5" t="s">
        <v>195</v>
      </c>
      <c r="AB121" s="13" t="str">
        <f aca="true" t="array" ref="AB121:AB121">LEFT(AA121,LOOKUP(2^15,FIND(".",AA121,ROW(INDIRECT("1:"&amp;LEN(AA121)))))-1)</f>
        <v>NB_2022_006+007+010 - 25022022 - 1</v>
      </c>
      <c r="AC121" s="5" t="s">
        <v>196</v>
      </c>
      <c r="AD121" s="13" t="str">
        <f aca="true" t="array" ref="AD121:AD121">LEFT(AC121,LOOKUP(2^15,FIND(".",AC121,ROW(INDIRECT("1:"&amp;LEN(AC121)))))-1)</f>
        <v>NB_2022_006+007+010 - 25022022 - 2</v>
      </c>
      <c r="AE121" s="5" t="str">
        <f aca="false">CONCATENATE(AB121, "-",H121, ".mzML")</f>
        <v>NB_2022_006+007+010 - 25022022 - 1-Blank_1.mzML</v>
      </c>
      <c r="AF121" s="5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3" t="s">
        <v>184</v>
      </c>
      <c r="B122" s="4"/>
      <c r="C122" s="3" t="s">
        <v>185</v>
      </c>
      <c r="D122" s="5" t="s">
        <v>19</v>
      </c>
      <c r="E122" s="5" t="s">
        <v>186</v>
      </c>
      <c r="F122" s="6" t="s">
        <v>187</v>
      </c>
      <c r="G122" s="5" t="s">
        <v>203</v>
      </c>
      <c r="H122" s="19" t="s">
        <v>66</v>
      </c>
      <c r="I122" s="5" t="str">
        <f aca="false">CONCATENATE(E122, "_",H122)</f>
        <v>NLA_2022_001_Blank_2</v>
      </c>
      <c r="J122" s="5" t="s">
        <v>52</v>
      </c>
      <c r="K122" s="5" t="s">
        <v>66</v>
      </c>
      <c r="L122" s="8" t="s">
        <v>46</v>
      </c>
      <c r="M122" s="6" t="s">
        <v>46</v>
      </c>
      <c r="N122" s="5" t="s">
        <v>65</v>
      </c>
      <c r="O122" s="5" t="s">
        <v>46</v>
      </c>
      <c r="P122" s="5" t="s">
        <v>46</v>
      </c>
      <c r="Q122" s="5" t="s">
        <v>46</v>
      </c>
      <c r="R122" s="5" t="s">
        <v>46</v>
      </c>
      <c r="S122" s="5" t="s">
        <v>46</v>
      </c>
      <c r="T122" s="5" t="s">
        <v>46</v>
      </c>
      <c r="U122" s="5" t="s">
        <v>46</v>
      </c>
      <c r="V122" s="1" t="n">
        <v>2</v>
      </c>
      <c r="W122" s="5"/>
      <c r="X122" s="5" t="s">
        <v>46</v>
      </c>
      <c r="Y122" s="1" t="n">
        <v>5500</v>
      </c>
      <c r="Z122" s="5" t="s">
        <v>194</v>
      </c>
      <c r="AA122" s="5" t="s">
        <v>195</v>
      </c>
      <c r="AB122" s="13" t="str">
        <f aca="true" t="array" ref="AB122:AB122">LEFT(AA122,LOOKUP(2^15,FIND(".",AA122,ROW(INDIRECT("1:"&amp;LEN(AA122)))))-1)</f>
        <v>NB_2022_006+007+010 - 25022022 - 1</v>
      </c>
      <c r="AC122" s="5" t="s">
        <v>196</v>
      </c>
      <c r="AD122" s="13" t="str">
        <f aca="true" t="array" ref="AD122:AD122">LEFT(AC122,LOOKUP(2^15,FIND(".",AC122,ROW(INDIRECT("1:"&amp;LEN(AC122)))))-1)</f>
        <v>NB_2022_006+007+010 - 25022022 - 2</v>
      </c>
      <c r="AE122" s="5" t="str">
        <f aca="false">CONCATENATE(AB122, "-",H122, ".mzML")</f>
        <v>NB_2022_006+007+010 - 25022022 - 1-Blank_2.mzML</v>
      </c>
      <c r="AF122" s="5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3" t="s">
        <v>184</v>
      </c>
      <c r="B123" s="4"/>
      <c r="C123" s="3" t="s">
        <v>185</v>
      </c>
      <c r="D123" s="5" t="s">
        <v>19</v>
      </c>
      <c r="E123" s="5" t="s">
        <v>186</v>
      </c>
      <c r="F123" s="6" t="s">
        <v>187</v>
      </c>
      <c r="G123" s="5" t="s">
        <v>203</v>
      </c>
      <c r="H123" s="19" t="s">
        <v>67</v>
      </c>
      <c r="I123" s="5" t="str">
        <f aca="false">CONCATENATE(E123, "_",H123)</f>
        <v>NLA_2022_001_Blank_3</v>
      </c>
      <c r="J123" s="5" t="s">
        <v>52</v>
      </c>
      <c r="K123" s="5" t="s">
        <v>67</v>
      </c>
      <c r="L123" s="8" t="s">
        <v>46</v>
      </c>
      <c r="M123" s="6" t="s">
        <v>46</v>
      </c>
      <c r="N123" s="5" t="s">
        <v>65</v>
      </c>
      <c r="O123" s="5" t="s">
        <v>46</v>
      </c>
      <c r="P123" s="5" t="s">
        <v>46</v>
      </c>
      <c r="Q123" s="5" t="s">
        <v>46</v>
      </c>
      <c r="R123" s="5" t="s">
        <v>46</v>
      </c>
      <c r="S123" s="5" t="s">
        <v>46</v>
      </c>
      <c r="T123" s="5" t="s">
        <v>46</v>
      </c>
      <c r="U123" s="5" t="s">
        <v>46</v>
      </c>
      <c r="V123" s="1" t="n">
        <v>3</v>
      </c>
      <c r="W123" s="5"/>
      <c r="X123" s="5" t="s">
        <v>46</v>
      </c>
      <c r="Y123" s="1" t="n">
        <v>5500</v>
      </c>
      <c r="Z123" s="5" t="s">
        <v>194</v>
      </c>
      <c r="AA123" s="5" t="s">
        <v>195</v>
      </c>
      <c r="AB123" s="13" t="str">
        <f aca="true" t="array" ref="AB123:AB123">LEFT(AA123,LOOKUP(2^15,FIND(".",AA123,ROW(INDIRECT("1:"&amp;LEN(AA123)))))-1)</f>
        <v>NB_2022_006+007+010 - 25022022 - 1</v>
      </c>
      <c r="AC123" s="5" t="s">
        <v>196</v>
      </c>
      <c r="AD123" s="13" t="str">
        <f aca="true" t="array" ref="AD123:AD123">LEFT(AC123,LOOKUP(2^15,FIND(".",AC123,ROW(INDIRECT("1:"&amp;LEN(AC123)))))-1)</f>
        <v>NB_2022_006+007+010 - 25022022 - 2</v>
      </c>
      <c r="AE123" s="5" t="str">
        <f aca="false">CONCATENATE(AB123, "-",H123, ".mzML")</f>
        <v>NB_2022_006+007+010 - 25022022 - 1-Blank_3.mzML</v>
      </c>
      <c r="AF123" s="5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3" t="s">
        <v>184</v>
      </c>
      <c r="B124" s="4"/>
      <c r="C124" s="3" t="s">
        <v>185</v>
      </c>
      <c r="D124" s="5" t="s">
        <v>19</v>
      </c>
      <c r="E124" s="5" t="s">
        <v>186</v>
      </c>
      <c r="F124" s="6" t="s">
        <v>187</v>
      </c>
      <c r="G124" s="5" t="s">
        <v>203</v>
      </c>
      <c r="H124" s="19" t="s">
        <v>68</v>
      </c>
      <c r="I124" s="5" t="str">
        <f aca="false">CONCATENATE(E124, "_",H124)</f>
        <v>NLA_2022_001_QC_C_1</v>
      </c>
      <c r="J124" s="5" t="s">
        <v>52</v>
      </c>
      <c r="K124" s="5" t="s">
        <v>68</v>
      </c>
      <c r="L124" s="8" t="s">
        <v>69</v>
      </c>
      <c r="M124" s="5" t="s">
        <v>46</v>
      </c>
      <c r="N124" s="5" t="s">
        <v>70</v>
      </c>
      <c r="O124" s="5" t="s">
        <v>46</v>
      </c>
      <c r="P124" s="5" t="s">
        <v>71</v>
      </c>
      <c r="Q124" s="5" t="s">
        <v>71</v>
      </c>
      <c r="R124" s="5" t="s">
        <v>72</v>
      </c>
      <c r="S124" s="5" t="s">
        <v>73</v>
      </c>
      <c r="T124" s="5" t="s">
        <v>46</v>
      </c>
      <c r="U124" s="5" t="n">
        <v>1000</v>
      </c>
      <c r="V124" s="1" t="n">
        <v>1</v>
      </c>
      <c r="W124" s="5"/>
      <c r="X124" s="5" t="s">
        <v>74</v>
      </c>
      <c r="Y124" s="1" t="n">
        <v>5500</v>
      </c>
      <c r="Z124" s="5" t="s">
        <v>194</v>
      </c>
      <c r="AA124" s="5" t="s">
        <v>195</v>
      </c>
      <c r="AB124" s="13" t="str">
        <f aca="true" t="array" ref="AB124:AB124">LEFT(AA124,LOOKUP(2^15,FIND(".",AA124,ROW(INDIRECT("1:"&amp;LEN(AA124)))))-1)</f>
        <v>NB_2022_006+007+010 - 25022022 - 1</v>
      </c>
      <c r="AC124" s="5" t="s">
        <v>196</v>
      </c>
      <c r="AD124" s="13" t="str">
        <f aca="true" t="array" ref="AD124:AD124">LEFT(AC124,LOOKUP(2^15,FIND(".",AC124,ROW(INDIRECT("1:"&amp;LEN(AC124)))))-1)</f>
        <v>NB_2022_006+007+010 - 25022022 - 2</v>
      </c>
      <c r="AE124" s="5" t="str">
        <f aca="false">CONCATENATE(AB124, "-",H124, ".mzML")</f>
        <v>NB_2022_006+007+010 - 25022022 - 1-QC_C_1.mzML</v>
      </c>
      <c r="AF124" s="5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3" t="s">
        <v>184</v>
      </c>
      <c r="B125" s="4"/>
      <c r="C125" s="3" t="s">
        <v>185</v>
      </c>
      <c r="D125" s="5" t="s">
        <v>19</v>
      </c>
      <c r="E125" s="5" t="s">
        <v>186</v>
      </c>
      <c r="F125" s="6" t="s">
        <v>187</v>
      </c>
      <c r="G125" s="5" t="s">
        <v>203</v>
      </c>
      <c r="H125" s="19" t="s">
        <v>75</v>
      </c>
      <c r="I125" s="5" t="str">
        <f aca="false">CONCATENATE(E125, "_",H125)</f>
        <v>NLA_2022_001_QC_C_2</v>
      </c>
      <c r="J125" s="5" t="s">
        <v>52</v>
      </c>
      <c r="K125" s="5" t="s">
        <v>75</v>
      </c>
      <c r="L125" s="8" t="s">
        <v>69</v>
      </c>
      <c r="M125" s="5" t="s">
        <v>46</v>
      </c>
      <c r="N125" s="5" t="s">
        <v>70</v>
      </c>
      <c r="O125" s="5" t="s">
        <v>46</v>
      </c>
      <c r="P125" s="5" t="s">
        <v>71</v>
      </c>
      <c r="Q125" s="5" t="s">
        <v>71</v>
      </c>
      <c r="R125" s="5" t="s">
        <v>72</v>
      </c>
      <c r="S125" s="5" t="s">
        <v>73</v>
      </c>
      <c r="T125" s="5" t="s">
        <v>46</v>
      </c>
      <c r="U125" s="5" t="n">
        <v>1000</v>
      </c>
      <c r="V125" s="1" t="n">
        <v>2</v>
      </c>
      <c r="W125" s="5"/>
      <c r="X125" s="5" t="s">
        <v>74</v>
      </c>
      <c r="Y125" s="1" t="n">
        <v>5500</v>
      </c>
      <c r="Z125" s="5" t="s">
        <v>194</v>
      </c>
      <c r="AA125" s="5" t="s">
        <v>195</v>
      </c>
      <c r="AB125" s="13" t="str">
        <f aca="true" t="array" ref="AB125:AB125">LEFT(AA125,LOOKUP(2^15,FIND(".",AA125,ROW(INDIRECT("1:"&amp;LEN(AA125)))))-1)</f>
        <v>NB_2022_006+007+010 - 25022022 - 1</v>
      </c>
      <c r="AC125" s="5" t="s">
        <v>196</v>
      </c>
      <c r="AD125" s="13" t="str">
        <f aca="true" t="array" ref="AD125:AD125">LEFT(AC125,LOOKUP(2^15,FIND(".",AC125,ROW(INDIRECT("1:"&amp;LEN(AC125)))))-1)</f>
        <v>NB_2022_006+007+010 - 25022022 - 2</v>
      </c>
      <c r="AE125" s="5" t="str">
        <f aca="false">CONCATENATE(AB125, "-",H125, ".mzML")</f>
        <v>NB_2022_006+007+010 - 25022022 - 1-QC_C_2.mzML</v>
      </c>
      <c r="AF125" s="5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3" t="s">
        <v>184</v>
      </c>
      <c r="B126" s="4"/>
      <c r="C126" s="3" t="s">
        <v>185</v>
      </c>
      <c r="D126" s="5" t="s">
        <v>19</v>
      </c>
      <c r="E126" s="5" t="s">
        <v>186</v>
      </c>
      <c r="F126" s="6" t="s">
        <v>187</v>
      </c>
      <c r="G126" s="5" t="s">
        <v>203</v>
      </c>
      <c r="H126" s="19" t="s">
        <v>76</v>
      </c>
      <c r="I126" s="5" t="str">
        <f aca="false">CONCATENATE(E126, "_",H126)</f>
        <v>NLA_2022_001_QC_C_3</v>
      </c>
      <c r="J126" s="5" t="s">
        <v>52</v>
      </c>
      <c r="K126" s="5" t="s">
        <v>76</v>
      </c>
      <c r="L126" s="8" t="s">
        <v>69</v>
      </c>
      <c r="M126" s="5" t="s">
        <v>46</v>
      </c>
      <c r="N126" s="5" t="s">
        <v>70</v>
      </c>
      <c r="O126" s="5" t="s">
        <v>46</v>
      </c>
      <c r="P126" s="5" t="s">
        <v>71</v>
      </c>
      <c r="Q126" s="5" t="s">
        <v>71</v>
      </c>
      <c r="R126" s="5" t="s">
        <v>72</v>
      </c>
      <c r="S126" s="5" t="s">
        <v>73</v>
      </c>
      <c r="T126" s="5" t="s">
        <v>46</v>
      </c>
      <c r="U126" s="5" t="n">
        <v>1000</v>
      </c>
      <c r="V126" s="1" t="n">
        <v>3</v>
      </c>
      <c r="W126" s="5"/>
      <c r="X126" s="5" t="s">
        <v>74</v>
      </c>
      <c r="Y126" s="1" t="n">
        <v>5500</v>
      </c>
      <c r="Z126" s="5" t="s">
        <v>194</v>
      </c>
      <c r="AA126" s="5" t="s">
        <v>195</v>
      </c>
      <c r="AB126" s="13" t="str">
        <f aca="true" t="array" ref="AB126:AB126">LEFT(AA126,LOOKUP(2^15,FIND(".",AA126,ROW(INDIRECT("1:"&amp;LEN(AA126)))))-1)</f>
        <v>NB_2022_006+007+010 - 25022022 - 1</v>
      </c>
      <c r="AC126" s="5" t="s">
        <v>196</v>
      </c>
      <c r="AD126" s="13" t="str">
        <f aca="true" t="array" ref="AD126:AD126">LEFT(AC126,LOOKUP(2^15,FIND(".",AC126,ROW(INDIRECT("1:"&amp;LEN(AC126)))))-1)</f>
        <v>NB_2022_006+007+010 - 25022022 - 2</v>
      </c>
      <c r="AE126" s="5" t="str">
        <f aca="false">CONCATENATE(AB126, "-",H126, ".mzML")</f>
        <v>NB_2022_006+007+010 - 25022022 - 1-QC_C_3.mzML</v>
      </c>
      <c r="AF126" s="5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3" t="s">
        <v>184</v>
      </c>
      <c r="B127" s="4"/>
      <c r="C127" s="3" t="s">
        <v>185</v>
      </c>
      <c r="D127" s="5" t="s">
        <v>19</v>
      </c>
      <c r="E127" s="5" t="s">
        <v>186</v>
      </c>
      <c r="F127" s="6" t="s">
        <v>187</v>
      </c>
      <c r="G127" s="5" t="s">
        <v>203</v>
      </c>
      <c r="H127" s="19" t="s">
        <v>77</v>
      </c>
      <c r="I127" s="5" t="str">
        <f aca="false">CONCATENATE(E127, "_",H127)</f>
        <v>NLA_2022_001_QC_P_1</v>
      </c>
      <c r="J127" s="5" t="s">
        <v>52</v>
      </c>
      <c r="K127" s="5" t="s">
        <v>77</v>
      </c>
      <c r="L127" s="8" t="s">
        <v>69</v>
      </c>
      <c r="M127" s="6" t="s">
        <v>46</v>
      </c>
      <c r="N127" s="5" t="s">
        <v>78</v>
      </c>
      <c r="O127" s="5" t="s">
        <v>46</v>
      </c>
      <c r="P127" s="5" t="s">
        <v>79</v>
      </c>
      <c r="Q127" s="5" t="s">
        <v>80</v>
      </c>
      <c r="R127" s="5" t="s">
        <v>81</v>
      </c>
      <c r="S127" s="5" t="s">
        <v>46</v>
      </c>
      <c r="T127" s="5" t="s">
        <v>46</v>
      </c>
      <c r="U127" s="5" t="s">
        <v>82</v>
      </c>
      <c r="V127" s="1" t="n">
        <v>1</v>
      </c>
      <c r="W127" s="5"/>
      <c r="X127" s="5" t="s">
        <v>83</v>
      </c>
      <c r="Y127" s="1" t="n">
        <v>5500</v>
      </c>
      <c r="Z127" s="5" t="s">
        <v>194</v>
      </c>
      <c r="AA127" s="5" t="s">
        <v>195</v>
      </c>
      <c r="AB127" s="13" t="str">
        <f aca="true" t="array" ref="AB127:AB127">LEFT(AA127,LOOKUP(2^15,FIND(".",AA127,ROW(INDIRECT("1:"&amp;LEN(AA127)))))-1)</f>
        <v>NB_2022_006+007+010 - 25022022 - 1</v>
      </c>
      <c r="AC127" s="5" t="s">
        <v>196</v>
      </c>
      <c r="AD127" s="13" t="str">
        <f aca="true" t="array" ref="AD127:AD127">LEFT(AC127,LOOKUP(2^15,FIND(".",AC127,ROW(INDIRECT("1:"&amp;LEN(AC127)))))-1)</f>
        <v>NB_2022_006+007+010 - 25022022 - 2</v>
      </c>
      <c r="AE127" s="5" t="str">
        <f aca="false">CONCATENATE(AB127, "-",H127, ".mzML")</f>
        <v>NB_2022_006+007+010 - 25022022 - 1-QC_P_1.mzML</v>
      </c>
      <c r="AF127" s="5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3" t="s">
        <v>184</v>
      </c>
      <c r="B128" s="4"/>
      <c r="C128" s="3" t="s">
        <v>185</v>
      </c>
      <c r="D128" s="5" t="s">
        <v>19</v>
      </c>
      <c r="E128" s="5" t="s">
        <v>186</v>
      </c>
      <c r="F128" s="6" t="s">
        <v>187</v>
      </c>
      <c r="G128" s="5" t="s">
        <v>203</v>
      </c>
      <c r="H128" s="19" t="s">
        <v>84</v>
      </c>
      <c r="I128" s="5" t="str">
        <f aca="false">CONCATENATE(E128, "_",H128)</f>
        <v>NLA_2022_001_QC_P_2</v>
      </c>
      <c r="J128" s="5" t="s">
        <v>52</v>
      </c>
      <c r="K128" s="5" t="s">
        <v>84</v>
      </c>
      <c r="L128" s="8" t="s">
        <v>69</v>
      </c>
      <c r="M128" s="6" t="s">
        <v>46</v>
      </c>
      <c r="N128" s="5" t="s">
        <v>78</v>
      </c>
      <c r="O128" s="5" t="s">
        <v>46</v>
      </c>
      <c r="P128" s="5" t="s">
        <v>79</v>
      </c>
      <c r="Q128" s="5" t="s">
        <v>80</v>
      </c>
      <c r="R128" s="5" t="s">
        <v>81</v>
      </c>
      <c r="S128" s="5" t="s">
        <v>46</v>
      </c>
      <c r="T128" s="5" t="s">
        <v>46</v>
      </c>
      <c r="U128" s="5" t="s">
        <v>82</v>
      </c>
      <c r="V128" s="1" t="n">
        <v>2</v>
      </c>
      <c r="W128" s="5"/>
      <c r="X128" s="5" t="s">
        <v>83</v>
      </c>
      <c r="Y128" s="1" t="n">
        <v>5500</v>
      </c>
      <c r="Z128" s="5" t="s">
        <v>194</v>
      </c>
      <c r="AA128" s="5" t="s">
        <v>195</v>
      </c>
      <c r="AB128" s="13" t="str">
        <f aca="true" t="array" ref="AB128:AB128">LEFT(AA128,LOOKUP(2^15,FIND(".",AA128,ROW(INDIRECT("1:"&amp;LEN(AA128)))))-1)</f>
        <v>NB_2022_006+007+010 - 25022022 - 1</v>
      </c>
      <c r="AC128" s="5" t="s">
        <v>196</v>
      </c>
      <c r="AD128" s="13" t="str">
        <f aca="true" t="array" ref="AD128:AD128">LEFT(AC128,LOOKUP(2^15,FIND(".",AC128,ROW(INDIRECT("1:"&amp;LEN(AC128)))))-1)</f>
        <v>NB_2022_006+007+010 - 25022022 - 2</v>
      </c>
      <c r="AE128" s="5" t="str">
        <f aca="false">CONCATENATE(AB128, "-",H128, ".mzML")</f>
        <v>NB_2022_006+007+010 - 25022022 - 1-QC_P_2.mzML</v>
      </c>
      <c r="AF128" s="5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3" t="s">
        <v>184</v>
      </c>
      <c r="B129" s="4"/>
      <c r="C129" s="3" t="s">
        <v>185</v>
      </c>
      <c r="D129" s="5" t="s">
        <v>19</v>
      </c>
      <c r="E129" s="5" t="s">
        <v>186</v>
      </c>
      <c r="F129" s="6" t="s">
        <v>187</v>
      </c>
      <c r="G129" s="5" t="s">
        <v>203</v>
      </c>
      <c r="H129" s="19" t="s">
        <v>85</v>
      </c>
      <c r="I129" s="5" t="str">
        <f aca="false">CONCATENATE(E129, "_",H129)</f>
        <v>NLA_2022_001_QC_P_3</v>
      </c>
      <c r="J129" s="5" t="s">
        <v>52</v>
      </c>
      <c r="K129" s="5" t="s">
        <v>85</v>
      </c>
      <c r="L129" s="8" t="s">
        <v>69</v>
      </c>
      <c r="M129" s="6" t="s">
        <v>46</v>
      </c>
      <c r="N129" s="5" t="s">
        <v>78</v>
      </c>
      <c r="O129" s="5" t="s">
        <v>46</v>
      </c>
      <c r="P129" s="5" t="s">
        <v>79</v>
      </c>
      <c r="Q129" s="5" t="s">
        <v>80</v>
      </c>
      <c r="R129" s="5" t="s">
        <v>81</v>
      </c>
      <c r="S129" s="5" t="s">
        <v>46</v>
      </c>
      <c r="T129" s="5" t="s">
        <v>46</v>
      </c>
      <c r="U129" s="5" t="s">
        <v>82</v>
      </c>
      <c r="V129" s="1" t="n">
        <v>3</v>
      </c>
      <c r="W129" s="5"/>
      <c r="X129" s="5" t="s">
        <v>83</v>
      </c>
      <c r="Y129" s="1" t="n">
        <v>5500</v>
      </c>
      <c r="Z129" s="5" t="s">
        <v>194</v>
      </c>
      <c r="AA129" s="5" t="s">
        <v>195</v>
      </c>
      <c r="AB129" s="13" t="str">
        <f aca="true" t="array" ref="AB129:AB129">LEFT(AA129,LOOKUP(2^15,FIND(".",AA129,ROW(INDIRECT("1:"&amp;LEN(AA129)))))-1)</f>
        <v>NB_2022_006+007+010 - 25022022 - 1</v>
      </c>
      <c r="AC129" s="5" t="s">
        <v>196</v>
      </c>
      <c r="AD129" s="13" t="str">
        <f aca="true" t="array" ref="AD129:AD129">LEFT(AC129,LOOKUP(2^15,FIND(".",AC129,ROW(INDIRECT("1:"&amp;LEN(AC129)))))-1)</f>
        <v>NB_2022_006+007+010 - 25022022 - 2</v>
      </c>
      <c r="AE129" s="5" t="str">
        <f aca="false">CONCATENATE(AB129, "-",H129, ".mzML")</f>
        <v>NB_2022_006+007+010 - 25022022 - 1-QC_P_3.mzML</v>
      </c>
      <c r="AF129" s="5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3" t="s">
        <v>204</v>
      </c>
      <c r="B130" s="4"/>
      <c r="C130" s="3" t="s">
        <v>205</v>
      </c>
      <c r="D130" s="5" t="s">
        <v>18</v>
      </c>
      <c r="E130" s="5" t="s">
        <v>206</v>
      </c>
      <c r="F130" s="6" t="s">
        <v>207</v>
      </c>
      <c r="G130" s="5" t="s">
        <v>208</v>
      </c>
      <c r="H130" s="7" t="s">
        <v>108</v>
      </c>
      <c r="I130" s="5" t="str">
        <f aca="false">CONCATENATE(E130, "_",H130)</f>
        <v>NLA_2022_102_001</v>
      </c>
      <c r="J130" s="5" t="s">
        <v>38</v>
      </c>
      <c r="K130" s="5" t="s">
        <v>209</v>
      </c>
      <c r="L130" s="8" t="s">
        <v>69</v>
      </c>
      <c r="M130" s="6" t="s">
        <v>210</v>
      </c>
      <c r="N130" s="5" t="s">
        <v>41</v>
      </c>
      <c r="O130" s="5" t="s">
        <v>42</v>
      </c>
      <c r="P130" s="5" t="s">
        <v>162</v>
      </c>
      <c r="Q130" s="5" t="s">
        <v>162</v>
      </c>
      <c r="R130" s="5" t="s">
        <v>72</v>
      </c>
      <c r="S130" s="5" t="s">
        <v>45</v>
      </c>
      <c r="T130" s="5" t="s">
        <v>46</v>
      </c>
      <c r="U130" s="5" t="n">
        <v>1000</v>
      </c>
      <c r="V130" s="1" t="n">
        <v>1</v>
      </c>
      <c r="W130" s="5"/>
      <c r="X130" s="5" t="s">
        <v>47</v>
      </c>
      <c r="Y130" s="1" t="n">
        <v>5500</v>
      </c>
      <c r="Z130" s="5" t="s">
        <v>211</v>
      </c>
      <c r="AA130" s="5" t="s">
        <v>212</v>
      </c>
      <c r="AB130" s="13" t="str">
        <f aca="true" t="array" ref="AB130:AB130">LEFT(AA130,LOOKUP(2^15,FIND(".",AA130,ROW(INDIRECT("1:"&amp;LEN(AA130)))))-1)</f>
        <v>NB_2022_015 - 23022022 - 1</v>
      </c>
      <c r="AC130" s="5" t="s">
        <v>213</v>
      </c>
      <c r="AD130" s="13" t="str">
        <f aca="true" t="array" ref="AD130:AD130">LEFT(AC130,LOOKUP(2^15,FIND(".",AC130,ROW(INDIRECT("1:"&amp;LEN(AC130)))))-1)</f>
        <v>NB_2022_015 - 23022022 - 2</v>
      </c>
      <c r="AE130" s="5" t="str">
        <f aca="false">CONCATENATE(AB130, "-",H130, ".mzML")</f>
        <v>NB_2022_015 - 23022022 - 1-001.mzML</v>
      </c>
      <c r="AF130" s="5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3" t="s">
        <v>204</v>
      </c>
      <c r="B131" s="4"/>
      <c r="C131" s="3" t="s">
        <v>205</v>
      </c>
      <c r="D131" s="5" t="s">
        <v>18</v>
      </c>
      <c r="E131" s="5" t="s">
        <v>206</v>
      </c>
      <c r="F131" s="6" t="s">
        <v>207</v>
      </c>
      <c r="G131" s="5" t="s">
        <v>208</v>
      </c>
      <c r="H131" s="7" t="s">
        <v>88</v>
      </c>
      <c r="I131" s="5" t="str">
        <f aca="false">CONCATENATE(E131, "_",H131)</f>
        <v>NLA_2022_102_002</v>
      </c>
      <c r="J131" s="5" t="s">
        <v>38</v>
      </c>
      <c r="K131" s="5" t="s">
        <v>214</v>
      </c>
      <c r="L131" s="8" t="s">
        <v>69</v>
      </c>
      <c r="M131" s="6" t="s">
        <v>210</v>
      </c>
      <c r="N131" s="5" t="s">
        <v>41</v>
      </c>
      <c r="O131" s="5" t="s">
        <v>42</v>
      </c>
      <c r="P131" s="5" t="s">
        <v>162</v>
      </c>
      <c r="Q131" s="5" t="s">
        <v>162</v>
      </c>
      <c r="R131" s="5" t="s">
        <v>72</v>
      </c>
      <c r="S131" s="5" t="s">
        <v>45</v>
      </c>
      <c r="T131" s="5" t="s">
        <v>46</v>
      </c>
      <c r="U131" s="5" t="n">
        <v>1000</v>
      </c>
      <c r="V131" s="1" t="n">
        <v>2</v>
      </c>
      <c r="W131" s="5"/>
      <c r="X131" s="5" t="s">
        <v>47</v>
      </c>
      <c r="Y131" s="1" t="n">
        <v>5500</v>
      </c>
      <c r="Z131" s="5" t="s">
        <v>211</v>
      </c>
      <c r="AA131" s="5" t="s">
        <v>212</v>
      </c>
      <c r="AB131" s="13" t="str">
        <f aca="true" t="array" ref="AB131:AB131">LEFT(AA131,LOOKUP(2^15,FIND(".",AA131,ROW(INDIRECT("1:"&amp;LEN(AA131)))))-1)</f>
        <v>NB_2022_015 - 23022022 - 1</v>
      </c>
      <c r="AC131" s="5" t="s">
        <v>213</v>
      </c>
      <c r="AD131" s="13" t="str">
        <f aca="true" t="array" ref="AD131:AD131">LEFT(AC131,LOOKUP(2^15,FIND(".",AC131,ROW(INDIRECT("1:"&amp;LEN(AC131)))))-1)</f>
        <v>NB_2022_015 - 23022022 - 2</v>
      </c>
      <c r="AE131" s="5" t="str">
        <f aca="false">CONCATENATE(AB131, "-",H131, ".mzML")</f>
        <v>NB_2022_015 - 23022022 - 1-002.mzML</v>
      </c>
      <c r="AF131" s="5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3" t="s">
        <v>204</v>
      </c>
      <c r="B132" s="4"/>
      <c r="C132" s="3" t="s">
        <v>205</v>
      </c>
      <c r="D132" s="5" t="s">
        <v>18</v>
      </c>
      <c r="E132" s="5" t="s">
        <v>206</v>
      </c>
      <c r="F132" s="6" t="s">
        <v>207</v>
      </c>
      <c r="G132" s="5" t="s">
        <v>208</v>
      </c>
      <c r="H132" s="7" t="s">
        <v>97</v>
      </c>
      <c r="I132" s="5" t="str">
        <f aca="false">CONCATENATE(E132, "_",H132)</f>
        <v>NLA_2022_102_003</v>
      </c>
      <c r="J132" s="5" t="s">
        <v>38</v>
      </c>
      <c r="K132" s="5" t="s">
        <v>215</v>
      </c>
      <c r="L132" s="8" t="s">
        <v>69</v>
      </c>
      <c r="M132" s="6" t="s">
        <v>210</v>
      </c>
      <c r="N132" s="5" t="s">
        <v>41</v>
      </c>
      <c r="O132" s="5" t="s">
        <v>42</v>
      </c>
      <c r="P132" s="5" t="s">
        <v>162</v>
      </c>
      <c r="Q132" s="5" t="s">
        <v>162</v>
      </c>
      <c r="R132" s="5" t="s">
        <v>72</v>
      </c>
      <c r="S132" s="5" t="s">
        <v>45</v>
      </c>
      <c r="T132" s="5" t="s">
        <v>46</v>
      </c>
      <c r="U132" s="5" t="n">
        <v>1000</v>
      </c>
      <c r="V132" s="1" t="n">
        <v>3</v>
      </c>
      <c r="W132" s="5"/>
      <c r="X132" s="5" t="s">
        <v>47</v>
      </c>
      <c r="Y132" s="1" t="n">
        <v>5500</v>
      </c>
      <c r="Z132" s="5" t="s">
        <v>211</v>
      </c>
      <c r="AA132" s="5" t="s">
        <v>212</v>
      </c>
      <c r="AB132" s="13" t="str">
        <f aca="true" t="array" ref="AB132:AB132">LEFT(AA132,LOOKUP(2^15,FIND(".",AA132,ROW(INDIRECT("1:"&amp;LEN(AA132)))))-1)</f>
        <v>NB_2022_015 - 23022022 - 1</v>
      </c>
      <c r="AC132" s="5" t="s">
        <v>213</v>
      </c>
      <c r="AD132" s="13" t="str">
        <f aca="true" t="array" ref="AD132:AD132">LEFT(AC132,LOOKUP(2^15,FIND(".",AC132,ROW(INDIRECT("1:"&amp;LEN(AC132)))))-1)</f>
        <v>NB_2022_015 - 23022022 - 2</v>
      </c>
      <c r="AE132" s="5" t="str">
        <f aca="false">CONCATENATE(AB132, "-",H132, ".mzML")</f>
        <v>NB_2022_015 - 23022022 - 1-003.mzML</v>
      </c>
      <c r="AF132" s="5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3" t="s">
        <v>204</v>
      </c>
      <c r="B133" s="4"/>
      <c r="C133" s="3" t="s">
        <v>205</v>
      </c>
      <c r="D133" s="5" t="s">
        <v>18</v>
      </c>
      <c r="E133" s="5" t="s">
        <v>206</v>
      </c>
      <c r="F133" s="6" t="s">
        <v>207</v>
      </c>
      <c r="G133" s="5" t="s">
        <v>216</v>
      </c>
      <c r="H133" s="7" t="s">
        <v>99</v>
      </c>
      <c r="I133" s="5" t="str">
        <f aca="false">CONCATENATE(E133, "_",H133)</f>
        <v>NLA_2022_102_004</v>
      </c>
      <c r="J133" s="5" t="s">
        <v>38</v>
      </c>
      <c r="K133" s="5" t="s">
        <v>217</v>
      </c>
      <c r="L133" s="8" t="s">
        <v>69</v>
      </c>
      <c r="M133" s="6" t="s">
        <v>210</v>
      </c>
      <c r="N133" s="5" t="s">
        <v>41</v>
      </c>
      <c r="O133" s="5" t="s">
        <v>42</v>
      </c>
      <c r="P133" s="5" t="s">
        <v>162</v>
      </c>
      <c r="Q133" s="5" t="s">
        <v>162</v>
      </c>
      <c r="R133" s="5" t="s">
        <v>72</v>
      </c>
      <c r="S133" s="5" t="s">
        <v>90</v>
      </c>
      <c r="T133" s="5" t="s">
        <v>46</v>
      </c>
      <c r="U133" s="5" t="n">
        <v>1000</v>
      </c>
      <c r="V133" s="1" t="n">
        <v>1</v>
      </c>
      <c r="W133" s="5"/>
      <c r="X133" s="5" t="s">
        <v>47</v>
      </c>
      <c r="Y133" s="1" t="n">
        <v>5500</v>
      </c>
      <c r="Z133" s="5" t="s">
        <v>211</v>
      </c>
      <c r="AA133" s="5" t="s">
        <v>212</v>
      </c>
      <c r="AB133" s="13" t="str">
        <f aca="true" t="array" ref="AB133:AB133">LEFT(AA133,LOOKUP(2^15,FIND(".",AA133,ROW(INDIRECT("1:"&amp;LEN(AA133)))))-1)</f>
        <v>NB_2022_015 - 23022022 - 1</v>
      </c>
      <c r="AC133" s="5" t="s">
        <v>213</v>
      </c>
      <c r="AD133" s="13" t="str">
        <f aca="true" t="array" ref="AD133:AD133">LEFT(AC133,LOOKUP(2^15,FIND(".",AC133,ROW(INDIRECT("1:"&amp;LEN(AC133)))))-1)</f>
        <v>NB_2022_015 - 23022022 - 2</v>
      </c>
      <c r="AE133" s="5" t="str">
        <f aca="false">CONCATENATE(AB133, "-",H133, ".mzML")</f>
        <v>NB_2022_015 - 23022022 - 1-004.mzML</v>
      </c>
      <c r="AF133" s="5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3" t="s">
        <v>204</v>
      </c>
      <c r="B134" s="4"/>
      <c r="C134" s="3" t="s">
        <v>205</v>
      </c>
      <c r="D134" s="5" t="s">
        <v>18</v>
      </c>
      <c r="E134" s="5" t="s">
        <v>206</v>
      </c>
      <c r="F134" s="6" t="s">
        <v>207</v>
      </c>
      <c r="G134" s="5" t="s">
        <v>216</v>
      </c>
      <c r="H134" s="7" t="s">
        <v>91</v>
      </c>
      <c r="I134" s="5" t="str">
        <f aca="false">CONCATENATE(E134, "_",H134)</f>
        <v>NLA_2022_102_005</v>
      </c>
      <c r="J134" s="5" t="s">
        <v>38</v>
      </c>
      <c r="K134" s="5" t="s">
        <v>218</v>
      </c>
      <c r="L134" s="8" t="s">
        <v>69</v>
      </c>
      <c r="M134" s="6" t="s">
        <v>210</v>
      </c>
      <c r="N134" s="5" t="s">
        <v>41</v>
      </c>
      <c r="O134" s="5" t="s">
        <v>42</v>
      </c>
      <c r="P134" s="5" t="s">
        <v>162</v>
      </c>
      <c r="Q134" s="5" t="s">
        <v>162</v>
      </c>
      <c r="R134" s="5" t="s">
        <v>72</v>
      </c>
      <c r="S134" s="5" t="s">
        <v>90</v>
      </c>
      <c r="T134" s="5" t="s">
        <v>46</v>
      </c>
      <c r="U134" s="5" t="n">
        <v>1000</v>
      </c>
      <c r="V134" s="1" t="n">
        <v>2</v>
      </c>
      <c r="W134" s="5"/>
      <c r="X134" s="5" t="s">
        <v>47</v>
      </c>
      <c r="Y134" s="1" t="n">
        <v>5500</v>
      </c>
      <c r="Z134" s="5" t="s">
        <v>211</v>
      </c>
      <c r="AA134" s="5" t="s">
        <v>212</v>
      </c>
      <c r="AB134" s="13" t="str">
        <f aca="true" t="array" ref="AB134:AB134">LEFT(AA134,LOOKUP(2^15,FIND(".",AA134,ROW(INDIRECT("1:"&amp;LEN(AA134)))))-1)</f>
        <v>NB_2022_015 - 23022022 - 1</v>
      </c>
      <c r="AC134" s="5" t="s">
        <v>213</v>
      </c>
      <c r="AD134" s="13" t="str">
        <f aca="true" t="array" ref="AD134:AD134">LEFT(AC134,LOOKUP(2^15,FIND(".",AC134,ROW(INDIRECT("1:"&amp;LEN(AC134)))))-1)</f>
        <v>NB_2022_015 - 23022022 - 2</v>
      </c>
      <c r="AE134" s="5" t="str">
        <f aca="false">CONCATENATE(AB134, "-",H134, ".mzML")</f>
        <v>NB_2022_015 - 23022022 - 1-005.mzML</v>
      </c>
      <c r="AF134" s="5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3" t="s">
        <v>204</v>
      </c>
      <c r="B135" s="4"/>
      <c r="C135" s="3" t="s">
        <v>205</v>
      </c>
      <c r="D135" s="5" t="s">
        <v>18</v>
      </c>
      <c r="E135" s="5" t="s">
        <v>206</v>
      </c>
      <c r="F135" s="6" t="s">
        <v>207</v>
      </c>
      <c r="G135" s="5" t="s">
        <v>216</v>
      </c>
      <c r="H135" s="7" t="s">
        <v>101</v>
      </c>
      <c r="I135" s="5" t="str">
        <f aca="false">CONCATENATE(E135, "_",H135)</f>
        <v>NLA_2022_102_006</v>
      </c>
      <c r="J135" s="5" t="s">
        <v>38</v>
      </c>
      <c r="K135" s="5" t="s">
        <v>219</v>
      </c>
      <c r="L135" s="8" t="s">
        <v>69</v>
      </c>
      <c r="M135" s="6" t="s">
        <v>210</v>
      </c>
      <c r="N135" s="5" t="s">
        <v>41</v>
      </c>
      <c r="O135" s="5" t="s">
        <v>42</v>
      </c>
      <c r="P135" s="5" t="s">
        <v>162</v>
      </c>
      <c r="Q135" s="5" t="s">
        <v>162</v>
      </c>
      <c r="R135" s="5" t="s">
        <v>72</v>
      </c>
      <c r="S135" s="5" t="s">
        <v>90</v>
      </c>
      <c r="T135" s="5" t="s">
        <v>46</v>
      </c>
      <c r="U135" s="5" t="n">
        <v>1000</v>
      </c>
      <c r="V135" s="1" t="n">
        <v>3</v>
      </c>
      <c r="W135" s="5"/>
      <c r="X135" s="5" t="s">
        <v>47</v>
      </c>
      <c r="Y135" s="1" t="n">
        <v>5500</v>
      </c>
      <c r="Z135" s="5" t="s">
        <v>211</v>
      </c>
      <c r="AA135" s="5" t="s">
        <v>212</v>
      </c>
      <c r="AB135" s="13" t="str">
        <f aca="true" t="array" ref="AB135:AB135">LEFT(AA135,LOOKUP(2^15,FIND(".",AA135,ROW(INDIRECT("1:"&amp;LEN(AA135)))))-1)</f>
        <v>NB_2022_015 - 23022022 - 1</v>
      </c>
      <c r="AC135" s="5" t="s">
        <v>213</v>
      </c>
      <c r="AD135" s="13" t="str">
        <f aca="true" t="array" ref="AD135:AD135">LEFT(AC135,LOOKUP(2^15,FIND(".",AC135,ROW(INDIRECT("1:"&amp;LEN(AC135)))))-1)</f>
        <v>NB_2022_015 - 23022022 - 2</v>
      </c>
      <c r="AE135" s="5" t="str">
        <f aca="false">CONCATENATE(AB135, "-",H135, ".mzML")</f>
        <v>NB_2022_015 - 23022022 - 1-006.mzML</v>
      </c>
      <c r="AF135" s="5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3" t="s">
        <v>204</v>
      </c>
      <c r="B136" s="4"/>
      <c r="C136" s="3" t="s">
        <v>205</v>
      </c>
      <c r="D136" s="5" t="s">
        <v>18</v>
      </c>
      <c r="E136" s="5" t="s">
        <v>206</v>
      </c>
      <c r="F136" s="6" t="s">
        <v>207</v>
      </c>
      <c r="G136" s="5" t="s">
        <v>220</v>
      </c>
      <c r="H136" s="19" t="s">
        <v>64</v>
      </c>
      <c r="I136" s="5" t="str">
        <f aca="false">CONCATENATE(E136, "_",H136)</f>
        <v>NLA_2022_102_Blank_1</v>
      </c>
      <c r="J136" s="5" t="s">
        <v>52</v>
      </c>
      <c r="K136" s="5" t="s">
        <v>64</v>
      </c>
      <c r="L136" s="8" t="s">
        <v>46</v>
      </c>
      <c r="M136" s="6" t="s">
        <v>46</v>
      </c>
      <c r="N136" s="5" t="s">
        <v>65</v>
      </c>
      <c r="O136" s="5" t="s">
        <v>46</v>
      </c>
      <c r="P136" s="5" t="s">
        <v>46</v>
      </c>
      <c r="Q136" s="5" t="s">
        <v>46</v>
      </c>
      <c r="R136" s="5" t="s">
        <v>46</v>
      </c>
      <c r="S136" s="5" t="s">
        <v>46</v>
      </c>
      <c r="T136" s="5" t="s">
        <v>46</v>
      </c>
      <c r="U136" s="5" t="s">
        <v>46</v>
      </c>
      <c r="V136" s="1" t="n">
        <v>1</v>
      </c>
      <c r="W136" s="5"/>
      <c r="X136" s="5" t="s">
        <v>46</v>
      </c>
      <c r="Y136" s="1" t="n">
        <v>5500</v>
      </c>
      <c r="Z136" s="5" t="s">
        <v>211</v>
      </c>
      <c r="AA136" s="5" t="s">
        <v>212</v>
      </c>
      <c r="AB136" s="13" t="str">
        <f aca="true" t="array" ref="AB136:AB136">LEFT(AA136,LOOKUP(2^15,FIND(".",AA136,ROW(INDIRECT("1:"&amp;LEN(AA136)))))-1)</f>
        <v>NB_2022_015 - 23022022 - 1</v>
      </c>
      <c r="AC136" s="5" t="s">
        <v>213</v>
      </c>
      <c r="AD136" s="13" t="str">
        <f aca="true" t="array" ref="AD136:AD136">LEFT(AC136,LOOKUP(2^15,FIND(".",AC136,ROW(INDIRECT("1:"&amp;LEN(AC136)))))-1)</f>
        <v>NB_2022_015 - 23022022 - 2</v>
      </c>
      <c r="AE136" s="5" t="str">
        <f aca="false">CONCATENATE(AB136, "-",H136, ".mzML")</f>
        <v>NB_2022_015 - 23022022 - 1-Blank_1.mzML</v>
      </c>
      <c r="AF136" s="5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3" t="s">
        <v>204</v>
      </c>
      <c r="B137" s="4"/>
      <c r="C137" s="3" t="s">
        <v>205</v>
      </c>
      <c r="D137" s="5" t="s">
        <v>18</v>
      </c>
      <c r="E137" s="5" t="s">
        <v>206</v>
      </c>
      <c r="F137" s="6" t="s">
        <v>207</v>
      </c>
      <c r="G137" s="5" t="s">
        <v>220</v>
      </c>
      <c r="H137" s="19" t="s">
        <v>66</v>
      </c>
      <c r="I137" s="5" t="str">
        <f aca="false">CONCATENATE(E137, "_",H137)</f>
        <v>NLA_2022_102_Blank_2</v>
      </c>
      <c r="J137" s="5" t="s">
        <v>52</v>
      </c>
      <c r="K137" s="5" t="s">
        <v>66</v>
      </c>
      <c r="L137" s="8" t="s">
        <v>46</v>
      </c>
      <c r="M137" s="6" t="s">
        <v>46</v>
      </c>
      <c r="N137" s="5" t="s">
        <v>65</v>
      </c>
      <c r="O137" s="5" t="s">
        <v>46</v>
      </c>
      <c r="P137" s="5" t="s">
        <v>46</v>
      </c>
      <c r="Q137" s="5" t="s">
        <v>46</v>
      </c>
      <c r="R137" s="5" t="s">
        <v>46</v>
      </c>
      <c r="S137" s="5" t="s">
        <v>46</v>
      </c>
      <c r="T137" s="5" t="s">
        <v>46</v>
      </c>
      <c r="U137" s="5" t="s">
        <v>46</v>
      </c>
      <c r="V137" s="1" t="n">
        <v>2</v>
      </c>
      <c r="W137" s="5"/>
      <c r="X137" s="5" t="s">
        <v>46</v>
      </c>
      <c r="Y137" s="1" t="n">
        <v>5500</v>
      </c>
      <c r="Z137" s="5" t="s">
        <v>211</v>
      </c>
      <c r="AA137" s="5" t="s">
        <v>212</v>
      </c>
      <c r="AB137" s="13" t="str">
        <f aca="true" t="array" ref="AB137:AB137">LEFT(AA137,LOOKUP(2^15,FIND(".",AA137,ROW(INDIRECT("1:"&amp;LEN(AA137)))))-1)</f>
        <v>NB_2022_015 - 23022022 - 1</v>
      </c>
      <c r="AC137" s="5" t="s">
        <v>213</v>
      </c>
      <c r="AD137" s="13" t="str">
        <f aca="true" t="array" ref="AD137:AD137">LEFT(AC137,LOOKUP(2^15,FIND(".",AC137,ROW(INDIRECT("1:"&amp;LEN(AC137)))))-1)</f>
        <v>NB_2022_015 - 23022022 - 2</v>
      </c>
      <c r="AE137" s="5" t="str">
        <f aca="false">CONCATENATE(AB137, "-",H137, ".mzML")</f>
        <v>NB_2022_015 - 23022022 - 1-Blank_2.mzML</v>
      </c>
      <c r="AF137" s="5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3" t="s">
        <v>204</v>
      </c>
      <c r="B138" s="4"/>
      <c r="C138" s="3" t="s">
        <v>205</v>
      </c>
      <c r="D138" s="5" t="s">
        <v>18</v>
      </c>
      <c r="E138" s="5" t="s">
        <v>206</v>
      </c>
      <c r="F138" s="6" t="s">
        <v>207</v>
      </c>
      <c r="G138" s="5" t="s">
        <v>220</v>
      </c>
      <c r="H138" s="19" t="s">
        <v>67</v>
      </c>
      <c r="I138" s="5" t="str">
        <f aca="false">CONCATENATE(E138, "_",H138)</f>
        <v>NLA_2022_102_Blank_3</v>
      </c>
      <c r="J138" s="5" t="s">
        <v>52</v>
      </c>
      <c r="K138" s="5" t="s">
        <v>67</v>
      </c>
      <c r="L138" s="8" t="s">
        <v>46</v>
      </c>
      <c r="M138" s="6" t="s">
        <v>46</v>
      </c>
      <c r="N138" s="5" t="s">
        <v>65</v>
      </c>
      <c r="O138" s="5" t="s">
        <v>46</v>
      </c>
      <c r="P138" s="5" t="s">
        <v>46</v>
      </c>
      <c r="Q138" s="5" t="s">
        <v>46</v>
      </c>
      <c r="R138" s="5" t="s">
        <v>46</v>
      </c>
      <c r="S138" s="5" t="s">
        <v>46</v>
      </c>
      <c r="T138" s="5" t="s">
        <v>46</v>
      </c>
      <c r="U138" s="5" t="s">
        <v>46</v>
      </c>
      <c r="V138" s="1" t="n">
        <v>3</v>
      </c>
      <c r="W138" s="5"/>
      <c r="X138" s="5" t="s">
        <v>46</v>
      </c>
      <c r="Y138" s="1" t="n">
        <v>5500</v>
      </c>
      <c r="Z138" s="5" t="s">
        <v>211</v>
      </c>
      <c r="AA138" s="5" t="s">
        <v>212</v>
      </c>
      <c r="AB138" s="13" t="str">
        <f aca="true" t="array" ref="AB138:AB138">LEFT(AA138,LOOKUP(2^15,FIND(".",AA138,ROW(INDIRECT("1:"&amp;LEN(AA138)))))-1)</f>
        <v>NB_2022_015 - 23022022 - 1</v>
      </c>
      <c r="AC138" s="5" t="s">
        <v>213</v>
      </c>
      <c r="AD138" s="13" t="str">
        <f aca="true" t="array" ref="AD138:AD138">LEFT(AC138,LOOKUP(2^15,FIND(".",AC138,ROW(INDIRECT("1:"&amp;LEN(AC138)))))-1)</f>
        <v>NB_2022_015 - 23022022 - 2</v>
      </c>
      <c r="AE138" s="5" t="str">
        <f aca="false">CONCATENATE(AB138, "-",H138, ".mzML")</f>
        <v>NB_2022_015 - 23022022 - 1-Blank_3.mzML</v>
      </c>
      <c r="AF138" s="5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3" t="s">
        <v>204</v>
      </c>
      <c r="B139" s="4"/>
      <c r="C139" s="3" t="s">
        <v>205</v>
      </c>
      <c r="D139" s="5" t="s">
        <v>18</v>
      </c>
      <c r="E139" s="5" t="s">
        <v>206</v>
      </c>
      <c r="F139" s="6" t="s">
        <v>207</v>
      </c>
      <c r="G139" s="5" t="s">
        <v>220</v>
      </c>
      <c r="H139" s="19" t="s">
        <v>221</v>
      </c>
      <c r="I139" s="5" t="str">
        <f aca="false">CONCATENATE(E139, "_",H139)</f>
        <v>NLA_2022_102_Blank_4</v>
      </c>
      <c r="J139" s="5" t="s">
        <v>52</v>
      </c>
      <c r="K139" s="5" t="s">
        <v>221</v>
      </c>
      <c r="L139" s="8" t="s">
        <v>46</v>
      </c>
      <c r="M139" s="6" t="s">
        <v>46</v>
      </c>
      <c r="N139" s="5" t="s">
        <v>65</v>
      </c>
      <c r="O139" s="5" t="s">
        <v>46</v>
      </c>
      <c r="P139" s="5" t="s">
        <v>46</v>
      </c>
      <c r="Q139" s="5" t="s">
        <v>46</v>
      </c>
      <c r="R139" s="5" t="s">
        <v>46</v>
      </c>
      <c r="S139" s="5" t="s">
        <v>46</v>
      </c>
      <c r="T139" s="5" t="s">
        <v>46</v>
      </c>
      <c r="U139" s="5" t="s">
        <v>46</v>
      </c>
      <c r="V139" s="1" t="n">
        <v>4</v>
      </c>
      <c r="W139" s="5"/>
      <c r="X139" s="5" t="s">
        <v>46</v>
      </c>
      <c r="Y139" s="1" t="n">
        <v>5500</v>
      </c>
      <c r="Z139" s="5" t="s">
        <v>211</v>
      </c>
      <c r="AA139" s="5" t="s">
        <v>212</v>
      </c>
      <c r="AB139" s="13" t="str">
        <f aca="true" t="array" ref="AB139:AB139">LEFT(AA139,LOOKUP(2^15,FIND(".",AA139,ROW(INDIRECT("1:"&amp;LEN(AA139)))))-1)</f>
        <v>NB_2022_015 - 23022022 - 1</v>
      </c>
      <c r="AC139" s="5" t="s">
        <v>213</v>
      </c>
      <c r="AD139" s="13" t="str">
        <f aca="true" t="array" ref="AD139:AD139">LEFT(AC139,LOOKUP(2^15,FIND(".",AC139,ROW(INDIRECT("1:"&amp;LEN(AC139)))))-1)</f>
        <v>NB_2022_015 - 23022022 - 2</v>
      </c>
      <c r="AE139" s="5" t="str">
        <f aca="false">CONCATENATE(AB139, "-",H139, ".mzML")</f>
        <v>NB_2022_015 - 23022022 - 1-Blank_4.mzML</v>
      </c>
      <c r="AF139" s="5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3" t="s">
        <v>204</v>
      </c>
      <c r="B140" s="4"/>
      <c r="C140" s="3" t="s">
        <v>205</v>
      </c>
      <c r="D140" s="5" t="s">
        <v>18</v>
      </c>
      <c r="E140" s="5" t="s">
        <v>206</v>
      </c>
      <c r="F140" s="6" t="s">
        <v>207</v>
      </c>
      <c r="G140" s="5" t="s">
        <v>220</v>
      </c>
      <c r="H140" s="19" t="s">
        <v>68</v>
      </c>
      <c r="I140" s="5" t="str">
        <f aca="false">CONCATENATE(E140, "_",H140)</f>
        <v>NLA_2022_102_QC_C_1</v>
      </c>
      <c r="J140" s="5" t="s">
        <v>52</v>
      </c>
      <c r="K140" s="5" t="s">
        <v>68</v>
      </c>
      <c r="L140" s="8" t="s">
        <v>69</v>
      </c>
      <c r="M140" s="5" t="s">
        <v>46</v>
      </c>
      <c r="N140" s="5" t="s">
        <v>70</v>
      </c>
      <c r="O140" s="5" t="s">
        <v>46</v>
      </c>
      <c r="P140" s="5" t="s">
        <v>71</v>
      </c>
      <c r="Q140" s="5" t="s">
        <v>71</v>
      </c>
      <c r="R140" s="5" t="s">
        <v>72</v>
      </c>
      <c r="S140" s="5" t="s">
        <v>73</v>
      </c>
      <c r="T140" s="5" t="s">
        <v>46</v>
      </c>
      <c r="U140" s="5" t="n">
        <v>1000</v>
      </c>
      <c r="V140" s="1" t="n">
        <v>1</v>
      </c>
      <c r="W140" s="5"/>
      <c r="X140" s="5" t="s">
        <v>74</v>
      </c>
      <c r="Y140" s="1" t="n">
        <v>5500</v>
      </c>
      <c r="Z140" s="5" t="s">
        <v>211</v>
      </c>
      <c r="AA140" s="5" t="s">
        <v>212</v>
      </c>
      <c r="AB140" s="13" t="str">
        <f aca="true" t="array" ref="AB140:AB140">LEFT(AA140,LOOKUP(2^15,FIND(".",AA140,ROW(INDIRECT("1:"&amp;LEN(AA140)))))-1)</f>
        <v>NB_2022_015 - 23022022 - 1</v>
      </c>
      <c r="AC140" s="5" t="s">
        <v>213</v>
      </c>
      <c r="AD140" s="13" t="str">
        <f aca="true" t="array" ref="AD140:AD140">LEFT(AC140,LOOKUP(2^15,FIND(".",AC140,ROW(INDIRECT("1:"&amp;LEN(AC140)))))-1)</f>
        <v>NB_2022_015 - 23022022 - 2</v>
      </c>
      <c r="AE140" s="5" t="str">
        <f aca="false">CONCATENATE(AB140, "-",H140, ".mzML")</f>
        <v>NB_2022_015 - 23022022 - 1-QC_C_1.mzML</v>
      </c>
      <c r="AF140" s="5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3" t="s">
        <v>204</v>
      </c>
      <c r="B141" s="4"/>
      <c r="C141" s="3" t="s">
        <v>205</v>
      </c>
      <c r="D141" s="5" t="s">
        <v>18</v>
      </c>
      <c r="E141" s="5" t="s">
        <v>206</v>
      </c>
      <c r="F141" s="6" t="s">
        <v>207</v>
      </c>
      <c r="G141" s="5" t="s">
        <v>220</v>
      </c>
      <c r="H141" s="19" t="s">
        <v>75</v>
      </c>
      <c r="I141" s="5" t="str">
        <f aca="false">CONCATENATE(E141, "_",H141)</f>
        <v>NLA_2022_102_QC_C_2</v>
      </c>
      <c r="J141" s="5" t="s">
        <v>52</v>
      </c>
      <c r="K141" s="5" t="s">
        <v>75</v>
      </c>
      <c r="L141" s="8" t="s">
        <v>69</v>
      </c>
      <c r="M141" s="5" t="s">
        <v>46</v>
      </c>
      <c r="N141" s="5" t="s">
        <v>70</v>
      </c>
      <c r="O141" s="5" t="s">
        <v>46</v>
      </c>
      <c r="P141" s="5" t="s">
        <v>71</v>
      </c>
      <c r="Q141" s="5" t="s">
        <v>71</v>
      </c>
      <c r="R141" s="5" t="s">
        <v>72</v>
      </c>
      <c r="S141" s="5" t="s">
        <v>73</v>
      </c>
      <c r="T141" s="5" t="s">
        <v>46</v>
      </c>
      <c r="U141" s="5" t="n">
        <v>1000</v>
      </c>
      <c r="V141" s="1" t="n">
        <v>2</v>
      </c>
      <c r="W141" s="5"/>
      <c r="X141" s="5" t="s">
        <v>74</v>
      </c>
      <c r="Y141" s="1" t="n">
        <v>5500</v>
      </c>
      <c r="Z141" s="5" t="s">
        <v>211</v>
      </c>
      <c r="AA141" s="5" t="s">
        <v>212</v>
      </c>
      <c r="AB141" s="13" t="str">
        <f aca="true" t="array" ref="AB141:AB141">LEFT(AA141,LOOKUP(2^15,FIND(".",AA141,ROW(INDIRECT("1:"&amp;LEN(AA141)))))-1)</f>
        <v>NB_2022_015 - 23022022 - 1</v>
      </c>
      <c r="AC141" s="5" t="s">
        <v>213</v>
      </c>
      <c r="AD141" s="13" t="str">
        <f aca="true" t="array" ref="AD141:AD141">LEFT(AC141,LOOKUP(2^15,FIND(".",AC141,ROW(INDIRECT("1:"&amp;LEN(AC141)))))-1)</f>
        <v>NB_2022_015 - 23022022 - 2</v>
      </c>
      <c r="AE141" s="5" t="str">
        <f aca="false">CONCATENATE(AB141, "-",H141, ".mzML")</f>
        <v>NB_2022_015 - 23022022 - 1-QC_C_2.mzML</v>
      </c>
      <c r="AF141" s="5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3" t="s">
        <v>204</v>
      </c>
      <c r="B142" s="4"/>
      <c r="C142" s="3" t="s">
        <v>205</v>
      </c>
      <c r="D142" s="5" t="s">
        <v>18</v>
      </c>
      <c r="E142" s="5" t="s">
        <v>206</v>
      </c>
      <c r="F142" s="6" t="s">
        <v>207</v>
      </c>
      <c r="G142" s="5" t="s">
        <v>220</v>
      </c>
      <c r="H142" s="19" t="s">
        <v>76</v>
      </c>
      <c r="I142" s="5" t="str">
        <f aca="false">CONCATENATE(E142, "_",H142)</f>
        <v>NLA_2022_102_QC_C_3</v>
      </c>
      <c r="J142" s="5" t="s">
        <v>52</v>
      </c>
      <c r="K142" s="5" t="s">
        <v>76</v>
      </c>
      <c r="L142" s="8" t="s">
        <v>69</v>
      </c>
      <c r="M142" s="5" t="s">
        <v>46</v>
      </c>
      <c r="N142" s="5" t="s">
        <v>70</v>
      </c>
      <c r="O142" s="5" t="s">
        <v>46</v>
      </c>
      <c r="P142" s="5" t="s">
        <v>71</v>
      </c>
      <c r="Q142" s="5" t="s">
        <v>71</v>
      </c>
      <c r="R142" s="5" t="s">
        <v>72</v>
      </c>
      <c r="S142" s="5" t="s">
        <v>73</v>
      </c>
      <c r="T142" s="5" t="s">
        <v>46</v>
      </c>
      <c r="U142" s="5" t="n">
        <v>1000</v>
      </c>
      <c r="V142" s="1" t="n">
        <v>3</v>
      </c>
      <c r="W142" s="5"/>
      <c r="X142" s="5" t="s">
        <v>74</v>
      </c>
      <c r="Y142" s="1" t="n">
        <v>5500</v>
      </c>
      <c r="Z142" s="5" t="s">
        <v>211</v>
      </c>
      <c r="AA142" s="5" t="s">
        <v>212</v>
      </c>
      <c r="AB142" s="13" t="str">
        <f aca="true" t="array" ref="AB142:AB142">LEFT(AA142,LOOKUP(2^15,FIND(".",AA142,ROW(INDIRECT("1:"&amp;LEN(AA142)))))-1)</f>
        <v>NB_2022_015 - 23022022 - 1</v>
      </c>
      <c r="AC142" s="5" t="s">
        <v>213</v>
      </c>
      <c r="AD142" s="13" t="str">
        <f aca="true" t="array" ref="AD142:AD142">LEFT(AC142,LOOKUP(2^15,FIND(".",AC142,ROW(INDIRECT("1:"&amp;LEN(AC142)))))-1)</f>
        <v>NB_2022_015 - 23022022 - 2</v>
      </c>
      <c r="AE142" s="5" t="str">
        <f aca="false">CONCATENATE(AB142, "-",H142, ".mzML")</f>
        <v>NB_2022_015 - 23022022 - 1-QC_C_3.mzML</v>
      </c>
      <c r="AF142" s="5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3" t="s">
        <v>204</v>
      </c>
      <c r="B143" s="4"/>
      <c r="C143" s="3" t="s">
        <v>205</v>
      </c>
      <c r="D143" s="5" t="s">
        <v>18</v>
      </c>
      <c r="E143" s="5" t="s">
        <v>206</v>
      </c>
      <c r="F143" s="6" t="s">
        <v>207</v>
      </c>
      <c r="G143" s="5" t="s">
        <v>220</v>
      </c>
      <c r="H143" s="19" t="s">
        <v>222</v>
      </c>
      <c r="I143" s="5" t="str">
        <f aca="false">CONCATENATE(E143, "_",H143)</f>
        <v>NLA_2022_102_QC_C_4</v>
      </c>
      <c r="J143" s="5" t="s">
        <v>52</v>
      </c>
      <c r="K143" s="5" t="s">
        <v>222</v>
      </c>
      <c r="L143" s="8" t="s">
        <v>69</v>
      </c>
      <c r="M143" s="6" t="s">
        <v>46</v>
      </c>
      <c r="N143" s="5" t="s">
        <v>223</v>
      </c>
      <c r="O143" s="5" t="s">
        <v>46</v>
      </c>
      <c r="P143" s="5" t="s">
        <v>71</v>
      </c>
      <c r="Q143" s="5" t="s">
        <v>71</v>
      </c>
      <c r="R143" s="5" t="s">
        <v>72</v>
      </c>
      <c r="S143" s="5" t="s">
        <v>73</v>
      </c>
      <c r="T143" s="5" t="s">
        <v>46</v>
      </c>
      <c r="U143" s="5" t="n">
        <v>1000</v>
      </c>
      <c r="V143" s="1" t="n">
        <v>4</v>
      </c>
      <c r="W143" s="5"/>
      <c r="X143" s="5" t="s">
        <v>74</v>
      </c>
      <c r="Y143" s="1" t="n">
        <v>5500</v>
      </c>
      <c r="Z143" s="5" t="s">
        <v>211</v>
      </c>
      <c r="AA143" s="5" t="s">
        <v>212</v>
      </c>
      <c r="AB143" s="13" t="str">
        <f aca="true" t="array" ref="AB143:AB143">LEFT(AA143,LOOKUP(2^15,FIND(".",AA143,ROW(INDIRECT("1:"&amp;LEN(AA143)))))-1)</f>
        <v>NB_2022_015 - 23022022 - 1</v>
      </c>
      <c r="AC143" s="5" t="s">
        <v>213</v>
      </c>
      <c r="AD143" s="13" t="str">
        <f aca="true" t="array" ref="AD143:AD143">LEFT(AC143,LOOKUP(2^15,FIND(".",AC143,ROW(INDIRECT("1:"&amp;LEN(AC143)))))-1)</f>
        <v>NB_2022_015 - 23022022 - 2</v>
      </c>
      <c r="AE143" s="5" t="str">
        <f aca="false">CONCATENATE(AB143, "-",H143, ".mzML")</f>
        <v>NB_2022_015 - 23022022 - 1-QC_C_4.mzML</v>
      </c>
      <c r="AF143" s="5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3" t="s">
        <v>204</v>
      </c>
      <c r="B144" s="4"/>
      <c r="C144" s="3" t="s">
        <v>205</v>
      </c>
      <c r="D144" s="5" t="s">
        <v>18</v>
      </c>
      <c r="E144" s="5" t="s">
        <v>206</v>
      </c>
      <c r="F144" s="6" t="s">
        <v>207</v>
      </c>
      <c r="G144" s="5" t="s">
        <v>220</v>
      </c>
      <c r="H144" s="19" t="s">
        <v>77</v>
      </c>
      <c r="I144" s="5" t="str">
        <f aca="false">CONCATENATE(E144, "_",H144)</f>
        <v>NLA_2022_102_QC_P_1</v>
      </c>
      <c r="J144" s="5" t="s">
        <v>52</v>
      </c>
      <c r="K144" s="5" t="s">
        <v>77</v>
      </c>
      <c r="L144" s="8" t="s">
        <v>69</v>
      </c>
      <c r="M144" s="6" t="s">
        <v>46</v>
      </c>
      <c r="N144" s="5" t="s">
        <v>78</v>
      </c>
      <c r="O144" s="5" t="s">
        <v>46</v>
      </c>
      <c r="P144" s="5" t="s">
        <v>79</v>
      </c>
      <c r="Q144" s="5" t="s">
        <v>80</v>
      </c>
      <c r="R144" s="5" t="s">
        <v>81</v>
      </c>
      <c r="S144" s="5" t="s">
        <v>46</v>
      </c>
      <c r="T144" s="5" t="s">
        <v>46</v>
      </c>
      <c r="U144" s="5" t="s">
        <v>82</v>
      </c>
      <c r="V144" s="1" t="n">
        <v>1</v>
      </c>
      <c r="W144" s="5"/>
      <c r="X144" s="5" t="s">
        <v>83</v>
      </c>
      <c r="Y144" s="1" t="n">
        <v>5500</v>
      </c>
      <c r="Z144" s="5" t="s">
        <v>211</v>
      </c>
      <c r="AA144" s="5" t="s">
        <v>212</v>
      </c>
      <c r="AB144" s="13" t="str">
        <f aca="true" t="array" ref="AB144:AB144">LEFT(AA144,LOOKUP(2^15,FIND(".",AA144,ROW(INDIRECT("1:"&amp;LEN(AA144)))))-1)</f>
        <v>NB_2022_015 - 23022022 - 1</v>
      </c>
      <c r="AC144" s="5" t="s">
        <v>213</v>
      </c>
      <c r="AD144" s="13" t="str">
        <f aca="true" t="array" ref="AD144:AD144">LEFT(AC144,LOOKUP(2^15,FIND(".",AC144,ROW(INDIRECT("1:"&amp;LEN(AC144)))))-1)</f>
        <v>NB_2022_015 - 23022022 - 2</v>
      </c>
      <c r="AE144" s="5" t="str">
        <f aca="false">CONCATENATE(AB144, "-",H144, ".mzML")</f>
        <v>NB_2022_015 - 23022022 - 1-QC_P_1.mzML</v>
      </c>
      <c r="AF144" s="5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3" t="s">
        <v>204</v>
      </c>
      <c r="B145" s="4"/>
      <c r="C145" s="3" t="s">
        <v>205</v>
      </c>
      <c r="D145" s="5" t="s">
        <v>18</v>
      </c>
      <c r="E145" s="5" t="s">
        <v>206</v>
      </c>
      <c r="F145" s="6" t="s">
        <v>207</v>
      </c>
      <c r="G145" s="5" t="s">
        <v>220</v>
      </c>
      <c r="H145" s="19" t="s">
        <v>84</v>
      </c>
      <c r="I145" s="5" t="str">
        <f aca="false">CONCATENATE(E145, "_",H145)</f>
        <v>NLA_2022_102_QC_P_2</v>
      </c>
      <c r="J145" s="5" t="s">
        <v>52</v>
      </c>
      <c r="K145" s="5" t="s">
        <v>84</v>
      </c>
      <c r="L145" s="8" t="s">
        <v>69</v>
      </c>
      <c r="M145" s="6" t="s">
        <v>46</v>
      </c>
      <c r="N145" s="5" t="s">
        <v>78</v>
      </c>
      <c r="O145" s="5" t="s">
        <v>46</v>
      </c>
      <c r="P145" s="5" t="s">
        <v>79</v>
      </c>
      <c r="Q145" s="5" t="s">
        <v>80</v>
      </c>
      <c r="R145" s="5" t="s">
        <v>81</v>
      </c>
      <c r="S145" s="5" t="s">
        <v>46</v>
      </c>
      <c r="T145" s="5" t="s">
        <v>46</v>
      </c>
      <c r="U145" s="5" t="s">
        <v>82</v>
      </c>
      <c r="V145" s="1" t="n">
        <v>2</v>
      </c>
      <c r="W145" s="5"/>
      <c r="X145" s="5" t="s">
        <v>83</v>
      </c>
      <c r="Y145" s="1" t="n">
        <v>5500</v>
      </c>
      <c r="Z145" s="5" t="s">
        <v>211</v>
      </c>
      <c r="AA145" s="5" t="s">
        <v>212</v>
      </c>
      <c r="AB145" s="13" t="str">
        <f aca="true" t="array" ref="AB145:AB145">LEFT(AA145,LOOKUP(2^15,FIND(".",AA145,ROW(INDIRECT("1:"&amp;LEN(AA145)))))-1)</f>
        <v>NB_2022_015 - 23022022 - 1</v>
      </c>
      <c r="AC145" s="5" t="s">
        <v>213</v>
      </c>
      <c r="AD145" s="13" t="str">
        <f aca="true" t="array" ref="AD145:AD145">LEFT(AC145,LOOKUP(2^15,FIND(".",AC145,ROW(INDIRECT("1:"&amp;LEN(AC145)))))-1)</f>
        <v>NB_2022_015 - 23022022 - 2</v>
      </c>
      <c r="AE145" s="5" t="str">
        <f aca="false">CONCATENATE(AB145, "-",H145, ".mzML")</f>
        <v>NB_2022_015 - 23022022 - 1-QC_P_2.mzML</v>
      </c>
      <c r="AF145" s="5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3" t="s">
        <v>204</v>
      </c>
      <c r="B146" s="4"/>
      <c r="C146" s="3" t="s">
        <v>205</v>
      </c>
      <c r="D146" s="5" t="s">
        <v>18</v>
      </c>
      <c r="E146" s="5" t="s">
        <v>206</v>
      </c>
      <c r="F146" s="6" t="s">
        <v>207</v>
      </c>
      <c r="G146" s="5" t="s">
        <v>220</v>
      </c>
      <c r="H146" s="19" t="s">
        <v>85</v>
      </c>
      <c r="I146" s="5" t="str">
        <f aca="false">CONCATENATE(E146, "_",H146)</f>
        <v>NLA_2022_102_QC_P_3</v>
      </c>
      <c r="J146" s="5" t="s">
        <v>52</v>
      </c>
      <c r="K146" s="5" t="s">
        <v>85</v>
      </c>
      <c r="L146" s="8" t="s">
        <v>69</v>
      </c>
      <c r="M146" s="6" t="s">
        <v>46</v>
      </c>
      <c r="N146" s="5" t="s">
        <v>78</v>
      </c>
      <c r="O146" s="5" t="s">
        <v>46</v>
      </c>
      <c r="P146" s="5" t="s">
        <v>79</v>
      </c>
      <c r="Q146" s="5" t="s">
        <v>80</v>
      </c>
      <c r="R146" s="5" t="s">
        <v>81</v>
      </c>
      <c r="S146" s="5" t="s">
        <v>46</v>
      </c>
      <c r="T146" s="5" t="s">
        <v>46</v>
      </c>
      <c r="U146" s="5" t="s">
        <v>82</v>
      </c>
      <c r="V146" s="1" t="n">
        <v>3</v>
      </c>
      <c r="W146" s="5"/>
      <c r="X146" s="5" t="s">
        <v>83</v>
      </c>
      <c r="Y146" s="1" t="n">
        <v>5500</v>
      </c>
      <c r="Z146" s="5" t="s">
        <v>211</v>
      </c>
      <c r="AA146" s="5" t="s">
        <v>212</v>
      </c>
      <c r="AB146" s="13" t="str">
        <f aca="true" t="array" ref="AB146:AB146">LEFT(AA146,LOOKUP(2^15,FIND(".",AA146,ROW(INDIRECT("1:"&amp;LEN(AA146)))))-1)</f>
        <v>NB_2022_015 - 23022022 - 1</v>
      </c>
      <c r="AC146" s="5" t="s">
        <v>213</v>
      </c>
      <c r="AD146" s="13" t="str">
        <f aca="true" t="array" ref="AD146:AD146">LEFT(AC146,LOOKUP(2^15,FIND(".",AC146,ROW(INDIRECT("1:"&amp;LEN(AC146)))))-1)</f>
        <v>NB_2022_015 - 23022022 - 2</v>
      </c>
      <c r="AE146" s="5" t="str">
        <f aca="false">CONCATENATE(AB146, "-",H146, ".mzML")</f>
        <v>NB_2022_015 - 23022022 - 1-QC_P_3.mzML</v>
      </c>
      <c r="AF146" s="5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3" t="s">
        <v>204</v>
      </c>
      <c r="B147" s="4"/>
      <c r="C147" s="3" t="s">
        <v>205</v>
      </c>
      <c r="D147" s="5" t="s">
        <v>18</v>
      </c>
      <c r="E147" s="5" t="s">
        <v>206</v>
      </c>
      <c r="F147" s="6" t="s">
        <v>207</v>
      </c>
      <c r="G147" s="5" t="s">
        <v>220</v>
      </c>
      <c r="H147" s="19" t="s">
        <v>224</v>
      </c>
      <c r="I147" s="5" t="str">
        <f aca="false">CONCATENATE(E147, "_",H147)</f>
        <v>NLA_2022_102_QC_P_4</v>
      </c>
      <c r="J147" s="5" t="s">
        <v>52</v>
      </c>
      <c r="K147" s="5" t="s">
        <v>224</v>
      </c>
      <c r="L147" s="8" t="s">
        <v>69</v>
      </c>
      <c r="M147" s="6" t="s">
        <v>46</v>
      </c>
      <c r="N147" s="5" t="s">
        <v>78</v>
      </c>
      <c r="O147" s="5" t="s">
        <v>46</v>
      </c>
      <c r="P147" s="5" t="s">
        <v>79</v>
      </c>
      <c r="Q147" s="5" t="s">
        <v>80</v>
      </c>
      <c r="R147" s="5" t="s">
        <v>81</v>
      </c>
      <c r="S147" s="5" t="s">
        <v>46</v>
      </c>
      <c r="T147" s="5" t="s">
        <v>46</v>
      </c>
      <c r="U147" s="5" t="s">
        <v>82</v>
      </c>
      <c r="V147" s="1" t="n">
        <v>4</v>
      </c>
      <c r="W147" s="5"/>
      <c r="X147" s="5" t="s">
        <v>83</v>
      </c>
      <c r="Y147" s="1" t="n">
        <v>5500</v>
      </c>
      <c r="Z147" s="5" t="s">
        <v>211</v>
      </c>
      <c r="AA147" s="5" t="s">
        <v>212</v>
      </c>
      <c r="AB147" s="13" t="str">
        <f aca="true" t="array" ref="AB147:AB147">LEFT(AA147,LOOKUP(2^15,FIND(".",AA147,ROW(INDIRECT("1:"&amp;LEN(AA147)))))-1)</f>
        <v>NB_2022_015 - 23022022 - 1</v>
      </c>
      <c r="AC147" s="5" t="s">
        <v>213</v>
      </c>
      <c r="AD147" s="13" t="str">
        <f aca="true" t="array" ref="AD147:AD147">LEFT(AC147,LOOKUP(2^15,FIND(".",AC147,ROW(INDIRECT("1:"&amp;LEN(AC147)))))-1)</f>
        <v>NB_2022_015 - 23022022 - 2</v>
      </c>
      <c r="AE147" s="5" t="str">
        <f aca="false">CONCATENATE(AB147, "-",H147, ".mzML")</f>
        <v>NB_2022_015 - 23022022 - 1-QC_P_4.mzML</v>
      </c>
      <c r="AF147" s="5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3" t="s">
        <v>225</v>
      </c>
      <c r="B148" s="4"/>
      <c r="C148" s="3" t="s">
        <v>226</v>
      </c>
      <c r="D148" s="5" t="s">
        <v>14</v>
      </c>
      <c r="E148" s="5" t="s">
        <v>206</v>
      </c>
      <c r="F148" s="6" t="s">
        <v>207</v>
      </c>
      <c r="G148" s="5" t="s">
        <v>208</v>
      </c>
      <c r="H148" s="7" t="s">
        <v>108</v>
      </c>
      <c r="I148" s="5" t="str">
        <f aca="false">CONCATENATE(E148, "_",H148)</f>
        <v>NLA_2022_102_001</v>
      </c>
      <c r="J148" s="5" t="s">
        <v>38</v>
      </c>
      <c r="K148" s="5" t="s">
        <v>209</v>
      </c>
      <c r="L148" s="8" t="s">
        <v>69</v>
      </c>
      <c r="M148" s="6" t="s">
        <v>210</v>
      </c>
      <c r="N148" s="5" t="s">
        <v>41</v>
      </c>
      <c r="O148" s="5" t="s">
        <v>42</v>
      </c>
      <c r="P148" s="5" t="s">
        <v>162</v>
      </c>
      <c r="Q148" s="5" t="s">
        <v>162</v>
      </c>
      <c r="R148" s="5" t="s">
        <v>72</v>
      </c>
      <c r="S148" s="5" t="s">
        <v>45</v>
      </c>
      <c r="T148" s="5" t="s">
        <v>46</v>
      </c>
      <c r="U148" s="5" t="n">
        <v>1000</v>
      </c>
      <c r="V148" s="1" t="n">
        <v>1</v>
      </c>
      <c r="W148" s="5"/>
      <c r="X148" s="5" t="s">
        <v>47</v>
      </c>
      <c r="Y148" s="1" t="n">
        <v>5500</v>
      </c>
      <c r="Z148" s="5" t="s">
        <v>211</v>
      </c>
      <c r="AA148" s="5" t="s">
        <v>212</v>
      </c>
      <c r="AB148" s="13" t="str">
        <f aca="true" t="array" ref="AB148:AB148">LEFT(AA148,LOOKUP(2^15,FIND(".",AA148,ROW(INDIRECT("1:"&amp;LEN(AA148)))))-1)</f>
        <v>NB_2022_015 - 23022022 - 1</v>
      </c>
      <c r="AC148" s="5" t="s">
        <v>213</v>
      </c>
      <c r="AD148" s="13" t="str">
        <f aca="true" t="array" ref="AD148:AD148">LEFT(AC148,LOOKUP(2^15,FIND(".",AC148,ROW(INDIRECT("1:"&amp;LEN(AC148)))))-1)</f>
        <v>NB_2022_015 - 23022022 - 2</v>
      </c>
      <c r="AE148" s="5" t="str">
        <f aca="false">CONCATENATE(AB148, "-",H148, ".mzML")</f>
        <v>NB_2022_015 - 23022022 - 1-001.mzML</v>
      </c>
      <c r="AF148" s="5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3" t="s">
        <v>225</v>
      </c>
      <c r="B149" s="4"/>
      <c r="C149" s="3" t="s">
        <v>226</v>
      </c>
      <c r="D149" s="5" t="s">
        <v>14</v>
      </c>
      <c r="E149" s="5" t="s">
        <v>206</v>
      </c>
      <c r="F149" s="6" t="s">
        <v>207</v>
      </c>
      <c r="G149" s="5" t="s">
        <v>208</v>
      </c>
      <c r="H149" s="7" t="s">
        <v>88</v>
      </c>
      <c r="I149" s="5" t="str">
        <f aca="false">CONCATENATE(E149, "_",H149)</f>
        <v>NLA_2022_102_002</v>
      </c>
      <c r="J149" s="5" t="s">
        <v>38</v>
      </c>
      <c r="K149" s="5" t="s">
        <v>214</v>
      </c>
      <c r="L149" s="8" t="s">
        <v>69</v>
      </c>
      <c r="M149" s="6" t="s">
        <v>210</v>
      </c>
      <c r="N149" s="5" t="s">
        <v>41</v>
      </c>
      <c r="O149" s="5" t="s">
        <v>42</v>
      </c>
      <c r="P149" s="5" t="s">
        <v>162</v>
      </c>
      <c r="Q149" s="5" t="s">
        <v>162</v>
      </c>
      <c r="R149" s="5" t="s">
        <v>72</v>
      </c>
      <c r="S149" s="5" t="s">
        <v>45</v>
      </c>
      <c r="T149" s="5" t="s">
        <v>46</v>
      </c>
      <c r="U149" s="5" t="n">
        <v>1000</v>
      </c>
      <c r="V149" s="1" t="n">
        <v>2</v>
      </c>
      <c r="W149" s="5"/>
      <c r="X149" s="5" t="s">
        <v>47</v>
      </c>
      <c r="Y149" s="1" t="n">
        <v>5500</v>
      </c>
      <c r="Z149" s="5" t="s">
        <v>211</v>
      </c>
      <c r="AA149" s="5" t="s">
        <v>212</v>
      </c>
      <c r="AB149" s="13" t="str">
        <f aca="true" t="array" ref="AB149:AB149">LEFT(AA149,LOOKUP(2^15,FIND(".",AA149,ROW(INDIRECT("1:"&amp;LEN(AA149)))))-1)</f>
        <v>NB_2022_015 - 23022022 - 1</v>
      </c>
      <c r="AC149" s="5" t="s">
        <v>213</v>
      </c>
      <c r="AD149" s="13" t="str">
        <f aca="true" t="array" ref="AD149:AD149">LEFT(AC149,LOOKUP(2^15,FIND(".",AC149,ROW(INDIRECT("1:"&amp;LEN(AC149)))))-1)</f>
        <v>NB_2022_015 - 23022022 - 2</v>
      </c>
      <c r="AE149" s="5" t="str">
        <f aca="false">CONCATENATE(AB149, "-",H149, ".mzML")</f>
        <v>NB_2022_015 - 23022022 - 1-002.mzML</v>
      </c>
      <c r="AF149" s="5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3" t="s">
        <v>225</v>
      </c>
      <c r="B150" s="4"/>
      <c r="C150" s="3" t="s">
        <v>226</v>
      </c>
      <c r="D150" s="5" t="s">
        <v>14</v>
      </c>
      <c r="E150" s="5" t="s">
        <v>206</v>
      </c>
      <c r="F150" s="6" t="s">
        <v>207</v>
      </c>
      <c r="G150" s="5" t="s">
        <v>208</v>
      </c>
      <c r="H150" s="7" t="s">
        <v>97</v>
      </c>
      <c r="I150" s="5" t="str">
        <f aca="false">CONCATENATE(E150, "_",H150)</f>
        <v>NLA_2022_102_003</v>
      </c>
      <c r="J150" s="5" t="s">
        <v>38</v>
      </c>
      <c r="K150" s="5" t="s">
        <v>215</v>
      </c>
      <c r="L150" s="8" t="s">
        <v>69</v>
      </c>
      <c r="M150" s="6" t="s">
        <v>210</v>
      </c>
      <c r="N150" s="5" t="s">
        <v>41</v>
      </c>
      <c r="O150" s="5" t="s">
        <v>42</v>
      </c>
      <c r="P150" s="5" t="s">
        <v>162</v>
      </c>
      <c r="Q150" s="5" t="s">
        <v>162</v>
      </c>
      <c r="R150" s="5" t="s">
        <v>72</v>
      </c>
      <c r="S150" s="5" t="s">
        <v>45</v>
      </c>
      <c r="T150" s="5" t="s">
        <v>46</v>
      </c>
      <c r="U150" s="5" t="n">
        <v>1000</v>
      </c>
      <c r="V150" s="1" t="n">
        <v>3</v>
      </c>
      <c r="W150" s="5"/>
      <c r="X150" s="5" t="s">
        <v>47</v>
      </c>
      <c r="Y150" s="1" t="n">
        <v>5500</v>
      </c>
      <c r="Z150" s="5" t="s">
        <v>211</v>
      </c>
      <c r="AA150" s="5" t="s">
        <v>212</v>
      </c>
      <c r="AB150" s="13" t="str">
        <f aca="true" t="array" ref="AB150:AB150">LEFT(AA150,LOOKUP(2^15,FIND(".",AA150,ROW(INDIRECT("1:"&amp;LEN(AA150)))))-1)</f>
        <v>NB_2022_015 - 23022022 - 1</v>
      </c>
      <c r="AC150" s="5" t="s">
        <v>213</v>
      </c>
      <c r="AD150" s="13" t="str">
        <f aca="true" t="array" ref="AD150:AD150">LEFT(AC150,LOOKUP(2^15,FIND(".",AC150,ROW(INDIRECT("1:"&amp;LEN(AC150)))))-1)</f>
        <v>NB_2022_015 - 23022022 - 2</v>
      </c>
      <c r="AE150" s="5" t="str">
        <f aca="false">CONCATENATE(AB150, "-",H150, ".mzML")</f>
        <v>NB_2022_015 - 23022022 - 1-003.mzML</v>
      </c>
      <c r="AF150" s="5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3" t="s">
        <v>225</v>
      </c>
      <c r="B151" s="4"/>
      <c r="C151" s="3" t="s">
        <v>226</v>
      </c>
      <c r="D151" s="5" t="s">
        <v>14</v>
      </c>
      <c r="E151" s="5" t="s">
        <v>206</v>
      </c>
      <c r="F151" s="6" t="s">
        <v>207</v>
      </c>
      <c r="G151" s="5" t="s">
        <v>208</v>
      </c>
      <c r="H151" s="7" t="s">
        <v>227</v>
      </c>
      <c r="I151" s="5" t="str">
        <f aca="false">CONCATENATE(E151, "_",H151)</f>
        <v>NLA_2022_102_019</v>
      </c>
      <c r="J151" s="5" t="s">
        <v>52</v>
      </c>
      <c r="K151" s="5" t="s">
        <v>228</v>
      </c>
      <c r="L151" s="8" t="s">
        <v>69</v>
      </c>
      <c r="M151" s="6" t="s">
        <v>210</v>
      </c>
      <c r="N151" s="5" t="s">
        <v>41</v>
      </c>
      <c r="O151" s="5" t="s">
        <v>54</v>
      </c>
      <c r="P151" s="5" t="s">
        <v>162</v>
      </c>
      <c r="Q151" s="5" t="s">
        <v>229</v>
      </c>
      <c r="R151" s="5" t="s">
        <v>72</v>
      </c>
      <c r="S151" s="5" t="s">
        <v>45</v>
      </c>
      <c r="T151" s="5" t="s">
        <v>46</v>
      </c>
      <c r="U151" s="5" t="n">
        <v>1000</v>
      </c>
      <c r="V151" s="1" t="n">
        <v>1</v>
      </c>
      <c r="W151" s="5"/>
      <c r="X151" s="5" t="s">
        <v>47</v>
      </c>
      <c r="Y151" s="1" t="n">
        <v>5500</v>
      </c>
      <c r="Z151" s="5" t="s">
        <v>211</v>
      </c>
      <c r="AA151" s="5" t="s">
        <v>212</v>
      </c>
      <c r="AB151" s="13" t="str">
        <f aca="true" t="array" ref="AB151:AB151">LEFT(AA151,LOOKUP(2^15,FIND(".",AA151,ROW(INDIRECT("1:"&amp;LEN(AA151)))))-1)</f>
        <v>NB_2022_015 - 23022022 - 1</v>
      </c>
      <c r="AC151" s="5" t="s">
        <v>213</v>
      </c>
      <c r="AD151" s="13" t="str">
        <f aca="true" t="array" ref="AD151:AD151">LEFT(AC151,LOOKUP(2^15,FIND(".",AC151,ROW(INDIRECT("1:"&amp;LEN(AC151)))))-1)</f>
        <v>NB_2022_015 - 23022022 - 2</v>
      </c>
      <c r="AE151" s="5" t="str">
        <f aca="false">CONCATENATE(AB151, "-",H151, ".mzML")</f>
        <v>NB_2022_015 - 23022022 - 1-019.mzML</v>
      </c>
      <c r="AF151" s="5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3" t="s">
        <v>225</v>
      </c>
      <c r="B152" s="4"/>
      <c r="C152" s="3" t="s">
        <v>226</v>
      </c>
      <c r="D152" s="5" t="s">
        <v>14</v>
      </c>
      <c r="E152" s="5" t="s">
        <v>206</v>
      </c>
      <c r="F152" s="6" t="s">
        <v>207</v>
      </c>
      <c r="G152" s="5" t="s">
        <v>208</v>
      </c>
      <c r="H152" s="7" t="s">
        <v>230</v>
      </c>
      <c r="I152" s="5" t="str">
        <f aca="false">CONCATENATE(E152, "_",H152)</f>
        <v>NLA_2022_102_020</v>
      </c>
      <c r="J152" s="5" t="s">
        <v>52</v>
      </c>
      <c r="K152" s="5" t="s">
        <v>231</v>
      </c>
      <c r="L152" s="8" t="s">
        <v>69</v>
      </c>
      <c r="M152" s="6" t="s">
        <v>210</v>
      </c>
      <c r="N152" s="5" t="s">
        <v>41</v>
      </c>
      <c r="O152" s="5" t="s">
        <v>54</v>
      </c>
      <c r="P152" s="5" t="s">
        <v>162</v>
      </c>
      <c r="Q152" s="5" t="s">
        <v>229</v>
      </c>
      <c r="R152" s="5" t="s">
        <v>72</v>
      </c>
      <c r="S152" s="5" t="s">
        <v>45</v>
      </c>
      <c r="T152" s="5" t="s">
        <v>46</v>
      </c>
      <c r="U152" s="5" t="n">
        <v>1000</v>
      </c>
      <c r="V152" s="1" t="n">
        <v>2</v>
      </c>
      <c r="W152" s="5"/>
      <c r="X152" s="5" t="s">
        <v>47</v>
      </c>
      <c r="Y152" s="1" t="n">
        <v>5500</v>
      </c>
      <c r="Z152" s="5" t="s">
        <v>211</v>
      </c>
      <c r="AA152" s="5" t="s">
        <v>212</v>
      </c>
      <c r="AB152" s="13" t="str">
        <f aca="true" t="array" ref="AB152:AB152">LEFT(AA152,LOOKUP(2^15,FIND(".",AA152,ROW(INDIRECT("1:"&amp;LEN(AA152)))))-1)</f>
        <v>NB_2022_015 - 23022022 - 1</v>
      </c>
      <c r="AC152" s="5" t="s">
        <v>213</v>
      </c>
      <c r="AD152" s="13" t="str">
        <f aca="true" t="array" ref="AD152:AD152">LEFT(AC152,LOOKUP(2^15,FIND(".",AC152,ROW(INDIRECT("1:"&amp;LEN(AC152)))))-1)</f>
        <v>NB_2022_015 - 23022022 - 2</v>
      </c>
      <c r="AE152" s="5" t="str">
        <f aca="false">CONCATENATE(AB152, "-",H152, ".mzML")</f>
        <v>NB_2022_015 - 23022022 - 1-020.mzML</v>
      </c>
      <c r="AF152" s="5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3" t="s">
        <v>225</v>
      </c>
      <c r="B153" s="4"/>
      <c r="C153" s="3" t="s">
        <v>226</v>
      </c>
      <c r="D153" s="5" t="s">
        <v>14</v>
      </c>
      <c r="E153" s="5" t="s">
        <v>206</v>
      </c>
      <c r="F153" s="6" t="s">
        <v>207</v>
      </c>
      <c r="G153" s="5" t="s">
        <v>208</v>
      </c>
      <c r="H153" s="7" t="s">
        <v>62</v>
      </c>
      <c r="I153" s="5" t="str">
        <f aca="false">CONCATENATE(E153, "_",H153)</f>
        <v>NLA_2022_102_021</v>
      </c>
      <c r="J153" s="5" t="s">
        <v>52</v>
      </c>
      <c r="K153" s="5" t="s">
        <v>232</v>
      </c>
      <c r="L153" s="8" t="s">
        <v>69</v>
      </c>
      <c r="M153" s="6" t="s">
        <v>210</v>
      </c>
      <c r="N153" s="5" t="s">
        <v>41</v>
      </c>
      <c r="O153" s="5" t="s">
        <v>54</v>
      </c>
      <c r="P153" s="5" t="s">
        <v>162</v>
      </c>
      <c r="Q153" s="5" t="s">
        <v>229</v>
      </c>
      <c r="R153" s="5" t="s">
        <v>72</v>
      </c>
      <c r="S153" s="5" t="s">
        <v>45</v>
      </c>
      <c r="T153" s="5" t="s">
        <v>46</v>
      </c>
      <c r="U153" s="5" t="n">
        <v>1000</v>
      </c>
      <c r="V153" s="1" t="n">
        <v>3</v>
      </c>
      <c r="W153" s="5"/>
      <c r="X153" s="5" t="s">
        <v>47</v>
      </c>
      <c r="Y153" s="1" t="n">
        <v>5500</v>
      </c>
      <c r="Z153" s="5" t="s">
        <v>211</v>
      </c>
      <c r="AA153" s="5" t="s">
        <v>212</v>
      </c>
      <c r="AB153" s="13" t="str">
        <f aca="true" t="array" ref="AB153:AB153">LEFT(AA153,LOOKUP(2^15,FIND(".",AA153,ROW(INDIRECT("1:"&amp;LEN(AA153)))))-1)</f>
        <v>NB_2022_015 - 23022022 - 1</v>
      </c>
      <c r="AC153" s="5" t="s">
        <v>213</v>
      </c>
      <c r="AD153" s="13" t="str">
        <f aca="true" t="array" ref="AD153:AD153">LEFT(AC153,LOOKUP(2^15,FIND(".",AC153,ROW(INDIRECT("1:"&amp;LEN(AC153)))))-1)</f>
        <v>NB_2022_015 - 23022022 - 2</v>
      </c>
      <c r="AE153" s="5" t="str">
        <f aca="false">CONCATENATE(AB153, "-",H153, ".mzML")</f>
        <v>NB_2022_015 - 23022022 - 1-021.mzML</v>
      </c>
      <c r="AF153" s="5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3" t="s">
        <v>225</v>
      </c>
      <c r="B154" s="4"/>
      <c r="C154" s="3" t="s">
        <v>226</v>
      </c>
      <c r="D154" s="5" t="s">
        <v>14</v>
      </c>
      <c r="E154" s="5" t="s">
        <v>206</v>
      </c>
      <c r="F154" s="6" t="s">
        <v>207</v>
      </c>
      <c r="G154" s="5" t="s">
        <v>220</v>
      </c>
      <c r="H154" s="19" t="s">
        <v>64</v>
      </c>
      <c r="I154" s="5" t="str">
        <f aca="false">CONCATENATE(E154, "_",H154)</f>
        <v>NLA_2022_102_Blank_1</v>
      </c>
      <c r="J154" s="5" t="s">
        <v>52</v>
      </c>
      <c r="K154" s="5" t="s">
        <v>64</v>
      </c>
      <c r="L154" s="8" t="s">
        <v>46</v>
      </c>
      <c r="M154" s="6" t="s">
        <v>46</v>
      </c>
      <c r="N154" s="5" t="s">
        <v>65</v>
      </c>
      <c r="O154" s="5" t="s">
        <v>46</v>
      </c>
      <c r="P154" s="5" t="s">
        <v>46</v>
      </c>
      <c r="Q154" s="5" t="s">
        <v>46</v>
      </c>
      <c r="R154" s="5" t="s">
        <v>46</v>
      </c>
      <c r="S154" s="5" t="s">
        <v>46</v>
      </c>
      <c r="T154" s="5" t="s">
        <v>46</v>
      </c>
      <c r="U154" s="5" t="s">
        <v>46</v>
      </c>
      <c r="V154" s="1" t="n">
        <v>1</v>
      </c>
      <c r="W154" s="5"/>
      <c r="X154" s="5" t="s">
        <v>46</v>
      </c>
      <c r="Y154" s="1" t="n">
        <v>5500</v>
      </c>
      <c r="Z154" s="5" t="s">
        <v>211</v>
      </c>
      <c r="AA154" s="5" t="s">
        <v>212</v>
      </c>
      <c r="AB154" s="13" t="str">
        <f aca="true" t="array" ref="AB154:AB154">LEFT(AA154,LOOKUP(2^15,FIND(".",AA154,ROW(INDIRECT("1:"&amp;LEN(AA154)))))-1)</f>
        <v>NB_2022_015 - 23022022 - 1</v>
      </c>
      <c r="AC154" s="5" t="s">
        <v>213</v>
      </c>
      <c r="AD154" s="13" t="str">
        <f aca="true" t="array" ref="AD154:AD154">LEFT(AC154,LOOKUP(2^15,FIND(".",AC154,ROW(INDIRECT("1:"&amp;LEN(AC154)))))-1)</f>
        <v>NB_2022_015 - 23022022 - 2</v>
      </c>
      <c r="AE154" s="5" t="str">
        <f aca="false">CONCATENATE(AB154, "-",H154, ".mzML")</f>
        <v>NB_2022_015 - 23022022 - 1-Blank_1.mzML</v>
      </c>
      <c r="AF154" s="5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3" t="s">
        <v>225</v>
      </c>
      <c r="B155" s="4"/>
      <c r="C155" s="3" t="s">
        <v>226</v>
      </c>
      <c r="D155" s="5" t="s">
        <v>14</v>
      </c>
      <c r="E155" s="5" t="s">
        <v>206</v>
      </c>
      <c r="F155" s="6" t="s">
        <v>207</v>
      </c>
      <c r="G155" s="5" t="s">
        <v>220</v>
      </c>
      <c r="H155" s="19" t="s">
        <v>66</v>
      </c>
      <c r="I155" s="5" t="str">
        <f aca="false">CONCATENATE(E155, "_",H155)</f>
        <v>NLA_2022_102_Blank_2</v>
      </c>
      <c r="J155" s="5" t="s">
        <v>52</v>
      </c>
      <c r="K155" s="5" t="s">
        <v>66</v>
      </c>
      <c r="L155" s="8" t="s">
        <v>46</v>
      </c>
      <c r="M155" s="6" t="s">
        <v>46</v>
      </c>
      <c r="N155" s="5" t="s">
        <v>65</v>
      </c>
      <c r="O155" s="5" t="s">
        <v>46</v>
      </c>
      <c r="P155" s="5" t="s">
        <v>46</v>
      </c>
      <c r="Q155" s="5" t="s">
        <v>46</v>
      </c>
      <c r="R155" s="5" t="s">
        <v>46</v>
      </c>
      <c r="S155" s="5" t="s">
        <v>46</v>
      </c>
      <c r="T155" s="5" t="s">
        <v>46</v>
      </c>
      <c r="U155" s="5" t="s">
        <v>46</v>
      </c>
      <c r="V155" s="1" t="n">
        <v>2</v>
      </c>
      <c r="W155" s="5"/>
      <c r="X155" s="5" t="s">
        <v>46</v>
      </c>
      <c r="Y155" s="1" t="n">
        <v>5500</v>
      </c>
      <c r="Z155" s="5" t="s">
        <v>211</v>
      </c>
      <c r="AA155" s="5" t="s">
        <v>212</v>
      </c>
      <c r="AB155" s="13" t="str">
        <f aca="true" t="array" ref="AB155:AB155">LEFT(AA155,LOOKUP(2^15,FIND(".",AA155,ROW(INDIRECT("1:"&amp;LEN(AA155)))))-1)</f>
        <v>NB_2022_015 - 23022022 - 1</v>
      </c>
      <c r="AC155" s="5" t="s">
        <v>213</v>
      </c>
      <c r="AD155" s="13" t="str">
        <f aca="true" t="array" ref="AD155:AD155">LEFT(AC155,LOOKUP(2^15,FIND(".",AC155,ROW(INDIRECT("1:"&amp;LEN(AC155)))))-1)</f>
        <v>NB_2022_015 - 23022022 - 2</v>
      </c>
      <c r="AE155" s="5" t="str">
        <f aca="false">CONCATENATE(AB155, "-",H155, ".mzML")</f>
        <v>NB_2022_015 - 23022022 - 1-Blank_2.mzML</v>
      </c>
      <c r="AF155" s="5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3" t="s">
        <v>225</v>
      </c>
      <c r="B156" s="4"/>
      <c r="C156" s="3" t="s">
        <v>226</v>
      </c>
      <c r="D156" s="5" t="s">
        <v>14</v>
      </c>
      <c r="E156" s="5" t="s">
        <v>206</v>
      </c>
      <c r="F156" s="6" t="s">
        <v>207</v>
      </c>
      <c r="G156" s="5" t="s">
        <v>220</v>
      </c>
      <c r="H156" s="19" t="s">
        <v>67</v>
      </c>
      <c r="I156" s="5" t="str">
        <f aca="false">CONCATENATE(E156, "_",H156)</f>
        <v>NLA_2022_102_Blank_3</v>
      </c>
      <c r="J156" s="5" t="s">
        <v>52</v>
      </c>
      <c r="K156" s="5" t="s">
        <v>67</v>
      </c>
      <c r="L156" s="8" t="s">
        <v>46</v>
      </c>
      <c r="M156" s="6" t="s">
        <v>46</v>
      </c>
      <c r="N156" s="5" t="s">
        <v>65</v>
      </c>
      <c r="O156" s="5" t="s">
        <v>46</v>
      </c>
      <c r="P156" s="5" t="s">
        <v>46</v>
      </c>
      <c r="Q156" s="5" t="s">
        <v>46</v>
      </c>
      <c r="R156" s="5" t="s">
        <v>46</v>
      </c>
      <c r="S156" s="5" t="s">
        <v>46</v>
      </c>
      <c r="T156" s="5" t="s">
        <v>46</v>
      </c>
      <c r="U156" s="5" t="s">
        <v>46</v>
      </c>
      <c r="V156" s="1" t="n">
        <v>3</v>
      </c>
      <c r="W156" s="5"/>
      <c r="X156" s="5" t="s">
        <v>46</v>
      </c>
      <c r="Y156" s="1" t="n">
        <v>5500</v>
      </c>
      <c r="Z156" s="5" t="s">
        <v>211</v>
      </c>
      <c r="AA156" s="5" t="s">
        <v>212</v>
      </c>
      <c r="AB156" s="13" t="str">
        <f aca="true" t="array" ref="AB156:AB156">LEFT(AA156,LOOKUP(2^15,FIND(".",AA156,ROW(INDIRECT("1:"&amp;LEN(AA156)))))-1)</f>
        <v>NB_2022_015 - 23022022 - 1</v>
      </c>
      <c r="AC156" s="5" t="s">
        <v>213</v>
      </c>
      <c r="AD156" s="13" t="str">
        <f aca="true" t="array" ref="AD156:AD156">LEFT(AC156,LOOKUP(2^15,FIND(".",AC156,ROW(INDIRECT("1:"&amp;LEN(AC156)))))-1)</f>
        <v>NB_2022_015 - 23022022 - 2</v>
      </c>
      <c r="AE156" s="5" t="str">
        <f aca="false">CONCATENATE(AB156, "-",H156, ".mzML")</f>
        <v>NB_2022_015 - 23022022 - 1-Blank_3.mzML</v>
      </c>
      <c r="AF156" s="5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3" t="s">
        <v>225</v>
      </c>
      <c r="B157" s="4"/>
      <c r="C157" s="3" t="s">
        <v>226</v>
      </c>
      <c r="D157" s="5" t="s">
        <v>14</v>
      </c>
      <c r="E157" s="5" t="s">
        <v>206</v>
      </c>
      <c r="F157" s="6" t="s">
        <v>207</v>
      </c>
      <c r="G157" s="5" t="s">
        <v>220</v>
      </c>
      <c r="H157" s="19" t="s">
        <v>221</v>
      </c>
      <c r="I157" s="5" t="str">
        <f aca="false">CONCATENATE(E157, "_",H157)</f>
        <v>NLA_2022_102_Blank_4</v>
      </c>
      <c r="J157" s="5" t="s">
        <v>52</v>
      </c>
      <c r="K157" s="5" t="s">
        <v>221</v>
      </c>
      <c r="L157" s="8" t="s">
        <v>46</v>
      </c>
      <c r="M157" s="6" t="s">
        <v>46</v>
      </c>
      <c r="N157" s="5" t="s">
        <v>65</v>
      </c>
      <c r="O157" s="5" t="s">
        <v>46</v>
      </c>
      <c r="P157" s="5" t="s">
        <v>46</v>
      </c>
      <c r="Q157" s="5" t="s">
        <v>46</v>
      </c>
      <c r="R157" s="5" t="s">
        <v>46</v>
      </c>
      <c r="S157" s="5" t="s">
        <v>46</v>
      </c>
      <c r="T157" s="5" t="s">
        <v>46</v>
      </c>
      <c r="U157" s="5" t="s">
        <v>46</v>
      </c>
      <c r="V157" s="1" t="n">
        <v>4</v>
      </c>
      <c r="W157" s="5"/>
      <c r="X157" s="5" t="s">
        <v>46</v>
      </c>
      <c r="Y157" s="1" t="n">
        <v>5500</v>
      </c>
      <c r="Z157" s="5" t="s">
        <v>211</v>
      </c>
      <c r="AA157" s="5" t="s">
        <v>212</v>
      </c>
      <c r="AB157" s="13" t="str">
        <f aca="true" t="array" ref="AB157:AB157">LEFT(AA157,LOOKUP(2^15,FIND(".",AA157,ROW(INDIRECT("1:"&amp;LEN(AA157)))))-1)</f>
        <v>NB_2022_015 - 23022022 - 1</v>
      </c>
      <c r="AC157" s="5" t="s">
        <v>213</v>
      </c>
      <c r="AD157" s="13" t="str">
        <f aca="true" t="array" ref="AD157:AD157">LEFT(AC157,LOOKUP(2^15,FIND(".",AC157,ROW(INDIRECT("1:"&amp;LEN(AC157)))))-1)</f>
        <v>NB_2022_015 - 23022022 - 2</v>
      </c>
      <c r="AE157" s="5" t="str">
        <f aca="false">CONCATENATE(AB157, "-",H157, ".mzML")</f>
        <v>NB_2022_015 - 23022022 - 1-Blank_4.mzML</v>
      </c>
      <c r="AF157" s="5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3" t="s">
        <v>225</v>
      </c>
      <c r="B158" s="4"/>
      <c r="C158" s="3" t="s">
        <v>226</v>
      </c>
      <c r="D158" s="5" t="s">
        <v>14</v>
      </c>
      <c r="E158" s="5" t="s">
        <v>206</v>
      </c>
      <c r="F158" s="6" t="s">
        <v>207</v>
      </c>
      <c r="G158" s="5" t="s">
        <v>220</v>
      </c>
      <c r="H158" s="19" t="s">
        <v>68</v>
      </c>
      <c r="I158" s="5" t="str">
        <f aca="false">CONCATENATE(E158, "_",H158)</f>
        <v>NLA_2022_102_QC_C_1</v>
      </c>
      <c r="J158" s="5" t="s">
        <v>52</v>
      </c>
      <c r="K158" s="5" t="s">
        <v>68</v>
      </c>
      <c r="L158" s="8" t="s">
        <v>69</v>
      </c>
      <c r="M158" s="5" t="s">
        <v>46</v>
      </c>
      <c r="N158" s="5" t="s">
        <v>70</v>
      </c>
      <c r="O158" s="5" t="s">
        <v>46</v>
      </c>
      <c r="P158" s="5" t="s">
        <v>71</v>
      </c>
      <c r="Q158" s="5" t="s">
        <v>71</v>
      </c>
      <c r="R158" s="5" t="s">
        <v>72</v>
      </c>
      <c r="S158" s="5" t="s">
        <v>73</v>
      </c>
      <c r="T158" s="5" t="s">
        <v>46</v>
      </c>
      <c r="U158" s="5" t="n">
        <v>1000</v>
      </c>
      <c r="V158" s="1" t="n">
        <v>1</v>
      </c>
      <c r="W158" s="5"/>
      <c r="X158" s="5" t="s">
        <v>74</v>
      </c>
      <c r="Y158" s="1" t="n">
        <v>5500</v>
      </c>
      <c r="Z158" s="5" t="s">
        <v>211</v>
      </c>
      <c r="AA158" s="5" t="s">
        <v>212</v>
      </c>
      <c r="AB158" s="13" t="str">
        <f aca="true" t="array" ref="AB158:AB158">LEFT(AA158,LOOKUP(2^15,FIND(".",AA158,ROW(INDIRECT("1:"&amp;LEN(AA158)))))-1)</f>
        <v>NB_2022_015 - 23022022 - 1</v>
      </c>
      <c r="AC158" s="5" t="s">
        <v>213</v>
      </c>
      <c r="AD158" s="13" t="str">
        <f aca="true" t="array" ref="AD158:AD158">LEFT(AC158,LOOKUP(2^15,FIND(".",AC158,ROW(INDIRECT("1:"&amp;LEN(AC158)))))-1)</f>
        <v>NB_2022_015 - 23022022 - 2</v>
      </c>
      <c r="AE158" s="5" t="str">
        <f aca="false">CONCATENATE(AB158, "-",H158, ".mzML")</f>
        <v>NB_2022_015 - 23022022 - 1-QC_C_1.mzML</v>
      </c>
      <c r="AF158" s="5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3" t="s">
        <v>225</v>
      </c>
      <c r="B159" s="4"/>
      <c r="C159" s="3" t="s">
        <v>226</v>
      </c>
      <c r="D159" s="5" t="s">
        <v>14</v>
      </c>
      <c r="E159" s="5" t="s">
        <v>206</v>
      </c>
      <c r="F159" s="6" t="s">
        <v>207</v>
      </c>
      <c r="G159" s="5" t="s">
        <v>220</v>
      </c>
      <c r="H159" s="19" t="s">
        <v>75</v>
      </c>
      <c r="I159" s="5" t="str">
        <f aca="false">CONCATENATE(E159, "_",H159)</f>
        <v>NLA_2022_102_QC_C_2</v>
      </c>
      <c r="J159" s="5" t="s">
        <v>52</v>
      </c>
      <c r="K159" s="5" t="s">
        <v>75</v>
      </c>
      <c r="L159" s="8" t="s">
        <v>69</v>
      </c>
      <c r="M159" s="5" t="s">
        <v>46</v>
      </c>
      <c r="N159" s="5" t="s">
        <v>70</v>
      </c>
      <c r="O159" s="5" t="s">
        <v>46</v>
      </c>
      <c r="P159" s="5" t="s">
        <v>71</v>
      </c>
      <c r="Q159" s="5" t="s">
        <v>71</v>
      </c>
      <c r="R159" s="5" t="s">
        <v>72</v>
      </c>
      <c r="S159" s="5" t="s">
        <v>73</v>
      </c>
      <c r="T159" s="5" t="s">
        <v>46</v>
      </c>
      <c r="U159" s="5" t="n">
        <v>1000</v>
      </c>
      <c r="V159" s="1" t="n">
        <v>2</v>
      </c>
      <c r="W159" s="5"/>
      <c r="X159" s="5" t="s">
        <v>74</v>
      </c>
      <c r="Y159" s="1" t="n">
        <v>5500</v>
      </c>
      <c r="Z159" s="5" t="s">
        <v>211</v>
      </c>
      <c r="AA159" s="5" t="s">
        <v>212</v>
      </c>
      <c r="AB159" s="13" t="str">
        <f aca="true" t="array" ref="AB159:AB159">LEFT(AA159,LOOKUP(2^15,FIND(".",AA159,ROW(INDIRECT("1:"&amp;LEN(AA159)))))-1)</f>
        <v>NB_2022_015 - 23022022 - 1</v>
      </c>
      <c r="AC159" s="5" t="s">
        <v>213</v>
      </c>
      <c r="AD159" s="13" t="str">
        <f aca="true" t="array" ref="AD159:AD159">LEFT(AC159,LOOKUP(2^15,FIND(".",AC159,ROW(INDIRECT("1:"&amp;LEN(AC159)))))-1)</f>
        <v>NB_2022_015 - 23022022 - 2</v>
      </c>
      <c r="AE159" s="5" t="str">
        <f aca="false">CONCATENATE(AB159, "-",H159, ".mzML")</f>
        <v>NB_2022_015 - 23022022 - 1-QC_C_2.mzML</v>
      </c>
      <c r="AF159" s="5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3" t="s">
        <v>225</v>
      </c>
      <c r="B160" s="4"/>
      <c r="C160" s="3" t="s">
        <v>226</v>
      </c>
      <c r="D160" s="5" t="s">
        <v>14</v>
      </c>
      <c r="E160" s="5" t="s">
        <v>206</v>
      </c>
      <c r="F160" s="6" t="s">
        <v>207</v>
      </c>
      <c r="G160" s="5" t="s">
        <v>220</v>
      </c>
      <c r="H160" s="19" t="s">
        <v>76</v>
      </c>
      <c r="I160" s="5" t="str">
        <f aca="false">CONCATENATE(E160, "_",H160)</f>
        <v>NLA_2022_102_QC_C_3</v>
      </c>
      <c r="J160" s="5" t="s">
        <v>52</v>
      </c>
      <c r="K160" s="5" t="s">
        <v>76</v>
      </c>
      <c r="L160" s="8" t="s">
        <v>69</v>
      </c>
      <c r="M160" s="5" t="s">
        <v>46</v>
      </c>
      <c r="N160" s="5" t="s">
        <v>70</v>
      </c>
      <c r="O160" s="5" t="s">
        <v>46</v>
      </c>
      <c r="P160" s="5" t="s">
        <v>71</v>
      </c>
      <c r="Q160" s="5" t="s">
        <v>71</v>
      </c>
      <c r="R160" s="5" t="s">
        <v>72</v>
      </c>
      <c r="S160" s="5" t="s">
        <v>73</v>
      </c>
      <c r="T160" s="5" t="s">
        <v>46</v>
      </c>
      <c r="U160" s="5" t="n">
        <v>1000</v>
      </c>
      <c r="V160" s="1" t="n">
        <v>3</v>
      </c>
      <c r="W160" s="5"/>
      <c r="X160" s="5" t="s">
        <v>74</v>
      </c>
      <c r="Y160" s="1" t="n">
        <v>5500</v>
      </c>
      <c r="Z160" s="5" t="s">
        <v>211</v>
      </c>
      <c r="AA160" s="5" t="s">
        <v>212</v>
      </c>
      <c r="AB160" s="13" t="str">
        <f aca="true" t="array" ref="AB160:AB160">LEFT(AA160,LOOKUP(2^15,FIND(".",AA160,ROW(INDIRECT("1:"&amp;LEN(AA160)))))-1)</f>
        <v>NB_2022_015 - 23022022 - 1</v>
      </c>
      <c r="AC160" s="5" t="s">
        <v>213</v>
      </c>
      <c r="AD160" s="13" t="str">
        <f aca="true" t="array" ref="AD160:AD160">LEFT(AC160,LOOKUP(2^15,FIND(".",AC160,ROW(INDIRECT("1:"&amp;LEN(AC160)))))-1)</f>
        <v>NB_2022_015 - 23022022 - 2</v>
      </c>
      <c r="AE160" s="5" t="str">
        <f aca="false">CONCATENATE(AB160, "-",H160, ".mzML")</f>
        <v>NB_2022_015 - 23022022 - 1-QC_C_3.mzML</v>
      </c>
      <c r="AF160" s="5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3" t="s">
        <v>225</v>
      </c>
      <c r="B161" s="4"/>
      <c r="C161" s="3" t="s">
        <v>226</v>
      </c>
      <c r="D161" s="5" t="s">
        <v>14</v>
      </c>
      <c r="E161" s="5" t="s">
        <v>206</v>
      </c>
      <c r="F161" s="6" t="s">
        <v>207</v>
      </c>
      <c r="G161" s="5" t="s">
        <v>220</v>
      </c>
      <c r="H161" s="19" t="s">
        <v>222</v>
      </c>
      <c r="I161" s="5" t="str">
        <f aca="false">CONCATENATE(E161, "_",H161)</f>
        <v>NLA_2022_102_QC_C_4</v>
      </c>
      <c r="J161" s="5" t="s">
        <v>52</v>
      </c>
      <c r="K161" s="5" t="s">
        <v>222</v>
      </c>
      <c r="L161" s="8" t="s">
        <v>69</v>
      </c>
      <c r="M161" s="6" t="s">
        <v>46</v>
      </c>
      <c r="N161" s="5" t="s">
        <v>223</v>
      </c>
      <c r="O161" s="5" t="s">
        <v>46</v>
      </c>
      <c r="P161" s="5" t="s">
        <v>71</v>
      </c>
      <c r="Q161" s="5" t="s">
        <v>71</v>
      </c>
      <c r="R161" s="5" t="s">
        <v>72</v>
      </c>
      <c r="S161" s="5" t="s">
        <v>73</v>
      </c>
      <c r="T161" s="5" t="s">
        <v>46</v>
      </c>
      <c r="U161" s="5" t="n">
        <v>1000</v>
      </c>
      <c r="V161" s="1" t="n">
        <v>4</v>
      </c>
      <c r="W161" s="5"/>
      <c r="X161" s="5" t="s">
        <v>74</v>
      </c>
      <c r="Y161" s="1" t="n">
        <v>5500</v>
      </c>
      <c r="Z161" s="5" t="s">
        <v>211</v>
      </c>
      <c r="AA161" s="5" t="s">
        <v>212</v>
      </c>
      <c r="AB161" s="13" t="str">
        <f aca="true" t="array" ref="AB161:AB161">LEFT(AA161,LOOKUP(2^15,FIND(".",AA161,ROW(INDIRECT("1:"&amp;LEN(AA161)))))-1)</f>
        <v>NB_2022_015 - 23022022 - 1</v>
      </c>
      <c r="AC161" s="5" t="s">
        <v>213</v>
      </c>
      <c r="AD161" s="13" t="str">
        <f aca="true" t="array" ref="AD161:AD161">LEFT(AC161,LOOKUP(2^15,FIND(".",AC161,ROW(INDIRECT("1:"&amp;LEN(AC161)))))-1)</f>
        <v>NB_2022_015 - 23022022 - 2</v>
      </c>
      <c r="AE161" s="5" t="str">
        <f aca="false">CONCATENATE(AB161, "-",H161, ".mzML")</f>
        <v>NB_2022_015 - 23022022 - 1-QC_C_4.mzML</v>
      </c>
      <c r="AF161" s="5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3" t="s">
        <v>225</v>
      </c>
      <c r="B162" s="4"/>
      <c r="C162" s="3" t="s">
        <v>226</v>
      </c>
      <c r="D162" s="5" t="s">
        <v>14</v>
      </c>
      <c r="E162" s="5" t="s">
        <v>206</v>
      </c>
      <c r="F162" s="6" t="s">
        <v>207</v>
      </c>
      <c r="G162" s="5" t="s">
        <v>220</v>
      </c>
      <c r="H162" s="19" t="s">
        <v>77</v>
      </c>
      <c r="I162" s="5" t="str">
        <f aca="false">CONCATENATE(E162, "_",H162)</f>
        <v>NLA_2022_102_QC_P_1</v>
      </c>
      <c r="J162" s="5" t="s">
        <v>52</v>
      </c>
      <c r="K162" s="5" t="s">
        <v>77</v>
      </c>
      <c r="L162" s="8" t="s">
        <v>69</v>
      </c>
      <c r="M162" s="6" t="s">
        <v>46</v>
      </c>
      <c r="N162" s="5" t="s">
        <v>78</v>
      </c>
      <c r="O162" s="5" t="s">
        <v>46</v>
      </c>
      <c r="P162" s="5" t="s">
        <v>79</v>
      </c>
      <c r="Q162" s="5" t="s">
        <v>80</v>
      </c>
      <c r="R162" s="5" t="s">
        <v>81</v>
      </c>
      <c r="S162" s="5" t="s">
        <v>46</v>
      </c>
      <c r="T162" s="5" t="s">
        <v>46</v>
      </c>
      <c r="U162" s="5" t="s">
        <v>82</v>
      </c>
      <c r="V162" s="1" t="n">
        <v>1</v>
      </c>
      <c r="W162" s="5"/>
      <c r="X162" s="5" t="s">
        <v>83</v>
      </c>
      <c r="Y162" s="1" t="n">
        <v>5500</v>
      </c>
      <c r="Z162" s="5" t="s">
        <v>211</v>
      </c>
      <c r="AA162" s="5" t="s">
        <v>212</v>
      </c>
      <c r="AB162" s="13" t="str">
        <f aca="true" t="array" ref="AB162:AB162">LEFT(AA162,LOOKUP(2^15,FIND(".",AA162,ROW(INDIRECT("1:"&amp;LEN(AA162)))))-1)</f>
        <v>NB_2022_015 - 23022022 - 1</v>
      </c>
      <c r="AC162" s="5" t="s">
        <v>213</v>
      </c>
      <c r="AD162" s="13" t="str">
        <f aca="true" t="array" ref="AD162:AD162">LEFT(AC162,LOOKUP(2^15,FIND(".",AC162,ROW(INDIRECT("1:"&amp;LEN(AC162)))))-1)</f>
        <v>NB_2022_015 - 23022022 - 2</v>
      </c>
      <c r="AE162" s="5" t="str">
        <f aca="false">CONCATENATE(AB162, "-",H162, ".mzML")</f>
        <v>NB_2022_015 - 23022022 - 1-QC_P_1.mzML</v>
      </c>
      <c r="AF162" s="5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3" t="s">
        <v>225</v>
      </c>
      <c r="B163" s="4"/>
      <c r="C163" s="3" t="s">
        <v>226</v>
      </c>
      <c r="D163" s="5" t="s">
        <v>14</v>
      </c>
      <c r="E163" s="5" t="s">
        <v>206</v>
      </c>
      <c r="F163" s="6" t="s">
        <v>207</v>
      </c>
      <c r="G163" s="5" t="s">
        <v>220</v>
      </c>
      <c r="H163" s="19" t="s">
        <v>84</v>
      </c>
      <c r="I163" s="5" t="str">
        <f aca="false">CONCATENATE(E163, "_",H163)</f>
        <v>NLA_2022_102_QC_P_2</v>
      </c>
      <c r="J163" s="5" t="s">
        <v>52</v>
      </c>
      <c r="K163" s="5" t="s">
        <v>84</v>
      </c>
      <c r="L163" s="8" t="s">
        <v>69</v>
      </c>
      <c r="M163" s="6" t="s">
        <v>46</v>
      </c>
      <c r="N163" s="5" t="s">
        <v>78</v>
      </c>
      <c r="O163" s="5" t="s">
        <v>46</v>
      </c>
      <c r="P163" s="5" t="s">
        <v>79</v>
      </c>
      <c r="Q163" s="5" t="s">
        <v>80</v>
      </c>
      <c r="R163" s="5" t="s">
        <v>81</v>
      </c>
      <c r="S163" s="5" t="s">
        <v>46</v>
      </c>
      <c r="T163" s="5" t="s">
        <v>46</v>
      </c>
      <c r="U163" s="5" t="s">
        <v>82</v>
      </c>
      <c r="V163" s="1" t="n">
        <v>2</v>
      </c>
      <c r="W163" s="5"/>
      <c r="X163" s="5" t="s">
        <v>83</v>
      </c>
      <c r="Y163" s="1" t="n">
        <v>5500</v>
      </c>
      <c r="Z163" s="5" t="s">
        <v>211</v>
      </c>
      <c r="AA163" s="5" t="s">
        <v>212</v>
      </c>
      <c r="AB163" s="13" t="str">
        <f aca="true" t="array" ref="AB163:AB163">LEFT(AA163,LOOKUP(2^15,FIND(".",AA163,ROW(INDIRECT("1:"&amp;LEN(AA163)))))-1)</f>
        <v>NB_2022_015 - 23022022 - 1</v>
      </c>
      <c r="AC163" s="5" t="s">
        <v>213</v>
      </c>
      <c r="AD163" s="13" t="str">
        <f aca="true" t="array" ref="AD163:AD163">LEFT(AC163,LOOKUP(2^15,FIND(".",AC163,ROW(INDIRECT("1:"&amp;LEN(AC163)))))-1)</f>
        <v>NB_2022_015 - 23022022 - 2</v>
      </c>
      <c r="AE163" s="5" t="str">
        <f aca="false">CONCATENATE(AB163, "-",H163, ".mzML")</f>
        <v>NB_2022_015 - 23022022 - 1-QC_P_2.mzML</v>
      </c>
      <c r="AF163" s="5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3" t="s">
        <v>225</v>
      </c>
      <c r="B164" s="4"/>
      <c r="C164" s="3" t="s">
        <v>226</v>
      </c>
      <c r="D164" s="5" t="s">
        <v>14</v>
      </c>
      <c r="E164" s="5" t="s">
        <v>206</v>
      </c>
      <c r="F164" s="6" t="s">
        <v>207</v>
      </c>
      <c r="G164" s="5" t="s">
        <v>220</v>
      </c>
      <c r="H164" s="19" t="s">
        <v>85</v>
      </c>
      <c r="I164" s="5" t="str">
        <f aca="false">CONCATENATE(E164, "_",H164)</f>
        <v>NLA_2022_102_QC_P_3</v>
      </c>
      <c r="J164" s="5" t="s">
        <v>52</v>
      </c>
      <c r="K164" s="5" t="s">
        <v>85</v>
      </c>
      <c r="L164" s="8" t="s">
        <v>69</v>
      </c>
      <c r="M164" s="6" t="s">
        <v>46</v>
      </c>
      <c r="N164" s="5" t="s">
        <v>78</v>
      </c>
      <c r="O164" s="5" t="s">
        <v>46</v>
      </c>
      <c r="P164" s="5" t="s">
        <v>79</v>
      </c>
      <c r="Q164" s="5" t="s">
        <v>80</v>
      </c>
      <c r="R164" s="5" t="s">
        <v>81</v>
      </c>
      <c r="S164" s="5" t="s">
        <v>46</v>
      </c>
      <c r="T164" s="5" t="s">
        <v>46</v>
      </c>
      <c r="U164" s="5" t="s">
        <v>82</v>
      </c>
      <c r="V164" s="1" t="n">
        <v>3</v>
      </c>
      <c r="W164" s="5"/>
      <c r="X164" s="5" t="s">
        <v>83</v>
      </c>
      <c r="Y164" s="1" t="n">
        <v>5500</v>
      </c>
      <c r="Z164" s="5" t="s">
        <v>211</v>
      </c>
      <c r="AA164" s="5" t="s">
        <v>212</v>
      </c>
      <c r="AB164" s="13" t="str">
        <f aca="true" t="array" ref="AB164:AB164">LEFT(AA164,LOOKUP(2^15,FIND(".",AA164,ROW(INDIRECT("1:"&amp;LEN(AA164)))))-1)</f>
        <v>NB_2022_015 - 23022022 - 1</v>
      </c>
      <c r="AC164" s="5" t="s">
        <v>213</v>
      </c>
      <c r="AD164" s="13" t="str">
        <f aca="true" t="array" ref="AD164:AD164">LEFT(AC164,LOOKUP(2^15,FIND(".",AC164,ROW(INDIRECT("1:"&amp;LEN(AC164)))))-1)</f>
        <v>NB_2022_015 - 23022022 - 2</v>
      </c>
      <c r="AE164" s="5" t="str">
        <f aca="false">CONCATENATE(AB164, "-",H164, ".mzML")</f>
        <v>NB_2022_015 - 23022022 - 1-QC_P_3.mzML</v>
      </c>
      <c r="AF164" s="5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3" t="s">
        <v>225</v>
      </c>
      <c r="B165" s="4"/>
      <c r="C165" s="3" t="s">
        <v>226</v>
      </c>
      <c r="D165" s="5" t="s">
        <v>14</v>
      </c>
      <c r="E165" s="5" t="s">
        <v>206</v>
      </c>
      <c r="F165" s="6" t="s">
        <v>207</v>
      </c>
      <c r="G165" s="5" t="s">
        <v>220</v>
      </c>
      <c r="H165" s="19" t="s">
        <v>224</v>
      </c>
      <c r="I165" s="5" t="str">
        <f aca="false">CONCATENATE(E165, "_",H165)</f>
        <v>NLA_2022_102_QC_P_4</v>
      </c>
      <c r="J165" s="5" t="s">
        <v>52</v>
      </c>
      <c r="K165" s="5" t="s">
        <v>224</v>
      </c>
      <c r="L165" s="8" t="s">
        <v>69</v>
      </c>
      <c r="M165" s="6" t="s">
        <v>46</v>
      </c>
      <c r="N165" s="5" t="s">
        <v>78</v>
      </c>
      <c r="O165" s="5" t="s">
        <v>46</v>
      </c>
      <c r="P165" s="5" t="s">
        <v>79</v>
      </c>
      <c r="Q165" s="5" t="s">
        <v>80</v>
      </c>
      <c r="R165" s="5" t="s">
        <v>81</v>
      </c>
      <c r="S165" s="5" t="s">
        <v>46</v>
      </c>
      <c r="T165" s="5" t="s">
        <v>46</v>
      </c>
      <c r="U165" s="5" t="s">
        <v>82</v>
      </c>
      <c r="V165" s="1" t="n">
        <v>4</v>
      </c>
      <c r="W165" s="5"/>
      <c r="X165" s="5" t="s">
        <v>83</v>
      </c>
      <c r="Y165" s="1" t="n">
        <v>5500</v>
      </c>
      <c r="Z165" s="5" t="s">
        <v>211</v>
      </c>
      <c r="AA165" s="5" t="s">
        <v>212</v>
      </c>
      <c r="AB165" s="13" t="str">
        <f aca="true" t="array" ref="AB165:AB165">LEFT(AA165,LOOKUP(2^15,FIND(".",AA165,ROW(INDIRECT("1:"&amp;LEN(AA165)))))-1)</f>
        <v>NB_2022_015 - 23022022 - 1</v>
      </c>
      <c r="AC165" s="5" t="s">
        <v>213</v>
      </c>
      <c r="AD165" s="13" t="str">
        <f aca="true" t="array" ref="AD165:AD165">LEFT(AC165,LOOKUP(2^15,FIND(".",AC165,ROW(INDIRECT("1:"&amp;LEN(AC165)))))-1)</f>
        <v>NB_2022_015 - 23022022 - 2</v>
      </c>
      <c r="AE165" s="5" t="str">
        <f aca="false">CONCATENATE(AB165, "-",H165, ".mzML")</f>
        <v>NB_2022_015 - 23022022 - 1-QC_P_4.mzML</v>
      </c>
      <c r="AF165" s="5" t="str">
        <f aca="false">CONCATENATE(AD165, "-",H165, ".mzML")</f>
        <v>NB_2022_015 - 23022022 - 2-QC_P_4.mzML</v>
      </c>
    </row>
    <row r="166" s="20" customFormat="true" ht="15" hidden="false" customHeight="false" outlineLevel="0" collapsed="false">
      <c r="A166" s="3" t="s">
        <v>233</v>
      </c>
      <c r="B166" s="4"/>
      <c r="C166" s="3" t="s">
        <v>234</v>
      </c>
      <c r="D166" s="5" t="s">
        <v>14</v>
      </c>
      <c r="E166" s="5" t="s">
        <v>206</v>
      </c>
      <c r="F166" s="6" t="s">
        <v>207</v>
      </c>
      <c r="G166" s="5" t="s">
        <v>216</v>
      </c>
      <c r="H166" s="7" t="s">
        <v>99</v>
      </c>
      <c r="I166" s="5" t="str">
        <f aca="false">CONCATENATE(E166, "_",H166)</f>
        <v>NLA_2022_102_004</v>
      </c>
      <c r="J166" s="5" t="s">
        <v>38</v>
      </c>
      <c r="K166" s="5" t="s">
        <v>217</v>
      </c>
      <c r="L166" s="8" t="s">
        <v>69</v>
      </c>
      <c r="M166" s="6" t="s">
        <v>210</v>
      </c>
      <c r="N166" s="5" t="s">
        <v>41</v>
      </c>
      <c r="O166" s="5" t="s">
        <v>42</v>
      </c>
      <c r="P166" s="5" t="s">
        <v>162</v>
      </c>
      <c r="Q166" s="5" t="s">
        <v>162</v>
      </c>
      <c r="R166" s="5" t="s">
        <v>72</v>
      </c>
      <c r="S166" s="5" t="s">
        <v>90</v>
      </c>
      <c r="T166" s="5" t="s">
        <v>46</v>
      </c>
      <c r="U166" s="5" t="n">
        <v>1000</v>
      </c>
      <c r="V166" s="1" t="n">
        <v>1</v>
      </c>
      <c r="W166" s="5"/>
      <c r="X166" s="5" t="s">
        <v>47</v>
      </c>
      <c r="Y166" s="1" t="n">
        <v>5500</v>
      </c>
      <c r="Z166" s="5" t="s">
        <v>211</v>
      </c>
      <c r="AA166" s="5" t="s">
        <v>212</v>
      </c>
      <c r="AB166" s="13" t="str">
        <f aca="true" t="array" ref="AB166:AB166">LEFT(AA166,LOOKUP(2^15,FIND(".",AA166,ROW(INDIRECT("1:"&amp;LEN(AA166)))))-1)</f>
        <v>NB_2022_015 - 23022022 - 1</v>
      </c>
      <c r="AC166" s="5" t="s">
        <v>213</v>
      </c>
      <c r="AD166" s="13" t="str">
        <f aca="true" t="array" ref="AD166:AD166">LEFT(AC166,LOOKUP(2^15,FIND(".",AC166,ROW(INDIRECT("1:"&amp;LEN(AC166)))))-1)</f>
        <v>NB_2022_015 - 23022022 - 2</v>
      </c>
      <c r="AE166" s="5" t="str">
        <f aca="false">CONCATENATE(AB166, "-",H166, ".mzML")</f>
        <v>NB_2022_015 - 23022022 - 1-004.mzML</v>
      </c>
      <c r="AF166" s="5" t="str">
        <f aca="false">CONCATENATE(AD166, "-",H166, ".mzML")</f>
        <v>NB_2022_015 - 23022022 - 2-004.mzML</v>
      </c>
    </row>
    <row r="167" s="20" customFormat="true" ht="15" hidden="false" customHeight="false" outlineLevel="0" collapsed="false">
      <c r="A167" s="3" t="s">
        <v>233</v>
      </c>
      <c r="B167" s="4"/>
      <c r="C167" s="3" t="s">
        <v>234</v>
      </c>
      <c r="D167" s="5" t="s">
        <v>14</v>
      </c>
      <c r="E167" s="5" t="s">
        <v>206</v>
      </c>
      <c r="F167" s="6" t="s">
        <v>207</v>
      </c>
      <c r="G167" s="5" t="s">
        <v>216</v>
      </c>
      <c r="H167" s="7" t="s">
        <v>91</v>
      </c>
      <c r="I167" s="5" t="str">
        <f aca="false">CONCATENATE(E167, "_",H167)</f>
        <v>NLA_2022_102_005</v>
      </c>
      <c r="J167" s="5" t="s">
        <v>38</v>
      </c>
      <c r="K167" s="5" t="s">
        <v>218</v>
      </c>
      <c r="L167" s="8" t="s">
        <v>69</v>
      </c>
      <c r="M167" s="6" t="s">
        <v>210</v>
      </c>
      <c r="N167" s="5" t="s">
        <v>41</v>
      </c>
      <c r="O167" s="5" t="s">
        <v>42</v>
      </c>
      <c r="P167" s="5" t="s">
        <v>162</v>
      </c>
      <c r="Q167" s="5" t="s">
        <v>162</v>
      </c>
      <c r="R167" s="5" t="s">
        <v>72</v>
      </c>
      <c r="S167" s="5" t="s">
        <v>90</v>
      </c>
      <c r="T167" s="5" t="s">
        <v>46</v>
      </c>
      <c r="U167" s="5" t="n">
        <v>1000</v>
      </c>
      <c r="V167" s="1" t="n">
        <v>2</v>
      </c>
      <c r="W167" s="5"/>
      <c r="X167" s="5" t="s">
        <v>47</v>
      </c>
      <c r="Y167" s="1" t="n">
        <v>5500</v>
      </c>
      <c r="Z167" s="5" t="s">
        <v>211</v>
      </c>
      <c r="AA167" s="5" t="s">
        <v>212</v>
      </c>
      <c r="AB167" s="13" t="str">
        <f aca="true" t="array" ref="AB167:AB167">LEFT(AA167,LOOKUP(2^15,FIND(".",AA167,ROW(INDIRECT("1:"&amp;LEN(AA167)))))-1)</f>
        <v>NB_2022_015 - 23022022 - 1</v>
      </c>
      <c r="AC167" s="5" t="s">
        <v>213</v>
      </c>
      <c r="AD167" s="13" t="str">
        <f aca="true" t="array" ref="AD167:AD167">LEFT(AC167,LOOKUP(2^15,FIND(".",AC167,ROW(INDIRECT("1:"&amp;LEN(AC167)))))-1)</f>
        <v>NB_2022_015 - 23022022 - 2</v>
      </c>
      <c r="AE167" s="5" t="str">
        <f aca="false">CONCATENATE(AB167, "-",H167, ".mzML")</f>
        <v>NB_2022_015 - 23022022 - 1-005.mzML</v>
      </c>
      <c r="AF167" s="5" t="str">
        <f aca="false">CONCATENATE(AD167, "-",H167, ".mzML")</f>
        <v>NB_2022_015 - 23022022 - 2-005.mzML</v>
      </c>
    </row>
    <row r="168" s="20" customFormat="true" ht="15" hidden="false" customHeight="false" outlineLevel="0" collapsed="false">
      <c r="A168" s="3" t="s">
        <v>233</v>
      </c>
      <c r="B168" s="4"/>
      <c r="C168" s="3" t="s">
        <v>234</v>
      </c>
      <c r="D168" s="5" t="s">
        <v>14</v>
      </c>
      <c r="E168" s="5" t="s">
        <v>206</v>
      </c>
      <c r="F168" s="6" t="s">
        <v>207</v>
      </c>
      <c r="G168" s="5" t="s">
        <v>216</v>
      </c>
      <c r="H168" s="7" t="s">
        <v>101</v>
      </c>
      <c r="I168" s="5" t="str">
        <f aca="false">CONCATENATE(E168, "_",H168)</f>
        <v>NLA_2022_102_006</v>
      </c>
      <c r="J168" s="5" t="s">
        <v>38</v>
      </c>
      <c r="K168" s="5" t="s">
        <v>219</v>
      </c>
      <c r="L168" s="8" t="s">
        <v>69</v>
      </c>
      <c r="M168" s="6" t="s">
        <v>210</v>
      </c>
      <c r="N168" s="5" t="s">
        <v>41</v>
      </c>
      <c r="O168" s="5" t="s">
        <v>42</v>
      </c>
      <c r="P168" s="5" t="s">
        <v>162</v>
      </c>
      <c r="Q168" s="5" t="s">
        <v>162</v>
      </c>
      <c r="R168" s="5" t="s">
        <v>72</v>
      </c>
      <c r="S168" s="5" t="s">
        <v>90</v>
      </c>
      <c r="T168" s="5" t="s">
        <v>46</v>
      </c>
      <c r="U168" s="5" t="n">
        <v>1000</v>
      </c>
      <c r="V168" s="1" t="n">
        <v>3</v>
      </c>
      <c r="W168" s="5"/>
      <c r="X168" s="5" t="s">
        <v>47</v>
      </c>
      <c r="Y168" s="1" t="n">
        <v>5500</v>
      </c>
      <c r="Z168" s="5" t="s">
        <v>211</v>
      </c>
      <c r="AA168" s="5" t="s">
        <v>212</v>
      </c>
      <c r="AB168" s="13" t="str">
        <f aca="true" t="array" ref="AB168:AB168">LEFT(AA168,LOOKUP(2^15,FIND(".",AA168,ROW(INDIRECT("1:"&amp;LEN(AA168)))))-1)</f>
        <v>NB_2022_015 - 23022022 - 1</v>
      </c>
      <c r="AC168" s="5" t="s">
        <v>213</v>
      </c>
      <c r="AD168" s="13" t="str">
        <f aca="true" t="array" ref="AD168:AD168">LEFT(AC168,LOOKUP(2^15,FIND(".",AC168,ROW(INDIRECT("1:"&amp;LEN(AC168)))))-1)</f>
        <v>NB_2022_015 - 23022022 - 2</v>
      </c>
      <c r="AE168" s="5" t="str">
        <f aca="false">CONCATENATE(AB168, "-",H168, ".mzML")</f>
        <v>NB_2022_015 - 23022022 - 1-006.mzML</v>
      </c>
      <c r="AF168" s="5" t="str">
        <f aca="false">CONCATENATE(AD168, "-",H168, ".mzML")</f>
        <v>NB_2022_015 - 23022022 - 2-006.mzML</v>
      </c>
    </row>
    <row r="169" s="20" customFormat="true" ht="15" hidden="false" customHeight="false" outlineLevel="0" collapsed="false">
      <c r="A169" s="3" t="s">
        <v>233</v>
      </c>
      <c r="B169" s="4"/>
      <c r="C169" s="3" t="s">
        <v>234</v>
      </c>
      <c r="D169" s="5" t="s">
        <v>14</v>
      </c>
      <c r="E169" s="5" t="s">
        <v>206</v>
      </c>
      <c r="F169" s="6" t="s">
        <v>207</v>
      </c>
      <c r="G169" s="5" t="s">
        <v>216</v>
      </c>
      <c r="H169" s="7" t="s">
        <v>235</v>
      </c>
      <c r="I169" s="5" t="str">
        <f aca="false">CONCATENATE(E169, "_",H169)</f>
        <v>NLA_2022_102_023</v>
      </c>
      <c r="J169" s="5" t="s">
        <v>52</v>
      </c>
      <c r="K169" s="5" t="s">
        <v>236</v>
      </c>
      <c r="L169" s="8" t="s">
        <v>69</v>
      </c>
      <c r="M169" s="6" t="s">
        <v>210</v>
      </c>
      <c r="N169" s="5" t="s">
        <v>41</v>
      </c>
      <c r="O169" s="5" t="s">
        <v>54</v>
      </c>
      <c r="P169" s="5" t="s">
        <v>162</v>
      </c>
      <c r="Q169" s="5" t="s">
        <v>229</v>
      </c>
      <c r="R169" s="5" t="s">
        <v>72</v>
      </c>
      <c r="S169" s="5" t="s">
        <v>90</v>
      </c>
      <c r="T169" s="5" t="s">
        <v>46</v>
      </c>
      <c r="U169" s="5" t="n">
        <v>1000</v>
      </c>
      <c r="V169" s="1" t="n">
        <v>2</v>
      </c>
      <c r="W169" s="5"/>
      <c r="X169" s="5" t="s">
        <v>47</v>
      </c>
      <c r="Y169" s="1" t="n">
        <v>5500</v>
      </c>
      <c r="Z169" s="5" t="s">
        <v>211</v>
      </c>
      <c r="AA169" s="5" t="s">
        <v>212</v>
      </c>
      <c r="AB169" s="13" t="str">
        <f aca="true" t="array" ref="AB169:AB169">LEFT(AA169,LOOKUP(2^15,FIND(".",AA169,ROW(INDIRECT("1:"&amp;LEN(AA169)))))-1)</f>
        <v>NB_2022_015 - 23022022 - 1</v>
      </c>
      <c r="AC169" s="5" t="s">
        <v>213</v>
      </c>
      <c r="AD169" s="13" t="str">
        <f aca="true" t="array" ref="AD169:AD169">LEFT(AC169,LOOKUP(2^15,FIND(".",AC169,ROW(INDIRECT("1:"&amp;LEN(AC169)))))-1)</f>
        <v>NB_2022_015 - 23022022 - 2</v>
      </c>
      <c r="AE169" s="5" t="str">
        <f aca="false">CONCATENATE(AB169, "-",H169, ".mzML")</f>
        <v>NB_2022_015 - 23022022 - 1-023.mzML</v>
      </c>
      <c r="AF169" s="5" t="str">
        <f aca="false">CONCATENATE(AD169, "-",H169, ".mzML")</f>
        <v>NB_2022_015 - 23022022 - 2-023.mzML</v>
      </c>
    </row>
    <row r="170" s="20" customFormat="true" ht="15" hidden="false" customHeight="false" outlineLevel="0" collapsed="false">
      <c r="A170" s="3" t="s">
        <v>233</v>
      </c>
      <c r="B170" s="4"/>
      <c r="C170" s="3" t="s">
        <v>234</v>
      </c>
      <c r="D170" s="5" t="s">
        <v>14</v>
      </c>
      <c r="E170" s="5" t="s">
        <v>206</v>
      </c>
      <c r="F170" s="6" t="s">
        <v>207</v>
      </c>
      <c r="G170" s="5" t="s">
        <v>216</v>
      </c>
      <c r="H170" s="7" t="s">
        <v>237</v>
      </c>
      <c r="I170" s="5" t="str">
        <f aca="false">CONCATENATE(E170, "_",H170)</f>
        <v>NLA_2022_102_024</v>
      </c>
      <c r="J170" s="5" t="s">
        <v>52</v>
      </c>
      <c r="K170" s="5" t="s">
        <v>238</v>
      </c>
      <c r="L170" s="8" t="s">
        <v>69</v>
      </c>
      <c r="M170" s="6" t="s">
        <v>210</v>
      </c>
      <c r="N170" s="5" t="s">
        <v>41</v>
      </c>
      <c r="O170" s="5" t="s">
        <v>54</v>
      </c>
      <c r="P170" s="5" t="s">
        <v>162</v>
      </c>
      <c r="Q170" s="5" t="s">
        <v>229</v>
      </c>
      <c r="R170" s="5" t="s">
        <v>72</v>
      </c>
      <c r="S170" s="5" t="s">
        <v>90</v>
      </c>
      <c r="T170" s="5" t="s">
        <v>46</v>
      </c>
      <c r="U170" s="5" t="n">
        <v>1000</v>
      </c>
      <c r="V170" s="1" t="n">
        <v>3</v>
      </c>
      <c r="W170" s="5"/>
      <c r="X170" s="5" t="s">
        <v>47</v>
      </c>
      <c r="Y170" s="1" t="n">
        <v>5500</v>
      </c>
      <c r="Z170" s="5" t="s">
        <v>211</v>
      </c>
      <c r="AA170" s="5" t="s">
        <v>212</v>
      </c>
      <c r="AB170" s="13" t="str">
        <f aca="true" t="array" ref="AB170:AB170">LEFT(AA170,LOOKUP(2^15,FIND(".",AA170,ROW(INDIRECT("1:"&amp;LEN(AA170)))))-1)</f>
        <v>NB_2022_015 - 23022022 - 1</v>
      </c>
      <c r="AC170" s="5" t="s">
        <v>213</v>
      </c>
      <c r="AD170" s="13" t="str">
        <f aca="true" t="array" ref="AD170:AD170">LEFT(AC170,LOOKUP(2^15,FIND(".",AC170,ROW(INDIRECT("1:"&amp;LEN(AC170)))))-1)</f>
        <v>NB_2022_015 - 23022022 - 2</v>
      </c>
      <c r="AE170" s="5" t="str">
        <f aca="false">CONCATENATE(AB170, "-",H170, ".mzML")</f>
        <v>NB_2022_015 - 23022022 - 1-024.mzML</v>
      </c>
      <c r="AF170" s="5" t="str">
        <f aca="false">CONCATENATE(AD170, "-",H170, ".mzML")</f>
        <v>NB_2022_015 - 23022022 - 2-024.mzML</v>
      </c>
    </row>
    <row r="171" s="20" customFormat="true" ht="15" hidden="false" customHeight="false" outlineLevel="0" collapsed="false">
      <c r="A171" s="3" t="s">
        <v>233</v>
      </c>
      <c r="B171" s="4"/>
      <c r="C171" s="3" t="s">
        <v>234</v>
      </c>
      <c r="D171" s="5" t="s">
        <v>14</v>
      </c>
      <c r="E171" s="5" t="s">
        <v>206</v>
      </c>
      <c r="F171" s="6" t="s">
        <v>207</v>
      </c>
      <c r="G171" s="5" t="s">
        <v>220</v>
      </c>
      <c r="H171" s="19" t="s">
        <v>64</v>
      </c>
      <c r="I171" s="5" t="str">
        <f aca="false">CONCATENATE(E171, "_",H171)</f>
        <v>NLA_2022_102_Blank_1</v>
      </c>
      <c r="J171" s="5" t="s">
        <v>52</v>
      </c>
      <c r="K171" s="5" t="s">
        <v>64</v>
      </c>
      <c r="L171" s="8" t="s">
        <v>46</v>
      </c>
      <c r="M171" s="6" t="s">
        <v>46</v>
      </c>
      <c r="N171" s="5" t="s">
        <v>65</v>
      </c>
      <c r="O171" s="5" t="s">
        <v>46</v>
      </c>
      <c r="P171" s="5" t="s">
        <v>46</v>
      </c>
      <c r="Q171" s="5" t="s">
        <v>46</v>
      </c>
      <c r="R171" s="5" t="s">
        <v>46</v>
      </c>
      <c r="S171" s="5" t="s">
        <v>46</v>
      </c>
      <c r="T171" s="5" t="s">
        <v>46</v>
      </c>
      <c r="U171" s="5" t="s">
        <v>46</v>
      </c>
      <c r="V171" s="1" t="n">
        <v>1</v>
      </c>
      <c r="W171" s="5"/>
      <c r="X171" s="5" t="s">
        <v>46</v>
      </c>
      <c r="Y171" s="1" t="n">
        <v>5500</v>
      </c>
      <c r="Z171" s="5" t="s">
        <v>211</v>
      </c>
      <c r="AA171" s="5" t="s">
        <v>212</v>
      </c>
      <c r="AB171" s="13" t="str">
        <f aca="true" t="array" ref="AB171:AB171">LEFT(AA171,LOOKUP(2^15,FIND(".",AA171,ROW(INDIRECT("1:"&amp;LEN(AA171)))))-1)</f>
        <v>NB_2022_015 - 23022022 - 1</v>
      </c>
      <c r="AC171" s="5" t="s">
        <v>213</v>
      </c>
      <c r="AD171" s="13" t="str">
        <f aca="true" t="array" ref="AD171:AD171">LEFT(AC171,LOOKUP(2^15,FIND(".",AC171,ROW(INDIRECT("1:"&amp;LEN(AC171)))))-1)</f>
        <v>NB_2022_015 - 23022022 - 2</v>
      </c>
      <c r="AE171" s="5" t="str">
        <f aca="false">CONCATENATE(AB171, "-",H171, ".mzML")</f>
        <v>NB_2022_015 - 23022022 - 1-Blank_1.mzML</v>
      </c>
      <c r="AF171" s="5" t="str">
        <f aca="false">CONCATENATE(AD171, "-",H171, ".mzML")</f>
        <v>NB_2022_015 - 23022022 - 2-Blank_1.mzML</v>
      </c>
    </row>
    <row r="172" s="20" customFormat="true" ht="15" hidden="false" customHeight="false" outlineLevel="0" collapsed="false">
      <c r="A172" s="3" t="s">
        <v>233</v>
      </c>
      <c r="B172" s="4"/>
      <c r="C172" s="3" t="s">
        <v>234</v>
      </c>
      <c r="D172" s="5" t="s">
        <v>14</v>
      </c>
      <c r="E172" s="5" t="s">
        <v>206</v>
      </c>
      <c r="F172" s="6" t="s">
        <v>207</v>
      </c>
      <c r="G172" s="5" t="s">
        <v>220</v>
      </c>
      <c r="H172" s="19" t="s">
        <v>66</v>
      </c>
      <c r="I172" s="5" t="str">
        <f aca="false">CONCATENATE(E172, "_",H172)</f>
        <v>NLA_2022_102_Blank_2</v>
      </c>
      <c r="J172" s="5" t="s">
        <v>52</v>
      </c>
      <c r="K172" s="5" t="s">
        <v>66</v>
      </c>
      <c r="L172" s="8" t="s">
        <v>46</v>
      </c>
      <c r="M172" s="6" t="s">
        <v>46</v>
      </c>
      <c r="N172" s="5" t="s">
        <v>65</v>
      </c>
      <c r="O172" s="5" t="s">
        <v>46</v>
      </c>
      <c r="P172" s="5" t="s">
        <v>46</v>
      </c>
      <c r="Q172" s="5" t="s">
        <v>46</v>
      </c>
      <c r="R172" s="5" t="s">
        <v>46</v>
      </c>
      <c r="S172" s="5" t="s">
        <v>46</v>
      </c>
      <c r="T172" s="5" t="s">
        <v>46</v>
      </c>
      <c r="U172" s="5" t="s">
        <v>46</v>
      </c>
      <c r="V172" s="1" t="n">
        <v>2</v>
      </c>
      <c r="W172" s="5"/>
      <c r="X172" s="5" t="s">
        <v>46</v>
      </c>
      <c r="Y172" s="1" t="n">
        <v>5500</v>
      </c>
      <c r="Z172" s="5" t="s">
        <v>211</v>
      </c>
      <c r="AA172" s="5" t="s">
        <v>212</v>
      </c>
      <c r="AB172" s="13" t="str">
        <f aca="true" t="array" ref="AB172:AB172">LEFT(AA172,LOOKUP(2^15,FIND(".",AA172,ROW(INDIRECT("1:"&amp;LEN(AA172)))))-1)</f>
        <v>NB_2022_015 - 23022022 - 1</v>
      </c>
      <c r="AC172" s="5" t="s">
        <v>213</v>
      </c>
      <c r="AD172" s="13" t="str">
        <f aca="true" t="array" ref="AD172:AD172">LEFT(AC172,LOOKUP(2^15,FIND(".",AC172,ROW(INDIRECT("1:"&amp;LEN(AC172)))))-1)</f>
        <v>NB_2022_015 - 23022022 - 2</v>
      </c>
      <c r="AE172" s="5" t="str">
        <f aca="false">CONCATENATE(AB172, "-",H172, ".mzML")</f>
        <v>NB_2022_015 - 23022022 - 1-Blank_2.mzML</v>
      </c>
      <c r="AF172" s="5" t="str">
        <f aca="false">CONCATENATE(AD172, "-",H172, ".mzML")</f>
        <v>NB_2022_015 - 23022022 - 2-Blank_2.mzML</v>
      </c>
    </row>
    <row r="173" s="20" customFormat="true" ht="15" hidden="false" customHeight="false" outlineLevel="0" collapsed="false">
      <c r="A173" s="3" t="s">
        <v>233</v>
      </c>
      <c r="B173" s="4"/>
      <c r="C173" s="3" t="s">
        <v>234</v>
      </c>
      <c r="D173" s="5" t="s">
        <v>14</v>
      </c>
      <c r="E173" s="5" t="s">
        <v>206</v>
      </c>
      <c r="F173" s="6" t="s">
        <v>207</v>
      </c>
      <c r="G173" s="5" t="s">
        <v>220</v>
      </c>
      <c r="H173" s="19" t="s">
        <v>67</v>
      </c>
      <c r="I173" s="5" t="str">
        <f aca="false">CONCATENATE(E173, "_",H173)</f>
        <v>NLA_2022_102_Blank_3</v>
      </c>
      <c r="J173" s="5" t="s">
        <v>52</v>
      </c>
      <c r="K173" s="5" t="s">
        <v>67</v>
      </c>
      <c r="L173" s="8" t="s">
        <v>46</v>
      </c>
      <c r="M173" s="6" t="s">
        <v>46</v>
      </c>
      <c r="N173" s="5" t="s">
        <v>65</v>
      </c>
      <c r="O173" s="5" t="s">
        <v>46</v>
      </c>
      <c r="P173" s="5" t="s">
        <v>46</v>
      </c>
      <c r="Q173" s="5" t="s">
        <v>46</v>
      </c>
      <c r="R173" s="5" t="s">
        <v>46</v>
      </c>
      <c r="S173" s="5" t="s">
        <v>46</v>
      </c>
      <c r="T173" s="5" t="s">
        <v>46</v>
      </c>
      <c r="U173" s="5" t="s">
        <v>46</v>
      </c>
      <c r="V173" s="1" t="n">
        <v>3</v>
      </c>
      <c r="W173" s="5"/>
      <c r="X173" s="5" t="s">
        <v>46</v>
      </c>
      <c r="Y173" s="1" t="n">
        <v>5500</v>
      </c>
      <c r="Z173" s="5" t="s">
        <v>211</v>
      </c>
      <c r="AA173" s="5" t="s">
        <v>212</v>
      </c>
      <c r="AB173" s="13" t="str">
        <f aca="true" t="array" ref="AB173:AB173">LEFT(AA173,LOOKUP(2^15,FIND(".",AA173,ROW(INDIRECT("1:"&amp;LEN(AA173)))))-1)</f>
        <v>NB_2022_015 - 23022022 - 1</v>
      </c>
      <c r="AC173" s="5" t="s">
        <v>213</v>
      </c>
      <c r="AD173" s="13" t="str">
        <f aca="true" t="array" ref="AD173:AD173">LEFT(AC173,LOOKUP(2^15,FIND(".",AC173,ROW(INDIRECT("1:"&amp;LEN(AC173)))))-1)</f>
        <v>NB_2022_015 - 23022022 - 2</v>
      </c>
      <c r="AE173" s="5" t="str">
        <f aca="false">CONCATENATE(AB173, "-",H173, ".mzML")</f>
        <v>NB_2022_015 - 23022022 - 1-Blank_3.mzML</v>
      </c>
      <c r="AF173" s="5" t="str">
        <f aca="false">CONCATENATE(AD173, "-",H173, ".mzML")</f>
        <v>NB_2022_015 - 23022022 - 2-Blank_3.mzML</v>
      </c>
    </row>
    <row r="174" s="20" customFormat="true" ht="15" hidden="false" customHeight="false" outlineLevel="0" collapsed="false">
      <c r="A174" s="3" t="s">
        <v>233</v>
      </c>
      <c r="B174" s="4"/>
      <c r="C174" s="3" t="s">
        <v>234</v>
      </c>
      <c r="D174" s="5" t="s">
        <v>14</v>
      </c>
      <c r="E174" s="5" t="s">
        <v>206</v>
      </c>
      <c r="F174" s="6" t="s">
        <v>207</v>
      </c>
      <c r="G174" s="5" t="s">
        <v>220</v>
      </c>
      <c r="H174" s="19" t="s">
        <v>221</v>
      </c>
      <c r="I174" s="5" t="str">
        <f aca="false">CONCATENATE(E174, "_",H174)</f>
        <v>NLA_2022_102_Blank_4</v>
      </c>
      <c r="J174" s="5" t="s">
        <v>52</v>
      </c>
      <c r="K174" s="5" t="s">
        <v>221</v>
      </c>
      <c r="L174" s="8" t="s">
        <v>46</v>
      </c>
      <c r="M174" s="6" t="s">
        <v>46</v>
      </c>
      <c r="N174" s="5" t="s">
        <v>65</v>
      </c>
      <c r="O174" s="5" t="s">
        <v>46</v>
      </c>
      <c r="P174" s="5" t="s">
        <v>46</v>
      </c>
      <c r="Q174" s="5" t="s">
        <v>46</v>
      </c>
      <c r="R174" s="5" t="s">
        <v>46</v>
      </c>
      <c r="S174" s="5" t="s">
        <v>46</v>
      </c>
      <c r="T174" s="5" t="s">
        <v>46</v>
      </c>
      <c r="U174" s="5" t="s">
        <v>46</v>
      </c>
      <c r="V174" s="1" t="n">
        <v>4</v>
      </c>
      <c r="W174" s="5"/>
      <c r="X174" s="5" t="s">
        <v>46</v>
      </c>
      <c r="Y174" s="1" t="n">
        <v>5500</v>
      </c>
      <c r="Z174" s="5" t="s">
        <v>211</v>
      </c>
      <c r="AA174" s="5" t="s">
        <v>212</v>
      </c>
      <c r="AB174" s="13" t="str">
        <f aca="true" t="array" ref="AB174:AB174">LEFT(AA174,LOOKUP(2^15,FIND(".",AA174,ROW(INDIRECT("1:"&amp;LEN(AA174)))))-1)</f>
        <v>NB_2022_015 - 23022022 - 1</v>
      </c>
      <c r="AC174" s="5" t="s">
        <v>213</v>
      </c>
      <c r="AD174" s="13" t="str">
        <f aca="true" t="array" ref="AD174:AD174">LEFT(AC174,LOOKUP(2^15,FIND(".",AC174,ROW(INDIRECT("1:"&amp;LEN(AC174)))))-1)</f>
        <v>NB_2022_015 - 23022022 - 2</v>
      </c>
      <c r="AE174" s="5" t="str">
        <f aca="false">CONCATENATE(AB174, "-",H174, ".mzML")</f>
        <v>NB_2022_015 - 23022022 - 1-Blank_4.mzML</v>
      </c>
      <c r="AF174" s="5" t="str">
        <f aca="false">CONCATENATE(AD174, "-",H174, ".mzML")</f>
        <v>NB_2022_015 - 23022022 - 2-Blank_4.mzML</v>
      </c>
    </row>
    <row r="175" s="20" customFormat="true" ht="15" hidden="false" customHeight="false" outlineLevel="0" collapsed="false">
      <c r="A175" s="3" t="s">
        <v>233</v>
      </c>
      <c r="B175" s="4"/>
      <c r="C175" s="3" t="s">
        <v>234</v>
      </c>
      <c r="D175" s="5" t="s">
        <v>14</v>
      </c>
      <c r="E175" s="5" t="s">
        <v>206</v>
      </c>
      <c r="F175" s="6" t="s">
        <v>207</v>
      </c>
      <c r="G175" s="5" t="s">
        <v>220</v>
      </c>
      <c r="H175" s="19" t="s">
        <v>68</v>
      </c>
      <c r="I175" s="5" t="str">
        <f aca="false">CONCATENATE(E175, "_",H175)</f>
        <v>NLA_2022_102_QC_C_1</v>
      </c>
      <c r="J175" s="5" t="s">
        <v>52</v>
      </c>
      <c r="K175" s="5" t="s">
        <v>68</v>
      </c>
      <c r="L175" s="8" t="s">
        <v>69</v>
      </c>
      <c r="M175" s="5" t="s">
        <v>46</v>
      </c>
      <c r="N175" s="5" t="s">
        <v>70</v>
      </c>
      <c r="O175" s="5" t="s">
        <v>46</v>
      </c>
      <c r="P175" s="5" t="s">
        <v>71</v>
      </c>
      <c r="Q175" s="5" t="s">
        <v>71</v>
      </c>
      <c r="R175" s="5" t="s">
        <v>72</v>
      </c>
      <c r="S175" s="5" t="s">
        <v>73</v>
      </c>
      <c r="T175" s="5" t="s">
        <v>46</v>
      </c>
      <c r="U175" s="5" t="n">
        <v>1000</v>
      </c>
      <c r="V175" s="1" t="n">
        <v>1</v>
      </c>
      <c r="W175" s="5"/>
      <c r="X175" s="5" t="s">
        <v>74</v>
      </c>
      <c r="Y175" s="1" t="n">
        <v>5500</v>
      </c>
      <c r="Z175" s="5" t="s">
        <v>211</v>
      </c>
      <c r="AA175" s="5" t="s">
        <v>212</v>
      </c>
      <c r="AB175" s="13" t="str">
        <f aca="true" t="array" ref="AB175:AB175">LEFT(AA175,LOOKUP(2^15,FIND(".",AA175,ROW(INDIRECT("1:"&amp;LEN(AA175)))))-1)</f>
        <v>NB_2022_015 - 23022022 - 1</v>
      </c>
      <c r="AC175" s="5" t="s">
        <v>213</v>
      </c>
      <c r="AD175" s="13" t="str">
        <f aca="true" t="array" ref="AD175:AD175">LEFT(AC175,LOOKUP(2^15,FIND(".",AC175,ROW(INDIRECT("1:"&amp;LEN(AC175)))))-1)</f>
        <v>NB_2022_015 - 23022022 - 2</v>
      </c>
      <c r="AE175" s="5" t="str">
        <f aca="false">CONCATENATE(AB175, "-",H175, ".mzML")</f>
        <v>NB_2022_015 - 23022022 - 1-QC_C_1.mzML</v>
      </c>
      <c r="AF175" s="5" t="str">
        <f aca="false">CONCATENATE(AD175, "-",H175, ".mzML")</f>
        <v>NB_2022_015 - 23022022 - 2-QC_C_1.mzML</v>
      </c>
    </row>
    <row r="176" s="20" customFormat="true" ht="15" hidden="false" customHeight="false" outlineLevel="0" collapsed="false">
      <c r="A176" s="3" t="s">
        <v>233</v>
      </c>
      <c r="B176" s="4"/>
      <c r="C176" s="3" t="s">
        <v>234</v>
      </c>
      <c r="D176" s="5" t="s">
        <v>14</v>
      </c>
      <c r="E176" s="5" t="s">
        <v>206</v>
      </c>
      <c r="F176" s="6" t="s">
        <v>207</v>
      </c>
      <c r="G176" s="5" t="s">
        <v>220</v>
      </c>
      <c r="H176" s="19" t="s">
        <v>75</v>
      </c>
      <c r="I176" s="5" t="str">
        <f aca="false">CONCATENATE(E176, "_",H176)</f>
        <v>NLA_2022_102_QC_C_2</v>
      </c>
      <c r="J176" s="5" t="s">
        <v>52</v>
      </c>
      <c r="K176" s="5" t="s">
        <v>75</v>
      </c>
      <c r="L176" s="8" t="s">
        <v>69</v>
      </c>
      <c r="M176" s="5" t="s">
        <v>46</v>
      </c>
      <c r="N176" s="5" t="s">
        <v>70</v>
      </c>
      <c r="O176" s="5" t="s">
        <v>46</v>
      </c>
      <c r="P176" s="5" t="s">
        <v>71</v>
      </c>
      <c r="Q176" s="5" t="s">
        <v>71</v>
      </c>
      <c r="R176" s="5" t="s">
        <v>72</v>
      </c>
      <c r="S176" s="5" t="s">
        <v>73</v>
      </c>
      <c r="T176" s="5" t="s">
        <v>46</v>
      </c>
      <c r="U176" s="5" t="n">
        <v>1000</v>
      </c>
      <c r="V176" s="1" t="n">
        <v>2</v>
      </c>
      <c r="W176" s="5"/>
      <c r="X176" s="5" t="s">
        <v>74</v>
      </c>
      <c r="Y176" s="1" t="n">
        <v>5500</v>
      </c>
      <c r="Z176" s="5" t="s">
        <v>211</v>
      </c>
      <c r="AA176" s="5" t="s">
        <v>212</v>
      </c>
      <c r="AB176" s="13" t="str">
        <f aca="true" t="array" ref="AB176:AB176">LEFT(AA176,LOOKUP(2^15,FIND(".",AA176,ROW(INDIRECT("1:"&amp;LEN(AA176)))))-1)</f>
        <v>NB_2022_015 - 23022022 - 1</v>
      </c>
      <c r="AC176" s="5" t="s">
        <v>213</v>
      </c>
      <c r="AD176" s="13" t="str">
        <f aca="true" t="array" ref="AD176:AD176">LEFT(AC176,LOOKUP(2^15,FIND(".",AC176,ROW(INDIRECT("1:"&amp;LEN(AC176)))))-1)</f>
        <v>NB_2022_015 - 23022022 - 2</v>
      </c>
      <c r="AE176" s="5" t="str">
        <f aca="false">CONCATENATE(AB176, "-",H176, ".mzML")</f>
        <v>NB_2022_015 - 23022022 - 1-QC_C_2.mzML</v>
      </c>
      <c r="AF176" s="5" t="str">
        <f aca="false">CONCATENATE(AD176, "-",H176, ".mzML")</f>
        <v>NB_2022_015 - 23022022 - 2-QC_C_2.mzML</v>
      </c>
    </row>
    <row r="177" s="20" customFormat="true" ht="15" hidden="false" customHeight="false" outlineLevel="0" collapsed="false">
      <c r="A177" s="3" t="s">
        <v>233</v>
      </c>
      <c r="B177" s="4"/>
      <c r="C177" s="3" t="s">
        <v>234</v>
      </c>
      <c r="D177" s="5" t="s">
        <v>14</v>
      </c>
      <c r="E177" s="5" t="s">
        <v>206</v>
      </c>
      <c r="F177" s="6" t="s">
        <v>207</v>
      </c>
      <c r="G177" s="5" t="s">
        <v>220</v>
      </c>
      <c r="H177" s="19" t="s">
        <v>76</v>
      </c>
      <c r="I177" s="5" t="str">
        <f aca="false">CONCATENATE(E177, "_",H177)</f>
        <v>NLA_2022_102_QC_C_3</v>
      </c>
      <c r="J177" s="5" t="s">
        <v>52</v>
      </c>
      <c r="K177" s="5" t="s">
        <v>76</v>
      </c>
      <c r="L177" s="8" t="s">
        <v>69</v>
      </c>
      <c r="M177" s="5" t="s">
        <v>46</v>
      </c>
      <c r="N177" s="5" t="s">
        <v>70</v>
      </c>
      <c r="O177" s="5" t="s">
        <v>46</v>
      </c>
      <c r="P177" s="5" t="s">
        <v>71</v>
      </c>
      <c r="Q177" s="5" t="s">
        <v>71</v>
      </c>
      <c r="R177" s="5" t="s">
        <v>72</v>
      </c>
      <c r="S177" s="5" t="s">
        <v>73</v>
      </c>
      <c r="T177" s="5" t="s">
        <v>46</v>
      </c>
      <c r="U177" s="5" t="n">
        <v>1000</v>
      </c>
      <c r="V177" s="1" t="n">
        <v>3</v>
      </c>
      <c r="W177" s="5"/>
      <c r="X177" s="5" t="s">
        <v>74</v>
      </c>
      <c r="Y177" s="1" t="n">
        <v>5500</v>
      </c>
      <c r="Z177" s="5" t="s">
        <v>211</v>
      </c>
      <c r="AA177" s="5" t="s">
        <v>212</v>
      </c>
      <c r="AB177" s="13" t="str">
        <f aca="true" t="array" ref="AB177:AB177">LEFT(AA177,LOOKUP(2^15,FIND(".",AA177,ROW(INDIRECT("1:"&amp;LEN(AA177)))))-1)</f>
        <v>NB_2022_015 - 23022022 - 1</v>
      </c>
      <c r="AC177" s="5" t="s">
        <v>213</v>
      </c>
      <c r="AD177" s="13" t="str">
        <f aca="true" t="array" ref="AD177:AD177">LEFT(AC177,LOOKUP(2^15,FIND(".",AC177,ROW(INDIRECT("1:"&amp;LEN(AC177)))))-1)</f>
        <v>NB_2022_015 - 23022022 - 2</v>
      </c>
      <c r="AE177" s="5" t="str">
        <f aca="false">CONCATENATE(AB177, "-",H177, ".mzML")</f>
        <v>NB_2022_015 - 23022022 - 1-QC_C_3.mzML</v>
      </c>
      <c r="AF177" s="5" t="str">
        <f aca="false">CONCATENATE(AD177, "-",H177, ".mzML")</f>
        <v>NB_2022_015 - 23022022 - 2-QC_C_3.mzML</v>
      </c>
    </row>
    <row r="178" s="20" customFormat="true" ht="15" hidden="false" customHeight="false" outlineLevel="0" collapsed="false">
      <c r="A178" s="3" t="s">
        <v>233</v>
      </c>
      <c r="B178" s="4"/>
      <c r="C178" s="3" t="s">
        <v>234</v>
      </c>
      <c r="D178" s="5" t="s">
        <v>14</v>
      </c>
      <c r="E178" s="5" t="s">
        <v>206</v>
      </c>
      <c r="F178" s="6" t="s">
        <v>207</v>
      </c>
      <c r="G178" s="5" t="s">
        <v>220</v>
      </c>
      <c r="H178" s="19" t="s">
        <v>222</v>
      </c>
      <c r="I178" s="5" t="str">
        <f aca="false">CONCATENATE(E178, "_",H178)</f>
        <v>NLA_2022_102_QC_C_4</v>
      </c>
      <c r="J178" s="5" t="s">
        <v>52</v>
      </c>
      <c r="K178" s="5" t="s">
        <v>222</v>
      </c>
      <c r="L178" s="8" t="s">
        <v>69</v>
      </c>
      <c r="M178" s="6" t="s">
        <v>46</v>
      </c>
      <c r="N178" s="5" t="s">
        <v>223</v>
      </c>
      <c r="O178" s="5" t="s">
        <v>46</v>
      </c>
      <c r="P178" s="5" t="s">
        <v>71</v>
      </c>
      <c r="Q178" s="5" t="s">
        <v>71</v>
      </c>
      <c r="R178" s="5" t="s">
        <v>72</v>
      </c>
      <c r="S178" s="5" t="s">
        <v>73</v>
      </c>
      <c r="T178" s="5" t="s">
        <v>46</v>
      </c>
      <c r="U178" s="5" t="n">
        <v>1000</v>
      </c>
      <c r="V178" s="1" t="n">
        <v>4</v>
      </c>
      <c r="W178" s="5"/>
      <c r="X178" s="5" t="s">
        <v>74</v>
      </c>
      <c r="Y178" s="1" t="n">
        <v>5500</v>
      </c>
      <c r="Z178" s="5" t="s">
        <v>211</v>
      </c>
      <c r="AA178" s="5" t="s">
        <v>212</v>
      </c>
      <c r="AB178" s="13" t="str">
        <f aca="true" t="array" ref="AB178:AB178">LEFT(AA178,LOOKUP(2^15,FIND(".",AA178,ROW(INDIRECT("1:"&amp;LEN(AA178)))))-1)</f>
        <v>NB_2022_015 - 23022022 - 1</v>
      </c>
      <c r="AC178" s="5" t="s">
        <v>213</v>
      </c>
      <c r="AD178" s="13" t="str">
        <f aca="true" t="array" ref="AD178:AD178">LEFT(AC178,LOOKUP(2^15,FIND(".",AC178,ROW(INDIRECT("1:"&amp;LEN(AC178)))))-1)</f>
        <v>NB_2022_015 - 23022022 - 2</v>
      </c>
      <c r="AE178" s="5" t="str">
        <f aca="false">CONCATENATE(AB178, "-",H178, ".mzML")</f>
        <v>NB_2022_015 - 23022022 - 1-QC_C_4.mzML</v>
      </c>
      <c r="AF178" s="5" t="str">
        <f aca="false">CONCATENATE(AD178, "-",H178, ".mzML")</f>
        <v>NB_2022_015 - 23022022 - 2-QC_C_4.mzML</v>
      </c>
    </row>
    <row r="179" s="20" customFormat="true" ht="15" hidden="false" customHeight="false" outlineLevel="0" collapsed="false">
      <c r="A179" s="3" t="s">
        <v>233</v>
      </c>
      <c r="B179" s="4"/>
      <c r="C179" s="3" t="s">
        <v>234</v>
      </c>
      <c r="D179" s="5" t="s">
        <v>14</v>
      </c>
      <c r="E179" s="5" t="s">
        <v>206</v>
      </c>
      <c r="F179" s="6" t="s">
        <v>207</v>
      </c>
      <c r="G179" s="5" t="s">
        <v>220</v>
      </c>
      <c r="H179" s="19" t="s">
        <v>77</v>
      </c>
      <c r="I179" s="5" t="str">
        <f aca="false">CONCATENATE(E179, "_",H179)</f>
        <v>NLA_2022_102_QC_P_1</v>
      </c>
      <c r="J179" s="5" t="s">
        <v>52</v>
      </c>
      <c r="K179" s="5" t="s">
        <v>77</v>
      </c>
      <c r="L179" s="8" t="s">
        <v>69</v>
      </c>
      <c r="M179" s="6" t="s">
        <v>46</v>
      </c>
      <c r="N179" s="5" t="s">
        <v>78</v>
      </c>
      <c r="O179" s="5" t="s">
        <v>46</v>
      </c>
      <c r="P179" s="5" t="s">
        <v>79</v>
      </c>
      <c r="Q179" s="5" t="s">
        <v>80</v>
      </c>
      <c r="R179" s="5" t="s">
        <v>81</v>
      </c>
      <c r="S179" s="5" t="s">
        <v>46</v>
      </c>
      <c r="T179" s="5" t="s">
        <v>46</v>
      </c>
      <c r="U179" s="5" t="s">
        <v>82</v>
      </c>
      <c r="V179" s="1" t="n">
        <v>1</v>
      </c>
      <c r="W179" s="5"/>
      <c r="X179" s="5" t="s">
        <v>83</v>
      </c>
      <c r="Y179" s="1" t="n">
        <v>5500</v>
      </c>
      <c r="Z179" s="5" t="s">
        <v>211</v>
      </c>
      <c r="AA179" s="5" t="s">
        <v>212</v>
      </c>
      <c r="AB179" s="13" t="str">
        <f aca="true" t="array" ref="AB179:AB179">LEFT(AA179,LOOKUP(2^15,FIND(".",AA179,ROW(INDIRECT("1:"&amp;LEN(AA179)))))-1)</f>
        <v>NB_2022_015 - 23022022 - 1</v>
      </c>
      <c r="AC179" s="5" t="s">
        <v>213</v>
      </c>
      <c r="AD179" s="13" t="str">
        <f aca="true" t="array" ref="AD179:AD179">LEFT(AC179,LOOKUP(2^15,FIND(".",AC179,ROW(INDIRECT("1:"&amp;LEN(AC179)))))-1)</f>
        <v>NB_2022_015 - 23022022 - 2</v>
      </c>
      <c r="AE179" s="5" t="str">
        <f aca="false">CONCATENATE(AB179, "-",H179, ".mzML")</f>
        <v>NB_2022_015 - 23022022 - 1-QC_P_1.mzML</v>
      </c>
      <c r="AF179" s="5" t="str">
        <f aca="false">CONCATENATE(AD179, "-",H179, ".mzML")</f>
        <v>NB_2022_015 - 23022022 - 2-QC_P_1.mzML</v>
      </c>
    </row>
    <row r="180" s="20" customFormat="true" ht="15" hidden="false" customHeight="false" outlineLevel="0" collapsed="false">
      <c r="A180" s="3" t="s">
        <v>233</v>
      </c>
      <c r="B180" s="4"/>
      <c r="C180" s="3" t="s">
        <v>234</v>
      </c>
      <c r="D180" s="5" t="s">
        <v>14</v>
      </c>
      <c r="E180" s="5" t="s">
        <v>206</v>
      </c>
      <c r="F180" s="6" t="s">
        <v>207</v>
      </c>
      <c r="G180" s="5" t="s">
        <v>220</v>
      </c>
      <c r="H180" s="19" t="s">
        <v>84</v>
      </c>
      <c r="I180" s="5" t="str">
        <f aca="false">CONCATENATE(E180, "_",H180)</f>
        <v>NLA_2022_102_QC_P_2</v>
      </c>
      <c r="J180" s="5" t="s">
        <v>52</v>
      </c>
      <c r="K180" s="5" t="s">
        <v>84</v>
      </c>
      <c r="L180" s="8" t="s">
        <v>69</v>
      </c>
      <c r="M180" s="6" t="s">
        <v>46</v>
      </c>
      <c r="N180" s="5" t="s">
        <v>78</v>
      </c>
      <c r="O180" s="5" t="s">
        <v>46</v>
      </c>
      <c r="P180" s="5" t="s">
        <v>79</v>
      </c>
      <c r="Q180" s="5" t="s">
        <v>80</v>
      </c>
      <c r="R180" s="5" t="s">
        <v>81</v>
      </c>
      <c r="S180" s="5" t="s">
        <v>46</v>
      </c>
      <c r="T180" s="5" t="s">
        <v>46</v>
      </c>
      <c r="U180" s="5" t="s">
        <v>82</v>
      </c>
      <c r="V180" s="1" t="n">
        <v>2</v>
      </c>
      <c r="W180" s="5"/>
      <c r="X180" s="5" t="s">
        <v>83</v>
      </c>
      <c r="Y180" s="1" t="n">
        <v>5500</v>
      </c>
      <c r="Z180" s="5" t="s">
        <v>211</v>
      </c>
      <c r="AA180" s="5" t="s">
        <v>212</v>
      </c>
      <c r="AB180" s="13" t="str">
        <f aca="true" t="array" ref="AB180:AB180">LEFT(AA180,LOOKUP(2^15,FIND(".",AA180,ROW(INDIRECT("1:"&amp;LEN(AA180)))))-1)</f>
        <v>NB_2022_015 - 23022022 - 1</v>
      </c>
      <c r="AC180" s="5" t="s">
        <v>213</v>
      </c>
      <c r="AD180" s="13" t="str">
        <f aca="true" t="array" ref="AD180:AD180">LEFT(AC180,LOOKUP(2^15,FIND(".",AC180,ROW(INDIRECT("1:"&amp;LEN(AC180)))))-1)</f>
        <v>NB_2022_015 - 23022022 - 2</v>
      </c>
      <c r="AE180" s="5" t="str">
        <f aca="false">CONCATENATE(AB180, "-",H180, ".mzML")</f>
        <v>NB_2022_015 - 23022022 - 1-QC_P_2.mzML</v>
      </c>
      <c r="AF180" s="5" t="str">
        <f aca="false">CONCATENATE(AD180, "-",H180, ".mzML")</f>
        <v>NB_2022_015 - 23022022 - 2-QC_P_2.mzML</v>
      </c>
    </row>
    <row r="181" s="20" customFormat="true" ht="15" hidden="false" customHeight="false" outlineLevel="0" collapsed="false">
      <c r="A181" s="3" t="s">
        <v>233</v>
      </c>
      <c r="B181" s="4"/>
      <c r="C181" s="3" t="s">
        <v>234</v>
      </c>
      <c r="D181" s="5" t="s">
        <v>14</v>
      </c>
      <c r="E181" s="5" t="s">
        <v>206</v>
      </c>
      <c r="F181" s="6" t="s">
        <v>207</v>
      </c>
      <c r="G181" s="5" t="s">
        <v>220</v>
      </c>
      <c r="H181" s="19" t="s">
        <v>85</v>
      </c>
      <c r="I181" s="5" t="str">
        <f aca="false">CONCATENATE(E181, "_",H181)</f>
        <v>NLA_2022_102_QC_P_3</v>
      </c>
      <c r="J181" s="5" t="s">
        <v>52</v>
      </c>
      <c r="K181" s="5" t="s">
        <v>85</v>
      </c>
      <c r="L181" s="8" t="s">
        <v>69</v>
      </c>
      <c r="M181" s="6" t="s">
        <v>46</v>
      </c>
      <c r="N181" s="5" t="s">
        <v>78</v>
      </c>
      <c r="O181" s="5" t="s">
        <v>46</v>
      </c>
      <c r="P181" s="5" t="s">
        <v>79</v>
      </c>
      <c r="Q181" s="5" t="s">
        <v>80</v>
      </c>
      <c r="R181" s="5" t="s">
        <v>81</v>
      </c>
      <c r="S181" s="5" t="s">
        <v>46</v>
      </c>
      <c r="T181" s="5" t="s">
        <v>46</v>
      </c>
      <c r="U181" s="5" t="s">
        <v>82</v>
      </c>
      <c r="V181" s="1" t="n">
        <v>3</v>
      </c>
      <c r="W181" s="5"/>
      <c r="X181" s="5" t="s">
        <v>83</v>
      </c>
      <c r="Y181" s="1" t="n">
        <v>5500</v>
      </c>
      <c r="Z181" s="5" t="s">
        <v>211</v>
      </c>
      <c r="AA181" s="5" t="s">
        <v>212</v>
      </c>
      <c r="AB181" s="13" t="str">
        <f aca="true" t="array" ref="AB181:AB181">LEFT(AA181,LOOKUP(2^15,FIND(".",AA181,ROW(INDIRECT("1:"&amp;LEN(AA181)))))-1)</f>
        <v>NB_2022_015 - 23022022 - 1</v>
      </c>
      <c r="AC181" s="5" t="s">
        <v>213</v>
      </c>
      <c r="AD181" s="13" t="str">
        <f aca="true" t="array" ref="AD181:AD181">LEFT(AC181,LOOKUP(2^15,FIND(".",AC181,ROW(INDIRECT("1:"&amp;LEN(AC181)))))-1)</f>
        <v>NB_2022_015 - 23022022 - 2</v>
      </c>
      <c r="AE181" s="5" t="str">
        <f aca="false">CONCATENATE(AB181, "-",H181, ".mzML")</f>
        <v>NB_2022_015 - 23022022 - 1-QC_P_3.mzML</v>
      </c>
      <c r="AF181" s="5" t="str">
        <f aca="false">CONCATENATE(AD181, "-",H181, ".mzML")</f>
        <v>NB_2022_015 - 23022022 - 2-QC_P_3.mzML</v>
      </c>
    </row>
    <row r="182" s="20" customFormat="true" ht="15" hidden="false" customHeight="false" outlineLevel="0" collapsed="false">
      <c r="A182" s="3" t="s">
        <v>233</v>
      </c>
      <c r="B182" s="4"/>
      <c r="C182" s="3" t="s">
        <v>234</v>
      </c>
      <c r="D182" s="5" t="s">
        <v>14</v>
      </c>
      <c r="E182" s="5" t="s">
        <v>206</v>
      </c>
      <c r="F182" s="6" t="s">
        <v>207</v>
      </c>
      <c r="G182" s="5" t="s">
        <v>220</v>
      </c>
      <c r="H182" s="19" t="s">
        <v>224</v>
      </c>
      <c r="I182" s="5" t="str">
        <f aca="false">CONCATENATE(E182, "_",H182)</f>
        <v>NLA_2022_102_QC_P_4</v>
      </c>
      <c r="J182" s="5" t="s">
        <v>52</v>
      </c>
      <c r="K182" s="5" t="s">
        <v>224</v>
      </c>
      <c r="L182" s="8" t="s">
        <v>69</v>
      </c>
      <c r="M182" s="6" t="s">
        <v>46</v>
      </c>
      <c r="N182" s="5" t="s">
        <v>78</v>
      </c>
      <c r="O182" s="5" t="s">
        <v>46</v>
      </c>
      <c r="P182" s="5" t="s">
        <v>79</v>
      </c>
      <c r="Q182" s="5" t="s">
        <v>80</v>
      </c>
      <c r="R182" s="5" t="s">
        <v>81</v>
      </c>
      <c r="S182" s="5" t="s">
        <v>46</v>
      </c>
      <c r="T182" s="5" t="s">
        <v>46</v>
      </c>
      <c r="U182" s="5" t="s">
        <v>82</v>
      </c>
      <c r="V182" s="1" t="n">
        <v>4</v>
      </c>
      <c r="W182" s="5"/>
      <c r="X182" s="5" t="s">
        <v>83</v>
      </c>
      <c r="Y182" s="1" t="n">
        <v>5500</v>
      </c>
      <c r="Z182" s="5" t="s">
        <v>211</v>
      </c>
      <c r="AA182" s="5" t="s">
        <v>212</v>
      </c>
      <c r="AB182" s="13" t="str">
        <f aca="true" t="array" ref="AB182:AB182">LEFT(AA182,LOOKUP(2^15,FIND(".",AA182,ROW(INDIRECT("1:"&amp;LEN(AA182)))))-1)</f>
        <v>NB_2022_015 - 23022022 - 1</v>
      </c>
      <c r="AC182" s="5" t="s">
        <v>213</v>
      </c>
      <c r="AD182" s="13" t="str">
        <f aca="true" t="array" ref="AD182:AD182">LEFT(AC182,LOOKUP(2^15,FIND(".",AC182,ROW(INDIRECT("1:"&amp;LEN(AC182)))))-1)</f>
        <v>NB_2022_015 - 23022022 - 2</v>
      </c>
      <c r="AE182" s="5" t="str">
        <f aca="false">CONCATENATE(AB182, "-",H182, ".mzML")</f>
        <v>NB_2022_015 - 23022022 - 1-QC_P_4.mzML</v>
      </c>
      <c r="AF182" s="5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3" t="s">
        <v>239</v>
      </c>
      <c r="B183" s="4"/>
      <c r="C183" s="3" t="s">
        <v>240</v>
      </c>
      <c r="D183" s="5" t="s">
        <v>14</v>
      </c>
      <c r="E183" s="5" t="s">
        <v>241</v>
      </c>
      <c r="F183" s="6" t="s">
        <v>242</v>
      </c>
      <c r="G183" s="5" t="s">
        <v>243</v>
      </c>
      <c r="H183" s="7" t="s">
        <v>108</v>
      </c>
      <c r="I183" s="5" t="str">
        <f aca="false">CONCATENATE(E183, "_",H183)</f>
        <v>NLA_2021_009_001</v>
      </c>
      <c r="J183" s="5" t="s">
        <v>158</v>
      </c>
      <c r="K183" s="21" t="s">
        <v>244</v>
      </c>
      <c r="L183" s="8" t="s">
        <v>69</v>
      </c>
      <c r="M183" s="22" t="s">
        <v>245</v>
      </c>
      <c r="N183" s="5" t="s">
        <v>246</v>
      </c>
      <c r="O183" s="23" t="s">
        <v>247</v>
      </c>
      <c r="P183" s="5" t="s">
        <v>43</v>
      </c>
      <c r="Q183" s="23" t="s">
        <v>248</v>
      </c>
      <c r="R183" s="5" t="s">
        <v>44</v>
      </c>
      <c r="S183" s="23" t="s">
        <v>249</v>
      </c>
      <c r="T183" s="5" t="s">
        <v>46</v>
      </c>
      <c r="U183" s="23" t="n">
        <v>500</v>
      </c>
      <c r="V183" s="23" t="n">
        <v>1</v>
      </c>
      <c r="W183" s="5"/>
      <c r="X183" s="5" t="s">
        <v>47</v>
      </c>
      <c r="Y183" s="1" t="n">
        <v>5500</v>
      </c>
      <c r="Z183" s="1" t="s">
        <v>250</v>
      </c>
      <c r="AA183" s="5" t="s">
        <v>251</v>
      </c>
      <c r="AB183" s="13" t="str">
        <f aca="true" t="array" ref="AB183:AB183">LEFT(AA183,LOOKUP(2^15,FIND(".",AA183,ROW(INDIRECT("1:"&amp;LEN(AA183)))))-1)</f>
        <v>NB_2021_056 - 21122021 - 1</v>
      </c>
      <c r="AC183" s="5" t="s">
        <v>252</v>
      </c>
      <c r="AD183" s="13" t="str">
        <f aca="true" t="array" ref="AD183:AD183">LEFT(AC183,LOOKUP(2^15,FIND(".",AC183,ROW(INDIRECT("1:"&amp;LEN(AC183)))))-1)</f>
        <v>NB_2021_056 - 21122021 - 2</v>
      </c>
      <c r="AE183" s="5" t="str">
        <f aca="false">CONCATENATE(AB183, "-",H183, ".mzML")</f>
        <v>NB_2021_056 - 21122021 - 1-001.mzML</v>
      </c>
      <c r="AF183" s="5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3" t="s">
        <v>239</v>
      </c>
      <c r="B184" s="4"/>
      <c r="C184" s="3" t="s">
        <v>240</v>
      </c>
      <c r="D184" s="5" t="s">
        <v>14</v>
      </c>
      <c r="E184" s="5" t="s">
        <v>241</v>
      </c>
      <c r="F184" s="6" t="s">
        <v>242</v>
      </c>
      <c r="G184" s="5" t="s">
        <v>243</v>
      </c>
      <c r="H184" s="7" t="s">
        <v>88</v>
      </c>
      <c r="I184" s="5" t="str">
        <f aca="false">CONCATENATE(E184, "_",H184)</f>
        <v>NLA_2021_009_002</v>
      </c>
      <c r="J184" s="5" t="s">
        <v>166</v>
      </c>
      <c r="K184" s="21" t="s">
        <v>253</v>
      </c>
      <c r="L184" s="8" t="s">
        <v>69</v>
      </c>
      <c r="M184" s="22" t="s">
        <v>245</v>
      </c>
      <c r="N184" s="5" t="s">
        <v>246</v>
      </c>
      <c r="O184" s="23" t="s">
        <v>254</v>
      </c>
      <c r="P184" s="5" t="s">
        <v>43</v>
      </c>
      <c r="Q184" s="5" t="s">
        <v>43</v>
      </c>
      <c r="R184" s="5" t="s">
        <v>44</v>
      </c>
      <c r="S184" s="23" t="s">
        <v>249</v>
      </c>
      <c r="T184" s="5" t="s">
        <v>46</v>
      </c>
      <c r="U184" s="23" t="n">
        <v>500</v>
      </c>
      <c r="V184" s="23" t="n">
        <v>1</v>
      </c>
      <c r="W184" s="5"/>
      <c r="X184" s="5" t="s">
        <v>47</v>
      </c>
      <c r="Y184" s="1" t="n">
        <v>5500</v>
      </c>
      <c r="Z184" s="1" t="s">
        <v>250</v>
      </c>
      <c r="AA184" s="5" t="s">
        <v>251</v>
      </c>
      <c r="AB184" s="13" t="str">
        <f aca="true" t="array" ref="AB184:AB184">LEFT(AA184,LOOKUP(2^15,FIND(".",AA184,ROW(INDIRECT("1:"&amp;LEN(AA184)))))-1)</f>
        <v>NB_2021_056 - 21122021 - 1</v>
      </c>
      <c r="AC184" s="5" t="s">
        <v>252</v>
      </c>
      <c r="AD184" s="13" t="str">
        <f aca="true" t="array" ref="AD184:AD184">LEFT(AC184,LOOKUP(2^15,FIND(".",AC184,ROW(INDIRECT("1:"&amp;LEN(AC184)))))-1)</f>
        <v>NB_2021_056 - 21122021 - 2</v>
      </c>
      <c r="AE184" s="5" t="str">
        <f aca="false">CONCATENATE(AB184, "-",H184, ".mzML")</f>
        <v>NB_2021_056 - 21122021 - 1-002.mzML</v>
      </c>
      <c r="AF184" s="5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3" t="s">
        <v>239</v>
      </c>
      <c r="B185" s="4"/>
      <c r="C185" s="3" t="s">
        <v>240</v>
      </c>
      <c r="D185" s="5" t="s">
        <v>14</v>
      </c>
      <c r="E185" s="5" t="s">
        <v>241</v>
      </c>
      <c r="F185" s="6" t="s">
        <v>242</v>
      </c>
      <c r="G185" s="5" t="s">
        <v>243</v>
      </c>
      <c r="H185" s="7" t="s">
        <v>97</v>
      </c>
      <c r="I185" s="5" t="str">
        <f aca="false">CONCATENATE(E185, "_",H185)</f>
        <v>NLA_2021_009_003</v>
      </c>
      <c r="J185" s="5" t="s">
        <v>158</v>
      </c>
      <c r="K185" s="21" t="s">
        <v>255</v>
      </c>
      <c r="L185" s="8" t="s">
        <v>69</v>
      </c>
      <c r="M185" s="22" t="s">
        <v>245</v>
      </c>
      <c r="N185" s="5" t="s">
        <v>246</v>
      </c>
      <c r="O185" s="23" t="s">
        <v>247</v>
      </c>
      <c r="P185" s="5" t="s">
        <v>43</v>
      </c>
      <c r="Q185" s="23" t="s">
        <v>248</v>
      </c>
      <c r="R185" s="5" t="s">
        <v>44</v>
      </c>
      <c r="S185" s="23" t="s">
        <v>249</v>
      </c>
      <c r="T185" s="5" t="s">
        <v>46</v>
      </c>
      <c r="U185" s="23" t="n">
        <v>500</v>
      </c>
      <c r="V185" s="23" t="n">
        <v>2</v>
      </c>
      <c r="W185" s="5"/>
      <c r="X185" s="5" t="s">
        <v>47</v>
      </c>
      <c r="Y185" s="1" t="n">
        <v>5500</v>
      </c>
      <c r="Z185" s="1" t="s">
        <v>250</v>
      </c>
      <c r="AA185" s="5" t="s">
        <v>251</v>
      </c>
      <c r="AB185" s="13" t="str">
        <f aca="true" t="array" ref="AB185:AB185">LEFT(AA185,LOOKUP(2^15,FIND(".",AA185,ROW(INDIRECT("1:"&amp;LEN(AA185)))))-1)</f>
        <v>NB_2021_056 - 21122021 - 1</v>
      </c>
      <c r="AC185" s="5" t="s">
        <v>252</v>
      </c>
      <c r="AD185" s="13" t="str">
        <f aca="true" t="array" ref="AD185:AD185">LEFT(AC185,LOOKUP(2^15,FIND(".",AC185,ROW(INDIRECT("1:"&amp;LEN(AC185)))))-1)</f>
        <v>NB_2021_056 - 21122021 - 2</v>
      </c>
      <c r="AE185" s="5" t="str">
        <f aca="false">CONCATENATE(AB185, "-",H185, ".mzML")</f>
        <v>NB_2021_056 - 21122021 - 1-003.mzML</v>
      </c>
      <c r="AF185" s="5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3" t="s">
        <v>239</v>
      </c>
      <c r="B186" s="4"/>
      <c r="C186" s="3" t="s">
        <v>240</v>
      </c>
      <c r="D186" s="5" t="s">
        <v>14</v>
      </c>
      <c r="E186" s="5" t="s">
        <v>241</v>
      </c>
      <c r="F186" s="6" t="s">
        <v>242</v>
      </c>
      <c r="G186" s="5" t="s">
        <v>243</v>
      </c>
      <c r="H186" s="7" t="s">
        <v>99</v>
      </c>
      <c r="I186" s="5" t="str">
        <f aca="false">CONCATENATE(E186, "_",H186)</f>
        <v>NLA_2021_009_004</v>
      </c>
      <c r="J186" s="5" t="s">
        <v>158</v>
      </c>
      <c r="K186" s="21" t="s">
        <v>256</v>
      </c>
      <c r="L186" s="8" t="s">
        <v>69</v>
      </c>
      <c r="M186" s="22" t="s">
        <v>245</v>
      </c>
      <c r="N186" s="5" t="s">
        <v>246</v>
      </c>
      <c r="O186" s="23" t="s">
        <v>247</v>
      </c>
      <c r="P186" s="5" t="s">
        <v>43</v>
      </c>
      <c r="Q186" s="23" t="s">
        <v>257</v>
      </c>
      <c r="R186" s="5" t="s">
        <v>44</v>
      </c>
      <c r="S186" s="23" t="s">
        <v>249</v>
      </c>
      <c r="T186" s="5" t="s">
        <v>46</v>
      </c>
      <c r="U186" s="23" t="n">
        <v>500</v>
      </c>
      <c r="V186" s="23" t="n">
        <v>1</v>
      </c>
      <c r="W186" s="5"/>
      <c r="X186" s="5" t="s">
        <v>47</v>
      </c>
      <c r="Y186" s="1" t="n">
        <v>5500</v>
      </c>
      <c r="Z186" s="1" t="s">
        <v>250</v>
      </c>
      <c r="AA186" s="5" t="s">
        <v>251</v>
      </c>
      <c r="AB186" s="13" t="str">
        <f aca="true" t="array" ref="AB186:AB186">LEFT(AA186,LOOKUP(2^15,FIND(".",AA186,ROW(INDIRECT("1:"&amp;LEN(AA186)))))-1)</f>
        <v>NB_2021_056 - 21122021 - 1</v>
      </c>
      <c r="AC186" s="5" t="s">
        <v>252</v>
      </c>
      <c r="AD186" s="13" t="str">
        <f aca="true" t="array" ref="AD186:AD186">LEFT(AC186,LOOKUP(2^15,FIND(".",AC186,ROW(INDIRECT("1:"&amp;LEN(AC186)))))-1)</f>
        <v>NB_2021_056 - 21122021 - 2</v>
      </c>
      <c r="AE186" s="5" t="str">
        <f aca="false">CONCATENATE(AB186, "-",H186, ".mzML")</f>
        <v>NB_2021_056 - 21122021 - 1-004.mzML</v>
      </c>
      <c r="AF186" s="5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3" t="s">
        <v>239</v>
      </c>
      <c r="B187" s="4"/>
      <c r="C187" s="3" t="s">
        <v>240</v>
      </c>
      <c r="D187" s="5" t="s">
        <v>14</v>
      </c>
      <c r="E187" s="5" t="s">
        <v>241</v>
      </c>
      <c r="F187" s="6" t="s">
        <v>242</v>
      </c>
      <c r="G187" s="5" t="s">
        <v>243</v>
      </c>
      <c r="H187" s="7" t="s">
        <v>91</v>
      </c>
      <c r="I187" s="5" t="str">
        <f aca="false">CONCATENATE(E187, "_",H187)</f>
        <v>NLA_2021_009_005</v>
      </c>
      <c r="J187" s="5" t="s">
        <v>158</v>
      </c>
      <c r="K187" s="21" t="s">
        <v>258</v>
      </c>
      <c r="L187" s="8" t="s">
        <v>69</v>
      </c>
      <c r="M187" s="22" t="s">
        <v>245</v>
      </c>
      <c r="N187" s="5" t="s">
        <v>246</v>
      </c>
      <c r="O187" s="23" t="s">
        <v>247</v>
      </c>
      <c r="P187" s="5" t="s">
        <v>43</v>
      </c>
      <c r="Q187" s="23" t="s">
        <v>257</v>
      </c>
      <c r="R187" s="5" t="s">
        <v>44</v>
      </c>
      <c r="S187" s="23" t="s">
        <v>249</v>
      </c>
      <c r="T187" s="5" t="s">
        <v>46</v>
      </c>
      <c r="U187" s="23" t="n">
        <v>500</v>
      </c>
      <c r="V187" s="23" t="n">
        <v>2</v>
      </c>
      <c r="W187" s="5"/>
      <c r="X187" s="5" t="s">
        <v>47</v>
      </c>
      <c r="Y187" s="1" t="n">
        <v>5500</v>
      </c>
      <c r="Z187" s="1" t="s">
        <v>250</v>
      </c>
      <c r="AA187" s="5" t="s">
        <v>251</v>
      </c>
      <c r="AB187" s="13" t="str">
        <f aca="true" t="array" ref="AB187:AB187">LEFT(AA187,LOOKUP(2^15,FIND(".",AA187,ROW(INDIRECT("1:"&amp;LEN(AA187)))))-1)</f>
        <v>NB_2021_056 - 21122021 - 1</v>
      </c>
      <c r="AC187" s="5" t="s">
        <v>252</v>
      </c>
      <c r="AD187" s="13" t="str">
        <f aca="true" t="array" ref="AD187:AD187">LEFT(AC187,LOOKUP(2^15,FIND(".",AC187,ROW(INDIRECT("1:"&amp;LEN(AC187)))))-1)</f>
        <v>NB_2021_056 - 21122021 - 2</v>
      </c>
      <c r="AE187" s="5" t="str">
        <f aca="false">CONCATENATE(AB187, "-",H187, ".mzML")</f>
        <v>NB_2021_056 - 21122021 - 1-005.mzML</v>
      </c>
      <c r="AF187" s="5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3" t="s">
        <v>239</v>
      </c>
      <c r="B188" s="4"/>
      <c r="C188" s="3" t="s">
        <v>240</v>
      </c>
      <c r="D188" s="5" t="s">
        <v>14</v>
      </c>
      <c r="E188" s="5" t="s">
        <v>241</v>
      </c>
      <c r="F188" s="6" t="s">
        <v>242</v>
      </c>
      <c r="G188" s="5" t="s">
        <v>243</v>
      </c>
      <c r="H188" s="7" t="s">
        <v>101</v>
      </c>
      <c r="I188" s="5" t="str">
        <f aca="false">CONCATENATE(E188, "_",H188)</f>
        <v>NLA_2021_009_006</v>
      </c>
      <c r="J188" s="5" t="s">
        <v>166</v>
      </c>
      <c r="K188" s="21" t="s">
        <v>259</v>
      </c>
      <c r="L188" s="8" t="s">
        <v>69</v>
      </c>
      <c r="M188" s="22" t="s">
        <v>245</v>
      </c>
      <c r="N188" s="5" t="s">
        <v>246</v>
      </c>
      <c r="O188" s="23" t="s">
        <v>254</v>
      </c>
      <c r="P188" s="5" t="s">
        <v>43</v>
      </c>
      <c r="Q188" s="5" t="s">
        <v>43</v>
      </c>
      <c r="R188" s="5" t="s">
        <v>44</v>
      </c>
      <c r="S188" s="23" t="s">
        <v>249</v>
      </c>
      <c r="T188" s="5" t="s">
        <v>46</v>
      </c>
      <c r="U188" s="23" t="n">
        <v>500</v>
      </c>
      <c r="V188" s="23" t="n">
        <v>2</v>
      </c>
      <c r="W188" s="5"/>
      <c r="X188" s="5" t="s">
        <v>47</v>
      </c>
      <c r="Y188" s="1" t="n">
        <v>5500</v>
      </c>
      <c r="Z188" s="1" t="s">
        <v>250</v>
      </c>
      <c r="AA188" s="5" t="s">
        <v>251</v>
      </c>
      <c r="AB188" s="13" t="str">
        <f aca="true" t="array" ref="AB188:AB188">LEFT(AA188,LOOKUP(2^15,FIND(".",AA188,ROW(INDIRECT("1:"&amp;LEN(AA188)))))-1)</f>
        <v>NB_2021_056 - 21122021 - 1</v>
      </c>
      <c r="AC188" s="5" t="s">
        <v>252</v>
      </c>
      <c r="AD188" s="13" t="str">
        <f aca="true" t="array" ref="AD188:AD188">LEFT(AC188,LOOKUP(2^15,FIND(".",AC188,ROW(INDIRECT("1:"&amp;LEN(AC188)))))-1)</f>
        <v>NB_2021_056 - 21122021 - 2</v>
      </c>
      <c r="AE188" s="5" t="str">
        <f aca="false">CONCATENATE(AB188, "-",H188, ".mzML")</f>
        <v>NB_2021_056 - 21122021 - 1-006.mzML</v>
      </c>
      <c r="AF188" s="5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3" t="s">
        <v>239</v>
      </c>
      <c r="B189" s="4"/>
      <c r="C189" s="3" t="s">
        <v>240</v>
      </c>
      <c r="D189" s="5" t="s">
        <v>14</v>
      </c>
      <c r="E189" s="5" t="s">
        <v>241</v>
      </c>
      <c r="F189" s="6" t="s">
        <v>242</v>
      </c>
      <c r="G189" s="5" t="s">
        <v>241</v>
      </c>
      <c r="H189" s="24" t="s">
        <v>64</v>
      </c>
      <c r="I189" s="5" t="str">
        <f aca="false">CONCATENATE(E189, "_",H189)</f>
        <v>NLA_2021_009_Blank_1</v>
      </c>
      <c r="J189" s="5" t="s">
        <v>46</v>
      </c>
      <c r="K189" s="21" t="s">
        <v>260</v>
      </c>
      <c r="L189" s="8" t="s">
        <v>69</v>
      </c>
      <c r="M189" s="22" t="s">
        <v>46</v>
      </c>
      <c r="N189" s="23" t="s">
        <v>65</v>
      </c>
      <c r="O189" s="23" t="s">
        <v>46</v>
      </c>
      <c r="P189" s="21" t="s">
        <v>46</v>
      </c>
      <c r="Q189" s="23" t="s">
        <v>46</v>
      </c>
      <c r="R189" s="5" t="s">
        <v>46</v>
      </c>
      <c r="S189" s="21" t="s">
        <v>46</v>
      </c>
      <c r="T189" s="21" t="s">
        <v>46</v>
      </c>
      <c r="U189" s="21" t="s">
        <v>46</v>
      </c>
      <c r="V189" s="23" t="n">
        <v>1</v>
      </c>
      <c r="W189" s="5"/>
      <c r="X189" s="5" t="s">
        <v>46</v>
      </c>
      <c r="Y189" s="1" t="n">
        <v>5500</v>
      </c>
      <c r="Z189" s="5" t="s">
        <v>250</v>
      </c>
      <c r="AA189" s="5" t="s">
        <v>251</v>
      </c>
      <c r="AB189" s="13" t="str">
        <f aca="true" t="array" ref="AB189:AB189">LEFT(AA189,LOOKUP(2^15,FIND(".",AA189,ROW(INDIRECT("1:"&amp;LEN(AA189)))))-1)</f>
        <v>NB_2021_056 - 21122021 - 1</v>
      </c>
      <c r="AC189" s="5" t="s">
        <v>252</v>
      </c>
      <c r="AD189" s="13" t="str">
        <f aca="true" t="array" ref="AD189:AD189">LEFT(AC189,LOOKUP(2^15,FIND(".",AC189,ROW(INDIRECT("1:"&amp;LEN(AC189)))))-1)</f>
        <v>NB_2021_056 - 21122021 - 2</v>
      </c>
      <c r="AE189" s="5" t="str">
        <f aca="false">CONCATENATE(AB189, "-",H189, ".mzML")</f>
        <v>NB_2021_056 - 21122021 - 1-Blank_1.mzML</v>
      </c>
      <c r="AF189" s="5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3" t="s">
        <v>239</v>
      </c>
      <c r="B190" s="4"/>
      <c r="C190" s="3" t="s">
        <v>240</v>
      </c>
      <c r="D190" s="5" t="s">
        <v>14</v>
      </c>
      <c r="E190" s="5" t="s">
        <v>241</v>
      </c>
      <c r="F190" s="6" t="s">
        <v>242</v>
      </c>
      <c r="G190" s="5" t="s">
        <v>241</v>
      </c>
      <c r="H190" s="24" t="s">
        <v>66</v>
      </c>
      <c r="I190" s="5" t="str">
        <f aca="false">CONCATENATE(E190, "_",H190)</f>
        <v>NLA_2021_009_Blank_2</v>
      </c>
      <c r="J190" s="5" t="s">
        <v>46</v>
      </c>
      <c r="K190" s="21" t="s">
        <v>261</v>
      </c>
      <c r="L190" s="8" t="s">
        <v>69</v>
      </c>
      <c r="M190" s="22" t="s">
        <v>46</v>
      </c>
      <c r="N190" s="23" t="s">
        <v>65</v>
      </c>
      <c r="O190" s="23" t="s">
        <v>46</v>
      </c>
      <c r="P190" s="21" t="s">
        <v>46</v>
      </c>
      <c r="Q190" s="23" t="s">
        <v>46</v>
      </c>
      <c r="R190" s="5" t="s">
        <v>46</v>
      </c>
      <c r="S190" s="21" t="s">
        <v>46</v>
      </c>
      <c r="T190" s="21" t="s">
        <v>46</v>
      </c>
      <c r="U190" s="21" t="s">
        <v>46</v>
      </c>
      <c r="V190" s="23" t="n">
        <v>2</v>
      </c>
      <c r="W190" s="5"/>
      <c r="X190" s="5" t="s">
        <v>46</v>
      </c>
      <c r="Y190" s="1" t="n">
        <v>5500</v>
      </c>
      <c r="Z190" s="5" t="s">
        <v>250</v>
      </c>
      <c r="AA190" s="5" t="s">
        <v>251</v>
      </c>
      <c r="AB190" s="13" t="str">
        <f aca="true" t="array" ref="AB190:AB190">LEFT(AA190,LOOKUP(2^15,FIND(".",AA190,ROW(INDIRECT("1:"&amp;LEN(AA190)))))-1)</f>
        <v>NB_2021_056 - 21122021 - 1</v>
      </c>
      <c r="AC190" s="5" t="s">
        <v>252</v>
      </c>
      <c r="AD190" s="13" t="str">
        <f aca="true" t="array" ref="AD190:AD190">LEFT(AC190,LOOKUP(2^15,FIND(".",AC190,ROW(INDIRECT("1:"&amp;LEN(AC190)))))-1)</f>
        <v>NB_2021_056 - 21122021 - 2</v>
      </c>
      <c r="AE190" s="5" t="str">
        <f aca="false">CONCATENATE(AB190, "-",H190, ".mzML")</f>
        <v>NB_2021_056 - 21122021 - 1-Blank_2.mzML</v>
      </c>
      <c r="AF190" s="5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3" t="s">
        <v>239</v>
      </c>
      <c r="B191" s="4"/>
      <c r="C191" s="3" t="s">
        <v>240</v>
      </c>
      <c r="D191" s="5" t="s">
        <v>14</v>
      </c>
      <c r="E191" s="5" t="s">
        <v>241</v>
      </c>
      <c r="F191" s="6" t="s">
        <v>242</v>
      </c>
      <c r="G191" s="5" t="s">
        <v>241</v>
      </c>
      <c r="H191" s="24" t="s">
        <v>67</v>
      </c>
      <c r="I191" s="5" t="str">
        <f aca="false">CONCATENATE(E191, "_",H191)</f>
        <v>NLA_2021_009_Blank_3</v>
      </c>
      <c r="J191" s="5" t="s">
        <v>46</v>
      </c>
      <c r="K191" s="21" t="s">
        <v>262</v>
      </c>
      <c r="L191" s="8" t="s">
        <v>69</v>
      </c>
      <c r="M191" s="22" t="s">
        <v>46</v>
      </c>
      <c r="N191" s="23" t="s">
        <v>65</v>
      </c>
      <c r="O191" s="23" t="s">
        <v>46</v>
      </c>
      <c r="P191" s="21" t="s">
        <v>46</v>
      </c>
      <c r="Q191" s="23" t="s">
        <v>46</v>
      </c>
      <c r="R191" s="5" t="s">
        <v>46</v>
      </c>
      <c r="S191" s="21" t="s">
        <v>46</v>
      </c>
      <c r="T191" s="21" t="s">
        <v>46</v>
      </c>
      <c r="U191" s="21" t="s">
        <v>46</v>
      </c>
      <c r="V191" s="23" t="n">
        <v>3</v>
      </c>
      <c r="W191" s="5"/>
      <c r="X191" s="5" t="s">
        <v>46</v>
      </c>
      <c r="Y191" s="1" t="n">
        <v>5500</v>
      </c>
      <c r="Z191" s="5" t="s">
        <v>250</v>
      </c>
      <c r="AA191" s="5" t="s">
        <v>251</v>
      </c>
      <c r="AB191" s="13" t="str">
        <f aca="true" t="array" ref="AB191:AB191">LEFT(AA191,LOOKUP(2^15,FIND(".",AA191,ROW(INDIRECT("1:"&amp;LEN(AA191)))))-1)</f>
        <v>NB_2021_056 - 21122021 - 1</v>
      </c>
      <c r="AC191" s="5" t="s">
        <v>252</v>
      </c>
      <c r="AD191" s="13" t="str">
        <f aca="true" t="array" ref="AD191:AD191">LEFT(AC191,LOOKUP(2^15,FIND(".",AC191,ROW(INDIRECT("1:"&amp;LEN(AC191)))))-1)</f>
        <v>NB_2021_056 - 21122021 - 2</v>
      </c>
      <c r="AE191" s="5" t="str">
        <f aca="false">CONCATENATE(AB191, "-",H191, ".mzML")</f>
        <v>NB_2021_056 - 21122021 - 1-Blank_3.mzML</v>
      </c>
      <c r="AF191" s="5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3" t="s">
        <v>239</v>
      </c>
      <c r="B192" s="4"/>
      <c r="C192" s="3" t="s">
        <v>240</v>
      </c>
      <c r="D192" s="5" t="s">
        <v>14</v>
      </c>
      <c r="E192" s="5" t="s">
        <v>241</v>
      </c>
      <c r="F192" s="6" t="s">
        <v>242</v>
      </c>
      <c r="G192" s="5" t="s">
        <v>241</v>
      </c>
      <c r="H192" s="24" t="s">
        <v>68</v>
      </c>
      <c r="I192" s="5" t="str">
        <f aca="false">CONCATENATE(E192, "_",H192)</f>
        <v>NLA_2021_009_QC_C_1</v>
      </c>
      <c r="J192" s="5" t="s">
        <v>46</v>
      </c>
      <c r="K192" s="21" t="s">
        <v>263</v>
      </c>
      <c r="L192" s="8" t="s">
        <v>69</v>
      </c>
      <c r="M192" s="5" t="s">
        <v>46</v>
      </c>
      <c r="N192" s="5" t="s">
        <v>70</v>
      </c>
      <c r="O192" s="5" t="s">
        <v>46</v>
      </c>
      <c r="P192" s="5" t="s">
        <v>71</v>
      </c>
      <c r="Q192" s="5" t="s">
        <v>71</v>
      </c>
      <c r="R192" s="5" t="s">
        <v>72</v>
      </c>
      <c r="S192" s="5" t="s">
        <v>73</v>
      </c>
      <c r="T192" s="5" t="s">
        <v>46</v>
      </c>
      <c r="U192" s="5" t="n">
        <v>1000</v>
      </c>
      <c r="V192" s="23" t="n">
        <v>1</v>
      </c>
      <c r="W192" s="5"/>
      <c r="X192" s="5" t="s">
        <v>74</v>
      </c>
      <c r="Y192" s="1" t="n">
        <v>5500</v>
      </c>
      <c r="Z192" s="5" t="s">
        <v>250</v>
      </c>
      <c r="AA192" s="5" t="s">
        <v>251</v>
      </c>
      <c r="AB192" s="13" t="str">
        <f aca="true" t="array" ref="AB192:AB192">LEFT(AA192,LOOKUP(2^15,FIND(".",AA192,ROW(INDIRECT("1:"&amp;LEN(AA192)))))-1)</f>
        <v>NB_2021_056 - 21122021 - 1</v>
      </c>
      <c r="AC192" s="5" t="s">
        <v>252</v>
      </c>
      <c r="AD192" s="13" t="str">
        <f aca="true" t="array" ref="AD192:AD192">LEFT(AC192,LOOKUP(2^15,FIND(".",AC192,ROW(INDIRECT("1:"&amp;LEN(AC192)))))-1)</f>
        <v>NB_2021_056 - 21122021 - 2</v>
      </c>
      <c r="AE192" s="5" t="str">
        <f aca="false">CONCATENATE(AB192, "-",H192, ".mzML")</f>
        <v>NB_2021_056 - 21122021 - 1-QC_C_1.mzML</v>
      </c>
      <c r="AF192" s="5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3" t="s">
        <v>239</v>
      </c>
      <c r="B193" s="4"/>
      <c r="C193" s="3" t="s">
        <v>240</v>
      </c>
      <c r="D193" s="5" t="s">
        <v>14</v>
      </c>
      <c r="E193" s="5" t="s">
        <v>241</v>
      </c>
      <c r="F193" s="6" t="s">
        <v>242</v>
      </c>
      <c r="G193" s="5" t="s">
        <v>241</v>
      </c>
      <c r="H193" s="24" t="s">
        <v>75</v>
      </c>
      <c r="I193" s="5" t="str">
        <f aca="false">CONCATENATE(E193, "_",H193)</f>
        <v>NLA_2021_009_QC_C_2</v>
      </c>
      <c r="J193" s="5" t="s">
        <v>46</v>
      </c>
      <c r="K193" s="21" t="s">
        <v>264</v>
      </c>
      <c r="L193" s="8" t="s">
        <v>69</v>
      </c>
      <c r="M193" s="5" t="s">
        <v>46</v>
      </c>
      <c r="N193" s="5" t="s">
        <v>70</v>
      </c>
      <c r="O193" s="5" t="s">
        <v>46</v>
      </c>
      <c r="P193" s="5" t="s">
        <v>71</v>
      </c>
      <c r="Q193" s="5" t="s">
        <v>71</v>
      </c>
      <c r="R193" s="5" t="s">
        <v>72</v>
      </c>
      <c r="S193" s="5" t="s">
        <v>73</v>
      </c>
      <c r="T193" s="5" t="s">
        <v>46</v>
      </c>
      <c r="U193" s="5" t="n">
        <v>1000</v>
      </c>
      <c r="V193" s="23" t="n">
        <v>2</v>
      </c>
      <c r="W193" s="5"/>
      <c r="X193" s="5" t="s">
        <v>74</v>
      </c>
      <c r="Y193" s="1" t="n">
        <v>5500</v>
      </c>
      <c r="Z193" s="5" t="s">
        <v>250</v>
      </c>
      <c r="AA193" s="5" t="s">
        <v>251</v>
      </c>
      <c r="AB193" s="13" t="str">
        <f aca="true" t="array" ref="AB193:AB193">LEFT(AA193,LOOKUP(2^15,FIND(".",AA193,ROW(INDIRECT("1:"&amp;LEN(AA193)))))-1)</f>
        <v>NB_2021_056 - 21122021 - 1</v>
      </c>
      <c r="AC193" s="5" t="s">
        <v>252</v>
      </c>
      <c r="AD193" s="13" t="str">
        <f aca="true" t="array" ref="AD193:AD193">LEFT(AC193,LOOKUP(2^15,FIND(".",AC193,ROW(INDIRECT("1:"&amp;LEN(AC193)))))-1)</f>
        <v>NB_2021_056 - 21122021 - 2</v>
      </c>
      <c r="AE193" s="5" t="str">
        <f aca="false">CONCATENATE(AB193, "-",H193, ".mzML")</f>
        <v>NB_2021_056 - 21122021 - 1-QC_C_2.mzML</v>
      </c>
      <c r="AF193" s="5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3" t="s">
        <v>239</v>
      </c>
      <c r="B194" s="4"/>
      <c r="C194" s="3" t="s">
        <v>240</v>
      </c>
      <c r="D194" s="5" t="s">
        <v>14</v>
      </c>
      <c r="E194" s="5" t="s">
        <v>241</v>
      </c>
      <c r="F194" s="6" t="s">
        <v>242</v>
      </c>
      <c r="G194" s="5" t="s">
        <v>241</v>
      </c>
      <c r="H194" s="24" t="s">
        <v>76</v>
      </c>
      <c r="I194" s="5" t="str">
        <f aca="false">CONCATENATE(E194, "_",H194)</f>
        <v>NLA_2021_009_QC_C_3</v>
      </c>
      <c r="J194" s="5" t="s">
        <v>46</v>
      </c>
      <c r="K194" s="21" t="s">
        <v>265</v>
      </c>
      <c r="L194" s="8" t="s">
        <v>69</v>
      </c>
      <c r="M194" s="5" t="s">
        <v>46</v>
      </c>
      <c r="N194" s="5" t="s">
        <v>70</v>
      </c>
      <c r="O194" s="5" t="s">
        <v>46</v>
      </c>
      <c r="P194" s="5" t="s">
        <v>71</v>
      </c>
      <c r="Q194" s="5" t="s">
        <v>71</v>
      </c>
      <c r="R194" s="5" t="s">
        <v>72</v>
      </c>
      <c r="S194" s="5" t="s">
        <v>73</v>
      </c>
      <c r="T194" s="5" t="s">
        <v>46</v>
      </c>
      <c r="U194" s="5" t="n">
        <v>1000</v>
      </c>
      <c r="V194" s="23" t="n">
        <v>3</v>
      </c>
      <c r="W194" s="5"/>
      <c r="X194" s="5" t="s">
        <v>74</v>
      </c>
      <c r="Y194" s="1" t="n">
        <v>5500</v>
      </c>
      <c r="Z194" s="5" t="s">
        <v>250</v>
      </c>
      <c r="AA194" s="5" t="s">
        <v>251</v>
      </c>
      <c r="AB194" s="13" t="str">
        <f aca="true" t="array" ref="AB194:AB194">LEFT(AA194,LOOKUP(2^15,FIND(".",AA194,ROW(INDIRECT("1:"&amp;LEN(AA194)))))-1)</f>
        <v>NB_2021_056 - 21122021 - 1</v>
      </c>
      <c r="AC194" s="5" t="s">
        <v>252</v>
      </c>
      <c r="AD194" s="13" t="str">
        <f aca="true" t="array" ref="AD194:AD194">LEFT(AC194,LOOKUP(2^15,FIND(".",AC194,ROW(INDIRECT("1:"&amp;LEN(AC194)))))-1)</f>
        <v>NB_2021_056 - 21122021 - 2</v>
      </c>
      <c r="AE194" s="5" t="str">
        <f aca="false">CONCATENATE(AB194, "-",H194, ".mzML")</f>
        <v>NB_2021_056 - 21122021 - 1-QC_C_3.mzML</v>
      </c>
      <c r="AF194" s="5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3" t="s">
        <v>239</v>
      </c>
      <c r="B195" s="4"/>
      <c r="C195" s="3" t="s">
        <v>240</v>
      </c>
      <c r="D195" s="5" t="s">
        <v>14</v>
      </c>
      <c r="E195" s="5" t="s">
        <v>241</v>
      </c>
      <c r="F195" s="6" t="s">
        <v>242</v>
      </c>
      <c r="G195" s="5" t="s">
        <v>241</v>
      </c>
      <c r="H195" s="24" t="s">
        <v>77</v>
      </c>
      <c r="I195" s="5" t="str">
        <f aca="false">CONCATENATE(E195, "_",H195)</f>
        <v>NLA_2021_009_QC_P_1</v>
      </c>
      <c r="J195" s="5" t="s">
        <v>46</v>
      </c>
      <c r="K195" s="21" t="s">
        <v>266</v>
      </c>
      <c r="L195" s="8" t="s">
        <v>69</v>
      </c>
      <c r="M195" s="6" t="s">
        <v>46</v>
      </c>
      <c r="N195" s="5" t="s">
        <v>78</v>
      </c>
      <c r="O195" s="5" t="s">
        <v>46</v>
      </c>
      <c r="P195" s="5" t="s">
        <v>79</v>
      </c>
      <c r="Q195" s="5" t="s">
        <v>80</v>
      </c>
      <c r="R195" s="5" t="s">
        <v>81</v>
      </c>
      <c r="S195" s="5" t="s">
        <v>46</v>
      </c>
      <c r="T195" s="5" t="s">
        <v>46</v>
      </c>
      <c r="U195" s="5" t="s">
        <v>82</v>
      </c>
      <c r="V195" s="23" t="n">
        <v>1</v>
      </c>
      <c r="W195" s="5"/>
      <c r="X195" s="5" t="s">
        <v>83</v>
      </c>
      <c r="Y195" s="1" t="n">
        <v>5500</v>
      </c>
      <c r="Z195" s="5" t="s">
        <v>250</v>
      </c>
      <c r="AA195" s="5" t="s">
        <v>251</v>
      </c>
      <c r="AB195" s="13" t="str">
        <f aca="true" t="array" ref="AB195:AB195">LEFT(AA195,LOOKUP(2^15,FIND(".",AA195,ROW(INDIRECT("1:"&amp;LEN(AA195)))))-1)</f>
        <v>NB_2021_056 - 21122021 - 1</v>
      </c>
      <c r="AC195" s="5" t="s">
        <v>252</v>
      </c>
      <c r="AD195" s="13" t="str">
        <f aca="true" t="array" ref="AD195:AD195">LEFT(AC195,LOOKUP(2^15,FIND(".",AC195,ROW(INDIRECT("1:"&amp;LEN(AC195)))))-1)</f>
        <v>NB_2021_056 - 21122021 - 2</v>
      </c>
      <c r="AE195" s="5" t="str">
        <f aca="false">CONCATENATE(AB195, "-",H195, ".mzML")</f>
        <v>NB_2021_056 - 21122021 - 1-QC_P_1.mzML</v>
      </c>
      <c r="AF195" s="5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3" t="s">
        <v>239</v>
      </c>
      <c r="B196" s="4"/>
      <c r="C196" s="3" t="s">
        <v>240</v>
      </c>
      <c r="D196" s="5" t="s">
        <v>14</v>
      </c>
      <c r="E196" s="5" t="s">
        <v>241</v>
      </c>
      <c r="F196" s="6" t="s">
        <v>242</v>
      </c>
      <c r="G196" s="5" t="s">
        <v>241</v>
      </c>
      <c r="H196" s="24" t="s">
        <v>84</v>
      </c>
      <c r="I196" s="5" t="str">
        <f aca="false">CONCATENATE(E196, "_",H196)</f>
        <v>NLA_2021_009_QC_P_2</v>
      </c>
      <c r="J196" s="5" t="s">
        <v>46</v>
      </c>
      <c r="K196" s="21" t="s">
        <v>267</v>
      </c>
      <c r="L196" s="8" t="s">
        <v>69</v>
      </c>
      <c r="M196" s="6" t="s">
        <v>46</v>
      </c>
      <c r="N196" s="5" t="s">
        <v>78</v>
      </c>
      <c r="O196" s="5" t="s">
        <v>46</v>
      </c>
      <c r="P196" s="5" t="s">
        <v>79</v>
      </c>
      <c r="Q196" s="5" t="s">
        <v>80</v>
      </c>
      <c r="R196" s="5" t="s">
        <v>81</v>
      </c>
      <c r="S196" s="5" t="s">
        <v>46</v>
      </c>
      <c r="T196" s="5" t="s">
        <v>46</v>
      </c>
      <c r="U196" s="5" t="s">
        <v>82</v>
      </c>
      <c r="V196" s="23" t="n">
        <v>2</v>
      </c>
      <c r="W196" s="5"/>
      <c r="X196" s="5" t="s">
        <v>83</v>
      </c>
      <c r="Y196" s="1" t="n">
        <v>5500</v>
      </c>
      <c r="Z196" s="5" t="s">
        <v>250</v>
      </c>
      <c r="AA196" s="5" t="s">
        <v>251</v>
      </c>
      <c r="AB196" s="13" t="str">
        <f aca="true" t="array" ref="AB196:AB196">LEFT(AA196,LOOKUP(2^15,FIND(".",AA196,ROW(INDIRECT("1:"&amp;LEN(AA196)))))-1)</f>
        <v>NB_2021_056 - 21122021 - 1</v>
      </c>
      <c r="AC196" s="5" t="s">
        <v>252</v>
      </c>
      <c r="AD196" s="13" t="str">
        <f aca="true" t="array" ref="AD196:AD196">LEFT(AC196,LOOKUP(2^15,FIND(".",AC196,ROW(INDIRECT("1:"&amp;LEN(AC196)))))-1)</f>
        <v>NB_2021_056 - 21122021 - 2</v>
      </c>
      <c r="AE196" s="5" t="str">
        <f aca="false">CONCATENATE(AB196, "-",H196, ".mzML")</f>
        <v>NB_2021_056 - 21122021 - 1-QC_P_2.mzML</v>
      </c>
      <c r="AF196" s="5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3" t="s">
        <v>239</v>
      </c>
      <c r="B197" s="4"/>
      <c r="C197" s="3" t="s">
        <v>240</v>
      </c>
      <c r="D197" s="5" t="s">
        <v>14</v>
      </c>
      <c r="E197" s="5" t="s">
        <v>241</v>
      </c>
      <c r="F197" s="6" t="s">
        <v>242</v>
      </c>
      <c r="G197" s="5" t="s">
        <v>241</v>
      </c>
      <c r="H197" s="24" t="s">
        <v>85</v>
      </c>
      <c r="I197" s="5" t="str">
        <f aca="false">CONCATENATE(E197, "_",H197)</f>
        <v>NLA_2021_009_QC_P_3</v>
      </c>
      <c r="J197" s="5" t="s">
        <v>46</v>
      </c>
      <c r="K197" s="21" t="s">
        <v>268</v>
      </c>
      <c r="L197" s="8" t="s">
        <v>69</v>
      </c>
      <c r="M197" s="6" t="s">
        <v>46</v>
      </c>
      <c r="N197" s="5" t="s">
        <v>78</v>
      </c>
      <c r="O197" s="5" t="s">
        <v>46</v>
      </c>
      <c r="P197" s="5" t="s">
        <v>79</v>
      </c>
      <c r="Q197" s="5" t="s">
        <v>80</v>
      </c>
      <c r="R197" s="5" t="s">
        <v>81</v>
      </c>
      <c r="S197" s="5" t="s">
        <v>46</v>
      </c>
      <c r="T197" s="5" t="s">
        <v>46</v>
      </c>
      <c r="U197" s="5" t="s">
        <v>82</v>
      </c>
      <c r="V197" s="23" t="n">
        <v>3</v>
      </c>
      <c r="W197" s="5"/>
      <c r="X197" s="5" t="s">
        <v>83</v>
      </c>
      <c r="Y197" s="1" t="n">
        <v>5500</v>
      </c>
      <c r="Z197" s="5" t="s">
        <v>250</v>
      </c>
      <c r="AA197" s="5" t="s">
        <v>251</v>
      </c>
      <c r="AB197" s="13" t="str">
        <f aca="true" t="array" ref="AB197:AB197">LEFT(AA197,LOOKUP(2^15,FIND(".",AA197,ROW(INDIRECT("1:"&amp;LEN(AA197)))))-1)</f>
        <v>NB_2021_056 - 21122021 - 1</v>
      </c>
      <c r="AC197" s="5" t="s">
        <v>252</v>
      </c>
      <c r="AD197" s="13" t="str">
        <f aca="true" t="array" ref="AD197:AD197">LEFT(AC197,LOOKUP(2^15,FIND(".",AC197,ROW(INDIRECT("1:"&amp;LEN(AC197)))))-1)</f>
        <v>NB_2021_056 - 21122021 - 2</v>
      </c>
      <c r="AE197" s="5" t="str">
        <f aca="false">CONCATENATE(AB197, "-",H197, ".mzML")</f>
        <v>NB_2021_056 - 21122021 - 1-QC_P_3.mzML</v>
      </c>
      <c r="AF197" s="5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3" t="s">
        <v>269</v>
      </c>
      <c r="B198" s="4"/>
      <c r="C198" s="3" t="s">
        <v>270</v>
      </c>
      <c r="D198" s="5" t="s">
        <v>14</v>
      </c>
      <c r="E198" s="5" t="s">
        <v>271</v>
      </c>
      <c r="F198" s="6" t="s">
        <v>272</v>
      </c>
      <c r="G198" s="5" t="s">
        <v>273</v>
      </c>
      <c r="H198" s="24" t="s">
        <v>108</v>
      </c>
      <c r="I198" s="5" t="str">
        <f aca="false">CONCATENATE(E198, "_",H198)</f>
        <v>NLA_2022_007_001</v>
      </c>
      <c r="J198" s="5" t="s">
        <v>38</v>
      </c>
      <c r="K198" s="5" t="s">
        <v>274</v>
      </c>
      <c r="L198" s="8" t="s">
        <v>69</v>
      </c>
      <c r="M198" s="6" t="s">
        <v>275</v>
      </c>
      <c r="N198" s="5" t="s">
        <v>41</v>
      </c>
      <c r="O198" s="5" t="s">
        <v>42</v>
      </c>
      <c r="P198" s="5" t="s">
        <v>162</v>
      </c>
      <c r="Q198" s="5" t="s">
        <v>162</v>
      </c>
      <c r="R198" s="5" t="s">
        <v>72</v>
      </c>
      <c r="S198" s="5" t="s">
        <v>45</v>
      </c>
      <c r="T198" s="5" t="s">
        <v>46</v>
      </c>
      <c r="U198" s="5" t="n">
        <v>1000</v>
      </c>
      <c r="V198" s="1" t="n">
        <v>1</v>
      </c>
      <c r="W198" s="5"/>
      <c r="X198" s="5" t="s">
        <v>47</v>
      </c>
      <c r="Y198" s="1" t="n">
        <v>5500</v>
      </c>
      <c r="Z198" s="5" t="s">
        <v>276</v>
      </c>
      <c r="AA198" s="5" t="s">
        <v>277</v>
      </c>
      <c r="AB198" s="13" t="str">
        <f aca="true" t="array" ref="AB198:AB198">LEFT(AA198,LOOKUP(2^15,FIND(".",AA198,ROW(INDIRECT("1:"&amp;LEN(AA198)))))-1)</f>
        <v>NB_2022_030 - 20062022 - 1</v>
      </c>
      <c r="AC198" s="5" t="s">
        <v>278</v>
      </c>
      <c r="AD198" s="13" t="str">
        <f aca="true" t="array" ref="AD198:AD198">LEFT(AC198,LOOKUP(2^15,FIND(".",AC198,ROW(INDIRECT("1:"&amp;LEN(AC198)))))-1)</f>
        <v>NB_2022_030 - 20062022 - 2</v>
      </c>
      <c r="AE198" s="5" t="str">
        <f aca="false">CONCATENATE(AB198, "-",H198, ".mzML")</f>
        <v>NB_2022_030 - 20062022 - 1-001.mzML</v>
      </c>
      <c r="AF198" s="5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3" t="s">
        <v>269</v>
      </c>
      <c r="B199" s="4"/>
      <c r="C199" s="3" t="s">
        <v>270</v>
      </c>
      <c r="D199" s="5" t="s">
        <v>14</v>
      </c>
      <c r="E199" s="5" t="s">
        <v>271</v>
      </c>
      <c r="F199" s="6" t="s">
        <v>272</v>
      </c>
      <c r="G199" s="5" t="s">
        <v>273</v>
      </c>
      <c r="H199" s="24" t="s">
        <v>88</v>
      </c>
      <c r="I199" s="5" t="str">
        <f aca="false">CONCATENATE(E199, "_",H199)</f>
        <v>NLA_2022_007_002</v>
      </c>
      <c r="J199" s="5" t="s">
        <v>38</v>
      </c>
      <c r="K199" s="5" t="s">
        <v>274</v>
      </c>
      <c r="L199" s="8" t="s">
        <v>69</v>
      </c>
      <c r="M199" s="6" t="s">
        <v>275</v>
      </c>
      <c r="N199" s="5" t="s">
        <v>41</v>
      </c>
      <c r="O199" s="5" t="s">
        <v>42</v>
      </c>
      <c r="P199" s="5" t="s">
        <v>162</v>
      </c>
      <c r="Q199" s="5" t="s">
        <v>162</v>
      </c>
      <c r="R199" s="5" t="s">
        <v>72</v>
      </c>
      <c r="S199" s="5" t="s">
        <v>45</v>
      </c>
      <c r="T199" s="5" t="s">
        <v>46</v>
      </c>
      <c r="U199" s="5" t="n">
        <v>1000</v>
      </c>
      <c r="V199" s="1" t="n">
        <v>2</v>
      </c>
      <c r="W199" s="5"/>
      <c r="X199" s="5" t="s">
        <v>47</v>
      </c>
      <c r="Y199" s="1" t="n">
        <v>5500</v>
      </c>
      <c r="Z199" s="5" t="s">
        <v>276</v>
      </c>
      <c r="AA199" s="5" t="s">
        <v>277</v>
      </c>
      <c r="AB199" s="13" t="str">
        <f aca="true" t="array" ref="AB199:AB199">LEFT(AA199,LOOKUP(2^15,FIND(".",AA199,ROW(INDIRECT("1:"&amp;LEN(AA199)))))-1)</f>
        <v>NB_2022_030 - 20062022 - 1</v>
      </c>
      <c r="AC199" s="5" t="s">
        <v>278</v>
      </c>
      <c r="AD199" s="13" t="str">
        <f aca="true" t="array" ref="AD199:AD199">LEFT(AC199,LOOKUP(2^15,FIND(".",AC199,ROW(INDIRECT("1:"&amp;LEN(AC199)))))-1)</f>
        <v>NB_2022_030 - 20062022 - 2</v>
      </c>
      <c r="AE199" s="5" t="str">
        <f aca="false">CONCATENATE(AB199, "-",H199, ".mzML")</f>
        <v>NB_2022_030 - 20062022 - 1-002.mzML</v>
      </c>
      <c r="AF199" s="5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3" t="s">
        <v>269</v>
      </c>
      <c r="B200" s="4"/>
      <c r="C200" s="3" t="s">
        <v>270</v>
      </c>
      <c r="D200" s="5" t="s">
        <v>14</v>
      </c>
      <c r="E200" s="5" t="s">
        <v>271</v>
      </c>
      <c r="F200" s="6" t="s">
        <v>272</v>
      </c>
      <c r="G200" s="5" t="s">
        <v>273</v>
      </c>
      <c r="H200" s="24" t="s">
        <v>97</v>
      </c>
      <c r="I200" s="5" t="str">
        <f aca="false">CONCATENATE(E200, "_",H200)</f>
        <v>NLA_2022_007_003</v>
      </c>
      <c r="J200" s="5" t="s">
        <v>38</v>
      </c>
      <c r="K200" s="5" t="s">
        <v>274</v>
      </c>
      <c r="L200" s="8" t="s">
        <v>69</v>
      </c>
      <c r="M200" s="6" t="s">
        <v>275</v>
      </c>
      <c r="N200" s="5" t="s">
        <v>41</v>
      </c>
      <c r="O200" s="5" t="s">
        <v>42</v>
      </c>
      <c r="P200" s="5" t="s">
        <v>162</v>
      </c>
      <c r="Q200" s="5" t="s">
        <v>162</v>
      </c>
      <c r="R200" s="5" t="s">
        <v>72</v>
      </c>
      <c r="S200" s="5" t="s">
        <v>45</v>
      </c>
      <c r="T200" s="5" t="s">
        <v>46</v>
      </c>
      <c r="U200" s="5" t="n">
        <v>1000</v>
      </c>
      <c r="V200" s="1" t="n">
        <v>3</v>
      </c>
      <c r="W200" s="5"/>
      <c r="X200" s="5" t="s">
        <v>47</v>
      </c>
      <c r="Y200" s="1" t="n">
        <v>5500</v>
      </c>
      <c r="Z200" s="5" t="s">
        <v>276</v>
      </c>
      <c r="AA200" s="5" t="s">
        <v>277</v>
      </c>
      <c r="AB200" s="13" t="str">
        <f aca="true" t="array" ref="AB200:AB200">LEFT(AA200,LOOKUP(2^15,FIND(".",AA200,ROW(INDIRECT("1:"&amp;LEN(AA200)))))-1)</f>
        <v>NB_2022_030 - 20062022 - 1</v>
      </c>
      <c r="AC200" s="5" t="s">
        <v>278</v>
      </c>
      <c r="AD200" s="13" t="str">
        <f aca="true" t="array" ref="AD200:AD200">LEFT(AC200,LOOKUP(2^15,FIND(".",AC200,ROW(INDIRECT("1:"&amp;LEN(AC200)))))-1)</f>
        <v>NB_2022_030 - 20062022 - 2</v>
      </c>
      <c r="AE200" s="5" t="str">
        <f aca="false">CONCATENATE(AB200, "-",H200, ".mzML")</f>
        <v>NB_2022_030 - 20062022 - 1-003.mzML</v>
      </c>
      <c r="AF200" s="5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3" t="s">
        <v>269</v>
      </c>
      <c r="B201" s="4"/>
      <c r="C201" s="3" t="s">
        <v>270</v>
      </c>
      <c r="D201" s="5" t="s">
        <v>14</v>
      </c>
      <c r="E201" s="5" t="s">
        <v>271</v>
      </c>
      <c r="F201" s="6" t="s">
        <v>272</v>
      </c>
      <c r="G201" s="5" t="s">
        <v>273</v>
      </c>
      <c r="H201" s="24" t="s">
        <v>227</v>
      </c>
      <c r="I201" s="5" t="str">
        <f aca="false">CONCATENATE(E201, "_",H201)</f>
        <v>NLA_2022_007_019</v>
      </c>
      <c r="J201" s="5" t="s">
        <v>52</v>
      </c>
      <c r="K201" s="5" t="s">
        <v>279</v>
      </c>
      <c r="L201" s="8" t="s">
        <v>69</v>
      </c>
      <c r="M201" s="6" t="s">
        <v>275</v>
      </c>
      <c r="N201" s="5" t="s">
        <v>41</v>
      </c>
      <c r="O201" s="5" t="s">
        <v>54</v>
      </c>
      <c r="P201" s="5" t="s">
        <v>162</v>
      </c>
      <c r="Q201" s="5" t="s">
        <v>229</v>
      </c>
      <c r="R201" s="5" t="s">
        <v>72</v>
      </c>
      <c r="S201" s="5" t="s">
        <v>45</v>
      </c>
      <c r="T201" s="5" t="s">
        <v>46</v>
      </c>
      <c r="U201" s="5" t="n">
        <v>1000</v>
      </c>
      <c r="V201" s="1" t="n">
        <v>1</v>
      </c>
      <c r="W201" s="5"/>
      <c r="X201" s="5" t="s">
        <v>47</v>
      </c>
      <c r="Y201" s="1" t="n">
        <v>5500</v>
      </c>
      <c r="Z201" s="5" t="s">
        <v>276</v>
      </c>
      <c r="AA201" s="5" t="s">
        <v>277</v>
      </c>
      <c r="AB201" s="13" t="str">
        <f aca="true" t="array" ref="AB201:AB201">LEFT(AA201,LOOKUP(2^15,FIND(".",AA201,ROW(INDIRECT("1:"&amp;LEN(AA201)))))-1)</f>
        <v>NB_2022_030 - 20062022 - 1</v>
      </c>
      <c r="AC201" s="5" t="s">
        <v>278</v>
      </c>
      <c r="AD201" s="13" t="str">
        <f aca="true" t="array" ref="AD201:AD201">LEFT(AC201,LOOKUP(2^15,FIND(".",AC201,ROW(INDIRECT("1:"&amp;LEN(AC201)))))-1)</f>
        <v>NB_2022_030 - 20062022 - 2</v>
      </c>
      <c r="AE201" s="5" t="str">
        <f aca="false">CONCATENATE(AB201, "-",H201, ".mzML")</f>
        <v>NB_2022_030 - 20062022 - 1-019.mzML</v>
      </c>
      <c r="AF201" s="5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3" t="s">
        <v>269</v>
      </c>
      <c r="B202" s="4"/>
      <c r="C202" s="3" t="s">
        <v>270</v>
      </c>
      <c r="D202" s="5" t="s">
        <v>14</v>
      </c>
      <c r="E202" s="5" t="s">
        <v>271</v>
      </c>
      <c r="F202" s="6" t="s">
        <v>272</v>
      </c>
      <c r="G202" s="5" t="s">
        <v>273</v>
      </c>
      <c r="H202" s="24" t="s">
        <v>230</v>
      </c>
      <c r="I202" s="5" t="str">
        <f aca="false">CONCATENATE(E202, "_",H202)</f>
        <v>NLA_2022_007_020</v>
      </c>
      <c r="J202" s="5" t="s">
        <v>52</v>
      </c>
      <c r="K202" s="5" t="s">
        <v>279</v>
      </c>
      <c r="L202" s="8" t="s">
        <v>69</v>
      </c>
      <c r="M202" s="6" t="s">
        <v>275</v>
      </c>
      <c r="N202" s="5" t="s">
        <v>41</v>
      </c>
      <c r="O202" s="5" t="s">
        <v>54</v>
      </c>
      <c r="P202" s="5" t="s">
        <v>162</v>
      </c>
      <c r="Q202" s="5" t="s">
        <v>229</v>
      </c>
      <c r="R202" s="5" t="s">
        <v>72</v>
      </c>
      <c r="S202" s="5" t="s">
        <v>45</v>
      </c>
      <c r="T202" s="5" t="s">
        <v>46</v>
      </c>
      <c r="U202" s="5" t="n">
        <v>1000</v>
      </c>
      <c r="V202" s="1" t="n">
        <v>2</v>
      </c>
      <c r="W202" s="5"/>
      <c r="X202" s="5" t="s">
        <v>47</v>
      </c>
      <c r="Y202" s="1" t="n">
        <v>5500</v>
      </c>
      <c r="Z202" s="5" t="s">
        <v>276</v>
      </c>
      <c r="AA202" s="5" t="s">
        <v>277</v>
      </c>
      <c r="AB202" s="13" t="str">
        <f aca="true" t="array" ref="AB202:AB202">LEFT(AA202,LOOKUP(2^15,FIND(".",AA202,ROW(INDIRECT("1:"&amp;LEN(AA202)))))-1)</f>
        <v>NB_2022_030 - 20062022 - 1</v>
      </c>
      <c r="AC202" s="5" t="s">
        <v>278</v>
      </c>
      <c r="AD202" s="13" t="str">
        <f aca="true" t="array" ref="AD202:AD202">LEFT(AC202,LOOKUP(2^15,FIND(".",AC202,ROW(INDIRECT("1:"&amp;LEN(AC202)))))-1)</f>
        <v>NB_2022_030 - 20062022 - 2</v>
      </c>
      <c r="AE202" s="5" t="str">
        <f aca="false">CONCATENATE(AB202, "-",H202, ".mzML")</f>
        <v>NB_2022_030 - 20062022 - 1-020.mzML</v>
      </c>
      <c r="AF202" s="5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3" t="s">
        <v>269</v>
      </c>
      <c r="B203" s="4"/>
      <c r="C203" s="3" t="s">
        <v>270</v>
      </c>
      <c r="D203" s="5" t="s">
        <v>14</v>
      </c>
      <c r="E203" s="5" t="s">
        <v>271</v>
      </c>
      <c r="F203" s="6" t="s">
        <v>272</v>
      </c>
      <c r="G203" s="5" t="s">
        <v>273</v>
      </c>
      <c r="H203" s="24" t="s">
        <v>62</v>
      </c>
      <c r="I203" s="5" t="str">
        <f aca="false">CONCATENATE(E203, "_",H203)</f>
        <v>NLA_2022_007_021</v>
      </c>
      <c r="J203" s="5" t="s">
        <v>52</v>
      </c>
      <c r="K203" s="5" t="s">
        <v>279</v>
      </c>
      <c r="L203" s="8" t="s">
        <v>69</v>
      </c>
      <c r="M203" s="6" t="s">
        <v>275</v>
      </c>
      <c r="N203" s="5" t="s">
        <v>41</v>
      </c>
      <c r="O203" s="5" t="s">
        <v>54</v>
      </c>
      <c r="P203" s="5" t="s">
        <v>162</v>
      </c>
      <c r="Q203" s="5" t="s">
        <v>229</v>
      </c>
      <c r="R203" s="5" t="s">
        <v>72</v>
      </c>
      <c r="S203" s="5" t="s">
        <v>45</v>
      </c>
      <c r="T203" s="5" t="s">
        <v>46</v>
      </c>
      <c r="U203" s="5" t="n">
        <v>1000</v>
      </c>
      <c r="V203" s="1" t="n">
        <v>3</v>
      </c>
      <c r="W203" s="5"/>
      <c r="X203" s="5" t="s">
        <v>47</v>
      </c>
      <c r="Y203" s="1" t="n">
        <v>5500</v>
      </c>
      <c r="Z203" s="5" t="s">
        <v>276</v>
      </c>
      <c r="AA203" s="5" t="s">
        <v>277</v>
      </c>
      <c r="AB203" s="13" t="str">
        <f aca="true" t="array" ref="AB203:AB203">LEFT(AA203,LOOKUP(2^15,FIND(".",AA203,ROW(INDIRECT("1:"&amp;LEN(AA203)))))-1)</f>
        <v>NB_2022_030 - 20062022 - 1</v>
      </c>
      <c r="AC203" s="5" t="s">
        <v>278</v>
      </c>
      <c r="AD203" s="13" t="str">
        <f aca="true" t="array" ref="AD203:AD203">LEFT(AC203,LOOKUP(2^15,FIND(".",AC203,ROW(INDIRECT("1:"&amp;LEN(AC203)))))-1)</f>
        <v>NB_2022_030 - 20062022 - 2</v>
      </c>
      <c r="AE203" s="5" t="str">
        <f aca="false">CONCATENATE(AB203, "-",H203, ".mzML")</f>
        <v>NB_2022_030 - 20062022 - 1-021.mzML</v>
      </c>
      <c r="AF203" s="5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3" t="s">
        <v>269</v>
      </c>
      <c r="B204" s="4"/>
      <c r="C204" s="3" t="s">
        <v>270</v>
      </c>
      <c r="D204" s="5" t="s">
        <v>14</v>
      </c>
      <c r="E204" s="5" t="s">
        <v>271</v>
      </c>
      <c r="F204" s="6" t="s">
        <v>272</v>
      </c>
      <c r="G204" s="5" t="s">
        <v>271</v>
      </c>
      <c r="H204" s="24" t="s">
        <v>64</v>
      </c>
      <c r="I204" s="5" t="str">
        <f aca="false">CONCATENATE(E204, "_",H204)</f>
        <v>NLA_2022_007_Blank_1</v>
      </c>
      <c r="J204" s="5" t="s">
        <v>52</v>
      </c>
      <c r="K204" s="5" t="s">
        <v>280</v>
      </c>
      <c r="L204" s="8" t="s">
        <v>46</v>
      </c>
      <c r="M204" s="6" t="s">
        <v>46</v>
      </c>
      <c r="N204" s="5" t="s">
        <v>65</v>
      </c>
      <c r="O204" s="5" t="s">
        <v>46</v>
      </c>
      <c r="P204" s="5" t="s">
        <v>46</v>
      </c>
      <c r="Q204" s="5" t="s">
        <v>46</v>
      </c>
      <c r="R204" s="5" t="s">
        <v>46</v>
      </c>
      <c r="S204" s="5" t="s">
        <v>46</v>
      </c>
      <c r="T204" s="5" t="s">
        <v>46</v>
      </c>
      <c r="U204" s="5" t="s">
        <v>46</v>
      </c>
      <c r="V204" s="1" t="n">
        <v>1</v>
      </c>
      <c r="W204" s="5"/>
      <c r="X204" s="5" t="s">
        <v>46</v>
      </c>
      <c r="Y204" s="1" t="n">
        <v>5500</v>
      </c>
      <c r="Z204" s="5" t="s">
        <v>276</v>
      </c>
      <c r="AA204" s="5" t="s">
        <v>277</v>
      </c>
      <c r="AB204" s="13" t="str">
        <f aca="true" t="array" ref="AB204:AB204">LEFT(AA204,LOOKUP(2^15,FIND(".",AA204,ROW(INDIRECT("1:"&amp;LEN(AA204)))))-1)</f>
        <v>NB_2022_030 - 20062022 - 1</v>
      </c>
      <c r="AC204" s="5" t="s">
        <v>278</v>
      </c>
      <c r="AD204" s="13" t="str">
        <f aca="true" t="array" ref="AD204:AD204">LEFT(AC204,LOOKUP(2^15,FIND(".",AC204,ROW(INDIRECT("1:"&amp;LEN(AC204)))))-1)</f>
        <v>NB_2022_030 - 20062022 - 2</v>
      </c>
      <c r="AE204" s="5" t="str">
        <f aca="false">CONCATENATE(AB204, "-",H204, ".mzML")</f>
        <v>NB_2022_030 - 20062022 - 1-Blank_1.mzML</v>
      </c>
      <c r="AF204" s="5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3" t="s">
        <v>269</v>
      </c>
      <c r="B205" s="4"/>
      <c r="C205" s="3" t="s">
        <v>270</v>
      </c>
      <c r="D205" s="5" t="s">
        <v>14</v>
      </c>
      <c r="E205" s="5" t="s">
        <v>271</v>
      </c>
      <c r="F205" s="6" t="s">
        <v>272</v>
      </c>
      <c r="G205" s="5" t="s">
        <v>271</v>
      </c>
      <c r="H205" s="24" t="s">
        <v>66</v>
      </c>
      <c r="I205" s="5" t="str">
        <f aca="false">CONCATENATE(E205, "_",H205)</f>
        <v>NLA_2022_007_Blank_2</v>
      </c>
      <c r="J205" s="5" t="s">
        <v>52</v>
      </c>
      <c r="K205" s="5" t="s">
        <v>280</v>
      </c>
      <c r="L205" s="8" t="s">
        <v>46</v>
      </c>
      <c r="M205" s="6" t="s">
        <v>46</v>
      </c>
      <c r="N205" s="5" t="s">
        <v>65</v>
      </c>
      <c r="O205" s="5" t="s">
        <v>46</v>
      </c>
      <c r="P205" s="5" t="s">
        <v>46</v>
      </c>
      <c r="Q205" s="5" t="s">
        <v>46</v>
      </c>
      <c r="R205" s="5" t="s">
        <v>46</v>
      </c>
      <c r="S205" s="5" t="s">
        <v>46</v>
      </c>
      <c r="T205" s="5" t="s">
        <v>46</v>
      </c>
      <c r="U205" s="5" t="s">
        <v>46</v>
      </c>
      <c r="V205" s="1" t="n">
        <v>2</v>
      </c>
      <c r="W205" s="5"/>
      <c r="X205" s="5" t="s">
        <v>46</v>
      </c>
      <c r="Y205" s="1" t="n">
        <v>5500</v>
      </c>
      <c r="Z205" s="5" t="s">
        <v>276</v>
      </c>
      <c r="AA205" s="5" t="s">
        <v>277</v>
      </c>
      <c r="AB205" s="13" t="str">
        <f aca="true" t="array" ref="AB205:AB205">LEFT(AA205,LOOKUP(2^15,FIND(".",AA205,ROW(INDIRECT("1:"&amp;LEN(AA205)))))-1)</f>
        <v>NB_2022_030 - 20062022 - 1</v>
      </c>
      <c r="AC205" s="5" t="s">
        <v>278</v>
      </c>
      <c r="AD205" s="13" t="str">
        <f aca="true" t="array" ref="AD205:AD205">LEFT(AC205,LOOKUP(2^15,FIND(".",AC205,ROW(INDIRECT("1:"&amp;LEN(AC205)))))-1)</f>
        <v>NB_2022_030 - 20062022 - 2</v>
      </c>
      <c r="AE205" s="5" t="str">
        <f aca="false">CONCATENATE(AB205, "-",H205, ".mzML")</f>
        <v>NB_2022_030 - 20062022 - 1-Blank_2.mzML</v>
      </c>
      <c r="AF205" s="5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3" t="s">
        <v>269</v>
      </c>
      <c r="B206" s="4"/>
      <c r="C206" s="3" t="s">
        <v>270</v>
      </c>
      <c r="D206" s="5" t="s">
        <v>14</v>
      </c>
      <c r="E206" s="5" t="s">
        <v>271</v>
      </c>
      <c r="F206" s="6" t="s">
        <v>272</v>
      </c>
      <c r="G206" s="5" t="s">
        <v>271</v>
      </c>
      <c r="H206" s="24" t="s">
        <v>67</v>
      </c>
      <c r="I206" s="5" t="str">
        <f aca="false">CONCATENATE(E206, "_",H206)</f>
        <v>NLA_2022_007_Blank_3</v>
      </c>
      <c r="J206" s="5" t="s">
        <v>52</v>
      </c>
      <c r="K206" s="5" t="s">
        <v>280</v>
      </c>
      <c r="L206" s="8" t="s">
        <v>46</v>
      </c>
      <c r="M206" s="6" t="s">
        <v>46</v>
      </c>
      <c r="N206" s="5" t="s">
        <v>65</v>
      </c>
      <c r="O206" s="5" t="s">
        <v>46</v>
      </c>
      <c r="P206" s="5" t="s">
        <v>46</v>
      </c>
      <c r="Q206" s="5" t="s">
        <v>46</v>
      </c>
      <c r="R206" s="5" t="s">
        <v>46</v>
      </c>
      <c r="S206" s="5" t="s">
        <v>46</v>
      </c>
      <c r="T206" s="5" t="s">
        <v>46</v>
      </c>
      <c r="U206" s="5" t="s">
        <v>46</v>
      </c>
      <c r="V206" s="1" t="n">
        <v>3</v>
      </c>
      <c r="W206" s="5"/>
      <c r="X206" s="5" t="s">
        <v>46</v>
      </c>
      <c r="Y206" s="1" t="n">
        <v>5500</v>
      </c>
      <c r="Z206" s="5" t="s">
        <v>276</v>
      </c>
      <c r="AA206" s="5" t="s">
        <v>277</v>
      </c>
      <c r="AB206" s="13" t="str">
        <f aca="true" t="array" ref="AB206:AB206">LEFT(AA206,LOOKUP(2^15,FIND(".",AA206,ROW(INDIRECT("1:"&amp;LEN(AA206)))))-1)</f>
        <v>NB_2022_030 - 20062022 - 1</v>
      </c>
      <c r="AC206" s="5" t="s">
        <v>278</v>
      </c>
      <c r="AD206" s="13" t="str">
        <f aca="true" t="array" ref="AD206:AD206">LEFT(AC206,LOOKUP(2^15,FIND(".",AC206,ROW(INDIRECT("1:"&amp;LEN(AC206)))))-1)</f>
        <v>NB_2022_030 - 20062022 - 2</v>
      </c>
      <c r="AE206" s="5" t="str">
        <f aca="false">CONCATENATE(AB206, "-",H206, ".mzML")</f>
        <v>NB_2022_030 - 20062022 - 1-Blank_3.mzML</v>
      </c>
      <c r="AF206" s="5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3" t="s">
        <v>269</v>
      </c>
      <c r="B207" s="4"/>
      <c r="C207" s="3" t="s">
        <v>270</v>
      </c>
      <c r="D207" s="5" t="s">
        <v>14</v>
      </c>
      <c r="E207" s="5" t="s">
        <v>271</v>
      </c>
      <c r="F207" s="6" t="s">
        <v>272</v>
      </c>
      <c r="G207" s="5" t="s">
        <v>271</v>
      </c>
      <c r="H207" s="24" t="s">
        <v>68</v>
      </c>
      <c r="I207" s="5" t="str">
        <f aca="false">CONCATENATE(E207, "_",H207)</f>
        <v>NLA_2022_007_QC_C_1</v>
      </c>
      <c r="J207" s="5" t="s">
        <v>52</v>
      </c>
      <c r="K207" s="5" t="s">
        <v>70</v>
      </c>
      <c r="L207" s="8" t="s">
        <v>69</v>
      </c>
      <c r="M207" s="5" t="s">
        <v>46</v>
      </c>
      <c r="N207" s="5" t="s">
        <v>70</v>
      </c>
      <c r="O207" s="5" t="s">
        <v>46</v>
      </c>
      <c r="P207" s="5" t="s">
        <v>71</v>
      </c>
      <c r="Q207" s="5" t="s">
        <v>71</v>
      </c>
      <c r="R207" s="5" t="s">
        <v>72</v>
      </c>
      <c r="S207" s="5" t="s">
        <v>73</v>
      </c>
      <c r="T207" s="5" t="s">
        <v>46</v>
      </c>
      <c r="U207" s="5" t="n">
        <v>1000</v>
      </c>
      <c r="V207" s="1" t="n">
        <v>1</v>
      </c>
      <c r="W207" s="5"/>
      <c r="X207" s="5" t="s">
        <v>74</v>
      </c>
      <c r="Y207" s="1" t="n">
        <v>5500</v>
      </c>
      <c r="Z207" s="5" t="s">
        <v>276</v>
      </c>
      <c r="AA207" s="5" t="s">
        <v>277</v>
      </c>
      <c r="AB207" s="13" t="str">
        <f aca="true" t="array" ref="AB207:AB207">LEFT(AA207,LOOKUP(2^15,FIND(".",AA207,ROW(INDIRECT("1:"&amp;LEN(AA207)))))-1)</f>
        <v>NB_2022_030 - 20062022 - 1</v>
      </c>
      <c r="AC207" s="5" t="s">
        <v>278</v>
      </c>
      <c r="AD207" s="13" t="str">
        <f aca="true" t="array" ref="AD207:AD207">LEFT(AC207,LOOKUP(2^15,FIND(".",AC207,ROW(INDIRECT("1:"&amp;LEN(AC207)))))-1)</f>
        <v>NB_2022_030 - 20062022 - 2</v>
      </c>
      <c r="AE207" s="5" t="str">
        <f aca="false">CONCATENATE(AB207, "-",H207, ".mzML")</f>
        <v>NB_2022_030 - 20062022 - 1-QC_C_1.mzML</v>
      </c>
      <c r="AF207" s="5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3" t="s">
        <v>269</v>
      </c>
      <c r="B208" s="4"/>
      <c r="C208" s="3" t="s">
        <v>270</v>
      </c>
      <c r="D208" s="5" t="s">
        <v>14</v>
      </c>
      <c r="E208" s="5" t="s">
        <v>271</v>
      </c>
      <c r="F208" s="6" t="s">
        <v>272</v>
      </c>
      <c r="G208" s="5" t="s">
        <v>271</v>
      </c>
      <c r="H208" s="24" t="s">
        <v>75</v>
      </c>
      <c r="I208" s="5" t="str">
        <f aca="false">CONCATENATE(E208, "_",H208)</f>
        <v>NLA_2022_007_QC_C_2</v>
      </c>
      <c r="J208" s="5" t="s">
        <v>52</v>
      </c>
      <c r="K208" s="5" t="s">
        <v>70</v>
      </c>
      <c r="L208" s="8" t="s">
        <v>69</v>
      </c>
      <c r="M208" s="5" t="s">
        <v>46</v>
      </c>
      <c r="N208" s="5" t="s">
        <v>70</v>
      </c>
      <c r="O208" s="5" t="s">
        <v>46</v>
      </c>
      <c r="P208" s="5" t="s">
        <v>71</v>
      </c>
      <c r="Q208" s="5" t="s">
        <v>71</v>
      </c>
      <c r="R208" s="5" t="s">
        <v>72</v>
      </c>
      <c r="S208" s="5" t="s">
        <v>73</v>
      </c>
      <c r="T208" s="5" t="s">
        <v>46</v>
      </c>
      <c r="U208" s="5" t="n">
        <v>1000</v>
      </c>
      <c r="V208" s="1" t="n">
        <v>2</v>
      </c>
      <c r="W208" s="5"/>
      <c r="X208" s="5" t="s">
        <v>74</v>
      </c>
      <c r="Y208" s="1" t="n">
        <v>5500</v>
      </c>
      <c r="Z208" s="5" t="s">
        <v>276</v>
      </c>
      <c r="AA208" s="5" t="s">
        <v>277</v>
      </c>
      <c r="AB208" s="13" t="str">
        <f aca="true" t="array" ref="AB208:AB208">LEFT(AA208,LOOKUP(2^15,FIND(".",AA208,ROW(INDIRECT("1:"&amp;LEN(AA208)))))-1)</f>
        <v>NB_2022_030 - 20062022 - 1</v>
      </c>
      <c r="AC208" s="5" t="s">
        <v>278</v>
      </c>
      <c r="AD208" s="13" t="str">
        <f aca="true" t="array" ref="AD208:AD208">LEFT(AC208,LOOKUP(2^15,FIND(".",AC208,ROW(INDIRECT("1:"&amp;LEN(AC208)))))-1)</f>
        <v>NB_2022_030 - 20062022 - 2</v>
      </c>
      <c r="AE208" s="5" t="str">
        <f aca="false">CONCATENATE(AB208, "-",H208, ".mzML")</f>
        <v>NB_2022_030 - 20062022 - 1-QC_C_2.mzML</v>
      </c>
      <c r="AF208" s="5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3" t="s">
        <v>269</v>
      </c>
      <c r="B209" s="4"/>
      <c r="C209" s="3" t="s">
        <v>270</v>
      </c>
      <c r="D209" s="5" t="s">
        <v>14</v>
      </c>
      <c r="E209" s="5" t="s">
        <v>271</v>
      </c>
      <c r="F209" s="6" t="s">
        <v>272</v>
      </c>
      <c r="G209" s="5" t="s">
        <v>271</v>
      </c>
      <c r="H209" s="24" t="s">
        <v>76</v>
      </c>
      <c r="I209" s="5" t="str">
        <f aca="false">CONCATENATE(E209, "_",H209)</f>
        <v>NLA_2022_007_QC_C_3</v>
      </c>
      <c r="J209" s="5" t="s">
        <v>52</v>
      </c>
      <c r="K209" s="5" t="s">
        <v>70</v>
      </c>
      <c r="L209" s="8" t="s">
        <v>69</v>
      </c>
      <c r="M209" s="5" t="s">
        <v>46</v>
      </c>
      <c r="N209" s="5" t="s">
        <v>70</v>
      </c>
      <c r="O209" s="5" t="s">
        <v>46</v>
      </c>
      <c r="P209" s="5" t="s">
        <v>71</v>
      </c>
      <c r="Q209" s="5" t="s">
        <v>71</v>
      </c>
      <c r="R209" s="5" t="s">
        <v>72</v>
      </c>
      <c r="S209" s="5" t="s">
        <v>73</v>
      </c>
      <c r="T209" s="5" t="s">
        <v>46</v>
      </c>
      <c r="U209" s="5" t="n">
        <v>1000</v>
      </c>
      <c r="V209" s="1" t="n">
        <v>3</v>
      </c>
      <c r="W209" s="5"/>
      <c r="X209" s="5" t="s">
        <v>74</v>
      </c>
      <c r="Y209" s="1" t="n">
        <v>5500</v>
      </c>
      <c r="Z209" s="5" t="s">
        <v>276</v>
      </c>
      <c r="AA209" s="5" t="s">
        <v>277</v>
      </c>
      <c r="AB209" s="13" t="str">
        <f aca="true" t="array" ref="AB209:AB209">LEFT(AA209,LOOKUP(2^15,FIND(".",AA209,ROW(INDIRECT("1:"&amp;LEN(AA209)))))-1)</f>
        <v>NB_2022_030 - 20062022 - 1</v>
      </c>
      <c r="AC209" s="5" t="s">
        <v>278</v>
      </c>
      <c r="AD209" s="13" t="str">
        <f aca="true" t="array" ref="AD209:AD209">LEFT(AC209,LOOKUP(2^15,FIND(".",AC209,ROW(INDIRECT("1:"&amp;LEN(AC209)))))-1)</f>
        <v>NB_2022_030 - 20062022 - 2</v>
      </c>
      <c r="AE209" s="5" t="str">
        <f aca="false">CONCATENATE(AB209, "-",H209, ".mzML")</f>
        <v>NB_2022_030 - 20062022 - 1-QC_C_3.mzML</v>
      </c>
      <c r="AF209" s="5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3" t="s">
        <v>269</v>
      </c>
      <c r="B210" s="4"/>
      <c r="C210" s="3" t="s">
        <v>270</v>
      </c>
      <c r="D210" s="5" t="s">
        <v>14</v>
      </c>
      <c r="E210" s="5" t="s">
        <v>271</v>
      </c>
      <c r="F210" s="6" t="s">
        <v>272</v>
      </c>
      <c r="G210" s="5" t="s">
        <v>271</v>
      </c>
      <c r="H210" s="24" t="s">
        <v>77</v>
      </c>
      <c r="I210" s="5" t="str">
        <f aca="false">CONCATENATE(E210, "_",H210)</f>
        <v>NLA_2022_007_QC_P_1</v>
      </c>
      <c r="J210" s="5" t="s">
        <v>52</v>
      </c>
      <c r="K210" s="5" t="s">
        <v>281</v>
      </c>
      <c r="L210" s="8" t="s">
        <v>69</v>
      </c>
      <c r="M210" s="6" t="s">
        <v>46</v>
      </c>
      <c r="N210" s="5" t="s">
        <v>78</v>
      </c>
      <c r="O210" s="5" t="s">
        <v>46</v>
      </c>
      <c r="P210" s="5" t="s">
        <v>79</v>
      </c>
      <c r="Q210" s="5" t="s">
        <v>80</v>
      </c>
      <c r="R210" s="5" t="s">
        <v>81</v>
      </c>
      <c r="S210" s="5" t="s">
        <v>46</v>
      </c>
      <c r="T210" s="5" t="s">
        <v>46</v>
      </c>
      <c r="U210" s="5" t="s">
        <v>82</v>
      </c>
      <c r="V210" s="1" t="n">
        <v>1</v>
      </c>
      <c r="W210" s="5"/>
      <c r="X210" s="5" t="s">
        <v>83</v>
      </c>
      <c r="Y210" s="1" t="n">
        <v>5500</v>
      </c>
      <c r="Z210" s="5" t="s">
        <v>276</v>
      </c>
      <c r="AA210" s="5" t="s">
        <v>277</v>
      </c>
      <c r="AB210" s="13" t="str">
        <f aca="true" t="array" ref="AB210:AB210">LEFT(AA210,LOOKUP(2^15,FIND(".",AA210,ROW(INDIRECT("1:"&amp;LEN(AA210)))))-1)</f>
        <v>NB_2022_030 - 20062022 - 1</v>
      </c>
      <c r="AC210" s="5" t="s">
        <v>278</v>
      </c>
      <c r="AD210" s="13" t="str">
        <f aca="true" t="array" ref="AD210:AD210">LEFT(AC210,LOOKUP(2^15,FIND(".",AC210,ROW(INDIRECT("1:"&amp;LEN(AC210)))))-1)</f>
        <v>NB_2022_030 - 20062022 - 2</v>
      </c>
      <c r="AE210" s="5" t="str">
        <f aca="false">CONCATENATE(AB210, "-",H210, ".mzML")</f>
        <v>NB_2022_030 - 20062022 - 1-QC_P_1.mzML</v>
      </c>
      <c r="AF210" s="5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3" t="s">
        <v>269</v>
      </c>
      <c r="B211" s="4"/>
      <c r="C211" s="3" t="s">
        <v>270</v>
      </c>
      <c r="D211" s="5" t="s">
        <v>14</v>
      </c>
      <c r="E211" s="5" t="s">
        <v>271</v>
      </c>
      <c r="F211" s="6" t="s">
        <v>272</v>
      </c>
      <c r="G211" s="5" t="s">
        <v>271</v>
      </c>
      <c r="H211" s="24" t="s">
        <v>84</v>
      </c>
      <c r="I211" s="5" t="str">
        <f aca="false">CONCATENATE(E211, "_",H211)</f>
        <v>NLA_2022_007_QC_P_2</v>
      </c>
      <c r="J211" s="5" t="s">
        <v>52</v>
      </c>
      <c r="K211" s="5" t="s">
        <v>281</v>
      </c>
      <c r="L211" s="8" t="s">
        <v>69</v>
      </c>
      <c r="M211" s="6" t="s">
        <v>46</v>
      </c>
      <c r="N211" s="5" t="s">
        <v>78</v>
      </c>
      <c r="O211" s="5" t="s">
        <v>46</v>
      </c>
      <c r="P211" s="5" t="s">
        <v>79</v>
      </c>
      <c r="Q211" s="5" t="s">
        <v>80</v>
      </c>
      <c r="R211" s="5" t="s">
        <v>81</v>
      </c>
      <c r="S211" s="5" t="s">
        <v>46</v>
      </c>
      <c r="T211" s="5" t="s">
        <v>46</v>
      </c>
      <c r="U211" s="5" t="s">
        <v>82</v>
      </c>
      <c r="V211" s="1" t="n">
        <v>2</v>
      </c>
      <c r="W211" s="5"/>
      <c r="X211" s="5" t="s">
        <v>83</v>
      </c>
      <c r="Y211" s="1" t="n">
        <v>5500</v>
      </c>
      <c r="Z211" s="5" t="s">
        <v>276</v>
      </c>
      <c r="AA211" s="5" t="s">
        <v>277</v>
      </c>
      <c r="AB211" s="13" t="str">
        <f aca="true" t="array" ref="AB211:AB211">LEFT(AA211,LOOKUP(2^15,FIND(".",AA211,ROW(INDIRECT("1:"&amp;LEN(AA211)))))-1)</f>
        <v>NB_2022_030 - 20062022 - 1</v>
      </c>
      <c r="AC211" s="5" t="s">
        <v>278</v>
      </c>
      <c r="AD211" s="13" t="str">
        <f aca="true" t="array" ref="AD211:AD211">LEFT(AC211,LOOKUP(2^15,FIND(".",AC211,ROW(INDIRECT("1:"&amp;LEN(AC211)))))-1)</f>
        <v>NB_2022_030 - 20062022 - 2</v>
      </c>
      <c r="AE211" s="5" t="str">
        <f aca="false">CONCATENATE(AB211, "-",H211, ".mzML")</f>
        <v>NB_2022_030 - 20062022 - 1-QC_P_2.mzML</v>
      </c>
      <c r="AF211" s="5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3" t="s">
        <v>269</v>
      </c>
      <c r="B212" s="4"/>
      <c r="C212" s="3" t="s">
        <v>270</v>
      </c>
      <c r="D212" s="5" t="s">
        <v>14</v>
      </c>
      <c r="E212" s="5" t="s">
        <v>271</v>
      </c>
      <c r="F212" s="6" t="s">
        <v>272</v>
      </c>
      <c r="G212" s="5" t="s">
        <v>271</v>
      </c>
      <c r="H212" s="24" t="s">
        <v>85</v>
      </c>
      <c r="I212" s="5" t="str">
        <f aca="false">CONCATENATE(E212, "_",H212)</f>
        <v>NLA_2022_007_QC_P_3</v>
      </c>
      <c r="J212" s="5" t="s">
        <v>52</v>
      </c>
      <c r="K212" s="5" t="s">
        <v>281</v>
      </c>
      <c r="L212" s="8" t="s">
        <v>69</v>
      </c>
      <c r="M212" s="6" t="s">
        <v>46</v>
      </c>
      <c r="N212" s="5" t="s">
        <v>78</v>
      </c>
      <c r="O212" s="5" t="s">
        <v>46</v>
      </c>
      <c r="P212" s="5" t="s">
        <v>79</v>
      </c>
      <c r="Q212" s="5" t="s">
        <v>80</v>
      </c>
      <c r="R212" s="5" t="s">
        <v>81</v>
      </c>
      <c r="S212" s="5" t="s">
        <v>46</v>
      </c>
      <c r="T212" s="5" t="s">
        <v>46</v>
      </c>
      <c r="U212" s="5" t="s">
        <v>82</v>
      </c>
      <c r="V212" s="1" t="n">
        <v>3</v>
      </c>
      <c r="W212" s="5"/>
      <c r="X212" s="5" t="s">
        <v>83</v>
      </c>
      <c r="Y212" s="1" t="n">
        <v>5500</v>
      </c>
      <c r="Z212" s="5" t="s">
        <v>276</v>
      </c>
      <c r="AA212" s="5" t="s">
        <v>277</v>
      </c>
      <c r="AB212" s="13" t="str">
        <f aca="true" t="array" ref="AB212:AB212">LEFT(AA212,LOOKUP(2^15,FIND(".",AA212,ROW(INDIRECT("1:"&amp;LEN(AA212)))))-1)</f>
        <v>NB_2022_030 - 20062022 - 1</v>
      </c>
      <c r="AC212" s="5" t="s">
        <v>278</v>
      </c>
      <c r="AD212" s="13" t="str">
        <f aca="true" t="array" ref="AD212:AD212">LEFT(AC212,LOOKUP(2^15,FIND(".",AC212,ROW(INDIRECT("1:"&amp;LEN(AC212)))))-1)</f>
        <v>NB_2022_030 - 20062022 - 2</v>
      </c>
      <c r="AE212" s="5" t="str">
        <f aca="false">CONCATENATE(AB212, "-",H212, ".mzML")</f>
        <v>NB_2022_030 - 20062022 - 1-QC_P_3.mzML</v>
      </c>
      <c r="AF212" s="5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3" t="s">
        <v>282</v>
      </c>
      <c r="B213" s="4"/>
      <c r="C213" s="3" t="s">
        <v>283</v>
      </c>
      <c r="D213" s="5" t="s">
        <v>284</v>
      </c>
      <c r="E213" s="5" t="s">
        <v>271</v>
      </c>
      <c r="F213" s="6" t="s">
        <v>272</v>
      </c>
      <c r="G213" s="5" t="s">
        <v>273</v>
      </c>
      <c r="H213" s="24" t="s">
        <v>108</v>
      </c>
      <c r="I213" s="5" t="str">
        <f aca="false">CONCATENATE(E213, "_",H213)</f>
        <v>NLA_2022_007_001</v>
      </c>
      <c r="J213" s="5" t="s">
        <v>38</v>
      </c>
      <c r="K213" s="5" t="s">
        <v>274</v>
      </c>
      <c r="L213" s="8" t="s">
        <v>69</v>
      </c>
      <c r="M213" s="6" t="s">
        <v>275</v>
      </c>
      <c r="N213" s="5" t="s">
        <v>41</v>
      </c>
      <c r="O213" s="5" t="s">
        <v>42</v>
      </c>
      <c r="P213" s="5" t="s">
        <v>162</v>
      </c>
      <c r="Q213" s="5" t="s">
        <v>162</v>
      </c>
      <c r="R213" s="5" t="s">
        <v>72</v>
      </c>
      <c r="S213" s="5" t="s">
        <v>45</v>
      </c>
      <c r="T213" s="5" t="s">
        <v>46</v>
      </c>
      <c r="U213" s="5" t="n">
        <v>1000</v>
      </c>
      <c r="V213" s="1" t="n">
        <v>1</v>
      </c>
      <c r="W213" s="5"/>
      <c r="X213" s="5" t="s">
        <v>47</v>
      </c>
      <c r="Y213" s="1" t="n">
        <v>5500</v>
      </c>
      <c r="Z213" s="5" t="s">
        <v>276</v>
      </c>
      <c r="AA213" s="5" t="s">
        <v>277</v>
      </c>
      <c r="AB213" s="13" t="str">
        <f aca="true" t="array" ref="AB213:AB213">LEFT(AA213,LOOKUP(2^15,FIND(".",AA213,ROW(INDIRECT("1:"&amp;LEN(AA213)))))-1)</f>
        <v>NB_2022_030 - 20062022 - 1</v>
      </c>
      <c r="AC213" s="5" t="s">
        <v>278</v>
      </c>
      <c r="AD213" s="13" t="str">
        <f aca="true" t="array" ref="AD213:AD213">LEFT(AC213,LOOKUP(2^15,FIND(".",AC213,ROW(INDIRECT("1:"&amp;LEN(AC213)))))-1)</f>
        <v>NB_2022_030 - 20062022 - 2</v>
      </c>
      <c r="AE213" s="5" t="str">
        <f aca="false">CONCATENATE(AB213, "-",H213, ".mzML")</f>
        <v>NB_2022_030 - 20062022 - 1-001.mzML</v>
      </c>
      <c r="AF213" s="5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3" t="s">
        <v>282</v>
      </c>
      <c r="B214" s="4"/>
      <c r="C214" s="3" t="s">
        <v>283</v>
      </c>
      <c r="D214" s="5" t="s">
        <v>284</v>
      </c>
      <c r="E214" s="5" t="s">
        <v>271</v>
      </c>
      <c r="F214" s="6" t="s">
        <v>272</v>
      </c>
      <c r="G214" s="5" t="s">
        <v>273</v>
      </c>
      <c r="H214" s="24" t="s">
        <v>88</v>
      </c>
      <c r="I214" s="5" t="str">
        <f aca="false">CONCATENATE(E214, "_",H214)</f>
        <v>NLA_2022_007_002</v>
      </c>
      <c r="J214" s="5" t="s">
        <v>38</v>
      </c>
      <c r="K214" s="5" t="s">
        <v>274</v>
      </c>
      <c r="L214" s="8" t="s">
        <v>69</v>
      </c>
      <c r="M214" s="6" t="s">
        <v>275</v>
      </c>
      <c r="N214" s="5" t="s">
        <v>41</v>
      </c>
      <c r="O214" s="5" t="s">
        <v>42</v>
      </c>
      <c r="P214" s="5" t="s">
        <v>162</v>
      </c>
      <c r="Q214" s="5" t="s">
        <v>162</v>
      </c>
      <c r="R214" s="5" t="s">
        <v>72</v>
      </c>
      <c r="S214" s="5" t="s">
        <v>45</v>
      </c>
      <c r="T214" s="5" t="s">
        <v>46</v>
      </c>
      <c r="U214" s="5" t="n">
        <v>1000</v>
      </c>
      <c r="V214" s="1" t="n">
        <v>2</v>
      </c>
      <c r="W214" s="5"/>
      <c r="X214" s="5" t="s">
        <v>47</v>
      </c>
      <c r="Y214" s="1" t="n">
        <v>5500</v>
      </c>
      <c r="Z214" s="5" t="s">
        <v>276</v>
      </c>
      <c r="AA214" s="5" t="s">
        <v>277</v>
      </c>
      <c r="AB214" s="13" t="str">
        <f aca="true" t="array" ref="AB214:AB214">LEFT(AA214,LOOKUP(2^15,FIND(".",AA214,ROW(INDIRECT("1:"&amp;LEN(AA214)))))-1)</f>
        <v>NB_2022_030 - 20062022 - 1</v>
      </c>
      <c r="AC214" s="5" t="s">
        <v>278</v>
      </c>
      <c r="AD214" s="13" t="str">
        <f aca="true" t="array" ref="AD214:AD214">LEFT(AC214,LOOKUP(2^15,FIND(".",AC214,ROW(INDIRECT("1:"&amp;LEN(AC214)))))-1)</f>
        <v>NB_2022_030 - 20062022 - 2</v>
      </c>
      <c r="AE214" s="5" t="str">
        <f aca="false">CONCATENATE(AB214, "-",H214, ".mzML")</f>
        <v>NB_2022_030 - 20062022 - 1-002.mzML</v>
      </c>
      <c r="AF214" s="5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3" t="s">
        <v>282</v>
      </c>
      <c r="B215" s="4"/>
      <c r="C215" s="3" t="s">
        <v>283</v>
      </c>
      <c r="D215" s="5" t="s">
        <v>284</v>
      </c>
      <c r="E215" s="5" t="s">
        <v>271</v>
      </c>
      <c r="F215" s="6" t="s">
        <v>272</v>
      </c>
      <c r="G215" s="5" t="s">
        <v>273</v>
      </c>
      <c r="H215" s="24" t="s">
        <v>97</v>
      </c>
      <c r="I215" s="5" t="str">
        <f aca="false">CONCATENATE(E215, "_",H215)</f>
        <v>NLA_2022_007_003</v>
      </c>
      <c r="J215" s="5" t="s">
        <v>38</v>
      </c>
      <c r="K215" s="5" t="s">
        <v>274</v>
      </c>
      <c r="L215" s="8" t="s">
        <v>69</v>
      </c>
      <c r="M215" s="6" t="s">
        <v>275</v>
      </c>
      <c r="N215" s="5" t="s">
        <v>41</v>
      </c>
      <c r="O215" s="5" t="s">
        <v>42</v>
      </c>
      <c r="P215" s="5" t="s">
        <v>162</v>
      </c>
      <c r="Q215" s="5" t="s">
        <v>162</v>
      </c>
      <c r="R215" s="5" t="s">
        <v>72</v>
      </c>
      <c r="S215" s="5" t="s">
        <v>45</v>
      </c>
      <c r="T215" s="5" t="s">
        <v>46</v>
      </c>
      <c r="U215" s="5" t="n">
        <v>1000</v>
      </c>
      <c r="V215" s="1" t="n">
        <v>3</v>
      </c>
      <c r="W215" s="5"/>
      <c r="X215" s="5" t="s">
        <v>47</v>
      </c>
      <c r="Y215" s="1" t="n">
        <v>5500</v>
      </c>
      <c r="Z215" s="5" t="s">
        <v>276</v>
      </c>
      <c r="AA215" s="5" t="s">
        <v>277</v>
      </c>
      <c r="AB215" s="13" t="str">
        <f aca="true" t="array" ref="AB215:AB215">LEFT(AA215,LOOKUP(2^15,FIND(".",AA215,ROW(INDIRECT("1:"&amp;LEN(AA215)))))-1)</f>
        <v>NB_2022_030 - 20062022 - 1</v>
      </c>
      <c r="AC215" s="5" t="s">
        <v>278</v>
      </c>
      <c r="AD215" s="13" t="str">
        <f aca="true" t="array" ref="AD215:AD215">LEFT(AC215,LOOKUP(2^15,FIND(".",AC215,ROW(INDIRECT("1:"&amp;LEN(AC215)))))-1)</f>
        <v>NB_2022_030 - 20062022 - 2</v>
      </c>
      <c r="AE215" s="5" t="str">
        <f aca="false">CONCATENATE(AB215, "-",H215, ".mzML")</f>
        <v>NB_2022_030 - 20062022 - 1-003.mzML</v>
      </c>
      <c r="AF215" s="5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3" t="s">
        <v>282</v>
      </c>
      <c r="B216" s="4"/>
      <c r="C216" s="3" t="s">
        <v>283</v>
      </c>
      <c r="D216" s="5" t="s">
        <v>284</v>
      </c>
      <c r="E216" s="5" t="s">
        <v>271</v>
      </c>
      <c r="F216" s="6" t="s">
        <v>272</v>
      </c>
      <c r="G216" s="5" t="s">
        <v>273</v>
      </c>
      <c r="H216" s="24" t="s">
        <v>99</v>
      </c>
      <c r="I216" s="5" t="str">
        <f aca="false">CONCATENATE(E216, "_",H216)</f>
        <v>NLA_2022_007_004</v>
      </c>
      <c r="J216" s="5" t="s">
        <v>38</v>
      </c>
      <c r="K216" s="5" t="s">
        <v>285</v>
      </c>
      <c r="L216" s="8" t="s">
        <v>69</v>
      </c>
      <c r="M216" s="6" t="s">
        <v>275</v>
      </c>
      <c r="N216" s="5" t="s">
        <v>41</v>
      </c>
      <c r="O216" s="5" t="s">
        <v>42</v>
      </c>
      <c r="P216" s="5" t="s">
        <v>162</v>
      </c>
      <c r="Q216" s="5" t="s">
        <v>162</v>
      </c>
      <c r="R216" s="5" t="s">
        <v>72</v>
      </c>
      <c r="S216" s="5" t="s">
        <v>90</v>
      </c>
      <c r="T216" s="5" t="s">
        <v>46</v>
      </c>
      <c r="U216" s="5" t="n">
        <v>1000</v>
      </c>
      <c r="V216" s="1" t="n">
        <v>1</v>
      </c>
      <c r="W216" s="5"/>
      <c r="X216" s="5" t="s">
        <v>47</v>
      </c>
      <c r="Y216" s="1" t="n">
        <v>5500</v>
      </c>
      <c r="Z216" s="5" t="s">
        <v>276</v>
      </c>
      <c r="AA216" s="5" t="s">
        <v>277</v>
      </c>
      <c r="AB216" s="13" t="str">
        <f aca="true" t="array" ref="AB216:AB216">LEFT(AA216,LOOKUP(2^15,FIND(".",AA216,ROW(INDIRECT("1:"&amp;LEN(AA216)))))-1)</f>
        <v>NB_2022_030 - 20062022 - 1</v>
      </c>
      <c r="AC216" s="5" t="s">
        <v>278</v>
      </c>
      <c r="AD216" s="13" t="str">
        <f aca="true" t="array" ref="AD216:AD216">LEFT(AC216,LOOKUP(2^15,FIND(".",AC216,ROW(INDIRECT("1:"&amp;LEN(AC216)))))-1)</f>
        <v>NB_2022_030 - 20062022 - 2</v>
      </c>
      <c r="AE216" s="5" t="str">
        <f aca="false">CONCATENATE(AB216, "-",H216, ".mzML")</f>
        <v>NB_2022_030 - 20062022 - 1-004.mzML</v>
      </c>
      <c r="AF216" s="5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3" t="s">
        <v>282</v>
      </c>
      <c r="B217" s="4"/>
      <c r="C217" s="3" t="s">
        <v>283</v>
      </c>
      <c r="D217" s="5" t="s">
        <v>284</v>
      </c>
      <c r="E217" s="5" t="s">
        <v>271</v>
      </c>
      <c r="F217" s="6" t="s">
        <v>272</v>
      </c>
      <c r="G217" s="5" t="s">
        <v>273</v>
      </c>
      <c r="H217" s="24" t="s">
        <v>91</v>
      </c>
      <c r="I217" s="5" t="str">
        <f aca="false">CONCATENATE(E217, "_",H217)</f>
        <v>NLA_2022_007_005</v>
      </c>
      <c r="J217" s="5" t="s">
        <v>38</v>
      </c>
      <c r="K217" s="5" t="s">
        <v>285</v>
      </c>
      <c r="L217" s="8" t="s">
        <v>69</v>
      </c>
      <c r="M217" s="6" t="s">
        <v>275</v>
      </c>
      <c r="N217" s="5" t="s">
        <v>41</v>
      </c>
      <c r="O217" s="5" t="s">
        <v>42</v>
      </c>
      <c r="P217" s="5" t="s">
        <v>162</v>
      </c>
      <c r="Q217" s="5" t="s">
        <v>162</v>
      </c>
      <c r="R217" s="5" t="s">
        <v>72</v>
      </c>
      <c r="S217" s="5" t="s">
        <v>90</v>
      </c>
      <c r="T217" s="5" t="s">
        <v>46</v>
      </c>
      <c r="U217" s="5" t="n">
        <v>1000</v>
      </c>
      <c r="V217" s="1" t="n">
        <v>2</v>
      </c>
      <c r="W217" s="5"/>
      <c r="X217" s="5" t="s">
        <v>47</v>
      </c>
      <c r="Y217" s="1" t="n">
        <v>5500</v>
      </c>
      <c r="Z217" s="5" t="s">
        <v>276</v>
      </c>
      <c r="AA217" s="5" t="s">
        <v>277</v>
      </c>
      <c r="AB217" s="13" t="str">
        <f aca="true" t="array" ref="AB217:AB217">LEFT(AA217,LOOKUP(2^15,FIND(".",AA217,ROW(INDIRECT("1:"&amp;LEN(AA217)))))-1)</f>
        <v>NB_2022_030 - 20062022 - 1</v>
      </c>
      <c r="AC217" s="5" t="s">
        <v>278</v>
      </c>
      <c r="AD217" s="13" t="str">
        <f aca="true" t="array" ref="AD217:AD217">LEFT(AC217,LOOKUP(2^15,FIND(".",AC217,ROW(INDIRECT("1:"&amp;LEN(AC217)))))-1)</f>
        <v>NB_2022_030 - 20062022 - 2</v>
      </c>
      <c r="AE217" s="5" t="str">
        <f aca="false">CONCATENATE(AB217, "-",H217, ".mzML")</f>
        <v>NB_2022_030 - 20062022 - 1-005.mzML</v>
      </c>
      <c r="AF217" s="5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3" t="s">
        <v>282</v>
      </c>
      <c r="B218" s="4"/>
      <c r="C218" s="3" t="s">
        <v>283</v>
      </c>
      <c r="D218" s="5" t="s">
        <v>284</v>
      </c>
      <c r="E218" s="5" t="s">
        <v>271</v>
      </c>
      <c r="F218" s="6" t="s">
        <v>272</v>
      </c>
      <c r="G218" s="5" t="s">
        <v>273</v>
      </c>
      <c r="H218" s="24" t="s">
        <v>101</v>
      </c>
      <c r="I218" s="5" t="str">
        <f aca="false">CONCATENATE(E218, "_",H218)</f>
        <v>NLA_2022_007_006</v>
      </c>
      <c r="J218" s="5" t="s">
        <v>38</v>
      </c>
      <c r="K218" s="5" t="s">
        <v>285</v>
      </c>
      <c r="L218" s="8" t="s">
        <v>69</v>
      </c>
      <c r="M218" s="6" t="s">
        <v>275</v>
      </c>
      <c r="N218" s="5" t="s">
        <v>41</v>
      </c>
      <c r="O218" s="5" t="s">
        <v>42</v>
      </c>
      <c r="P218" s="5" t="s">
        <v>162</v>
      </c>
      <c r="Q218" s="5" t="s">
        <v>162</v>
      </c>
      <c r="R218" s="5" t="s">
        <v>72</v>
      </c>
      <c r="S218" s="5" t="s">
        <v>90</v>
      </c>
      <c r="T218" s="5" t="s">
        <v>46</v>
      </c>
      <c r="U218" s="5" t="n">
        <v>1000</v>
      </c>
      <c r="V218" s="1" t="n">
        <v>3</v>
      </c>
      <c r="W218" s="5"/>
      <c r="X218" s="5" t="s">
        <v>47</v>
      </c>
      <c r="Y218" s="1" t="n">
        <v>5500</v>
      </c>
      <c r="Z218" s="5" t="s">
        <v>276</v>
      </c>
      <c r="AA218" s="5" t="s">
        <v>277</v>
      </c>
      <c r="AB218" s="13" t="str">
        <f aca="true" t="array" ref="AB218:AB218">LEFT(AA218,LOOKUP(2^15,FIND(".",AA218,ROW(INDIRECT("1:"&amp;LEN(AA218)))))-1)</f>
        <v>NB_2022_030 - 20062022 - 1</v>
      </c>
      <c r="AC218" s="5" t="s">
        <v>278</v>
      </c>
      <c r="AD218" s="13" t="str">
        <f aca="true" t="array" ref="AD218:AD218">LEFT(AC218,LOOKUP(2^15,FIND(".",AC218,ROW(INDIRECT("1:"&amp;LEN(AC218)))))-1)</f>
        <v>NB_2022_030 - 20062022 - 2</v>
      </c>
      <c r="AE218" s="5" t="str">
        <f aca="false">CONCATENATE(AB218, "-",H218, ".mzML")</f>
        <v>NB_2022_030 - 20062022 - 1-006.mzML</v>
      </c>
      <c r="AF218" s="5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3" t="s">
        <v>282</v>
      </c>
      <c r="B219" s="4"/>
      <c r="C219" s="3" t="s">
        <v>283</v>
      </c>
      <c r="D219" s="5" t="s">
        <v>284</v>
      </c>
      <c r="E219" s="5" t="s">
        <v>271</v>
      </c>
      <c r="F219" s="6" t="s">
        <v>272</v>
      </c>
      <c r="G219" s="5" t="s">
        <v>271</v>
      </c>
      <c r="H219" s="24" t="s">
        <v>64</v>
      </c>
      <c r="I219" s="5" t="str">
        <f aca="false">CONCATENATE(E219, "_",H219)</f>
        <v>NLA_2022_007_Blank_1</v>
      </c>
      <c r="J219" s="5" t="s">
        <v>52</v>
      </c>
      <c r="K219" s="5" t="s">
        <v>280</v>
      </c>
      <c r="L219" s="8" t="s">
        <v>46</v>
      </c>
      <c r="M219" s="6" t="s">
        <v>46</v>
      </c>
      <c r="N219" s="5" t="s">
        <v>65</v>
      </c>
      <c r="O219" s="5" t="s">
        <v>46</v>
      </c>
      <c r="P219" s="5" t="s">
        <v>46</v>
      </c>
      <c r="Q219" s="5" t="s">
        <v>46</v>
      </c>
      <c r="R219" s="5" t="s">
        <v>46</v>
      </c>
      <c r="S219" s="5" t="s">
        <v>46</v>
      </c>
      <c r="T219" s="5" t="s">
        <v>46</v>
      </c>
      <c r="U219" s="5" t="s">
        <v>46</v>
      </c>
      <c r="V219" s="1" t="n">
        <v>1</v>
      </c>
      <c r="W219" s="5"/>
      <c r="X219" s="5" t="s">
        <v>46</v>
      </c>
      <c r="Y219" s="1" t="n">
        <v>5500</v>
      </c>
      <c r="Z219" s="5" t="s">
        <v>276</v>
      </c>
      <c r="AA219" s="5" t="s">
        <v>277</v>
      </c>
      <c r="AB219" s="13" t="str">
        <f aca="true" t="array" ref="AB219:AB219">LEFT(AA219,LOOKUP(2^15,FIND(".",AA219,ROW(INDIRECT("1:"&amp;LEN(AA219)))))-1)</f>
        <v>NB_2022_030 - 20062022 - 1</v>
      </c>
      <c r="AC219" s="5" t="s">
        <v>278</v>
      </c>
      <c r="AD219" s="13" t="str">
        <f aca="true" t="array" ref="AD219:AD219">LEFT(AC219,LOOKUP(2^15,FIND(".",AC219,ROW(INDIRECT("1:"&amp;LEN(AC219)))))-1)</f>
        <v>NB_2022_030 - 20062022 - 2</v>
      </c>
      <c r="AE219" s="5" t="str">
        <f aca="false">CONCATENATE(AB219, "-",H219, ".mzML")</f>
        <v>NB_2022_030 - 20062022 - 1-Blank_1.mzML</v>
      </c>
      <c r="AF219" s="5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3" t="s">
        <v>282</v>
      </c>
      <c r="B220" s="4"/>
      <c r="C220" s="3" t="s">
        <v>283</v>
      </c>
      <c r="D220" s="5" t="s">
        <v>284</v>
      </c>
      <c r="E220" s="5" t="s">
        <v>271</v>
      </c>
      <c r="F220" s="6" t="s">
        <v>272</v>
      </c>
      <c r="G220" s="5" t="s">
        <v>271</v>
      </c>
      <c r="H220" s="24" t="s">
        <v>66</v>
      </c>
      <c r="I220" s="5" t="str">
        <f aca="false">CONCATENATE(E220, "_",H220)</f>
        <v>NLA_2022_007_Blank_2</v>
      </c>
      <c r="J220" s="5" t="s">
        <v>52</v>
      </c>
      <c r="K220" s="5" t="s">
        <v>280</v>
      </c>
      <c r="L220" s="8" t="s">
        <v>46</v>
      </c>
      <c r="M220" s="6" t="s">
        <v>46</v>
      </c>
      <c r="N220" s="5" t="s">
        <v>65</v>
      </c>
      <c r="O220" s="5" t="s">
        <v>46</v>
      </c>
      <c r="P220" s="5" t="s">
        <v>46</v>
      </c>
      <c r="Q220" s="5" t="s">
        <v>46</v>
      </c>
      <c r="R220" s="5" t="s">
        <v>46</v>
      </c>
      <c r="S220" s="5" t="s">
        <v>46</v>
      </c>
      <c r="T220" s="5" t="s">
        <v>46</v>
      </c>
      <c r="U220" s="5" t="s">
        <v>46</v>
      </c>
      <c r="V220" s="1" t="n">
        <v>2</v>
      </c>
      <c r="W220" s="5"/>
      <c r="X220" s="5" t="s">
        <v>46</v>
      </c>
      <c r="Y220" s="1" t="n">
        <v>5500</v>
      </c>
      <c r="Z220" s="5" t="s">
        <v>276</v>
      </c>
      <c r="AA220" s="5" t="s">
        <v>277</v>
      </c>
      <c r="AB220" s="13" t="str">
        <f aca="true" t="array" ref="AB220:AB220">LEFT(AA220,LOOKUP(2^15,FIND(".",AA220,ROW(INDIRECT("1:"&amp;LEN(AA220)))))-1)</f>
        <v>NB_2022_030 - 20062022 - 1</v>
      </c>
      <c r="AC220" s="5" t="s">
        <v>278</v>
      </c>
      <c r="AD220" s="13" t="str">
        <f aca="true" t="array" ref="AD220:AD220">LEFT(AC220,LOOKUP(2^15,FIND(".",AC220,ROW(INDIRECT("1:"&amp;LEN(AC220)))))-1)</f>
        <v>NB_2022_030 - 20062022 - 2</v>
      </c>
      <c r="AE220" s="5" t="str">
        <f aca="false">CONCATENATE(AB220, "-",H220, ".mzML")</f>
        <v>NB_2022_030 - 20062022 - 1-Blank_2.mzML</v>
      </c>
      <c r="AF220" s="5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3" t="s">
        <v>282</v>
      </c>
      <c r="B221" s="4"/>
      <c r="C221" s="3" t="s">
        <v>283</v>
      </c>
      <c r="D221" s="5" t="s">
        <v>284</v>
      </c>
      <c r="E221" s="5" t="s">
        <v>271</v>
      </c>
      <c r="F221" s="6" t="s">
        <v>272</v>
      </c>
      <c r="G221" s="5" t="s">
        <v>271</v>
      </c>
      <c r="H221" s="24" t="s">
        <v>67</v>
      </c>
      <c r="I221" s="5" t="str">
        <f aca="false">CONCATENATE(E221, "_",H221)</f>
        <v>NLA_2022_007_Blank_3</v>
      </c>
      <c r="J221" s="5" t="s">
        <v>52</v>
      </c>
      <c r="K221" s="5" t="s">
        <v>280</v>
      </c>
      <c r="L221" s="8" t="s">
        <v>46</v>
      </c>
      <c r="M221" s="6" t="s">
        <v>46</v>
      </c>
      <c r="N221" s="5" t="s">
        <v>65</v>
      </c>
      <c r="O221" s="5" t="s">
        <v>46</v>
      </c>
      <c r="P221" s="5" t="s">
        <v>46</v>
      </c>
      <c r="Q221" s="5" t="s">
        <v>46</v>
      </c>
      <c r="R221" s="5" t="s">
        <v>46</v>
      </c>
      <c r="S221" s="5" t="s">
        <v>46</v>
      </c>
      <c r="T221" s="5" t="s">
        <v>46</v>
      </c>
      <c r="U221" s="5" t="s">
        <v>46</v>
      </c>
      <c r="V221" s="1" t="n">
        <v>3</v>
      </c>
      <c r="W221" s="5"/>
      <c r="X221" s="5" t="s">
        <v>46</v>
      </c>
      <c r="Y221" s="1" t="n">
        <v>5500</v>
      </c>
      <c r="Z221" s="5" t="s">
        <v>276</v>
      </c>
      <c r="AA221" s="5" t="s">
        <v>277</v>
      </c>
      <c r="AB221" s="13" t="str">
        <f aca="true" t="array" ref="AB221:AB221">LEFT(AA221,LOOKUP(2^15,FIND(".",AA221,ROW(INDIRECT("1:"&amp;LEN(AA221)))))-1)</f>
        <v>NB_2022_030 - 20062022 - 1</v>
      </c>
      <c r="AC221" s="5" t="s">
        <v>278</v>
      </c>
      <c r="AD221" s="13" t="str">
        <f aca="true" t="array" ref="AD221:AD221">LEFT(AC221,LOOKUP(2^15,FIND(".",AC221,ROW(INDIRECT("1:"&amp;LEN(AC221)))))-1)</f>
        <v>NB_2022_030 - 20062022 - 2</v>
      </c>
      <c r="AE221" s="5" t="str">
        <f aca="false">CONCATENATE(AB221, "-",H221, ".mzML")</f>
        <v>NB_2022_030 - 20062022 - 1-Blank_3.mzML</v>
      </c>
      <c r="AF221" s="5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3" t="s">
        <v>282</v>
      </c>
      <c r="B222" s="4"/>
      <c r="C222" s="3" t="s">
        <v>283</v>
      </c>
      <c r="D222" s="5" t="s">
        <v>284</v>
      </c>
      <c r="E222" s="5" t="s">
        <v>271</v>
      </c>
      <c r="F222" s="6" t="s">
        <v>272</v>
      </c>
      <c r="G222" s="5" t="s">
        <v>271</v>
      </c>
      <c r="H222" s="24" t="s">
        <v>68</v>
      </c>
      <c r="I222" s="5" t="str">
        <f aca="false">CONCATENATE(E222, "_",H222)</f>
        <v>NLA_2022_007_QC_C_1</v>
      </c>
      <c r="J222" s="5" t="s">
        <v>52</v>
      </c>
      <c r="K222" s="5" t="s">
        <v>70</v>
      </c>
      <c r="L222" s="8" t="s">
        <v>69</v>
      </c>
      <c r="M222" s="5" t="s">
        <v>46</v>
      </c>
      <c r="N222" s="5" t="s">
        <v>70</v>
      </c>
      <c r="O222" s="5" t="s">
        <v>46</v>
      </c>
      <c r="P222" s="5" t="s">
        <v>71</v>
      </c>
      <c r="Q222" s="5" t="s">
        <v>71</v>
      </c>
      <c r="R222" s="5" t="s">
        <v>72</v>
      </c>
      <c r="S222" s="5" t="s">
        <v>73</v>
      </c>
      <c r="T222" s="5" t="s">
        <v>46</v>
      </c>
      <c r="U222" s="5" t="n">
        <v>1000</v>
      </c>
      <c r="V222" s="1" t="n">
        <v>1</v>
      </c>
      <c r="W222" s="5"/>
      <c r="X222" s="5" t="s">
        <v>74</v>
      </c>
      <c r="Y222" s="1" t="n">
        <v>5500</v>
      </c>
      <c r="Z222" s="5" t="s">
        <v>276</v>
      </c>
      <c r="AA222" s="5" t="s">
        <v>277</v>
      </c>
      <c r="AB222" s="13" t="str">
        <f aca="true" t="array" ref="AB222:AB222">LEFT(AA222,LOOKUP(2^15,FIND(".",AA222,ROW(INDIRECT("1:"&amp;LEN(AA222)))))-1)</f>
        <v>NB_2022_030 - 20062022 - 1</v>
      </c>
      <c r="AC222" s="5" t="s">
        <v>278</v>
      </c>
      <c r="AD222" s="13" t="str">
        <f aca="true" t="array" ref="AD222:AD222">LEFT(AC222,LOOKUP(2^15,FIND(".",AC222,ROW(INDIRECT("1:"&amp;LEN(AC222)))))-1)</f>
        <v>NB_2022_030 - 20062022 - 2</v>
      </c>
      <c r="AE222" s="5" t="str">
        <f aca="false">CONCATENATE(AB222, "-",H222, ".mzML")</f>
        <v>NB_2022_030 - 20062022 - 1-QC_C_1.mzML</v>
      </c>
      <c r="AF222" s="5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3" t="s">
        <v>282</v>
      </c>
      <c r="B223" s="4"/>
      <c r="C223" s="3" t="s">
        <v>283</v>
      </c>
      <c r="D223" s="5" t="s">
        <v>284</v>
      </c>
      <c r="E223" s="5" t="s">
        <v>271</v>
      </c>
      <c r="F223" s="6" t="s">
        <v>272</v>
      </c>
      <c r="G223" s="5" t="s">
        <v>271</v>
      </c>
      <c r="H223" s="24" t="s">
        <v>75</v>
      </c>
      <c r="I223" s="5" t="str">
        <f aca="false">CONCATENATE(E223, "_",H223)</f>
        <v>NLA_2022_007_QC_C_2</v>
      </c>
      <c r="J223" s="5" t="s">
        <v>52</v>
      </c>
      <c r="K223" s="5" t="s">
        <v>70</v>
      </c>
      <c r="L223" s="8" t="s">
        <v>69</v>
      </c>
      <c r="M223" s="5" t="s">
        <v>46</v>
      </c>
      <c r="N223" s="5" t="s">
        <v>70</v>
      </c>
      <c r="O223" s="5" t="s">
        <v>46</v>
      </c>
      <c r="P223" s="5" t="s">
        <v>71</v>
      </c>
      <c r="Q223" s="5" t="s">
        <v>71</v>
      </c>
      <c r="R223" s="5" t="s">
        <v>72</v>
      </c>
      <c r="S223" s="5" t="s">
        <v>73</v>
      </c>
      <c r="T223" s="5" t="s">
        <v>46</v>
      </c>
      <c r="U223" s="5" t="n">
        <v>1000</v>
      </c>
      <c r="V223" s="1" t="n">
        <v>2</v>
      </c>
      <c r="W223" s="5"/>
      <c r="X223" s="5" t="s">
        <v>74</v>
      </c>
      <c r="Y223" s="1" t="n">
        <v>5500</v>
      </c>
      <c r="Z223" s="5" t="s">
        <v>276</v>
      </c>
      <c r="AA223" s="5" t="s">
        <v>277</v>
      </c>
      <c r="AB223" s="13" t="str">
        <f aca="true" t="array" ref="AB223:AB223">LEFT(AA223,LOOKUP(2^15,FIND(".",AA223,ROW(INDIRECT("1:"&amp;LEN(AA223)))))-1)</f>
        <v>NB_2022_030 - 20062022 - 1</v>
      </c>
      <c r="AC223" s="5" t="s">
        <v>278</v>
      </c>
      <c r="AD223" s="13" t="str">
        <f aca="true" t="array" ref="AD223:AD223">LEFT(AC223,LOOKUP(2^15,FIND(".",AC223,ROW(INDIRECT("1:"&amp;LEN(AC223)))))-1)</f>
        <v>NB_2022_030 - 20062022 - 2</v>
      </c>
      <c r="AE223" s="5" t="str">
        <f aca="false">CONCATENATE(AB223, "-",H223, ".mzML")</f>
        <v>NB_2022_030 - 20062022 - 1-QC_C_2.mzML</v>
      </c>
      <c r="AF223" s="5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3" t="s">
        <v>282</v>
      </c>
      <c r="B224" s="4"/>
      <c r="C224" s="3" t="s">
        <v>283</v>
      </c>
      <c r="D224" s="5" t="s">
        <v>284</v>
      </c>
      <c r="E224" s="5" t="s">
        <v>271</v>
      </c>
      <c r="F224" s="6" t="s">
        <v>272</v>
      </c>
      <c r="G224" s="5" t="s">
        <v>271</v>
      </c>
      <c r="H224" s="24" t="s">
        <v>76</v>
      </c>
      <c r="I224" s="5" t="str">
        <f aca="false">CONCATENATE(E224, "_",H224)</f>
        <v>NLA_2022_007_QC_C_3</v>
      </c>
      <c r="J224" s="5" t="s">
        <v>52</v>
      </c>
      <c r="K224" s="5" t="s">
        <v>70</v>
      </c>
      <c r="L224" s="8" t="s">
        <v>69</v>
      </c>
      <c r="M224" s="5" t="s">
        <v>46</v>
      </c>
      <c r="N224" s="5" t="s">
        <v>70</v>
      </c>
      <c r="O224" s="5" t="s">
        <v>46</v>
      </c>
      <c r="P224" s="5" t="s">
        <v>71</v>
      </c>
      <c r="Q224" s="5" t="s">
        <v>71</v>
      </c>
      <c r="R224" s="5" t="s">
        <v>72</v>
      </c>
      <c r="S224" s="5" t="s">
        <v>73</v>
      </c>
      <c r="T224" s="5" t="s">
        <v>46</v>
      </c>
      <c r="U224" s="5" t="n">
        <v>1000</v>
      </c>
      <c r="V224" s="1" t="n">
        <v>3</v>
      </c>
      <c r="W224" s="5"/>
      <c r="X224" s="5" t="s">
        <v>74</v>
      </c>
      <c r="Y224" s="1" t="n">
        <v>5500</v>
      </c>
      <c r="Z224" s="5" t="s">
        <v>276</v>
      </c>
      <c r="AA224" s="5" t="s">
        <v>277</v>
      </c>
      <c r="AB224" s="13" t="str">
        <f aca="true" t="array" ref="AB224:AB224">LEFT(AA224,LOOKUP(2^15,FIND(".",AA224,ROW(INDIRECT("1:"&amp;LEN(AA224)))))-1)</f>
        <v>NB_2022_030 - 20062022 - 1</v>
      </c>
      <c r="AC224" s="5" t="s">
        <v>278</v>
      </c>
      <c r="AD224" s="13" t="str">
        <f aca="true" t="array" ref="AD224:AD224">LEFT(AC224,LOOKUP(2^15,FIND(".",AC224,ROW(INDIRECT("1:"&amp;LEN(AC224)))))-1)</f>
        <v>NB_2022_030 - 20062022 - 2</v>
      </c>
      <c r="AE224" s="5" t="str">
        <f aca="false">CONCATENATE(AB224, "-",H224, ".mzML")</f>
        <v>NB_2022_030 - 20062022 - 1-QC_C_3.mzML</v>
      </c>
      <c r="AF224" s="5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3" t="s">
        <v>282</v>
      </c>
      <c r="B225" s="4"/>
      <c r="C225" s="3" t="s">
        <v>283</v>
      </c>
      <c r="D225" s="5" t="s">
        <v>284</v>
      </c>
      <c r="E225" s="5" t="s">
        <v>271</v>
      </c>
      <c r="F225" s="6" t="s">
        <v>272</v>
      </c>
      <c r="G225" s="5" t="s">
        <v>271</v>
      </c>
      <c r="H225" s="24" t="s">
        <v>77</v>
      </c>
      <c r="I225" s="5" t="str">
        <f aca="false">CONCATENATE(E225, "_",H225)</f>
        <v>NLA_2022_007_QC_P_1</v>
      </c>
      <c r="J225" s="5" t="s">
        <v>52</v>
      </c>
      <c r="K225" s="5" t="s">
        <v>281</v>
      </c>
      <c r="L225" s="8" t="s">
        <v>69</v>
      </c>
      <c r="M225" s="6" t="s">
        <v>46</v>
      </c>
      <c r="N225" s="5" t="s">
        <v>78</v>
      </c>
      <c r="O225" s="5" t="s">
        <v>46</v>
      </c>
      <c r="P225" s="5" t="s">
        <v>79</v>
      </c>
      <c r="Q225" s="5" t="s">
        <v>80</v>
      </c>
      <c r="R225" s="5" t="s">
        <v>81</v>
      </c>
      <c r="S225" s="5" t="s">
        <v>46</v>
      </c>
      <c r="T225" s="5" t="s">
        <v>46</v>
      </c>
      <c r="U225" s="5" t="s">
        <v>82</v>
      </c>
      <c r="V225" s="1" t="n">
        <v>1</v>
      </c>
      <c r="W225" s="5"/>
      <c r="X225" s="5" t="s">
        <v>83</v>
      </c>
      <c r="Y225" s="1" t="n">
        <v>5500</v>
      </c>
      <c r="Z225" s="5" t="s">
        <v>276</v>
      </c>
      <c r="AA225" s="5" t="s">
        <v>277</v>
      </c>
      <c r="AB225" s="13" t="str">
        <f aca="true" t="array" ref="AB225:AB225">LEFT(AA225,LOOKUP(2^15,FIND(".",AA225,ROW(INDIRECT("1:"&amp;LEN(AA225)))))-1)</f>
        <v>NB_2022_030 - 20062022 - 1</v>
      </c>
      <c r="AC225" s="5" t="s">
        <v>278</v>
      </c>
      <c r="AD225" s="13" t="str">
        <f aca="true" t="array" ref="AD225:AD225">LEFT(AC225,LOOKUP(2^15,FIND(".",AC225,ROW(INDIRECT("1:"&amp;LEN(AC225)))))-1)</f>
        <v>NB_2022_030 - 20062022 - 2</v>
      </c>
      <c r="AE225" s="5" t="str">
        <f aca="false">CONCATENATE(AB225, "-",H225, ".mzML")</f>
        <v>NB_2022_030 - 20062022 - 1-QC_P_1.mzML</v>
      </c>
      <c r="AF225" s="5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3" t="s">
        <v>282</v>
      </c>
      <c r="B226" s="4"/>
      <c r="C226" s="3" t="s">
        <v>283</v>
      </c>
      <c r="D226" s="5" t="s">
        <v>284</v>
      </c>
      <c r="E226" s="5" t="s">
        <v>271</v>
      </c>
      <c r="F226" s="6" t="s">
        <v>272</v>
      </c>
      <c r="G226" s="5" t="s">
        <v>271</v>
      </c>
      <c r="H226" s="24" t="s">
        <v>84</v>
      </c>
      <c r="I226" s="5" t="str">
        <f aca="false">CONCATENATE(E226, "_",H226)</f>
        <v>NLA_2022_007_QC_P_2</v>
      </c>
      <c r="J226" s="5" t="s">
        <v>52</v>
      </c>
      <c r="K226" s="5" t="s">
        <v>281</v>
      </c>
      <c r="L226" s="8" t="s">
        <v>69</v>
      </c>
      <c r="M226" s="6" t="s">
        <v>46</v>
      </c>
      <c r="N226" s="5" t="s">
        <v>78</v>
      </c>
      <c r="O226" s="5" t="s">
        <v>46</v>
      </c>
      <c r="P226" s="5" t="s">
        <v>79</v>
      </c>
      <c r="Q226" s="5" t="s">
        <v>80</v>
      </c>
      <c r="R226" s="5" t="s">
        <v>81</v>
      </c>
      <c r="S226" s="5" t="s">
        <v>46</v>
      </c>
      <c r="T226" s="5" t="s">
        <v>46</v>
      </c>
      <c r="U226" s="5" t="s">
        <v>82</v>
      </c>
      <c r="V226" s="1" t="n">
        <v>2</v>
      </c>
      <c r="W226" s="5"/>
      <c r="X226" s="5" t="s">
        <v>83</v>
      </c>
      <c r="Y226" s="1" t="n">
        <v>5500</v>
      </c>
      <c r="Z226" s="5" t="s">
        <v>276</v>
      </c>
      <c r="AA226" s="5" t="s">
        <v>277</v>
      </c>
      <c r="AB226" s="13" t="str">
        <f aca="true" t="array" ref="AB226:AB226">LEFT(AA226,LOOKUP(2^15,FIND(".",AA226,ROW(INDIRECT("1:"&amp;LEN(AA226)))))-1)</f>
        <v>NB_2022_030 - 20062022 - 1</v>
      </c>
      <c r="AC226" s="5" t="s">
        <v>278</v>
      </c>
      <c r="AD226" s="13" t="str">
        <f aca="true" t="array" ref="AD226:AD226">LEFT(AC226,LOOKUP(2^15,FIND(".",AC226,ROW(INDIRECT("1:"&amp;LEN(AC226)))))-1)</f>
        <v>NB_2022_030 - 20062022 - 2</v>
      </c>
      <c r="AE226" s="5" t="str">
        <f aca="false">CONCATENATE(AB226, "-",H226, ".mzML")</f>
        <v>NB_2022_030 - 20062022 - 1-QC_P_2.mzML</v>
      </c>
      <c r="AF226" s="5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3" t="s">
        <v>282</v>
      </c>
      <c r="B227" s="4"/>
      <c r="C227" s="3" t="s">
        <v>283</v>
      </c>
      <c r="D227" s="5" t="s">
        <v>284</v>
      </c>
      <c r="E227" s="5" t="s">
        <v>271</v>
      </c>
      <c r="F227" s="6" t="s">
        <v>272</v>
      </c>
      <c r="G227" s="5" t="s">
        <v>271</v>
      </c>
      <c r="H227" s="24" t="s">
        <v>85</v>
      </c>
      <c r="I227" s="5" t="str">
        <f aca="false">CONCATENATE(E227, "_",H227)</f>
        <v>NLA_2022_007_QC_P_3</v>
      </c>
      <c r="J227" s="5" t="s">
        <v>52</v>
      </c>
      <c r="K227" s="5" t="s">
        <v>281</v>
      </c>
      <c r="L227" s="8" t="s">
        <v>69</v>
      </c>
      <c r="M227" s="6" t="s">
        <v>46</v>
      </c>
      <c r="N227" s="5" t="s">
        <v>78</v>
      </c>
      <c r="O227" s="5" t="s">
        <v>46</v>
      </c>
      <c r="P227" s="5" t="s">
        <v>79</v>
      </c>
      <c r="Q227" s="5" t="s">
        <v>80</v>
      </c>
      <c r="R227" s="5" t="s">
        <v>81</v>
      </c>
      <c r="S227" s="5" t="s">
        <v>46</v>
      </c>
      <c r="T227" s="5" t="s">
        <v>46</v>
      </c>
      <c r="U227" s="5" t="s">
        <v>82</v>
      </c>
      <c r="V227" s="1" t="n">
        <v>3</v>
      </c>
      <c r="W227" s="5"/>
      <c r="X227" s="5" t="s">
        <v>83</v>
      </c>
      <c r="Y227" s="1" t="n">
        <v>5500</v>
      </c>
      <c r="Z227" s="5" t="s">
        <v>276</v>
      </c>
      <c r="AA227" s="5" t="s">
        <v>277</v>
      </c>
      <c r="AB227" s="13" t="str">
        <f aca="true" t="array" ref="AB227:AB227">LEFT(AA227,LOOKUP(2^15,FIND(".",AA227,ROW(INDIRECT("1:"&amp;LEN(AA227)))))-1)</f>
        <v>NB_2022_030 - 20062022 - 1</v>
      </c>
      <c r="AC227" s="5" t="s">
        <v>278</v>
      </c>
      <c r="AD227" s="13" t="str">
        <f aca="true" t="array" ref="AD227:AD227">LEFT(AC227,LOOKUP(2^15,FIND(".",AC227,ROW(INDIRECT("1:"&amp;LEN(AC227)))))-1)</f>
        <v>NB_2022_030 - 20062022 - 2</v>
      </c>
      <c r="AE227" s="5" t="str">
        <f aca="false">CONCATENATE(AB227, "-",H227, ".mzML")</f>
        <v>NB_2022_030 - 20062022 - 1-QC_P_3.mzML</v>
      </c>
      <c r="AF227" s="5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3" t="s">
        <v>286</v>
      </c>
      <c r="B228" s="4"/>
      <c r="C228" s="3" t="s">
        <v>287</v>
      </c>
      <c r="D228" s="5" t="s">
        <v>14</v>
      </c>
      <c r="E228" s="5" t="s">
        <v>271</v>
      </c>
      <c r="F228" s="6" t="s">
        <v>272</v>
      </c>
      <c r="G228" s="5" t="s">
        <v>273</v>
      </c>
      <c r="H228" s="24" t="s">
        <v>99</v>
      </c>
      <c r="I228" s="5" t="str">
        <f aca="false">CONCATENATE(E228, "_",H228)</f>
        <v>NLA_2022_007_004</v>
      </c>
      <c r="J228" s="5" t="s">
        <v>38</v>
      </c>
      <c r="K228" s="5" t="s">
        <v>285</v>
      </c>
      <c r="L228" s="8" t="s">
        <v>69</v>
      </c>
      <c r="M228" s="6" t="s">
        <v>275</v>
      </c>
      <c r="N228" s="5" t="s">
        <v>41</v>
      </c>
      <c r="O228" s="5" t="s">
        <v>42</v>
      </c>
      <c r="P228" s="5" t="s">
        <v>162</v>
      </c>
      <c r="Q228" s="5" t="s">
        <v>162</v>
      </c>
      <c r="R228" s="5" t="s">
        <v>72</v>
      </c>
      <c r="S228" s="5" t="s">
        <v>90</v>
      </c>
      <c r="T228" s="5" t="s">
        <v>46</v>
      </c>
      <c r="U228" s="5" t="n">
        <v>1000</v>
      </c>
      <c r="V228" s="1" t="n">
        <v>1</v>
      </c>
      <c r="W228" s="5"/>
      <c r="X228" s="5" t="s">
        <v>47</v>
      </c>
      <c r="Y228" s="1" t="n">
        <v>5500</v>
      </c>
      <c r="Z228" s="5" t="s">
        <v>276</v>
      </c>
      <c r="AA228" s="5" t="s">
        <v>277</v>
      </c>
      <c r="AB228" s="13" t="str">
        <f aca="true" t="array" ref="AB228:AB228">LEFT(AA228,LOOKUP(2^15,FIND(".",AA228,ROW(INDIRECT("1:"&amp;LEN(AA228)))))-1)</f>
        <v>NB_2022_030 - 20062022 - 1</v>
      </c>
      <c r="AC228" s="5" t="s">
        <v>278</v>
      </c>
      <c r="AD228" s="13" t="str">
        <f aca="true" t="array" ref="AD228:AD228">LEFT(AC228,LOOKUP(2^15,FIND(".",AC228,ROW(INDIRECT("1:"&amp;LEN(AC228)))))-1)</f>
        <v>NB_2022_030 - 20062022 - 2</v>
      </c>
      <c r="AE228" s="5" t="str">
        <f aca="false">CONCATENATE(AB228, "-",H228, ".mzML")</f>
        <v>NB_2022_030 - 20062022 - 1-004.mzML</v>
      </c>
      <c r="AF228" s="5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3" t="s">
        <v>286</v>
      </c>
      <c r="B229" s="4"/>
      <c r="C229" s="3" t="s">
        <v>287</v>
      </c>
      <c r="D229" s="5" t="s">
        <v>14</v>
      </c>
      <c r="E229" s="5" t="s">
        <v>271</v>
      </c>
      <c r="F229" s="6" t="s">
        <v>272</v>
      </c>
      <c r="G229" s="5" t="s">
        <v>273</v>
      </c>
      <c r="H229" s="24" t="s">
        <v>91</v>
      </c>
      <c r="I229" s="5" t="str">
        <f aca="false">CONCATENATE(E229, "_",H229)</f>
        <v>NLA_2022_007_005</v>
      </c>
      <c r="J229" s="5" t="s">
        <v>38</v>
      </c>
      <c r="K229" s="5" t="s">
        <v>285</v>
      </c>
      <c r="L229" s="8" t="s">
        <v>69</v>
      </c>
      <c r="M229" s="6" t="s">
        <v>275</v>
      </c>
      <c r="N229" s="5" t="s">
        <v>41</v>
      </c>
      <c r="O229" s="5" t="s">
        <v>42</v>
      </c>
      <c r="P229" s="5" t="s">
        <v>162</v>
      </c>
      <c r="Q229" s="5" t="s">
        <v>162</v>
      </c>
      <c r="R229" s="5" t="s">
        <v>72</v>
      </c>
      <c r="S229" s="5" t="s">
        <v>90</v>
      </c>
      <c r="T229" s="5" t="s">
        <v>46</v>
      </c>
      <c r="U229" s="5" t="n">
        <v>1000</v>
      </c>
      <c r="V229" s="1" t="n">
        <v>2</v>
      </c>
      <c r="W229" s="5"/>
      <c r="X229" s="5" t="s">
        <v>47</v>
      </c>
      <c r="Y229" s="1" t="n">
        <v>5500</v>
      </c>
      <c r="Z229" s="5" t="s">
        <v>276</v>
      </c>
      <c r="AA229" s="5" t="s">
        <v>277</v>
      </c>
      <c r="AB229" s="13" t="str">
        <f aca="true" t="array" ref="AB229:AB229">LEFT(AA229,LOOKUP(2^15,FIND(".",AA229,ROW(INDIRECT("1:"&amp;LEN(AA229)))))-1)</f>
        <v>NB_2022_030 - 20062022 - 1</v>
      </c>
      <c r="AC229" s="5" t="s">
        <v>278</v>
      </c>
      <c r="AD229" s="13" t="str">
        <f aca="true" t="array" ref="AD229:AD229">LEFT(AC229,LOOKUP(2^15,FIND(".",AC229,ROW(INDIRECT("1:"&amp;LEN(AC229)))))-1)</f>
        <v>NB_2022_030 - 20062022 - 2</v>
      </c>
      <c r="AE229" s="5" t="str">
        <f aca="false">CONCATENATE(AB229, "-",H229, ".mzML")</f>
        <v>NB_2022_030 - 20062022 - 1-005.mzML</v>
      </c>
      <c r="AF229" s="5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3" t="s">
        <v>286</v>
      </c>
      <c r="B230" s="4"/>
      <c r="C230" s="3" t="s">
        <v>287</v>
      </c>
      <c r="D230" s="5" t="s">
        <v>14</v>
      </c>
      <c r="E230" s="5" t="s">
        <v>271</v>
      </c>
      <c r="F230" s="6" t="s">
        <v>272</v>
      </c>
      <c r="G230" s="5" t="s">
        <v>273</v>
      </c>
      <c r="H230" s="24" t="s">
        <v>101</v>
      </c>
      <c r="I230" s="5" t="str">
        <f aca="false">CONCATENATE(E230, "_",H230)</f>
        <v>NLA_2022_007_006</v>
      </c>
      <c r="J230" s="5" t="s">
        <v>38</v>
      </c>
      <c r="K230" s="5" t="s">
        <v>285</v>
      </c>
      <c r="L230" s="8" t="s">
        <v>69</v>
      </c>
      <c r="M230" s="6" t="s">
        <v>275</v>
      </c>
      <c r="N230" s="5" t="s">
        <v>41</v>
      </c>
      <c r="O230" s="5" t="s">
        <v>42</v>
      </c>
      <c r="P230" s="5" t="s">
        <v>162</v>
      </c>
      <c r="Q230" s="5" t="s">
        <v>162</v>
      </c>
      <c r="R230" s="5" t="s">
        <v>72</v>
      </c>
      <c r="S230" s="5" t="s">
        <v>90</v>
      </c>
      <c r="T230" s="5" t="s">
        <v>46</v>
      </c>
      <c r="U230" s="5" t="n">
        <v>1000</v>
      </c>
      <c r="V230" s="1" t="n">
        <v>3</v>
      </c>
      <c r="W230" s="5"/>
      <c r="X230" s="5" t="s">
        <v>47</v>
      </c>
      <c r="Y230" s="1" t="n">
        <v>5500</v>
      </c>
      <c r="Z230" s="5" t="s">
        <v>276</v>
      </c>
      <c r="AA230" s="5" t="s">
        <v>277</v>
      </c>
      <c r="AB230" s="13" t="str">
        <f aca="true" t="array" ref="AB230:AB230">LEFT(AA230,LOOKUP(2^15,FIND(".",AA230,ROW(INDIRECT("1:"&amp;LEN(AA230)))))-1)</f>
        <v>NB_2022_030 - 20062022 - 1</v>
      </c>
      <c r="AC230" s="5" t="s">
        <v>278</v>
      </c>
      <c r="AD230" s="13" t="str">
        <f aca="true" t="array" ref="AD230:AD230">LEFT(AC230,LOOKUP(2^15,FIND(".",AC230,ROW(INDIRECT("1:"&amp;LEN(AC230)))))-1)</f>
        <v>NB_2022_030 - 20062022 - 2</v>
      </c>
      <c r="AE230" s="5" t="str">
        <f aca="false">CONCATENATE(AB230, "-",H230, ".mzML")</f>
        <v>NB_2022_030 - 20062022 - 1-006.mzML</v>
      </c>
      <c r="AF230" s="5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3" t="s">
        <v>286</v>
      </c>
      <c r="B231" s="4"/>
      <c r="C231" s="3" t="s">
        <v>287</v>
      </c>
      <c r="D231" s="5" t="s">
        <v>14</v>
      </c>
      <c r="E231" s="5" t="s">
        <v>271</v>
      </c>
      <c r="F231" s="6" t="s">
        <v>272</v>
      </c>
      <c r="G231" s="5" t="s">
        <v>273</v>
      </c>
      <c r="H231" s="24" t="s">
        <v>288</v>
      </c>
      <c r="I231" s="5" t="str">
        <f aca="false">CONCATENATE(E231, "_",H231)</f>
        <v>NLA_2022_007_022</v>
      </c>
      <c r="J231" s="5" t="s">
        <v>52</v>
      </c>
      <c r="K231" s="5" t="s">
        <v>289</v>
      </c>
      <c r="L231" s="8" t="s">
        <v>69</v>
      </c>
      <c r="M231" s="6" t="s">
        <v>275</v>
      </c>
      <c r="N231" s="5" t="s">
        <v>41</v>
      </c>
      <c r="O231" s="5" t="s">
        <v>54</v>
      </c>
      <c r="P231" s="5" t="s">
        <v>162</v>
      </c>
      <c r="Q231" s="5" t="s">
        <v>229</v>
      </c>
      <c r="R231" s="5" t="s">
        <v>72</v>
      </c>
      <c r="S231" s="5" t="s">
        <v>90</v>
      </c>
      <c r="T231" s="5" t="s">
        <v>46</v>
      </c>
      <c r="U231" s="5" t="n">
        <v>1000</v>
      </c>
      <c r="V231" s="1" t="n">
        <v>1</v>
      </c>
      <c r="W231" s="5"/>
      <c r="X231" s="5" t="s">
        <v>47</v>
      </c>
      <c r="Y231" s="1" t="n">
        <v>5500</v>
      </c>
      <c r="Z231" s="5" t="s">
        <v>276</v>
      </c>
      <c r="AA231" s="5" t="s">
        <v>277</v>
      </c>
      <c r="AB231" s="13" t="str">
        <f aca="true" t="array" ref="AB231:AB231">LEFT(AA231,LOOKUP(2^15,FIND(".",AA231,ROW(INDIRECT("1:"&amp;LEN(AA231)))))-1)</f>
        <v>NB_2022_030 - 20062022 - 1</v>
      </c>
      <c r="AC231" s="5" t="s">
        <v>278</v>
      </c>
      <c r="AD231" s="13" t="str">
        <f aca="true" t="array" ref="AD231:AD231">LEFT(AC231,LOOKUP(2^15,FIND(".",AC231,ROW(INDIRECT("1:"&amp;LEN(AC231)))))-1)</f>
        <v>NB_2022_030 - 20062022 - 2</v>
      </c>
      <c r="AE231" s="5" t="str">
        <f aca="false">CONCATENATE(AB231, "-",H231, ".mzML")</f>
        <v>NB_2022_030 - 20062022 - 1-022.mzML</v>
      </c>
      <c r="AF231" s="5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3" t="s">
        <v>286</v>
      </c>
      <c r="B232" s="4"/>
      <c r="C232" s="3" t="s">
        <v>287</v>
      </c>
      <c r="D232" s="5" t="s">
        <v>14</v>
      </c>
      <c r="E232" s="5" t="s">
        <v>271</v>
      </c>
      <c r="F232" s="6" t="s">
        <v>272</v>
      </c>
      <c r="G232" s="5" t="s">
        <v>273</v>
      </c>
      <c r="H232" s="24" t="s">
        <v>235</v>
      </c>
      <c r="I232" s="5" t="str">
        <f aca="false">CONCATENATE(E232, "_",H232)</f>
        <v>NLA_2022_007_023</v>
      </c>
      <c r="J232" s="5" t="s">
        <v>52</v>
      </c>
      <c r="K232" s="5" t="s">
        <v>289</v>
      </c>
      <c r="L232" s="8" t="s">
        <v>69</v>
      </c>
      <c r="M232" s="6" t="s">
        <v>275</v>
      </c>
      <c r="N232" s="5" t="s">
        <v>41</v>
      </c>
      <c r="O232" s="5" t="s">
        <v>54</v>
      </c>
      <c r="P232" s="5" t="s">
        <v>162</v>
      </c>
      <c r="Q232" s="5" t="s">
        <v>229</v>
      </c>
      <c r="R232" s="5" t="s">
        <v>72</v>
      </c>
      <c r="S232" s="5" t="s">
        <v>90</v>
      </c>
      <c r="T232" s="5" t="s">
        <v>46</v>
      </c>
      <c r="U232" s="5" t="n">
        <v>1000</v>
      </c>
      <c r="V232" s="1" t="n">
        <v>2</v>
      </c>
      <c r="W232" s="5"/>
      <c r="X232" s="5" t="s">
        <v>47</v>
      </c>
      <c r="Y232" s="1" t="n">
        <v>5500</v>
      </c>
      <c r="Z232" s="5" t="s">
        <v>276</v>
      </c>
      <c r="AA232" s="5" t="s">
        <v>277</v>
      </c>
      <c r="AB232" s="13" t="str">
        <f aca="true" t="array" ref="AB232:AB232">LEFT(AA232,LOOKUP(2^15,FIND(".",AA232,ROW(INDIRECT("1:"&amp;LEN(AA232)))))-1)</f>
        <v>NB_2022_030 - 20062022 - 1</v>
      </c>
      <c r="AC232" s="5" t="s">
        <v>278</v>
      </c>
      <c r="AD232" s="13" t="str">
        <f aca="true" t="array" ref="AD232:AD232">LEFT(AC232,LOOKUP(2^15,FIND(".",AC232,ROW(INDIRECT("1:"&amp;LEN(AC232)))))-1)</f>
        <v>NB_2022_030 - 20062022 - 2</v>
      </c>
      <c r="AE232" s="5" t="str">
        <f aca="false">CONCATENATE(AB232, "-",H232, ".mzML")</f>
        <v>NB_2022_030 - 20062022 - 1-023.mzML</v>
      </c>
      <c r="AF232" s="5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3" t="s">
        <v>286</v>
      </c>
      <c r="B233" s="4"/>
      <c r="C233" s="3" t="s">
        <v>287</v>
      </c>
      <c r="D233" s="5" t="s">
        <v>14</v>
      </c>
      <c r="E233" s="5" t="s">
        <v>271</v>
      </c>
      <c r="F233" s="6" t="s">
        <v>272</v>
      </c>
      <c r="G233" s="5" t="s">
        <v>273</v>
      </c>
      <c r="H233" s="24" t="s">
        <v>237</v>
      </c>
      <c r="I233" s="5" t="str">
        <f aca="false">CONCATENATE(E233, "_",H233)</f>
        <v>NLA_2022_007_024</v>
      </c>
      <c r="J233" s="5" t="s">
        <v>52</v>
      </c>
      <c r="K233" s="5" t="s">
        <v>289</v>
      </c>
      <c r="L233" s="8" t="s">
        <v>69</v>
      </c>
      <c r="M233" s="6" t="s">
        <v>275</v>
      </c>
      <c r="N233" s="5" t="s">
        <v>41</v>
      </c>
      <c r="O233" s="5" t="s">
        <v>54</v>
      </c>
      <c r="P233" s="5" t="s">
        <v>162</v>
      </c>
      <c r="Q233" s="5" t="s">
        <v>229</v>
      </c>
      <c r="R233" s="5" t="s">
        <v>72</v>
      </c>
      <c r="S233" s="5" t="s">
        <v>90</v>
      </c>
      <c r="T233" s="5" t="s">
        <v>46</v>
      </c>
      <c r="U233" s="5" t="n">
        <v>1000</v>
      </c>
      <c r="V233" s="1" t="n">
        <v>3</v>
      </c>
      <c r="W233" s="5"/>
      <c r="X233" s="5" t="s">
        <v>47</v>
      </c>
      <c r="Y233" s="1" t="n">
        <v>5500</v>
      </c>
      <c r="Z233" s="5" t="s">
        <v>276</v>
      </c>
      <c r="AA233" s="5" t="s">
        <v>277</v>
      </c>
      <c r="AB233" s="13" t="str">
        <f aca="true" t="array" ref="AB233:AB233">LEFT(AA233,LOOKUP(2^15,FIND(".",AA233,ROW(INDIRECT("1:"&amp;LEN(AA233)))))-1)</f>
        <v>NB_2022_030 - 20062022 - 1</v>
      </c>
      <c r="AC233" s="5" t="s">
        <v>278</v>
      </c>
      <c r="AD233" s="13" t="str">
        <f aca="true" t="array" ref="AD233:AD233">LEFT(AC233,LOOKUP(2^15,FIND(".",AC233,ROW(INDIRECT("1:"&amp;LEN(AC233)))))-1)</f>
        <v>NB_2022_030 - 20062022 - 2</v>
      </c>
      <c r="AE233" s="5" t="str">
        <f aca="false">CONCATENATE(AB233, "-",H233, ".mzML")</f>
        <v>NB_2022_030 - 20062022 - 1-024.mzML</v>
      </c>
      <c r="AF233" s="5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3" t="s">
        <v>286</v>
      </c>
      <c r="B234" s="4"/>
      <c r="C234" s="3" t="s">
        <v>287</v>
      </c>
      <c r="D234" s="5" t="s">
        <v>14</v>
      </c>
      <c r="E234" s="5" t="s">
        <v>271</v>
      </c>
      <c r="F234" s="6" t="s">
        <v>272</v>
      </c>
      <c r="G234" s="5" t="s">
        <v>271</v>
      </c>
      <c r="H234" s="24" t="s">
        <v>64</v>
      </c>
      <c r="I234" s="5" t="str">
        <f aca="false">CONCATENATE(E234, "_",H234)</f>
        <v>NLA_2022_007_Blank_1</v>
      </c>
      <c r="J234" s="5" t="s">
        <v>52</v>
      </c>
      <c r="K234" s="5" t="s">
        <v>280</v>
      </c>
      <c r="L234" s="8" t="s">
        <v>46</v>
      </c>
      <c r="M234" s="6" t="s">
        <v>46</v>
      </c>
      <c r="N234" s="5" t="s">
        <v>65</v>
      </c>
      <c r="O234" s="5" t="s">
        <v>46</v>
      </c>
      <c r="P234" s="5" t="s">
        <v>46</v>
      </c>
      <c r="Q234" s="5" t="s">
        <v>46</v>
      </c>
      <c r="R234" s="5" t="s">
        <v>46</v>
      </c>
      <c r="S234" s="5" t="s">
        <v>46</v>
      </c>
      <c r="T234" s="5" t="s">
        <v>46</v>
      </c>
      <c r="U234" s="5" t="s">
        <v>46</v>
      </c>
      <c r="V234" s="1" t="n">
        <v>1</v>
      </c>
      <c r="W234" s="5"/>
      <c r="X234" s="5" t="s">
        <v>46</v>
      </c>
      <c r="Y234" s="1" t="n">
        <v>5500</v>
      </c>
      <c r="Z234" s="5" t="s">
        <v>276</v>
      </c>
      <c r="AA234" s="5" t="s">
        <v>277</v>
      </c>
      <c r="AB234" s="13" t="str">
        <f aca="true" t="array" ref="AB234:AB234">LEFT(AA234,LOOKUP(2^15,FIND(".",AA234,ROW(INDIRECT("1:"&amp;LEN(AA234)))))-1)</f>
        <v>NB_2022_030 - 20062022 - 1</v>
      </c>
      <c r="AC234" s="5" t="s">
        <v>278</v>
      </c>
      <c r="AD234" s="13" t="str">
        <f aca="true" t="array" ref="AD234:AD234">LEFT(AC234,LOOKUP(2^15,FIND(".",AC234,ROW(INDIRECT("1:"&amp;LEN(AC234)))))-1)</f>
        <v>NB_2022_030 - 20062022 - 2</v>
      </c>
      <c r="AE234" s="5" t="str">
        <f aca="false">CONCATENATE(AB234, "-",H234, ".mzML")</f>
        <v>NB_2022_030 - 20062022 - 1-Blank_1.mzML</v>
      </c>
      <c r="AF234" s="5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3" t="s">
        <v>286</v>
      </c>
      <c r="B235" s="4"/>
      <c r="C235" s="3" t="s">
        <v>287</v>
      </c>
      <c r="D235" s="5" t="s">
        <v>14</v>
      </c>
      <c r="E235" s="5" t="s">
        <v>271</v>
      </c>
      <c r="F235" s="6" t="s">
        <v>272</v>
      </c>
      <c r="G235" s="5" t="s">
        <v>271</v>
      </c>
      <c r="H235" s="24" t="s">
        <v>66</v>
      </c>
      <c r="I235" s="5" t="str">
        <f aca="false">CONCATENATE(E235, "_",H235)</f>
        <v>NLA_2022_007_Blank_2</v>
      </c>
      <c r="J235" s="5" t="s">
        <v>52</v>
      </c>
      <c r="K235" s="5" t="s">
        <v>280</v>
      </c>
      <c r="L235" s="8" t="s">
        <v>46</v>
      </c>
      <c r="M235" s="6" t="s">
        <v>46</v>
      </c>
      <c r="N235" s="5" t="s">
        <v>65</v>
      </c>
      <c r="O235" s="5" t="s">
        <v>46</v>
      </c>
      <c r="P235" s="5" t="s">
        <v>46</v>
      </c>
      <c r="Q235" s="5" t="s">
        <v>46</v>
      </c>
      <c r="R235" s="5" t="s">
        <v>46</v>
      </c>
      <c r="S235" s="5" t="s">
        <v>46</v>
      </c>
      <c r="T235" s="5" t="s">
        <v>46</v>
      </c>
      <c r="U235" s="5" t="s">
        <v>46</v>
      </c>
      <c r="V235" s="1" t="n">
        <v>2</v>
      </c>
      <c r="W235" s="5"/>
      <c r="X235" s="5" t="s">
        <v>46</v>
      </c>
      <c r="Y235" s="1" t="n">
        <v>5500</v>
      </c>
      <c r="Z235" s="5" t="s">
        <v>276</v>
      </c>
      <c r="AA235" s="5" t="s">
        <v>277</v>
      </c>
      <c r="AB235" s="13" t="str">
        <f aca="true" t="array" ref="AB235:AB235">LEFT(AA235,LOOKUP(2^15,FIND(".",AA235,ROW(INDIRECT("1:"&amp;LEN(AA235)))))-1)</f>
        <v>NB_2022_030 - 20062022 - 1</v>
      </c>
      <c r="AC235" s="5" t="s">
        <v>278</v>
      </c>
      <c r="AD235" s="13" t="str">
        <f aca="true" t="array" ref="AD235:AD235">LEFT(AC235,LOOKUP(2^15,FIND(".",AC235,ROW(INDIRECT("1:"&amp;LEN(AC235)))))-1)</f>
        <v>NB_2022_030 - 20062022 - 2</v>
      </c>
      <c r="AE235" s="5" t="str">
        <f aca="false">CONCATENATE(AB235, "-",H235, ".mzML")</f>
        <v>NB_2022_030 - 20062022 - 1-Blank_2.mzML</v>
      </c>
      <c r="AF235" s="5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3" t="s">
        <v>286</v>
      </c>
      <c r="B236" s="4"/>
      <c r="C236" s="3" t="s">
        <v>287</v>
      </c>
      <c r="D236" s="5" t="s">
        <v>14</v>
      </c>
      <c r="E236" s="5" t="s">
        <v>271</v>
      </c>
      <c r="F236" s="6" t="s">
        <v>272</v>
      </c>
      <c r="G236" s="5" t="s">
        <v>271</v>
      </c>
      <c r="H236" s="24" t="s">
        <v>67</v>
      </c>
      <c r="I236" s="5" t="str">
        <f aca="false">CONCATENATE(E236, "_",H236)</f>
        <v>NLA_2022_007_Blank_3</v>
      </c>
      <c r="J236" s="5" t="s">
        <v>52</v>
      </c>
      <c r="K236" s="5" t="s">
        <v>280</v>
      </c>
      <c r="L236" s="8" t="s">
        <v>46</v>
      </c>
      <c r="M236" s="6" t="s">
        <v>46</v>
      </c>
      <c r="N236" s="5" t="s">
        <v>65</v>
      </c>
      <c r="O236" s="5" t="s">
        <v>46</v>
      </c>
      <c r="P236" s="5" t="s">
        <v>46</v>
      </c>
      <c r="Q236" s="5" t="s">
        <v>46</v>
      </c>
      <c r="R236" s="5" t="s">
        <v>46</v>
      </c>
      <c r="S236" s="5" t="s">
        <v>46</v>
      </c>
      <c r="T236" s="5" t="s">
        <v>46</v>
      </c>
      <c r="U236" s="5" t="s">
        <v>46</v>
      </c>
      <c r="V236" s="1" t="n">
        <v>3</v>
      </c>
      <c r="W236" s="5"/>
      <c r="X236" s="5" t="s">
        <v>46</v>
      </c>
      <c r="Y236" s="1" t="n">
        <v>5500</v>
      </c>
      <c r="Z236" s="5" t="s">
        <v>276</v>
      </c>
      <c r="AA236" s="5" t="s">
        <v>277</v>
      </c>
      <c r="AB236" s="13" t="str">
        <f aca="true" t="array" ref="AB236:AB236">LEFT(AA236,LOOKUP(2^15,FIND(".",AA236,ROW(INDIRECT("1:"&amp;LEN(AA236)))))-1)</f>
        <v>NB_2022_030 - 20062022 - 1</v>
      </c>
      <c r="AC236" s="5" t="s">
        <v>278</v>
      </c>
      <c r="AD236" s="13" t="str">
        <f aca="true" t="array" ref="AD236:AD236">LEFT(AC236,LOOKUP(2^15,FIND(".",AC236,ROW(INDIRECT("1:"&amp;LEN(AC236)))))-1)</f>
        <v>NB_2022_030 - 20062022 - 2</v>
      </c>
      <c r="AE236" s="5" t="str">
        <f aca="false">CONCATENATE(AB236, "-",H236, ".mzML")</f>
        <v>NB_2022_030 - 20062022 - 1-Blank_3.mzML</v>
      </c>
      <c r="AF236" s="5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3" t="s">
        <v>286</v>
      </c>
      <c r="B237" s="4"/>
      <c r="C237" s="3" t="s">
        <v>287</v>
      </c>
      <c r="D237" s="5" t="s">
        <v>14</v>
      </c>
      <c r="E237" s="5" t="s">
        <v>271</v>
      </c>
      <c r="F237" s="6" t="s">
        <v>272</v>
      </c>
      <c r="G237" s="5" t="s">
        <v>271</v>
      </c>
      <c r="H237" s="24" t="s">
        <v>68</v>
      </c>
      <c r="I237" s="5" t="str">
        <f aca="false">CONCATENATE(E237, "_",H237)</f>
        <v>NLA_2022_007_QC_C_1</v>
      </c>
      <c r="J237" s="5" t="s">
        <v>52</v>
      </c>
      <c r="K237" s="5" t="s">
        <v>70</v>
      </c>
      <c r="L237" s="8" t="s">
        <v>69</v>
      </c>
      <c r="M237" s="5" t="s">
        <v>46</v>
      </c>
      <c r="N237" s="5" t="s">
        <v>70</v>
      </c>
      <c r="O237" s="5" t="s">
        <v>46</v>
      </c>
      <c r="P237" s="5" t="s">
        <v>71</v>
      </c>
      <c r="Q237" s="5" t="s">
        <v>71</v>
      </c>
      <c r="R237" s="5" t="s">
        <v>72</v>
      </c>
      <c r="S237" s="5" t="s">
        <v>73</v>
      </c>
      <c r="T237" s="5" t="s">
        <v>46</v>
      </c>
      <c r="U237" s="5" t="n">
        <v>1000</v>
      </c>
      <c r="V237" s="1" t="n">
        <v>1</v>
      </c>
      <c r="W237" s="5"/>
      <c r="X237" s="5" t="s">
        <v>74</v>
      </c>
      <c r="Y237" s="1" t="n">
        <v>5500</v>
      </c>
      <c r="Z237" s="5" t="s">
        <v>276</v>
      </c>
      <c r="AA237" s="5" t="s">
        <v>277</v>
      </c>
      <c r="AB237" s="13" t="str">
        <f aca="true" t="array" ref="AB237:AB237">LEFT(AA237,LOOKUP(2^15,FIND(".",AA237,ROW(INDIRECT("1:"&amp;LEN(AA237)))))-1)</f>
        <v>NB_2022_030 - 20062022 - 1</v>
      </c>
      <c r="AC237" s="5" t="s">
        <v>278</v>
      </c>
      <c r="AD237" s="13" t="str">
        <f aca="true" t="array" ref="AD237:AD237">LEFT(AC237,LOOKUP(2^15,FIND(".",AC237,ROW(INDIRECT("1:"&amp;LEN(AC237)))))-1)</f>
        <v>NB_2022_030 - 20062022 - 2</v>
      </c>
      <c r="AE237" s="5" t="str">
        <f aca="false">CONCATENATE(AB237, "-",H237, ".mzML")</f>
        <v>NB_2022_030 - 20062022 - 1-QC_C_1.mzML</v>
      </c>
      <c r="AF237" s="5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3" t="s">
        <v>286</v>
      </c>
      <c r="B238" s="4"/>
      <c r="C238" s="3" t="s">
        <v>287</v>
      </c>
      <c r="D238" s="5" t="s">
        <v>14</v>
      </c>
      <c r="E238" s="5" t="s">
        <v>271</v>
      </c>
      <c r="F238" s="6" t="s">
        <v>272</v>
      </c>
      <c r="G238" s="5" t="s">
        <v>271</v>
      </c>
      <c r="H238" s="24" t="s">
        <v>75</v>
      </c>
      <c r="I238" s="5" t="str">
        <f aca="false">CONCATENATE(E238, "_",H238)</f>
        <v>NLA_2022_007_QC_C_2</v>
      </c>
      <c r="J238" s="5" t="s">
        <v>52</v>
      </c>
      <c r="K238" s="5" t="s">
        <v>70</v>
      </c>
      <c r="L238" s="8" t="s">
        <v>69</v>
      </c>
      <c r="M238" s="5" t="s">
        <v>46</v>
      </c>
      <c r="N238" s="5" t="s">
        <v>70</v>
      </c>
      <c r="O238" s="5" t="s">
        <v>46</v>
      </c>
      <c r="P238" s="5" t="s">
        <v>71</v>
      </c>
      <c r="Q238" s="5" t="s">
        <v>71</v>
      </c>
      <c r="R238" s="5" t="s">
        <v>72</v>
      </c>
      <c r="S238" s="5" t="s">
        <v>73</v>
      </c>
      <c r="T238" s="5" t="s">
        <v>46</v>
      </c>
      <c r="U238" s="5" t="n">
        <v>1000</v>
      </c>
      <c r="V238" s="1" t="n">
        <v>2</v>
      </c>
      <c r="W238" s="5"/>
      <c r="X238" s="5" t="s">
        <v>74</v>
      </c>
      <c r="Y238" s="1" t="n">
        <v>5500</v>
      </c>
      <c r="Z238" s="5" t="s">
        <v>276</v>
      </c>
      <c r="AA238" s="5" t="s">
        <v>277</v>
      </c>
      <c r="AB238" s="13" t="str">
        <f aca="true" t="array" ref="AB238:AB238">LEFT(AA238,LOOKUP(2^15,FIND(".",AA238,ROW(INDIRECT("1:"&amp;LEN(AA238)))))-1)</f>
        <v>NB_2022_030 - 20062022 - 1</v>
      </c>
      <c r="AC238" s="5" t="s">
        <v>278</v>
      </c>
      <c r="AD238" s="13" t="str">
        <f aca="true" t="array" ref="AD238:AD238">LEFT(AC238,LOOKUP(2^15,FIND(".",AC238,ROW(INDIRECT("1:"&amp;LEN(AC238)))))-1)</f>
        <v>NB_2022_030 - 20062022 - 2</v>
      </c>
      <c r="AE238" s="5" t="str">
        <f aca="false">CONCATENATE(AB238, "-",H238, ".mzML")</f>
        <v>NB_2022_030 - 20062022 - 1-QC_C_2.mzML</v>
      </c>
      <c r="AF238" s="5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3" t="s">
        <v>286</v>
      </c>
      <c r="B239" s="4"/>
      <c r="C239" s="3" t="s">
        <v>287</v>
      </c>
      <c r="D239" s="5" t="s">
        <v>14</v>
      </c>
      <c r="E239" s="5" t="s">
        <v>271</v>
      </c>
      <c r="F239" s="6" t="s">
        <v>272</v>
      </c>
      <c r="G239" s="5" t="s">
        <v>271</v>
      </c>
      <c r="H239" s="24" t="s">
        <v>76</v>
      </c>
      <c r="I239" s="5" t="str">
        <f aca="false">CONCATENATE(E239, "_",H239)</f>
        <v>NLA_2022_007_QC_C_3</v>
      </c>
      <c r="J239" s="5" t="s">
        <v>52</v>
      </c>
      <c r="K239" s="5" t="s">
        <v>70</v>
      </c>
      <c r="L239" s="8" t="s">
        <v>69</v>
      </c>
      <c r="M239" s="5" t="s">
        <v>46</v>
      </c>
      <c r="N239" s="5" t="s">
        <v>70</v>
      </c>
      <c r="O239" s="5" t="s">
        <v>46</v>
      </c>
      <c r="P239" s="5" t="s">
        <v>71</v>
      </c>
      <c r="Q239" s="5" t="s">
        <v>71</v>
      </c>
      <c r="R239" s="5" t="s">
        <v>72</v>
      </c>
      <c r="S239" s="5" t="s">
        <v>73</v>
      </c>
      <c r="T239" s="5" t="s">
        <v>46</v>
      </c>
      <c r="U239" s="5" t="n">
        <v>1000</v>
      </c>
      <c r="V239" s="1" t="n">
        <v>3</v>
      </c>
      <c r="W239" s="5"/>
      <c r="X239" s="5" t="s">
        <v>74</v>
      </c>
      <c r="Y239" s="1" t="n">
        <v>5500</v>
      </c>
      <c r="Z239" s="5" t="s">
        <v>276</v>
      </c>
      <c r="AA239" s="5" t="s">
        <v>277</v>
      </c>
      <c r="AB239" s="13" t="str">
        <f aca="true" t="array" ref="AB239:AB239">LEFT(AA239,LOOKUP(2^15,FIND(".",AA239,ROW(INDIRECT("1:"&amp;LEN(AA239)))))-1)</f>
        <v>NB_2022_030 - 20062022 - 1</v>
      </c>
      <c r="AC239" s="5" t="s">
        <v>278</v>
      </c>
      <c r="AD239" s="13" t="str">
        <f aca="true" t="array" ref="AD239:AD239">LEFT(AC239,LOOKUP(2^15,FIND(".",AC239,ROW(INDIRECT("1:"&amp;LEN(AC239)))))-1)</f>
        <v>NB_2022_030 - 20062022 - 2</v>
      </c>
      <c r="AE239" s="5" t="str">
        <f aca="false">CONCATENATE(AB239, "-",H239, ".mzML")</f>
        <v>NB_2022_030 - 20062022 - 1-QC_C_3.mzML</v>
      </c>
      <c r="AF239" s="5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3" t="s">
        <v>286</v>
      </c>
      <c r="B240" s="4"/>
      <c r="C240" s="3" t="s">
        <v>287</v>
      </c>
      <c r="D240" s="5" t="s">
        <v>14</v>
      </c>
      <c r="E240" s="5" t="s">
        <v>271</v>
      </c>
      <c r="F240" s="6" t="s">
        <v>272</v>
      </c>
      <c r="G240" s="5" t="s">
        <v>271</v>
      </c>
      <c r="H240" s="24" t="s">
        <v>77</v>
      </c>
      <c r="I240" s="5" t="str">
        <f aca="false">CONCATENATE(E240, "_",H240)</f>
        <v>NLA_2022_007_QC_P_1</v>
      </c>
      <c r="J240" s="5" t="s">
        <v>52</v>
      </c>
      <c r="K240" s="5" t="s">
        <v>281</v>
      </c>
      <c r="L240" s="8" t="s">
        <v>69</v>
      </c>
      <c r="M240" s="6" t="s">
        <v>46</v>
      </c>
      <c r="N240" s="5" t="s">
        <v>78</v>
      </c>
      <c r="O240" s="5" t="s">
        <v>46</v>
      </c>
      <c r="P240" s="5" t="s">
        <v>79</v>
      </c>
      <c r="Q240" s="5" t="s">
        <v>80</v>
      </c>
      <c r="R240" s="5" t="s">
        <v>81</v>
      </c>
      <c r="S240" s="5" t="s">
        <v>46</v>
      </c>
      <c r="T240" s="5" t="s">
        <v>46</v>
      </c>
      <c r="U240" s="5" t="s">
        <v>82</v>
      </c>
      <c r="V240" s="1" t="n">
        <v>1</v>
      </c>
      <c r="W240" s="5"/>
      <c r="X240" s="5" t="s">
        <v>83</v>
      </c>
      <c r="Y240" s="1" t="n">
        <v>5500</v>
      </c>
      <c r="Z240" s="5" t="s">
        <v>276</v>
      </c>
      <c r="AA240" s="5" t="s">
        <v>277</v>
      </c>
      <c r="AB240" s="13" t="str">
        <f aca="true" t="array" ref="AB240:AB240">LEFT(AA240,LOOKUP(2^15,FIND(".",AA240,ROW(INDIRECT("1:"&amp;LEN(AA240)))))-1)</f>
        <v>NB_2022_030 - 20062022 - 1</v>
      </c>
      <c r="AC240" s="5" t="s">
        <v>278</v>
      </c>
      <c r="AD240" s="13" t="str">
        <f aca="true" t="array" ref="AD240:AD240">LEFT(AC240,LOOKUP(2^15,FIND(".",AC240,ROW(INDIRECT("1:"&amp;LEN(AC240)))))-1)</f>
        <v>NB_2022_030 - 20062022 - 2</v>
      </c>
      <c r="AE240" s="5" t="str">
        <f aca="false">CONCATENATE(AB240, "-",H240, ".mzML")</f>
        <v>NB_2022_030 - 20062022 - 1-QC_P_1.mzML</v>
      </c>
      <c r="AF240" s="5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3" t="s">
        <v>286</v>
      </c>
      <c r="B241" s="4"/>
      <c r="C241" s="3" t="s">
        <v>287</v>
      </c>
      <c r="D241" s="5" t="s">
        <v>14</v>
      </c>
      <c r="E241" s="5" t="s">
        <v>271</v>
      </c>
      <c r="F241" s="6" t="s">
        <v>272</v>
      </c>
      <c r="G241" s="5" t="s">
        <v>271</v>
      </c>
      <c r="H241" s="24" t="s">
        <v>84</v>
      </c>
      <c r="I241" s="5" t="str">
        <f aca="false">CONCATENATE(E241, "_",H241)</f>
        <v>NLA_2022_007_QC_P_2</v>
      </c>
      <c r="J241" s="5" t="s">
        <v>52</v>
      </c>
      <c r="K241" s="5" t="s">
        <v>281</v>
      </c>
      <c r="L241" s="8" t="s">
        <v>69</v>
      </c>
      <c r="M241" s="6" t="s">
        <v>46</v>
      </c>
      <c r="N241" s="5" t="s">
        <v>78</v>
      </c>
      <c r="O241" s="5" t="s">
        <v>46</v>
      </c>
      <c r="P241" s="5" t="s">
        <v>79</v>
      </c>
      <c r="Q241" s="5" t="s">
        <v>80</v>
      </c>
      <c r="R241" s="5" t="s">
        <v>81</v>
      </c>
      <c r="S241" s="5" t="s">
        <v>46</v>
      </c>
      <c r="T241" s="5" t="s">
        <v>46</v>
      </c>
      <c r="U241" s="5" t="s">
        <v>82</v>
      </c>
      <c r="V241" s="1" t="n">
        <v>2</v>
      </c>
      <c r="W241" s="5"/>
      <c r="X241" s="5" t="s">
        <v>83</v>
      </c>
      <c r="Y241" s="1" t="n">
        <v>5500</v>
      </c>
      <c r="Z241" s="5" t="s">
        <v>276</v>
      </c>
      <c r="AA241" s="5" t="s">
        <v>277</v>
      </c>
      <c r="AB241" s="13" t="str">
        <f aca="true" t="array" ref="AB241:AB241">LEFT(AA241,LOOKUP(2^15,FIND(".",AA241,ROW(INDIRECT("1:"&amp;LEN(AA241)))))-1)</f>
        <v>NB_2022_030 - 20062022 - 1</v>
      </c>
      <c r="AC241" s="5" t="s">
        <v>278</v>
      </c>
      <c r="AD241" s="13" t="str">
        <f aca="true" t="array" ref="AD241:AD241">LEFT(AC241,LOOKUP(2^15,FIND(".",AC241,ROW(INDIRECT("1:"&amp;LEN(AC241)))))-1)</f>
        <v>NB_2022_030 - 20062022 - 2</v>
      </c>
      <c r="AE241" s="5" t="str">
        <f aca="false">CONCATENATE(AB241, "-",H241, ".mzML")</f>
        <v>NB_2022_030 - 20062022 - 1-QC_P_2.mzML</v>
      </c>
      <c r="AF241" s="5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3" t="s">
        <v>286</v>
      </c>
      <c r="B242" s="4"/>
      <c r="C242" s="3" t="s">
        <v>287</v>
      </c>
      <c r="D242" s="5" t="s">
        <v>14</v>
      </c>
      <c r="E242" s="5" t="s">
        <v>271</v>
      </c>
      <c r="F242" s="6" t="s">
        <v>272</v>
      </c>
      <c r="G242" s="5" t="s">
        <v>271</v>
      </c>
      <c r="H242" s="24" t="s">
        <v>85</v>
      </c>
      <c r="I242" s="5" t="str">
        <f aca="false">CONCATENATE(E242, "_",H242)</f>
        <v>NLA_2022_007_QC_P_3</v>
      </c>
      <c r="J242" s="5" t="s">
        <v>52</v>
      </c>
      <c r="K242" s="5" t="s">
        <v>281</v>
      </c>
      <c r="L242" s="8" t="s">
        <v>69</v>
      </c>
      <c r="M242" s="6" t="s">
        <v>46</v>
      </c>
      <c r="N242" s="5" t="s">
        <v>78</v>
      </c>
      <c r="O242" s="5" t="s">
        <v>46</v>
      </c>
      <c r="P242" s="5" t="s">
        <v>79</v>
      </c>
      <c r="Q242" s="5" t="s">
        <v>80</v>
      </c>
      <c r="R242" s="5" t="s">
        <v>81</v>
      </c>
      <c r="S242" s="5" t="s">
        <v>46</v>
      </c>
      <c r="T242" s="5" t="s">
        <v>46</v>
      </c>
      <c r="U242" s="5" t="s">
        <v>82</v>
      </c>
      <c r="V242" s="1" t="n">
        <v>3</v>
      </c>
      <c r="W242" s="5"/>
      <c r="X242" s="5" t="s">
        <v>83</v>
      </c>
      <c r="Y242" s="1" t="n">
        <v>5500</v>
      </c>
      <c r="Z242" s="5" t="s">
        <v>276</v>
      </c>
      <c r="AA242" s="5" t="s">
        <v>277</v>
      </c>
      <c r="AB242" s="13" t="str">
        <f aca="true" t="array" ref="AB242:AB242">LEFT(AA242,LOOKUP(2^15,FIND(".",AA242,ROW(INDIRECT("1:"&amp;LEN(AA242)))))-1)</f>
        <v>NB_2022_030 - 20062022 - 1</v>
      </c>
      <c r="AC242" s="5" t="s">
        <v>278</v>
      </c>
      <c r="AD242" s="13" t="str">
        <f aca="true" t="array" ref="AD242:AD242">LEFT(AC242,LOOKUP(2^15,FIND(".",AC242,ROW(INDIRECT("1:"&amp;LEN(AC242)))))-1)</f>
        <v>NB_2022_030 - 20062022 - 2</v>
      </c>
      <c r="AE242" s="5" t="str">
        <f aca="false">CONCATENATE(AB242, "-",H242, ".mzML")</f>
        <v>NB_2022_030 - 20062022 - 1-QC_P_3.mzML</v>
      </c>
      <c r="AF242" s="5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3" t="s">
        <v>290</v>
      </c>
      <c r="B243" s="4"/>
      <c r="C243" s="3" t="s">
        <v>291</v>
      </c>
      <c r="D243" s="5" t="s">
        <v>14</v>
      </c>
      <c r="E243" s="5" t="s">
        <v>292</v>
      </c>
      <c r="F243" s="6" t="s">
        <v>293</v>
      </c>
      <c r="G243" s="5" t="s">
        <v>294</v>
      </c>
      <c r="H243" s="7" t="s">
        <v>88</v>
      </c>
      <c r="I243" s="5" t="str">
        <f aca="false">CONCATENATE(E243, "_",H243)</f>
        <v>NLA_2022_011_002</v>
      </c>
      <c r="J243" s="5" t="s">
        <v>52</v>
      </c>
      <c r="K243" s="5" t="s">
        <v>295</v>
      </c>
      <c r="L243" s="8" t="s">
        <v>69</v>
      </c>
      <c r="M243" s="6" t="s">
        <v>296</v>
      </c>
      <c r="N243" s="5" t="s">
        <v>246</v>
      </c>
      <c r="O243" s="5" t="s">
        <v>297</v>
      </c>
      <c r="P243" s="5" t="s">
        <v>43</v>
      </c>
      <c r="Q243" s="5" t="s">
        <v>43</v>
      </c>
      <c r="R243" s="5" t="s">
        <v>44</v>
      </c>
      <c r="S243" s="5" t="s">
        <v>46</v>
      </c>
      <c r="T243" s="5" t="s">
        <v>46</v>
      </c>
      <c r="U243" s="5" t="n">
        <v>1000</v>
      </c>
      <c r="V243" s="1" t="n">
        <v>1</v>
      </c>
      <c r="W243" s="5"/>
      <c r="X243" s="5" t="s">
        <v>298</v>
      </c>
      <c r="Y243" s="1" t="n">
        <v>5500</v>
      </c>
      <c r="Z243" s="5" t="s">
        <v>299</v>
      </c>
      <c r="AA243" s="5" t="s">
        <v>300</v>
      </c>
      <c r="AB243" s="13" t="str">
        <f aca="true" t="array" ref="AB243:AB243">LEFT(AA243,LOOKUP(2^15,FIND(".",AA243,ROW(INDIRECT("1:"&amp;LEN(AA243)))))-1)</f>
        <v>NB_2022_052 - 27102022 - 1</v>
      </c>
      <c r="AC243" s="5" t="s">
        <v>301</v>
      </c>
      <c r="AD243" s="13" t="str">
        <f aca="true" t="array" ref="AD243:AD243">LEFT(AC243,LOOKUP(2^15,FIND(".",AC243,ROW(INDIRECT("1:"&amp;LEN(AC243)))))-1)</f>
        <v>NB_2022_052 - 27102022 - 2</v>
      </c>
      <c r="AE243" s="5" t="str">
        <f aca="false">CONCATENATE(AB243, "-",H243, ".mzML")</f>
        <v>NB_2022_052 - 27102022 - 1-002.mzML</v>
      </c>
      <c r="AF243" s="5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3" t="s">
        <v>290</v>
      </c>
      <c r="B244" s="4"/>
      <c r="C244" s="3" t="s">
        <v>291</v>
      </c>
      <c r="D244" s="5" t="s">
        <v>14</v>
      </c>
      <c r="E244" s="5" t="s">
        <v>292</v>
      </c>
      <c r="F244" s="6" t="s">
        <v>293</v>
      </c>
      <c r="G244" s="5" t="s">
        <v>294</v>
      </c>
      <c r="H244" s="7" t="s">
        <v>97</v>
      </c>
      <c r="I244" s="5" t="str">
        <f aca="false">CONCATENATE(E244, "_",H244)</f>
        <v>NLA_2022_011_003</v>
      </c>
      <c r="J244" s="5" t="s">
        <v>52</v>
      </c>
      <c r="K244" s="5" t="s">
        <v>302</v>
      </c>
      <c r="L244" s="8" t="s">
        <v>69</v>
      </c>
      <c r="M244" s="6" t="s">
        <v>296</v>
      </c>
      <c r="N244" s="5" t="s">
        <v>246</v>
      </c>
      <c r="O244" s="5" t="s">
        <v>297</v>
      </c>
      <c r="P244" s="5" t="s">
        <v>43</v>
      </c>
      <c r="Q244" s="5" t="s">
        <v>43</v>
      </c>
      <c r="R244" s="5" t="s">
        <v>44</v>
      </c>
      <c r="S244" s="5" t="s">
        <v>46</v>
      </c>
      <c r="T244" s="5" t="s">
        <v>46</v>
      </c>
      <c r="U244" s="5" t="n">
        <v>1000</v>
      </c>
      <c r="V244" s="1" t="n">
        <v>2</v>
      </c>
      <c r="W244" s="5"/>
      <c r="X244" s="5" t="s">
        <v>298</v>
      </c>
      <c r="Y244" s="1" t="n">
        <v>5500</v>
      </c>
      <c r="Z244" s="5" t="s">
        <v>299</v>
      </c>
      <c r="AA244" s="5" t="s">
        <v>300</v>
      </c>
      <c r="AB244" s="13" t="str">
        <f aca="true" t="array" ref="AB244:AB244">LEFT(AA244,LOOKUP(2^15,FIND(".",AA244,ROW(INDIRECT("1:"&amp;LEN(AA244)))))-1)</f>
        <v>NB_2022_052 - 27102022 - 1</v>
      </c>
      <c r="AC244" s="5" t="s">
        <v>301</v>
      </c>
      <c r="AD244" s="13" t="str">
        <f aca="true" t="array" ref="AD244:AD244">LEFT(AC244,LOOKUP(2^15,FIND(".",AC244,ROW(INDIRECT("1:"&amp;LEN(AC244)))))-1)</f>
        <v>NB_2022_052 - 27102022 - 2</v>
      </c>
      <c r="AE244" s="5" t="str">
        <f aca="false">CONCATENATE(AB244, "-",H244, ".mzML")</f>
        <v>NB_2022_052 - 27102022 - 1-003.mzML</v>
      </c>
      <c r="AF244" s="5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3" t="s">
        <v>290</v>
      </c>
      <c r="B245" s="4"/>
      <c r="C245" s="3" t="s">
        <v>291</v>
      </c>
      <c r="D245" s="5" t="s">
        <v>14</v>
      </c>
      <c r="E245" s="5" t="s">
        <v>292</v>
      </c>
      <c r="F245" s="6" t="s">
        <v>293</v>
      </c>
      <c r="G245" s="5" t="s">
        <v>294</v>
      </c>
      <c r="H245" s="7" t="s">
        <v>99</v>
      </c>
      <c r="I245" s="5" t="str">
        <f aca="false">CONCATENATE(E245, "_",H245)</f>
        <v>NLA_2022_011_004</v>
      </c>
      <c r="J245" s="5" t="s">
        <v>52</v>
      </c>
      <c r="K245" s="5" t="s">
        <v>303</v>
      </c>
      <c r="L245" s="8" t="s">
        <v>69</v>
      </c>
      <c r="M245" s="6" t="s">
        <v>304</v>
      </c>
      <c r="N245" s="5" t="s">
        <v>246</v>
      </c>
      <c r="O245" s="5" t="s">
        <v>305</v>
      </c>
      <c r="P245" s="5" t="s">
        <v>43</v>
      </c>
      <c r="Q245" s="5" t="s">
        <v>43</v>
      </c>
      <c r="R245" s="5" t="s">
        <v>44</v>
      </c>
      <c r="S245" s="5" t="s">
        <v>46</v>
      </c>
      <c r="T245" s="5" t="s">
        <v>46</v>
      </c>
      <c r="U245" s="5" t="n">
        <v>1000</v>
      </c>
      <c r="V245" s="1" t="n">
        <v>3</v>
      </c>
      <c r="W245" s="5"/>
      <c r="X245" s="5" t="s">
        <v>298</v>
      </c>
      <c r="Y245" s="1" t="n">
        <v>5500</v>
      </c>
      <c r="Z245" s="5" t="s">
        <v>299</v>
      </c>
      <c r="AA245" s="5" t="s">
        <v>300</v>
      </c>
      <c r="AB245" s="13" t="str">
        <f aca="true" t="array" ref="AB245:AB245">LEFT(AA245,LOOKUP(2^15,FIND(".",AA245,ROW(INDIRECT("1:"&amp;LEN(AA245)))))-1)</f>
        <v>NB_2022_052 - 27102022 - 1</v>
      </c>
      <c r="AC245" s="5" t="s">
        <v>301</v>
      </c>
      <c r="AD245" s="13" t="str">
        <f aca="true" t="array" ref="AD245:AD245">LEFT(AC245,LOOKUP(2^15,FIND(".",AC245,ROW(INDIRECT("1:"&amp;LEN(AC245)))))-1)</f>
        <v>NB_2022_052 - 27102022 - 2</v>
      </c>
      <c r="AE245" s="5" t="str">
        <f aca="false">CONCATENATE(AB245, "-",H245, ".mzML")</f>
        <v>NB_2022_052 - 27102022 - 1-004.mzML</v>
      </c>
      <c r="AF245" s="5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3" t="s">
        <v>290</v>
      </c>
      <c r="B246" s="4"/>
      <c r="C246" s="3" t="s">
        <v>291</v>
      </c>
      <c r="D246" s="5" t="s">
        <v>14</v>
      </c>
      <c r="E246" s="5" t="s">
        <v>292</v>
      </c>
      <c r="F246" s="6" t="s">
        <v>293</v>
      </c>
      <c r="G246" s="5" t="s">
        <v>294</v>
      </c>
      <c r="H246" s="7" t="s">
        <v>101</v>
      </c>
      <c r="I246" s="5" t="str">
        <f aca="false">CONCATENATE(E246, "_",H246)</f>
        <v>NLA_2022_011_006</v>
      </c>
      <c r="J246" s="5" t="s">
        <v>38</v>
      </c>
      <c r="K246" s="5" t="s">
        <v>306</v>
      </c>
      <c r="L246" s="8" t="s">
        <v>69</v>
      </c>
      <c r="M246" s="6" t="s">
        <v>304</v>
      </c>
      <c r="N246" s="5" t="s">
        <v>246</v>
      </c>
      <c r="O246" s="5" t="s">
        <v>307</v>
      </c>
      <c r="P246" s="5" t="s">
        <v>43</v>
      </c>
      <c r="Q246" s="5" t="s">
        <v>43</v>
      </c>
      <c r="R246" s="5" t="s">
        <v>44</v>
      </c>
      <c r="S246" s="5" t="s">
        <v>46</v>
      </c>
      <c r="T246" s="5" t="s">
        <v>46</v>
      </c>
      <c r="U246" s="5" t="n">
        <v>1000</v>
      </c>
      <c r="V246" s="1" t="n">
        <v>2</v>
      </c>
      <c r="W246" s="5"/>
      <c r="X246" s="5" t="s">
        <v>298</v>
      </c>
      <c r="Y246" s="1" t="n">
        <v>5500</v>
      </c>
      <c r="Z246" s="5" t="s">
        <v>299</v>
      </c>
      <c r="AA246" s="5" t="s">
        <v>300</v>
      </c>
      <c r="AB246" s="13" t="str">
        <f aca="true" t="array" ref="AB246:AB246">LEFT(AA246,LOOKUP(2^15,FIND(".",AA246,ROW(INDIRECT("1:"&amp;LEN(AA246)))))-1)</f>
        <v>NB_2022_052 - 27102022 - 1</v>
      </c>
      <c r="AC246" s="5" t="s">
        <v>301</v>
      </c>
      <c r="AD246" s="13" t="str">
        <f aca="true" t="array" ref="AD246:AD246">LEFT(AC246,LOOKUP(2^15,FIND(".",AC246,ROW(INDIRECT("1:"&amp;LEN(AC246)))))-1)</f>
        <v>NB_2022_052 - 27102022 - 2</v>
      </c>
      <c r="AE246" s="5" t="str">
        <f aca="false">CONCATENATE(AB246, "-",H246, ".mzML")</f>
        <v>NB_2022_052 - 27102022 - 1-006.mzML</v>
      </c>
      <c r="AF246" s="5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3" t="s">
        <v>290</v>
      </c>
      <c r="B247" s="4"/>
      <c r="C247" s="3" t="s">
        <v>291</v>
      </c>
      <c r="D247" s="5" t="s">
        <v>14</v>
      </c>
      <c r="E247" s="5" t="s">
        <v>292</v>
      </c>
      <c r="F247" s="6" t="s">
        <v>293</v>
      </c>
      <c r="G247" s="5" t="s">
        <v>294</v>
      </c>
      <c r="H247" s="7" t="s">
        <v>142</v>
      </c>
      <c r="I247" s="5" t="str">
        <f aca="false">CONCATENATE(E247, "_",H247)</f>
        <v>NLA_2022_011_008</v>
      </c>
      <c r="J247" s="5" t="s">
        <v>52</v>
      </c>
      <c r="K247" s="5" t="s">
        <v>308</v>
      </c>
      <c r="L247" s="8" t="s">
        <v>69</v>
      </c>
      <c r="M247" s="6" t="s">
        <v>304</v>
      </c>
      <c r="N247" s="5" t="s">
        <v>246</v>
      </c>
      <c r="O247" s="5" t="s">
        <v>297</v>
      </c>
      <c r="P247" s="5" t="s">
        <v>43</v>
      </c>
      <c r="Q247" s="5" t="s">
        <v>43</v>
      </c>
      <c r="R247" s="5" t="s">
        <v>44</v>
      </c>
      <c r="S247" s="5" t="s">
        <v>46</v>
      </c>
      <c r="T247" s="5" t="s">
        <v>46</v>
      </c>
      <c r="U247" s="5" t="n">
        <v>1000</v>
      </c>
      <c r="V247" s="1" t="n">
        <v>2</v>
      </c>
      <c r="W247" s="5"/>
      <c r="X247" s="5" t="s">
        <v>298</v>
      </c>
      <c r="Y247" s="1" t="n">
        <v>5500</v>
      </c>
      <c r="Z247" s="5" t="s">
        <v>299</v>
      </c>
      <c r="AA247" s="5" t="s">
        <v>300</v>
      </c>
      <c r="AB247" s="13" t="str">
        <f aca="true" t="array" ref="AB247:AB247">LEFT(AA247,LOOKUP(2^15,FIND(".",AA247,ROW(INDIRECT("1:"&amp;LEN(AA247)))))-1)</f>
        <v>NB_2022_052 - 27102022 - 1</v>
      </c>
      <c r="AC247" s="5" t="s">
        <v>301</v>
      </c>
      <c r="AD247" s="13" t="str">
        <f aca="true" t="array" ref="AD247:AD247">LEFT(AC247,LOOKUP(2^15,FIND(".",AC247,ROW(INDIRECT("1:"&amp;LEN(AC247)))))-1)</f>
        <v>NB_2022_052 - 27102022 - 2</v>
      </c>
      <c r="AE247" s="5" t="str">
        <f aca="false">CONCATENATE(AB247, "-",H247, ".mzML")</f>
        <v>NB_2022_052 - 27102022 - 1-008.mzML</v>
      </c>
      <c r="AF247" s="5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3" t="s">
        <v>290</v>
      </c>
      <c r="B248" s="4"/>
      <c r="C248" s="3" t="s">
        <v>291</v>
      </c>
      <c r="D248" s="5" t="s">
        <v>14</v>
      </c>
      <c r="E248" s="5" t="s">
        <v>292</v>
      </c>
      <c r="F248" s="6" t="s">
        <v>293</v>
      </c>
      <c r="G248" s="5" t="s">
        <v>294</v>
      </c>
      <c r="H248" s="7" t="s">
        <v>129</v>
      </c>
      <c r="I248" s="5" t="str">
        <f aca="false">CONCATENATE(E248, "_",H248)</f>
        <v>NLA_2022_011_010</v>
      </c>
      <c r="J248" s="5" t="s">
        <v>52</v>
      </c>
      <c r="K248" s="5" t="s">
        <v>309</v>
      </c>
      <c r="L248" s="8" t="s">
        <v>69</v>
      </c>
      <c r="M248" s="6" t="s">
        <v>296</v>
      </c>
      <c r="N248" s="5" t="s">
        <v>246</v>
      </c>
      <c r="O248" s="5" t="s">
        <v>305</v>
      </c>
      <c r="P248" s="5" t="s">
        <v>43</v>
      </c>
      <c r="Q248" s="5" t="s">
        <v>43</v>
      </c>
      <c r="R248" s="5" t="s">
        <v>44</v>
      </c>
      <c r="S248" s="5" t="s">
        <v>46</v>
      </c>
      <c r="T248" s="5" t="s">
        <v>46</v>
      </c>
      <c r="U248" s="5" t="n">
        <v>1000</v>
      </c>
      <c r="V248" s="1" t="n">
        <v>1</v>
      </c>
      <c r="W248" s="5"/>
      <c r="X248" s="5" t="s">
        <v>298</v>
      </c>
      <c r="Y248" s="1" t="n">
        <v>5500</v>
      </c>
      <c r="Z248" s="5" t="s">
        <v>299</v>
      </c>
      <c r="AA248" s="5" t="s">
        <v>300</v>
      </c>
      <c r="AB248" s="13" t="str">
        <f aca="true" t="array" ref="AB248:AB248">LEFT(AA248,LOOKUP(2^15,FIND(".",AA248,ROW(INDIRECT("1:"&amp;LEN(AA248)))))-1)</f>
        <v>NB_2022_052 - 27102022 - 1</v>
      </c>
      <c r="AC248" s="5" t="s">
        <v>301</v>
      </c>
      <c r="AD248" s="13" t="str">
        <f aca="true" t="array" ref="AD248:AD248">LEFT(AC248,LOOKUP(2^15,FIND(".",AC248,ROW(INDIRECT("1:"&amp;LEN(AC248)))))-1)</f>
        <v>NB_2022_052 - 27102022 - 2</v>
      </c>
      <c r="AE248" s="5" t="str">
        <f aca="false">CONCATENATE(AB248, "-",H248, ".mzML")</f>
        <v>NB_2022_052 - 27102022 - 1-010.mzML</v>
      </c>
      <c r="AF248" s="5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3" t="s">
        <v>290</v>
      </c>
      <c r="B249" s="4"/>
      <c r="C249" s="3" t="s">
        <v>291</v>
      </c>
      <c r="D249" s="5" t="s">
        <v>14</v>
      </c>
      <c r="E249" s="5" t="s">
        <v>292</v>
      </c>
      <c r="F249" s="6" t="s">
        <v>293</v>
      </c>
      <c r="G249" s="5" t="s">
        <v>294</v>
      </c>
      <c r="H249" s="7" t="s">
        <v>51</v>
      </c>
      <c r="I249" s="5" t="str">
        <f aca="false">CONCATENATE(E249, "_",H249)</f>
        <v>NLA_2022_011_012</v>
      </c>
      <c r="J249" s="5" t="s">
        <v>38</v>
      </c>
      <c r="K249" s="5" t="s">
        <v>310</v>
      </c>
      <c r="L249" s="8" t="s">
        <v>69</v>
      </c>
      <c r="M249" s="6" t="s">
        <v>296</v>
      </c>
      <c r="N249" s="5" t="s">
        <v>246</v>
      </c>
      <c r="O249" s="5" t="s">
        <v>307</v>
      </c>
      <c r="P249" s="5" t="s">
        <v>43</v>
      </c>
      <c r="Q249" s="5" t="s">
        <v>43</v>
      </c>
      <c r="R249" s="5" t="s">
        <v>44</v>
      </c>
      <c r="S249" s="5" t="s">
        <v>46</v>
      </c>
      <c r="T249" s="5" t="s">
        <v>46</v>
      </c>
      <c r="U249" s="5" t="n">
        <v>1000</v>
      </c>
      <c r="V249" s="1" t="n">
        <v>2</v>
      </c>
      <c r="W249" s="5"/>
      <c r="X249" s="5" t="s">
        <v>298</v>
      </c>
      <c r="Y249" s="1" t="n">
        <v>5500</v>
      </c>
      <c r="Z249" s="5" t="s">
        <v>299</v>
      </c>
      <c r="AA249" s="5" t="s">
        <v>300</v>
      </c>
      <c r="AB249" s="13" t="str">
        <f aca="true" t="array" ref="AB249:AB249">LEFT(AA249,LOOKUP(2^15,FIND(".",AA249,ROW(INDIRECT("1:"&amp;LEN(AA249)))))-1)</f>
        <v>NB_2022_052 - 27102022 - 1</v>
      </c>
      <c r="AC249" s="5" t="s">
        <v>301</v>
      </c>
      <c r="AD249" s="13" t="str">
        <f aca="true" t="array" ref="AD249:AD249">LEFT(AC249,LOOKUP(2^15,FIND(".",AC249,ROW(INDIRECT("1:"&amp;LEN(AC249)))))-1)</f>
        <v>NB_2022_052 - 27102022 - 2</v>
      </c>
      <c r="AE249" s="5" t="str">
        <f aca="false">CONCATENATE(AB249, "-",H249, ".mzML")</f>
        <v>NB_2022_052 - 27102022 - 1-012.mzML</v>
      </c>
      <c r="AF249" s="5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3" t="s">
        <v>290</v>
      </c>
      <c r="B250" s="4"/>
      <c r="C250" s="3" t="s">
        <v>291</v>
      </c>
      <c r="D250" s="5" t="s">
        <v>14</v>
      </c>
      <c r="E250" s="5" t="s">
        <v>292</v>
      </c>
      <c r="F250" s="6" t="s">
        <v>293</v>
      </c>
      <c r="G250" s="5" t="s">
        <v>294</v>
      </c>
      <c r="H250" s="7" t="s">
        <v>172</v>
      </c>
      <c r="I250" s="5" t="str">
        <f aca="false">CONCATENATE(E250, "_",H250)</f>
        <v>NLA_2022_011_015</v>
      </c>
      <c r="J250" s="5" t="s">
        <v>38</v>
      </c>
      <c r="K250" s="5" t="s">
        <v>311</v>
      </c>
      <c r="L250" s="8" t="s">
        <v>69</v>
      </c>
      <c r="M250" s="6" t="s">
        <v>304</v>
      </c>
      <c r="N250" s="5" t="s">
        <v>246</v>
      </c>
      <c r="O250" s="5" t="s">
        <v>307</v>
      </c>
      <c r="P250" s="5" t="s">
        <v>43</v>
      </c>
      <c r="Q250" s="5" t="s">
        <v>43</v>
      </c>
      <c r="R250" s="5" t="s">
        <v>44</v>
      </c>
      <c r="S250" s="5" t="s">
        <v>46</v>
      </c>
      <c r="T250" s="5" t="s">
        <v>46</v>
      </c>
      <c r="U250" s="5" t="n">
        <v>1000</v>
      </c>
      <c r="V250" s="1" t="n">
        <v>3</v>
      </c>
      <c r="W250" s="5"/>
      <c r="X250" s="5" t="s">
        <v>298</v>
      </c>
      <c r="Y250" s="1" t="n">
        <v>5500</v>
      </c>
      <c r="Z250" s="5" t="s">
        <v>299</v>
      </c>
      <c r="AA250" s="5" t="s">
        <v>300</v>
      </c>
      <c r="AB250" s="13" t="str">
        <f aca="true" t="array" ref="AB250:AB250">LEFT(AA250,LOOKUP(2^15,FIND(".",AA250,ROW(INDIRECT("1:"&amp;LEN(AA250)))))-1)</f>
        <v>NB_2022_052 - 27102022 - 1</v>
      </c>
      <c r="AC250" s="5" t="s">
        <v>301</v>
      </c>
      <c r="AD250" s="13" t="str">
        <f aca="true" t="array" ref="AD250:AD250">LEFT(AC250,LOOKUP(2^15,FIND(".",AC250,ROW(INDIRECT("1:"&amp;LEN(AC250)))))-1)</f>
        <v>NB_2022_052 - 27102022 - 2</v>
      </c>
      <c r="AE250" s="5" t="str">
        <f aca="false">CONCATENATE(AB250, "-",H250, ".mzML")</f>
        <v>NB_2022_052 - 27102022 - 1-015.mzML</v>
      </c>
      <c r="AF250" s="5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3" t="s">
        <v>290</v>
      </c>
      <c r="B251" s="4"/>
      <c r="C251" s="3" t="s">
        <v>291</v>
      </c>
      <c r="D251" s="5" t="s">
        <v>14</v>
      </c>
      <c r="E251" s="5" t="s">
        <v>292</v>
      </c>
      <c r="F251" s="6" t="s">
        <v>293</v>
      </c>
      <c r="G251" s="5" t="s">
        <v>294</v>
      </c>
      <c r="H251" s="7" t="s">
        <v>93</v>
      </c>
      <c r="I251" s="5" t="str">
        <f aca="false">CONCATENATE(E251, "_",H251)</f>
        <v>NLA_2022_011_018</v>
      </c>
      <c r="J251" s="5" t="s">
        <v>52</v>
      </c>
      <c r="K251" s="5" t="s">
        <v>312</v>
      </c>
      <c r="L251" s="8" t="s">
        <v>69</v>
      </c>
      <c r="M251" s="6" t="s">
        <v>304</v>
      </c>
      <c r="N251" s="5" t="s">
        <v>246</v>
      </c>
      <c r="O251" s="5" t="s">
        <v>305</v>
      </c>
      <c r="P251" s="5" t="s">
        <v>43</v>
      </c>
      <c r="Q251" s="5" t="s">
        <v>43</v>
      </c>
      <c r="R251" s="5" t="s">
        <v>44</v>
      </c>
      <c r="S251" s="5" t="s">
        <v>46</v>
      </c>
      <c r="T251" s="5" t="s">
        <v>46</v>
      </c>
      <c r="U251" s="5" t="n">
        <v>1000</v>
      </c>
      <c r="V251" s="1" t="n">
        <v>1</v>
      </c>
      <c r="W251" s="5"/>
      <c r="X251" s="5" t="s">
        <v>298</v>
      </c>
      <c r="Y251" s="1" t="n">
        <v>5500</v>
      </c>
      <c r="Z251" s="5" t="s">
        <v>299</v>
      </c>
      <c r="AA251" s="5" t="s">
        <v>300</v>
      </c>
      <c r="AB251" s="13" t="str">
        <f aca="true" t="array" ref="AB251:AB251">LEFT(AA251,LOOKUP(2^15,FIND(".",AA251,ROW(INDIRECT("1:"&amp;LEN(AA251)))))-1)</f>
        <v>NB_2022_052 - 27102022 - 1</v>
      </c>
      <c r="AC251" s="5" t="s">
        <v>301</v>
      </c>
      <c r="AD251" s="13" t="str">
        <f aca="true" t="array" ref="AD251:AD251">LEFT(AC251,LOOKUP(2^15,FIND(".",AC251,ROW(INDIRECT("1:"&amp;LEN(AC251)))))-1)</f>
        <v>NB_2022_052 - 27102022 - 2</v>
      </c>
      <c r="AE251" s="5" t="str">
        <f aca="false">CONCATENATE(AB251, "-",H251, ".mzML")</f>
        <v>NB_2022_052 - 27102022 - 1-018.mzML</v>
      </c>
      <c r="AF251" s="5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3" t="s">
        <v>290</v>
      </c>
      <c r="B252" s="4"/>
      <c r="C252" s="3" t="s">
        <v>291</v>
      </c>
      <c r="D252" s="5" t="s">
        <v>14</v>
      </c>
      <c r="E252" s="5" t="s">
        <v>292</v>
      </c>
      <c r="F252" s="6" t="s">
        <v>293</v>
      </c>
      <c r="G252" s="5" t="s">
        <v>294</v>
      </c>
      <c r="H252" s="7" t="s">
        <v>288</v>
      </c>
      <c r="I252" s="5" t="str">
        <f aca="false">CONCATENATE(E252, "_",H252)</f>
        <v>NLA_2022_011_022</v>
      </c>
      <c r="J252" s="5" t="s">
        <v>52</v>
      </c>
      <c r="K252" s="5" t="s">
        <v>313</v>
      </c>
      <c r="L252" s="8" t="s">
        <v>69</v>
      </c>
      <c r="M252" s="6" t="s">
        <v>314</v>
      </c>
      <c r="N252" s="5" t="s">
        <v>246</v>
      </c>
      <c r="O252" s="5" t="s">
        <v>297</v>
      </c>
      <c r="P252" s="5" t="s">
        <v>43</v>
      </c>
      <c r="Q252" s="5" t="s">
        <v>43</v>
      </c>
      <c r="R252" s="5" t="s">
        <v>44</v>
      </c>
      <c r="S252" s="5" t="s">
        <v>46</v>
      </c>
      <c r="T252" s="5" t="s">
        <v>46</v>
      </c>
      <c r="U252" s="5" t="n">
        <v>1000</v>
      </c>
      <c r="V252" s="1" t="n">
        <v>2</v>
      </c>
      <c r="W252" s="5"/>
      <c r="X252" s="5" t="s">
        <v>298</v>
      </c>
      <c r="Y252" s="1" t="n">
        <v>5500</v>
      </c>
      <c r="Z252" s="5" t="s">
        <v>299</v>
      </c>
      <c r="AA252" s="5" t="s">
        <v>300</v>
      </c>
      <c r="AB252" s="13" t="str">
        <f aca="true" t="array" ref="AB252:AB252">LEFT(AA252,LOOKUP(2^15,FIND(".",AA252,ROW(INDIRECT("1:"&amp;LEN(AA252)))))-1)</f>
        <v>NB_2022_052 - 27102022 - 1</v>
      </c>
      <c r="AC252" s="5" t="s">
        <v>301</v>
      </c>
      <c r="AD252" s="13" t="str">
        <f aca="true" t="array" ref="AD252:AD252">LEFT(AC252,LOOKUP(2^15,FIND(".",AC252,ROW(INDIRECT("1:"&amp;LEN(AC252)))))-1)</f>
        <v>NB_2022_052 - 27102022 - 2</v>
      </c>
      <c r="AE252" s="5" t="str">
        <f aca="false">CONCATENATE(AB252, "-",H252, ".mzML")</f>
        <v>NB_2022_052 - 27102022 - 1-022.mzML</v>
      </c>
      <c r="AF252" s="5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3" t="s">
        <v>290</v>
      </c>
      <c r="B253" s="4"/>
      <c r="C253" s="3" t="s">
        <v>291</v>
      </c>
      <c r="D253" s="5" t="s">
        <v>14</v>
      </c>
      <c r="E253" s="5" t="s">
        <v>292</v>
      </c>
      <c r="F253" s="6" t="s">
        <v>293</v>
      </c>
      <c r="G253" s="5" t="s">
        <v>294</v>
      </c>
      <c r="H253" s="7" t="s">
        <v>237</v>
      </c>
      <c r="I253" s="5" t="str">
        <f aca="false">CONCATENATE(E253, "_",H253)</f>
        <v>NLA_2022_011_024</v>
      </c>
      <c r="J253" s="5" t="s">
        <v>52</v>
      </c>
      <c r="K253" s="5" t="s">
        <v>315</v>
      </c>
      <c r="L253" s="8" t="s">
        <v>69</v>
      </c>
      <c r="M253" s="6" t="s">
        <v>314</v>
      </c>
      <c r="N253" s="5" t="s">
        <v>246</v>
      </c>
      <c r="O253" s="5" t="s">
        <v>305</v>
      </c>
      <c r="P253" s="5" t="s">
        <v>43</v>
      </c>
      <c r="Q253" s="5" t="s">
        <v>43</v>
      </c>
      <c r="R253" s="5" t="s">
        <v>44</v>
      </c>
      <c r="S253" s="5" t="s">
        <v>46</v>
      </c>
      <c r="T253" s="5" t="s">
        <v>46</v>
      </c>
      <c r="U253" s="5" t="n">
        <v>1000</v>
      </c>
      <c r="V253" s="1" t="n">
        <v>1</v>
      </c>
      <c r="W253" s="5"/>
      <c r="X253" s="5" t="s">
        <v>298</v>
      </c>
      <c r="Y253" s="1" t="n">
        <v>5500</v>
      </c>
      <c r="Z253" s="5" t="s">
        <v>299</v>
      </c>
      <c r="AA253" s="5" t="s">
        <v>300</v>
      </c>
      <c r="AB253" s="13" t="str">
        <f aca="true" t="array" ref="AB253:AB253">LEFT(AA253,LOOKUP(2^15,FIND(".",AA253,ROW(INDIRECT("1:"&amp;LEN(AA253)))))-1)</f>
        <v>NB_2022_052 - 27102022 - 1</v>
      </c>
      <c r="AC253" s="5" t="s">
        <v>301</v>
      </c>
      <c r="AD253" s="13" t="str">
        <f aca="true" t="array" ref="AD253:AD253">LEFT(AC253,LOOKUP(2^15,FIND(".",AC253,ROW(INDIRECT("1:"&amp;LEN(AC253)))))-1)</f>
        <v>NB_2022_052 - 27102022 - 2</v>
      </c>
      <c r="AE253" s="5" t="str">
        <f aca="false">CONCATENATE(AB253, "-",H253, ".mzML")</f>
        <v>NB_2022_052 - 27102022 - 1-024.mzML</v>
      </c>
      <c r="AF253" s="5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3" t="s">
        <v>290</v>
      </c>
      <c r="B254" s="4"/>
      <c r="C254" s="3" t="s">
        <v>291</v>
      </c>
      <c r="D254" s="5" t="s">
        <v>14</v>
      </c>
      <c r="E254" s="5" t="s">
        <v>292</v>
      </c>
      <c r="F254" s="6" t="s">
        <v>293</v>
      </c>
      <c r="G254" s="5" t="s">
        <v>294</v>
      </c>
      <c r="H254" s="7" t="s">
        <v>316</v>
      </c>
      <c r="I254" s="5" t="str">
        <f aca="false">CONCATENATE(E254, "_",H254)</f>
        <v>NLA_2022_011_026</v>
      </c>
      <c r="J254" s="5" t="s">
        <v>52</v>
      </c>
      <c r="K254" s="5" t="s">
        <v>317</v>
      </c>
      <c r="L254" s="8" t="s">
        <v>69</v>
      </c>
      <c r="M254" s="6" t="s">
        <v>296</v>
      </c>
      <c r="N254" s="5" t="s">
        <v>246</v>
      </c>
      <c r="O254" s="5" t="s">
        <v>297</v>
      </c>
      <c r="P254" s="5" t="s">
        <v>43</v>
      </c>
      <c r="Q254" s="5" t="s">
        <v>43</v>
      </c>
      <c r="R254" s="5" t="s">
        <v>44</v>
      </c>
      <c r="S254" s="5" t="s">
        <v>46</v>
      </c>
      <c r="T254" s="5" t="s">
        <v>46</v>
      </c>
      <c r="U254" s="5" t="n">
        <v>1000</v>
      </c>
      <c r="V254" s="1" t="n">
        <v>3</v>
      </c>
      <c r="W254" s="5"/>
      <c r="X254" s="5" t="s">
        <v>298</v>
      </c>
      <c r="Y254" s="1" t="n">
        <v>5500</v>
      </c>
      <c r="Z254" s="5" t="s">
        <v>299</v>
      </c>
      <c r="AA254" s="5" t="s">
        <v>300</v>
      </c>
      <c r="AB254" s="13" t="str">
        <f aca="true" t="array" ref="AB254:AB254">LEFT(AA254,LOOKUP(2^15,FIND(".",AA254,ROW(INDIRECT("1:"&amp;LEN(AA254)))))-1)</f>
        <v>NB_2022_052 - 27102022 - 1</v>
      </c>
      <c r="AC254" s="5" t="s">
        <v>301</v>
      </c>
      <c r="AD254" s="13" t="str">
        <f aca="true" t="array" ref="AD254:AD254">LEFT(AC254,LOOKUP(2^15,FIND(".",AC254,ROW(INDIRECT("1:"&amp;LEN(AC254)))))-1)</f>
        <v>NB_2022_052 - 27102022 - 2</v>
      </c>
      <c r="AE254" s="5" t="str">
        <f aca="false">CONCATENATE(AB254, "-",H254, ".mzML")</f>
        <v>NB_2022_052 - 27102022 - 1-026.mzML</v>
      </c>
      <c r="AF254" s="5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3" t="s">
        <v>290</v>
      </c>
      <c r="B255" s="4"/>
      <c r="C255" s="3" t="s">
        <v>291</v>
      </c>
      <c r="D255" s="5" t="s">
        <v>14</v>
      </c>
      <c r="E255" s="5" t="s">
        <v>292</v>
      </c>
      <c r="F255" s="6" t="s">
        <v>293</v>
      </c>
      <c r="G255" s="5" t="s">
        <v>292</v>
      </c>
      <c r="H255" s="7" t="s">
        <v>64</v>
      </c>
      <c r="I255" s="5" t="str">
        <f aca="false">CONCATENATE(E255, "_",H255)</f>
        <v>NLA_2022_011_Blank_1</v>
      </c>
      <c r="J255" s="5" t="s">
        <v>52</v>
      </c>
      <c r="K255" s="1" t="n">
        <v>1</v>
      </c>
      <c r="L255" s="8" t="s">
        <v>46</v>
      </c>
      <c r="M255" s="6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5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5" t="s">
        <v>46</v>
      </c>
      <c r="Y255" s="1" t="n">
        <v>5500</v>
      </c>
      <c r="Z255" s="5" t="s">
        <v>299</v>
      </c>
      <c r="AA255" s="5" t="s">
        <v>300</v>
      </c>
      <c r="AB255" s="13" t="str">
        <f aca="true" t="array" ref="AB255:AB255">LEFT(AA255,LOOKUP(2^15,FIND(".",AA255,ROW(INDIRECT("1:"&amp;LEN(AA255)))))-1)</f>
        <v>NB_2022_052 - 27102022 - 1</v>
      </c>
      <c r="AC255" s="5" t="s">
        <v>301</v>
      </c>
      <c r="AD255" s="13" t="str">
        <f aca="true" t="array" ref="AD255:AD255">LEFT(AC255,LOOKUP(2^15,FIND(".",AC255,ROW(INDIRECT("1:"&amp;LEN(AC255)))))-1)</f>
        <v>NB_2022_052 - 27102022 - 2</v>
      </c>
      <c r="AE255" s="5" t="str">
        <f aca="false">CONCATENATE(AB255, "-",H255, ".mzML")</f>
        <v>NB_2022_052 - 27102022 - 1-Blank_1.mzML</v>
      </c>
      <c r="AF255" s="5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3" t="s">
        <v>290</v>
      </c>
      <c r="B256" s="4"/>
      <c r="C256" s="3" t="s">
        <v>291</v>
      </c>
      <c r="D256" s="5" t="s">
        <v>14</v>
      </c>
      <c r="E256" s="5" t="s">
        <v>292</v>
      </c>
      <c r="F256" s="6" t="s">
        <v>293</v>
      </c>
      <c r="G256" s="5" t="s">
        <v>292</v>
      </c>
      <c r="H256" s="7" t="s">
        <v>66</v>
      </c>
      <c r="I256" s="5" t="str">
        <f aca="false">CONCATENATE(E256, "_",H256)</f>
        <v>NLA_2022_011_Blank_2</v>
      </c>
      <c r="J256" s="5" t="s">
        <v>52</v>
      </c>
      <c r="K256" s="1" t="n">
        <v>2</v>
      </c>
      <c r="L256" s="8" t="s">
        <v>46</v>
      </c>
      <c r="M256" s="6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5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5" t="s">
        <v>46</v>
      </c>
      <c r="Y256" s="1" t="n">
        <v>5500</v>
      </c>
      <c r="Z256" s="5" t="s">
        <v>299</v>
      </c>
      <c r="AA256" s="5" t="s">
        <v>300</v>
      </c>
      <c r="AB256" s="13" t="str">
        <f aca="true" t="array" ref="AB256:AB256">LEFT(AA256,LOOKUP(2^15,FIND(".",AA256,ROW(INDIRECT("1:"&amp;LEN(AA256)))))-1)</f>
        <v>NB_2022_052 - 27102022 - 1</v>
      </c>
      <c r="AC256" s="5" t="s">
        <v>301</v>
      </c>
      <c r="AD256" s="13" t="str">
        <f aca="true" t="array" ref="AD256:AD256">LEFT(AC256,LOOKUP(2^15,FIND(".",AC256,ROW(INDIRECT("1:"&amp;LEN(AC256)))))-1)</f>
        <v>NB_2022_052 - 27102022 - 2</v>
      </c>
      <c r="AE256" s="5" t="str">
        <f aca="false">CONCATENATE(AB256, "-",H256, ".mzML")</f>
        <v>NB_2022_052 - 27102022 - 1-Blank_2.mzML</v>
      </c>
      <c r="AF256" s="5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3" t="s">
        <v>290</v>
      </c>
      <c r="B257" s="4"/>
      <c r="C257" s="3" t="s">
        <v>291</v>
      </c>
      <c r="D257" s="5" t="s">
        <v>14</v>
      </c>
      <c r="E257" s="5" t="s">
        <v>292</v>
      </c>
      <c r="F257" s="6" t="s">
        <v>293</v>
      </c>
      <c r="G257" s="5" t="s">
        <v>292</v>
      </c>
      <c r="H257" s="7" t="s">
        <v>67</v>
      </c>
      <c r="I257" s="5" t="str">
        <f aca="false">CONCATENATE(E257, "_",H257)</f>
        <v>NLA_2022_011_Blank_3</v>
      </c>
      <c r="J257" s="5" t="s">
        <v>52</v>
      </c>
      <c r="K257" s="1" t="n">
        <v>3</v>
      </c>
      <c r="L257" s="8" t="s">
        <v>46</v>
      </c>
      <c r="M257" s="6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5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5" t="s">
        <v>46</v>
      </c>
      <c r="Y257" s="1" t="n">
        <v>5500</v>
      </c>
      <c r="Z257" s="5" t="s">
        <v>299</v>
      </c>
      <c r="AA257" s="5" t="s">
        <v>300</v>
      </c>
      <c r="AB257" s="13" t="str">
        <f aca="true" t="array" ref="AB257:AB257">LEFT(AA257,LOOKUP(2^15,FIND(".",AA257,ROW(INDIRECT("1:"&amp;LEN(AA257)))))-1)</f>
        <v>NB_2022_052 - 27102022 - 1</v>
      </c>
      <c r="AC257" s="5" t="s">
        <v>301</v>
      </c>
      <c r="AD257" s="13" t="str">
        <f aca="true" t="array" ref="AD257:AD257">LEFT(AC257,LOOKUP(2^15,FIND(".",AC257,ROW(INDIRECT("1:"&amp;LEN(AC257)))))-1)</f>
        <v>NB_2022_052 - 27102022 - 2</v>
      </c>
      <c r="AE257" s="5" t="str">
        <f aca="false">CONCATENATE(AB257, "-",H257, ".mzML")</f>
        <v>NB_2022_052 - 27102022 - 1-Blank_3.mzML</v>
      </c>
      <c r="AF257" s="5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3" t="s">
        <v>290</v>
      </c>
      <c r="B258" s="4"/>
      <c r="C258" s="3" t="s">
        <v>291</v>
      </c>
      <c r="D258" s="5" t="s">
        <v>14</v>
      </c>
      <c r="E258" s="5" t="s">
        <v>292</v>
      </c>
      <c r="F258" s="6" t="s">
        <v>293</v>
      </c>
      <c r="G258" s="5" t="s">
        <v>292</v>
      </c>
      <c r="H258" s="7" t="s">
        <v>68</v>
      </c>
      <c r="I258" s="5" t="str">
        <f aca="false">CONCATENATE(E258, "_",H258)</f>
        <v>NLA_2022_011_QC_C_1</v>
      </c>
      <c r="J258" s="5" t="s">
        <v>52</v>
      </c>
      <c r="K258" s="1" t="n">
        <v>1</v>
      </c>
      <c r="L258" s="8" t="s">
        <v>69</v>
      </c>
      <c r="M258" s="1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5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5" t="s">
        <v>74</v>
      </c>
      <c r="Y258" s="1" t="n">
        <v>5500</v>
      </c>
      <c r="Z258" s="5" t="s">
        <v>299</v>
      </c>
      <c r="AA258" s="5" t="s">
        <v>300</v>
      </c>
      <c r="AB258" s="13" t="str">
        <f aca="true" t="array" ref="AB258:AB258">LEFT(AA258,LOOKUP(2^15,FIND(".",AA258,ROW(INDIRECT("1:"&amp;LEN(AA258)))))-1)</f>
        <v>NB_2022_052 - 27102022 - 1</v>
      </c>
      <c r="AC258" s="5" t="s">
        <v>301</v>
      </c>
      <c r="AD258" s="13" t="str">
        <f aca="true" t="array" ref="AD258:AD258">LEFT(AC258,LOOKUP(2^15,FIND(".",AC258,ROW(INDIRECT("1:"&amp;LEN(AC258)))))-1)</f>
        <v>NB_2022_052 - 27102022 - 2</v>
      </c>
      <c r="AE258" s="5" t="str">
        <f aca="false">CONCATENATE(AB258, "-",H258, ".mzML")</f>
        <v>NB_2022_052 - 27102022 - 1-QC_C_1.mzML</v>
      </c>
      <c r="AF258" s="5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3" t="s">
        <v>290</v>
      </c>
      <c r="B259" s="4"/>
      <c r="C259" s="3" t="s">
        <v>291</v>
      </c>
      <c r="D259" s="5" t="s">
        <v>14</v>
      </c>
      <c r="E259" s="5" t="s">
        <v>292</v>
      </c>
      <c r="F259" s="6" t="s">
        <v>293</v>
      </c>
      <c r="G259" s="5" t="s">
        <v>292</v>
      </c>
      <c r="H259" s="7" t="s">
        <v>75</v>
      </c>
      <c r="I259" s="5" t="str">
        <f aca="false">CONCATENATE(E259, "_",H259)</f>
        <v>NLA_2022_011_QC_C_2</v>
      </c>
      <c r="J259" s="5" t="s">
        <v>52</v>
      </c>
      <c r="K259" s="1" t="n">
        <v>2</v>
      </c>
      <c r="L259" s="8" t="s">
        <v>69</v>
      </c>
      <c r="M259" s="1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5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5" t="s">
        <v>74</v>
      </c>
      <c r="Y259" s="1" t="n">
        <v>5500</v>
      </c>
      <c r="Z259" s="5" t="s">
        <v>299</v>
      </c>
      <c r="AA259" s="5" t="s">
        <v>300</v>
      </c>
      <c r="AB259" s="13" t="str">
        <f aca="true" t="array" ref="AB259:AB259">LEFT(AA259,LOOKUP(2^15,FIND(".",AA259,ROW(INDIRECT("1:"&amp;LEN(AA259)))))-1)</f>
        <v>NB_2022_052 - 27102022 - 1</v>
      </c>
      <c r="AC259" s="5" t="s">
        <v>301</v>
      </c>
      <c r="AD259" s="13" t="str">
        <f aca="true" t="array" ref="AD259:AD259">LEFT(AC259,LOOKUP(2^15,FIND(".",AC259,ROW(INDIRECT("1:"&amp;LEN(AC259)))))-1)</f>
        <v>NB_2022_052 - 27102022 - 2</v>
      </c>
      <c r="AE259" s="5" t="str">
        <f aca="false">CONCATENATE(AB259, "-",H259, ".mzML")</f>
        <v>NB_2022_052 - 27102022 - 1-QC_C_2.mzML</v>
      </c>
      <c r="AF259" s="5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3" t="s">
        <v>290</v>
      </c>
      <c r="B260" s="4"/>
      <c r="C260" s="3" t="s">
        <v>291</v>
      </c>
      <c r="D260" s="5" t="s">
        <v>14</v>
      </c>
      <c r="E260" s="5" t="s">
        <v>292</v>
      </c>
      <c r="F260" s="6" t="s">
        <v>293</v>
      </c>
      <c r="G260" s="5" t="s">
        <v>292</v>
      </c>
      <c r="H260" s="7" t="s">
        <v>76</v>
      </c>
      <c r="I260" s="5" t="str">
        <f aca="false">CONCATENATE(E260, "_",H260)</f>
        <v>NLA_2022_011_QC_C_3</v>
      </c>
      <c r="J260" s="5" t="s">
        <v>52</v>
      </c>
      <c r="K260" s="1" t="n">
        <v>3</v>
      </c>
      <c r="L260" s="8" t="s">
        <v>69</v>
      </c>
      <c r="M260" s="1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5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5" t="s">
        <v>74</v>
      </c>
      <c r="Y260" s="1" t="n">
        <v>5500</v>
      </c>
      <c r="Z260" s="5" t="s">
        <v>299</v>
      </c>
      <c r="AA260" s="5" t="s">
        <v>300</v>
      </c>
      <c r="AB260" s="13" t="str">
        <f aca="true" t="array" ref="AB260:AB260">LEFT(AA260,LOOKUP(2^15,FIND(".",AA260,ROW(INDIRECT("1:"&amp;LEN(AA260)))))-1)</f>
        <v>NB_2022_052 - 27102022 - 1</v>
      </c>
      <c r="AC260" s="5" t="s">
        <v>301</v>
      </c>
      <c r="AD260" s="13" t="str">
        <f aca="true" t="array" ref="AD260:AD260">LEFT(AC260,LOOKUP(2^15,FIND(".",AC260,ROW(INDIRECT("1:"&amp;LEN(AC260)))))-1)</f>
        <v>NB_2022_052 - 27102022 - 2</v>
      </c>
      <c r="AE260" s="5" t="str">
        <f aca="false">CONCATENATE(AB260, "-",H260, ".mzML")</f>
        <v>NB_2022_052 - 27102022 - 1-QC_C_3.mzML</v>
      </c>
      <c r="AF260" s="5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3" t="s">
        <v>290</v>
      </c>
      <c r="B261" s="4"/>
      <c r="C261" s="3" t="s">
        <v>291</v>
      </c>
      <c r="D261" s="5" t="s">
        <v>14</v>
      </c>
      <c r="E261" s="5" t="s">
        <v>292</v>
      </c>
      <c r="F261" s="6" t="s">
        <v>293</v>
      </c>
      <c r="G261" s="5" t="s">
        <v>292</v>
      </c>
      <c r="H261" s="7" t="s">
        <v>77</v>
      </c>
      <c r="I261" s="5" t="str">
        <f aca="false">CONCATENATE(E261, "_",H261)</f>
        <v>NLA_2022_011_QC_P_1</v>
      </c>
      <c r="J261" s="5" t="s">
        <v>52</v>
      </c>
      <c r="K261" s="1" t="n">
        <v>1</v>
      </c>
      <c r="L261" s="8" t="s">
        <v>69</v>
      </c>
      <c r="M261" s="6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5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5" t="s">
        <v>83</v>
      </c>
      <c r="Y261" s="1" t="n">
        <v>5500</v>
      </c>
      <c r="Z261" s="5" t="s">
        <v>299</v>
      </c>
      <c r="AA261" s="5" t="s">
        <v>300</v>
      </c>
      <c r="AB261" s="13" t="str">
        <f aca="true" t="array" ref="AB261:AB261">LEFT(AA261,LOOKUP(2^15,FIND(".",AA261,ROW(INDIRECT("1:"&amp;LEN(AA261)))))-1)</f>
        <v>NB_2022_052 - 27102022 - 1</v>
      </c>
      <c r="AC261" s="5" t="s">
        <v>301</v>
      </c>
      <c r="AD261" s="13" t="str">
        <f aca="true" t="array" ref="AD261:AD261">LEFT(AC261,LOOKUP(2^15,FIND(".",AC261,ROW(INDIRECT("1:"&amp;LEN(AC261)))))-1)</f>
        <v>NB_2022_052 - 27102022 - 2</v>
      </c>
      <c r="AE261" s="5" t="str">
        <f aca="false">CONCATENATE(AB261, "-",H261, ".mzML")</f>
        <v>NB_2022_052 - 27102022 - 1-QC_P_1.mzML</v>
      </c>
      <c r="AF261" s="5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3" t="s">
        <v>290</v>
      </c>
      <c r="B262" s="4"/>
      <c r="C262" s="3" t="s">
        <v>291</v>
      </c>
      <c r="D262" s="5" t="s">
        <v>14</v>
      </c>
      <c r="E262" s="5" t="s">
        <v>292</v>
      </c>
      <c r="F262" s="6" t="s">
        <v>293</v>
      </c>
      <c r="G262" s="5" t="s">
        <v>292</v>
      </c>
      <c r="H262" s="7" t="s">
        <v>84</v>
      </c>
      <c r="I262" s="5" t="str">
        <f aca="false">CONCATENATE(E262, "_",H262)</f>
        <v>NLA_2022_011_QC_P_2</v>
      </c>
      <c r="J262" s="5" t="s">
        <v>52</v>
      </c>
      <c r="K262" s="1" t="n">
        <v>2</v>
      </c>
      <c r="L262" s="8" t="s">
        <v>69</v>
      </c>
      <c r="M262" s="6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5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5" t="s">
        <v>83</v>
      </c>
      <c r="Y262" s="1" t="n">
        <v>5500</v>
      </c>
      <c r="Z262" s="5" t="s">
        <v>299</v>
      </c>
      <c r="AA262" s="5" t="s">
        <v>300</v>
      </c>
      <c r="AB262" s="13" t="str">
        <f aca="true" t="array" ref="AB262:AB262">LEFT(AA262,LOOKUP(2^15,FIND(".",AA262,ROW(INDIRECT("1:"&amp;LEN(AA262)))))-1)</f>
        <v>NB_2022_052 - 27102022 - 1</v>
      </c>
      <c r="AC262" s="5" t="s">
        <v>301</v>
      </c>
      <c r="AD262" s="13" t="str">
        <f aca="true" t="array" ref="AD262:AD262">LEFT(AC262,LOOKUP(2^15,FIND(".",AC262,ROW(INDIRECT("1:"&amp;LEN(AC262)))))-1)</f>
        <v>NB_2022_052 - 27102022 - 2</v>
      </c>
      <c r="AE262" s="5" t="str">
        <f aca="false">CONCATENATE(AB262, "-",H262, ".mzML")</f>
        <v>NB_2022_052 - 27102022 - 1-QC_P_2.mzML</v>
      </c>
      <c r="AF262" s="5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3" t="s">
        <v>290</v>
      </c>
      <c r="B263" s="4"/>
      <c r="C263" s="3" t="s">
        <v>291</v>
      </c>
      <c r="D263" s="5" t="s">
        <v>14</v>
      </c>
      <c r="E263" s="5" t="s">
        <v>292</v>
      </c>
      <c r="F263" s="6" t="s">
        <v>293</v>
      </c>
      <c r="G263" s="5" t="s">
        <v>292</v>
      </c>
      <c r="H263" s="7" t="s">
        <v>85</v>
      </c>
      <c r="I263" s="5" t="str">
        <f aca="false">CONCATENATE(E263, "_",H263)</f>
        <v>NLA_2022_011_QC_P_3</v>
      </c>
      <c r="J263" s="5" t="s">
        <v>52</v>
      </c>
      <c r="K263" s="1" t="n">
        <v>3</v>
      </c>
      <c r="L263" s="8" t="s">
        <v>69</v>
      </c>
      <c r="M263" s="6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5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5" t="s">
        <v>83</v>
      </c>
      <c r="Y263" s="1" t="n">
        <v>5500</v>
      </c>
      <c r="Z263" s="5" t="s">
        <v>299</v>
      </c>
      <c r="AA263" s="5" t="s">
        <v>300</v>
      </c>
      <c r="AB263" s="13" t="str">
        <f aca="true" t="array" ref="AB263:AB263">LEFT(AA263,LOOKUP(2^15,FIND(".",AA263,ROW(INDIRECT("1:"&amp;LEN(AA263)))))-1)</f>
        <v>NB_2022_052 - 27102022 - 1</v>
      </c>
      <c r="AC263" s="5" t="s">
        <v>301</v>
      </c>
      <c r="AD263" s="13" t="str">
        <f aca="true" t="array" ref="AD263:AD263">LEFT(AC263,LOOKUP(2^15,FIND(".",AC263,ROW(INDIRECT("1:"&amp;LEN(AC263)))))-1)</f>
        <v>NB_2022_052 - 27102022 - 2</v>
      </c>
      <c r="AE263" s="5" t="str">
        <f aca="false">CONCATENATE(AB263, "-",H263, ".mzML")</f>
        <v>NB_2022_052 - 27102022 - 1-QC_P_3.mzML</v>
      </c>
      <c r="AF263" s="5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3" t="s">
        <v>318</v>
      </c>
      <c r="B264" s="4"/>
      <c r="C264" s="3" t="s">
        <v>319</v>
      </c>
      <c r="D264" s="5" t="s">
        <v>14</v>
      </c>
      <c r="E264" s="5" t="s">
        <v>320</v>
      </c>
      <c r="F264" s="6" t="s">
        <v>321</v>
      </c>
      <c r="G264" s="5" t="s">
        <v>322</v>
      </c>
      <c r="H264" s="14" t="s">
        <v>323</v>
      </c>
      <c r="I264" s="5" t="str">
        <f aca="false">CONCATENATE(E264, "_",H264)</f>
        <v>NLA_2021_007_113</v>
      </c>
      <c r="J264" s="5" t="s">
        <v>158</v>
      </c>
      <c r="K264" s="21" t="n">
        <v>7210</v>
      </c>
      <c r="L264" s="8" t="s">
        <v>69</v>
      </c>
      <c r="M264" s="6" t="s">
        <v>324</v>
      </c>
      <c r="N264" s="5" t="s">
        <v>325</v>
      </c>
      <c r="O264" s="5" t="s">
        <v>42</v>
      </c>
      <c r="P264" s="1" t="s">
        <v>326</v>
      </c>
      <c r="Q264" s="5" t="s">
        <v>327</v>
      </c>
      <c r="R264" s="5" t="s">
        <v>72</v>
      </c>
      <c r="S264" s="5" t="s">
        <v>46</v>
      </c>
      <c r="T264" s="5" t="s">
        <v>46</v>
      </c>
      <c r="U264" s="5" t="n">
        <v>10</v>
      </c>
      <c r="V264" s="1" t="n">
        <v>1</v>
      </c>
      <c r="W264" s="5" t="s">
        <v>328</v>
      </c>
      <c r="X264" s="5" t="s">
        <v>47</v>
      </c>
      <c r="Y264" s="1" t="n">
        <v>5500</v>
      </c>
      <c r="Z264" s="5" t="s">
        <v>329</v>
      </c>
      <c r="AA264" s="5" t="s">
        <v>330</v>
      </c>
      <c r="AB264" s="13" t="str">
        <f aca="true" t="array" ref="AB264:AB264">LEFT(AA264,LOOKUP(2^15,FIND(".",AA264,ROW(INDIRECT("1:"&amp;LEN(AA264)))))-1)</f>
        <v>NB_2021_023 - 07062021 - 1</v>
      </c>
      <c r="AC264" s="5" t="s">
        <v>331</v>
      </c>
      <c r="AD264" s="13" t="str">
        <f aca="true" t="array" ref="AD264:AD264">LEFT(AC264,LOOKUP(2^15,FIND(".",AC264,ROW(INDIRECT("1:"&amp;LEN(AC264)))))-1)</f>
        <v>NB_2021_023 - 07062021 - 2</v>
      </c>
      <c r="AE264" s="5" t="str">
        <f aca="false">CONCATENATE(AB264, "-",H264, ".mzML")</f>
        <v>NB_2021_023 - 07062021 - 1-113.mzML</v>
      </c>
      <c r="AF264" s="5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3" t="s">
        <v>318</v>
      </c>
      <c r="B265" s="4"/>
      <c r="C265" s="3" t="s">
        <v>319</v>
      </c>
      <c r="D265" s="5" t="s">
        <v>14</v>
      </c>
      <c r="E265" s="5" t="s">
        <v>320</v>
      </c>
      <c r="F265" s="6" t="s">
        <v>321</v>
      </c>
      <c r="G265" s="5" t="s">
        <v>322</v>
      </c>
      <c r="H265" s="14" t="s">
        <v>332</v>
      </c>
      <c r="I265" s="5" t="str">
        <f aca="false">CONCATENATE(E265, "_",H265)</f>
        <v>NLA_2021_007_114</v>
      </c>
      <c r="J265" s="5" t="s">
        <v>158</v>
      </c>
      <c r="K265" s="21" t="n">
        <v>7211</v>
      </c>
      <c r="L265" s="8" t="s">
        <v>69</v>
      </c>
      <c r="M265" s="6" t="s">
        <v>324</v>
      </c>
      <c r="N265" s="5" t="s">
        <v>325</v>
      </c>
      <c r="O265" s="5" t="s">
        <v>42</v>
      </c>
      <c r="P265" s="5" t="s">
        <v>326</v>
      </c>
      <c r="Q265" s="5" t="s">
        <v>327</v>
      </c>
      <c r="R265" s="5" t="s">
        <v>72</v>
      </c>
      <c r="S265" s="5" t="s">
        <v>46</v>
      </c>
      <c r="T265" s="5" t="s">
        <v>46</v>
      </c>
      <c r="U265" s="5" t="n">
        <v>10</v>
      </c>
      <c r="V265" s="1" t="n">
        <v>2</v>
      </c>
      <c r="W265" s="5" t="s">
        <v>328</v>
      </c>
      <c r="X265" s="5" t="s">
        <v>47</v>
      </c>
      <c r="Y265" s="1" t="n">
        <v>5500</v>
      </c>
      <c r="Z265" s="5" t="s">
        <v>329</v>
      </c>
      <c r="AA265" s="5" t="s">
        <v>330</v>
      </c>
      <c r="AB265" s="13" t="str">
        <f aca="true" t="array" ref="AB265:AB265">LEFT(AA265,LOOKUP(2^15,FIND(".",AA265,ROW(INDIRECT("1:"&amp;LEN(AA265)))))-1)</f>
        <v>NB_2021_023 - 07062021 - 1</v>
      </c>
      <c r="AC265" s="5" t="s">
        <v>331</v>
      </c>
      <c r="AD265" s="13" t="str">
        <f aca="true" t="array" ref="AD265:AD265">LEFT(AC265,LOOKUP(2^15,FIND(".",AC265,ROW(INDIRECT("1:"&amp;LEN(AC265)))))-1)</f>
        <v>NB_2021_023 - 07062021 - 2</v>
      </c>
      <c r="AE265" s="5" t="str">
        <f aca="false">CONCATENATE(AB265, "-",H265, ".mzML")</f>
        <v>NB_2021_023 - 07062021 - 1-114.mzML</v>
      </c>
      <c r="AF265" s="5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3" t="s">
        <v>318</v>
      </c>
      <c r="B266" s="4"/>
      <c r="C266" s="3" t="s">
        <v>319</v>
      </c>
      <c r="D266" s="5" t="s">
        <v>14</v>
      </c>
      <c r="E266" s="5" t="s">
        <v>320</v>
      </c>
      <c r="F266" s="6" t="s">
        <v>321</v>
      </c>
      <c r="G266" s="5" t="s">
        <v>322</v>
      </c>
      <c r="H266" s="14" t="s">
        <v>333</v>
      </c>
      <c r="I266" s="5" t="str">
        <f aca="false">CONCATENATE(E266, "_",H266)</f>
        <v>NLA_2021_007_115</v>
      </c>
      <c r="J266" s="5" t="s">
        <v>158</v>
      </c>
      <c r="K266" s="21" t="n">
        <v>7212</v>
      </c>
      <c r="L266" s="8" t="s">
        <v>69</v>
      </c>
      <c r="M266" s="6" t="s">
        <v>324</v>
      </c>
      <c r="N266" s="5" t="s">
        <v>325</v>
      </c>
      <c r="O266" s="5" t="s">
        <v>42</v>
      </c>
      <c r="P266" s="5" t="s">
        <v>326</v>
      </c>
      <c r="Q266" s="5" t="s">
        <v>327</v>
      </c>
      <c r="R266" s="5" t="s">
        <v>72</v>
      </c>
      <c r="S266" s="5" t="s">
        <v>46</v>
      </c>
      <c r="T266" s="5" t="s">
        <v>46</v>
      </c>
      <c r="U266" s="5" t="n">
        <v>10</v>
      </c>
      <c r="V266" s="1" t="n">
        <v>3</v>
      </c>
      <c r="W266" s="5" t="s">
        <v>328</v>
      </c>
      <c r="X266" s="5" t="s">
        <v>47</v>
      </c>
      <c r="Y266" s="1" t="n">
        <v>5500</v>
      </c>
      <c r="Z266" s="5" t="s">
        <v>329</v>
      </c>
      <c r="AA266" s="5" t="s">
        <v>330</v>
      </c>
      <c r="AB266" s="13" t="str">
        <f aca="true" t="array" ref="AB266:AB266">LEFT(AA266,LOOKUP(2^15,FIND(".",AA266,ROW(INDIRECT("1:"&amp;LEN(AA266)))))-1)</f>
        <v>NB_2021_023 - 07062021 - 1</v>
      </c>
      <c r="AC266" s="5" t="s">
        <v>331</v>
      </c>
      <c r="AD266" s="13" t="str">
        <f aca="true" t="array" ref="AD266:AD266">LEFT(AC266,LOOKUP(2^15,FIND(".",AC266,ROW(INDIRECT("1:"&amp;LEN(AC266)))))-1)</f>
        <v>NB_2021_023 - 07062021 - 2</v>
      </c>
      <c r="AE266" s="5" t="str">
        <f aca="false">CONCATENATE(AB266, "-",H266, ".mzML")</f>
        <v>NB_2021_023 - 07062021 - 1-115.mzML</v>
      </c>
      <c r="AF266" s="5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3" t="s">
        <v>318</v>
      </c>
      <c r="B267" s="4"/>
      <c r="C267" s="3" t="s">
        <v>319</v>
      </c>
      <c r="D267" s="5" t="s">
        <v>14</v>
      </c>
      <c r="E267" s="5" t="s">
        <v>320</v>
      </c>
      <c r="F267" s="6" t="s">
        <v>321</v>
      </c>
      <c r="G267" s="5" t="s">
        <v>322</v>
      </c>
      <c r="H267" s="14" t="s">
        <v>334</v>
      </c>
      <c r="I267" s="5" t="str">
        <f aca="false">CONCATENATE(E267, "_",H267)</f>
        <v>NLA_2021_007_116</v>
      </c>
      <c r="J267" s="5" t="s">
        <v>158</v>
      </c>
      <c r="K267" s="21" t="n">
        <v>7213</v>
      </c>
      <c r="L267" s="8" t="s">
        <v>69</v>
      </c>
      <c r="M267" s="6" t="s">
        <v>324</v>
      </c>
      <c r="N267" s="5" t="s">
        <v>325</v>
      </c>
      <c r="O267" s="5" t="s">
        <v>42</v>
      </c>
      <c r="P267" s="5" t="s">
        <v>326</v>
      </c>
      <c r="Q267" s="5" t="s">
        <v>327</v>
      </c>
      <c r="R267" s="5" t="s">
        <v>72</v>
      </c>
      <c r="S267" s="5" t="s">
        <v>46</v>
      </c>
      <c r="T267" s="5" t="s">
        <v>46</v>
      </c>
      <c r="U267" s="5" t="n">
        <v>10</v>
      </c>
      <c r="V267" s="1" t="n">
        <v>4</v>
      </c>
      <c r="W267" s="5" t="s">
        <v>328</v>
      </c>
      <c r="X267" s="5" t="s">
        <v>47</v>
      </c>
      <c r="Y267" s="1" t="n">
        <v>5500</v>
      </c>
      <c r="Z267" s="5" t="s">
        <v>329</v>
      </c>
      <c r="AA267" s="5" t="s">
        <v>330</v>
      </c>
      <c r="AB267" s="13" t="str">
        <f aca="true" t="array" ref="AB267:AB267">LEFT(AA267,LOOKUP(2^15,FIND(".",AA267,ROW(INDIRECT("1:"&amp;LEN(AA267)))))-1)</f>
        <v>NB_2021_023 - 07062021 - 1</v>
      </c>
      <c r="AC267" s="5" t="s">
        <v>331</v>
      </c>
      <c r="AD267" s="13" t="str">
        <f aca="true" t="array" ref="AD267:AD267">LEFT(AC267,LOOKUP(2^15,FIND(".",AC267,ROW(INDIRECT("1:"&amp;LEN(AC267)))))-1)</f>
        <v>NB_2021_023 - 07062021 - 2</v>
      </c>
      <c r="AE267" s="5" t="str">
        <f aca="false">CONCATENATE(AB267, "-",H267, ".mzML")</f>
        <v>NB_2021_023 - 07062021 - 1-116.mzML</v>
      </c>
      <c r="AF267" s="5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3" t="s">
        <v>318</v>
      </c>
      <c r="B268" s="4"/>
      <c r="C268" s="3" t="s">
        <v>319</v>
      </c>
      <c r="D268" s="5" t="s">
        <v>14</v>
      </c>
      <c r="E268" s="5" t="s">
        <v>320</v>
      </c>
      <c r="F268" s="6" t="s">
        <v>321</v>
      </c>
      <c r="G268" s="5" t="s">
        <v>322</v>
      </c>
      <c r="H268" s="14" t="s">
        <v>335</v>
      </c>
      <c r="I268" s="5" t="str">
        <f aca="false">CONCATENATE(E268, "_",H268)</f>
        <v>NLA_2021_007_117</v>
      </c>
      <c r="J268" s="5" t="s">
        <v>158</v>
      </c>
      <c r="K268" s="21" t="n">
        <v>7214</v>
      </c>
      <c r="L268" s="8" t="s">
        <v>69</v>
      </c>
      <c r="M268" s="6" t="s">
        <v>324</v>
      </c>
      <c r="N268" s="5" t="s">
        <v>325</v>
      </c>
      <c r="O268" s="5" t="s">
        <v>42</v>
      </c>
      <c r="P268" s="5" t="s">
        <v>326</v>
      </c>
      <c r="Q268" s="5" t="s">
        <v>327</v>
      </c>
      <c r="R268" s="5" t="s">
        <v>72</v>
      </c>
      <c r="S268" s="5" t="s">
        <v>46</v>
      </c>
      <c r="T268" s="5" t="s">
        <v>46</v>
      </c>
      <c r="U268" s="5" t="n">
        <v>10</v>
      </c>
      <c r="V268" s="1" t="n">
        <v>5</v>
      </c>
      <c r="W268" s="5" t="s">
        <v>328</v>
      </c>
      <c r="X268" s="5" t="s">
        <v>47</v>
      </c>
      <c r="Y268" s="1" t="n">
        <v>5500</v>
      </c>
      <c r="Z268" s="5" t="s">
        <v>329</v>
      </c>
      <c r="AA268" s="5" t="s">
        <v>330</v>
      </c>
      <c r="AB268" s="13" t="str">
        <f aca="true" t="array" ref="AB268:AB268">LEFT(AA268,LOOKUP(2^15,FIND(".",AA268,ROW(INDIRECT("1:"&amp;LEN(AA268)))))-1)</f>
        <v>NB_2021_023 - 07062021 - 1</v>
      </c>
      <c r="AC268" s="5" t="s">
        <v>331</v>
      </c>
      <c r="AD268" s="13" t="str">
        <f aca="true" t="array" ref="AD268:AD268">LEFT(AC268,LOOKUP(2^15,FIND(".",AC268,ROW(INDIRECT("1:"&amp;LEN(AC268)))))-1)</f>
        <v>NB_2021_023 - 07062021 - 2</v>
      </c>
      <c r="AE268" s="5" t="str">
        <f aca="false">CONCATENATE(AB268, "-",H268, ".mzML")</f>
        <v>NB_2021_023 - 07062021 - 1-117.mzML</v>
      </c>
      <c r="AF268" s="5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3" t="s">
        <v>318</v>
      </c>
      <c r="B269" s="4"/>
      <c r="C269" s="3" t="s">
        <v>319</v>
      </c>
      <c r="D269" s="5" t="s">
        <v>14</v>
      </c>
      <c r="E269" s="5" t="s">
        <v>320</v>
      </c>
      <c r="F269" s="6" t="s">
        <v>321</v>
      </c>
      <c r="G269" s="5" t="s">
        <v>322</v>
      </c>
      <c r="H269" s="14" t="s">
        <v>336</v>
      </c>
      <c r="I269" s="5" t="str">
        <f aca="false">CONCATENATE(E269, "_",H269)</f>
        <v>NLA_2021_007_118</v>
      </c>
      <c r="J269" s="5" t="s">
        <v>158</v>
      </c>
      <c r="K269" s="21" t="n">
        <v>7223</v>
      </c>
      <c r="L269" s="8" t="s">
        <v>69</v>
      </c>
      <c r="M269" s="6" t="s">
        <v>324</v>
      </c>
      <c r="N269" s="5" t="s">
        <v>325</v>
      </c>
      <c r="O269" s="5" t="s">
        <v>42</v>
      </c>
      <c r="P269" s="5" t="s">
        <v>326</v>
      </c>
      <c r="Q269" s="5" t="s">
        <v>327</v>
      </c>
      <c r="R269" s="5" t="s">
        <v>72</v>
      </c>
      <c r="S269" s="5" t="s">
        <v>46</v>
      </c>
      <c r="T269" s="5" t="s">
        <v>46</v>
      </c>
      <c r="U269" s="5" t="n">
        <v>10</v>
      </c>
      <c r="V269" s="1" t="n">
        <v>6</v>
      </c>
      <c r="W269" s="5" t="s">
        <v>328</v>
      </c>
      <c r="X269" s="5" t="s">
        <v>47</v>
      </c>
      <c r="Y269" s="1" t="n">
        <v>5500</v>
      </c>
      <c r="Z269" s="5" t="s">
        <v>329</v>
      </c>
      <c r="AA269" s="5" t="s">
        <v>330</v>
      </c>
      <c r="AB269" s="13" t="str">
        <f aca="true" t="array" ref="AB269:AB269">LEFT(AA269,LOOKUP(2^15,FIND(".",AA269,ROW(INDIRECT("1:"&amp;LEN(AA269)))))-1)</f>
        <v>NB_2021_023 - 07062021 - 1</v>
      </c>
      <c r="AC269" s="5" t="s">
        <v>331</v>
      </c>
      <c r="AD269" s="13" t="str">
        <f aca="true" t="array" ref="AD269:AD269">LEFT(AC269,LOOKUP(2^15,FIND(".",AC269,ROW(INDIRECT("1:"&amp;LEN(AC269)))))-1)</f>
        <v>NB_2021_023 - 07062021 - 2</v>
      </c>
      <c r="AE269" s="5" t="str">
        <f aca="false">CONCATENATE(AB269, "-",H269, ".mzML")</f>
        <v>NB_2021_023 - 07062021 - 1-118.mzML</v>
      </c>
      <c r="AF269" s="5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3" t="s">
        <v>318</v>
      </c>
      <c r="B270" s="4"/>
      <c r="C270" s="3" t="s">
        <v>319</v>
      </c>
      <c r="D270" s="5" t="s">
        <v>14</v>
      </c>
      <c r="E270" s="5" t="s">
        <v>320</v>
      </c>
      <c r="F270" s="6" t="s">
        <v>321</v>
      </c>
      <c r="G270" s="5" t="s">
        <v>322</v>
      </c>
      <c r="H270" s="14" t="s">
        <v>337</v>
      </c>
      <c r="I270" s="5" t="str">
        <f aca="false">CONCATENATE(E270, "_",H270)</f>
        <v>NLA_2021_007_119</v>
      </c>
      <c r="J270" s="5" t="s">
        <v>158</v>
      </c>
      <c r="K270" s="21" t="n">
        <v>7224</v>
      </c>
      <c r="L270" s="8" t="s">
        <v>69</v>
      </c>
      <c r="M270" s="6" t="s">
        <v>324</v>
      </c>
      <c r="N270" s="5" t="s">
        <v>325</v>
      </c>
      <c r="O270" s="5" t="s">
        <v>42</v>
      </c>
      <c r="P270" s="5" t="s">
        <v>326</v>
      </c>
      <c r="Q270" s="5" t="s">
        <v>327</v>
      </c>
      <c r="R270" s="5" t="s">
        <v>72</v>
      </c>
      <c r="S270" s="5" t="s">
        <v>46</v>
      </c>
      <c r="T270" s="5" t="s">
        <v>46</v>
      </c>
      <c r="U270" s="5" t="n">
        <v>10</v>
      </c>
      <c r="V270" s="1" t="n">
        <v>7</v>
      </c>
      <c r="W270" s="5" t="s">
        <v>328</v>
      </c>
      <c r="X270" s="5" t="s">
        <v>47</v>
      </c>
      <c r="Y270" s="1" t="n">
        <v>5500</v>
      </c>
      <c r="Z270" s="5" t="s">
        <v>329</v>
      </c>
      <c r="AA270" s="5" t="s">
        <v>330</v>
      </c>
      <c r="AB270" s="13" t="str">
        <f aca="true" t="array" ref="AB270:AB270">LEFT(AA270,LOOKUP(2^15,FIND(".",AA270,ROW(INDIRECT("1:"&amp;LEN(AA270)))))-1)</f>
        <v>NB_2021_023 - 07062021 - 1</v>
      </c>
      <c r="AC270" s="5" t="s">
        <v>331</v>
      </c>
      <c r="AD270" s="13" t="str">
        <f aca="true" t="array" ref="AD270:AD270">LEFT(AC270,LOOKUP(2^15,FIND(".",AC270,ROW(INDIRECT("1:"&amp;LEN(AC270)))))-1)</f>
        <v>NB_2021_023 - 07062021 - 2</v>
      </c>
      <c r="AE270" s="5" t="str">
        <f aca="false">CONCATENATE(AB270, "-",H270, ".mzML")</f>
        <v>NB_2021_023 - 07062021 - 1-119.mzML</v>
      </c>
      <c r="AF270" s="5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3" t="s">
        <v>318</v>
      </c>
      <c r="B271" s="4"/>
      <c r="C271" s="3" t="s">
        <v>319</v>
      </c>
      <c r="D271" s="5" t="s">
        <v>14</v>
      </c>
      <c r="E271" s="5" t="s">
        <v>320</v>
      </c>
      <c r="F271" s="6" t="s">
        <v>321</v>
      </c>
      <c r="G271" s="5" t="s">
        <v>322</v>
      </c>
      <c r="H271" s="14" t="s">
        <v>338</v>
      </c>
      <c r="I271" s="5" t="str">
        <f aca="false">CONCATENATE(E271, "_",H271)</f>
        <v>NLA_2021_007_120</v>
      </c>
      <c r="J271" s="5" t="s">
        <v>158</v>
      </c>
      <c r="K271" s="21" t="n">
        <v>7225</v>
      </c>
      <c r="L271" s="8" t="s">
        <v>69</v>
      </c>
      <c r="M271" s="6" t="s">
        <v>324</v>
      </c>
      <c r="N271" s="5" t="s">
        <v>325</v>
      </c>
      <c r="O271" s="5" t="s">
        <v>42</v>
      </c>
      <c r="P271" s="5" t="s">
        <v>326</v>
      </c>
      <c r="Q271" s="5" t="s">
        <v>327</v>
      </c>
      <c r="R271" s="5" t="s">
        <v>72</v>
      </c>
      <c r="S271" s="5" t="s">
        <v>46</v>
      </c>
      <c r="T271" s="5" t="s">
        <v>46</v>
      </c>
      <c r="U271" s="5" t="n">
        <v>10</v>
      </c>
      <c r="V271" s="1" t="n">
        <v>8</v>
      </c>
      <c r="W271" s="5" t="s">
        <v>328</v>
      </c>
      <c r="X271" s="5" t="s">
        <v>47</v>
      </c>
      <c r="Y271" s="1" t="n">
        <v>5500</v>
      </c>
      <c r="Z271" s="5" t="s">
        <v>329</v>
      </c>
      <c r="AA271" s="5" t="s">
        <v>330</v>
      </c>
      <c r="AB271" s="13" t="str">
        <f aca="true" t="array" ref="AB271:AB271">LEFT(AA271,LOOKUP(2^15,FIND(".",AA271,ROW(INDIRECT("1:"&amp;LEN(AA271)))))-1)</f>
        <v>NB_2021_023 - 07062021 - 1</v>
      </c>
      <c r="AC271" s="5" t="s">
        <v>331</v>
      </c>
      <c r="AD271" s="13" t="str">
        <f aca="true" t="array" ref="AD271:AD271">LEFT(AC271,LOOKUP(2^15,FIND(".",AC271,ROW(INDIRECT("1:"&amp;LEN(AC271)))))-1)</f>
        <v>NB_2021_023 - 07062021 - 2</v>
      </c>
      <c r="AE271" s="5" t="str">
        <f aca="false">CONCATENATE(AB271, "-",H271, ".mzML")</f>
        <v>NB_2021_023 - 07062021 - 1-120.mzML</v>
      </c>
      <c r="AF271" s="5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3" t="s">
        <v>318</v>
      </c>
      <c r="B272" s="4"/>
      <c r="C272" s="3" t="s">
        <v>319</v>
      </c>
      <c r="D272" s="5" t="s">
        <v>14</v>
      </c>
      <c r="E272" s="5" t="s">
        <v>320</v>
      </c>
      <c r="F272" s="6" t="s">
        <v>321</v>
      </c>
      <c r="G272" s="5" t="s">
        <v>322</v>
      </c>
      <c r="H272" s="14" t="s">
        <v>339</v>
      </c>
      <c r="I272" s="5" t="str">
        <f aca="false">CONCATENATE(E272, "_",H272)</f>
        <v>NLA_2021_007_121</v>
      </c>
      <c r="J272" s="5" t="s">
        <v>166</v>
      </c>
      <c r="K272" s="21" t="n">
        <v>7277</v>
      </c>
      <c r="L272" s="8" t="s">
        <v>69</v>
      </c>
      <c r="M272" s="6" t="s">
        <v>324</v>
      </c>
      <c r="N272" s="5" t="s">
        <v>325</v>
      </c>
      <c r="O272" s="5" t="s">
        <v>54</v>
      </c>
      <c r="P272" s="5" t="s">
        <v>326</v>
      </c>
      <c r="Q272" s="5" t="s">
        <v>340</v>
      </c>
      <c r="R272" s="5" t="s">
        <v>72</v>
      </c>
      <c r="S272" s="5" t="s">
        <v>46</v>
      </c>
      <c r="T272" s="5" t="s">
        <v>46</v>
      </c>
      <c r="U272" s="5" t="n">
        <v>10</v>
      </c>
      <c r="V272" s="1" t="n">
        <v>1</v>
      </c>
      <c r="W272" s="5" t="s">
        <v>328</v>
      </c>
      <c r="X272" s="5" t="s">
        <v>47</v>
      </c>
      <c r="Y272" s="1" t="n">
        <v>5500</v>
      </c>
      <c r="Z272" s="5" t="s">
        <v>329</v>
      </c>
      <c r="AA272" s="5" t="s">
        <v>330</v>
      </c>
      <c r="AB272" s="13" t="str">
        <f aca="true" t="array" ref="AB272:AB272">LEFT(AA272,LOOKUP(2^15,FIND(".",AA272,ROW(INDIRECT("1:"&amp;LEN(AA272)))))-1)</f>
        <v>NB_2021_023 - 07062021 - 1</v>
      </c>
      <c r="AC272" s="5" t="s">
        <v>331</v>
      </c>
      <c r="AD272" s="13" t="str">
        <f aca="true" t="array" ref="AD272:AD272">LEFT(AC272,LOOKUP(2^15,FIND(".",AC272,ROW(INDIRECT("1:"&amp;LEN(AC272)))))-1)</f>
        <v>NB_2021_023 - 07062021 - 2</v>
      </c>
      <c r="AE272" s="5" t="str">
        <f aca="false">CONCATENATE(AB272, "-",H272, ".mzML")</f>
        <v>NB_2021_023 - 07062021 - 1-121.mzML</v>
      </c>
      <c r="AF272" s="5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3" t="s">
        <v>318</v>
      </c>
      <c r="B273" s="4"/>
      <c r="C273" s="3" t="s">
        <v>319</v>
      </c>
      <c r="D273" s="5" t="s">
        <v>14</v>
      </c>
      <c r="E273" s="5" t="s">
        <v>320</v>
      </c>
      <c r="F273" s="6" t="s">
        <v>321</v>
      </c>
      <c r="G273" s="5" t="s">
        <v>322</v>
      </c>
      <c r="H273" s="14" t="s">
        <v>341</v>
      </c>
      <c r="I273" s="5" t="str">
        <f aca="false">CONCATENATE(E273, "_",H273)</f>
        <v>NLA_2021_007_122</v>
      </c>
      <c r="J273" s="5" t="s">
        <v>166</v>
      </c>
      <c r="K273" s="21" t="n">
        <v>7278</v>
      </c>
      <c r="L273" s="8" t="s">
        <v>69</v>
      </c>
      <c r="M273" s="6" t="s">
        <v>324</v>
      </c>
      <c r="N273" s="5" t="s">
        <v>325</v>
      </c>
      <c r="O273" s="5" t="s">
        <v>54</v>
      </c>
      <c r="P273" s="5" t="s">
        <v>326</v>
      </c>
      <c r="Q273" s="5" t="s">
        <v>340</v>
      </c>
      <c r="R273" s="5" t="s">
        <v>72</v>
      </c>
      <c r="S273" s="5" t="s">
        <v>46</v>
      </c>
      <c r="T273" s="5" t="s">
        <v>46</v>
      </c>
      <c r="U273" s="5" t="n">
        <v>10</v>
      </c>
      <c r="V273" s="1" t="n">
        <v>2</v>
      </c>
      <c r="W273" s="5" t="s">
        <v>328</v>
      </c>
      <c r="X273" s="5" t="s">
        <v>47</v>
      </c>
      <c r="Y273" s="1" t="n">
        <v>5500</v>
      </c>
      <c r="Z273" s="5" t="s">
        <v>329</v>
      </c>
      <c r="AA273" s="5" t="s">
        <v>330</v>
      </c>
      <c r="AB273" s="13" t="str">
        <f aca="true" t="array" ref="AB273:AB273">LEFT(AA273,LOOKUP(2^15,FIND(".",AA273,ROW(INDIRECT("1:"&amp;LEN(AA273)))))-1)</f>
        <v>NB_2021_023 - 07062021 - 1</v>
      </c>
      <c r="AC273" s="5" t="s">
        <v>331</v>
      </c>
      <c r="AD273" s="13" t="str">
        <f aca="true" t="array" ref="AD273:AD273">LEFT(AC273,LOOKUP(2^15,FIND(".",AC273,ROW(INDIRECT("1:"&amp;LEN(AC273)))))-1)</f>
        <v>NB_2021_023 - 07062021 - 2</v>
      </c>
      <c r="AE273" s="5" t="str">
        <f aca="false">CONCATENATE(AB273, "-",H273, ".mzML")</f>
        <v>NB_2021_023 - 07062021 - 1-122.mzML</v>
      </c>
      <c r="AF273" s="5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3" t="s">
        <v>318</v>
      </c>
      <c r="B274" s="4"/>
      <c r="C274" s="3" t="s">
        <v>319</v>
      </c>
      <c r="D274" s="5" t="s">
        <v>14</v>
      </c>
      <c r="E274" s="5" t="s">
        <v>320</v>
      </c>
      <c r="F274" s="6" t="s">
        <v>321</v>
      </c>
      <c r="G274" s="5" t="s">
        <v>322</v>
      </c>
      <c r="H274" s="14" t="s">
        <v>342</v>
      </c>
      <c r="I274" s="5" t="str">
        <f aca="false">CONCATENATE(E274, "_",H274)</f>
        <v>NLA_2021_007_123</v>
      </c>
      <c r="J274" s="5" t="s">
        <v>166</v>
      </c>
      <c r="K274" s="21" t="n">
        <v>7279</v>
      </c>
      <c r="L274" s="8" t="s">
        <v>69</v>
      </c>
      <c r="M274" s="6" t="s">
        <v>324</v>
      </c>
      <c r="N274" s="5" t="s">
        <v>325</v>
      </c>
      <c r="O274" s="5" t="s">
        <v>54</v>
      </c>
      <c r="P274" s="5" t="s">
        <v>326</v>
      </c>
      <c r="Q274" s="5" t="s">
        <v>340</v>
      </c>
      <c r="R274" s="5" t="s">
        <v>72</v>
      </c>
      <c r="S274" s="5" t="s">
        <v>46</v>
      </c>
      <c r="T274" s="5" t="s">
        <v>46</v>
      </c>
      <c r="U274" s="5" t="n">
        <v>10</v>
      </c>
      <c r="V274" s="1" t="n">
        <v>3</v>
      </c>
      <c r="W274" s="5" t="s">
        <v>328</v>
      </c>
      <c r="X274" s="5" t="s">
        <v>47</v>
      </c>
      <c r="Y274" s="1" t="n">
        <v>5500</v>
      </c>
      <c r="Z274" s="5" t="s">
        <v>329</v>
      </c>
      <c r="AA274" s="5" t="s">
        <v>330</v>
      </c>
      <c r="AB274" s="13" t="str">
        <f aca="true" t="array" ref="AB274:AB274">LEFT(AA274,LOOKUP(2^15,FIND(".",AA274,ROW(INDIRECT("1:"&amp;LEN(AA274)))))-1)</f>
        <v>NB_2021_023 - 07062021 - 1</v>
      </c>
      <c r="AC274" s="5" t="s">
        <v>331</v>
      </c>
      <c r="AD274" s="13" t="str">
        <f aca="true" t="array" ref="AD274:AD274">LEFT(AC274,LOOKUP(2^15,FIND(".",AC274,ROW(INDIRECT("1:"&amp;LEN(AC274)))))-1)</f>
        <v>NB_2021_023 - 07062021 - 2</v>
      </c>
      <c r="AE274" s="5" t="str">
        <f aca="false">CONCATENATE(AB274, "-",H274, ".mzML")</f>
        <v>NB_2021_023 - 07062021 - 1-123.mzML</v>
      </c>
      <c r="AF274" s="5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3" t="s">
        <v>318</v>
      </c>
      <c r="B275" s="4"/>
      <c r="C275" s="3" t="s">
        <v>319</v>
      </c>
      <c r="D275" s="5" t="s">
        <v>14</v>
      </c>
      <c r="E275" s="5" t="s">
        <v>320</v>
      </c>
      <c r="F275" s="6" t="s">
        <v>321</v>
      </c>
      <c r="G275" s="5" t="s">
        <v>322</v>
      </c>
      <c r="H275" s="14" t="s">
        <v>343</v>
      </c>
      <c r="I275" s="5" t="str">
        <f aca="false">CONCATENATE(E275, "_",H275)</f>
        <v>NLA_2021_007_124</v>
      </c>
      <c r="J275" s="5" t="s">
        <v>166</v>
      </c>
      <c r="K275" s="21" t="n">
        <v>7280</v>
      </c>
      <c r="L275" s="8" t="s">
        <v>69</v>
      </c>
      <c r="M275" s="6" t="s">
        <v>324</v>
      </c>
      <c r="N275" s="5" t="s">
        <v>325</v>
      </c>
      <c r="O275" s="5" t="s">
        <v>54</v>
      </c>
      <c r="P275" s="5" t="s">
        <v>326</v>
      </c>
      <c r="Q275" s="5" t="s">
        <v>340</v>
      </c>
      <c r="R275" s="5" t="s">
        <v>72</v>
      </c>
      <c r="S275" s="5" t="s">
        <v>46</v>
      </c>
      <c r="T275" s="5" t="s">
        <v>46</v>
      </c>
      <c r="U275" s="5" t="n">
        <v>10</v>
      </c>
      <c r="V275" s="1" t="n">
        <v>4</v>
      </c>
      <c r="W275" s="5" t="s">
        <v>328</v>
      </c>
      <c r="X275" s="5" t="s">
        <v>47</v>
      </c>
      <c r="Y275" s="1" t="n">
        <v>5500</v>
      </c>
      <c r="Z275" s="5" t="s">
        <v>329</v>
      </c>
      <c r="AA275" s="5" t="s">
        <v>330</v>
      </c>
      <c r="AB275" s="13" t="str">
        <f aca="true" t="array" ref="AB275:AB275">LEFT(AA275,LOOKUP(2^15,FIND(".",AA275,ROW(INDIRECT("1:"&amp;LEN(AA275)))))-1)</f>
        <v>NB_2021_023 - 07062021 - 1</v>
      </c>
      <c r="AC275" s="5" t="s">
        <v>331</v>
      </c>
      <c r="AD275" s="13" t="str">
        <f aca="true" t="array" ref="AD275:AD275">LEFT(AC275,LOOKUP(2^15,FIND(".",AC275,ROW(INDIRECT("1:"&amp;LEN(AC275)))))-1)</f>
        <v>NB_2021_023 - 07062021 - 2</v>
      </c>
      <c r="AE275" s="5" t="str">
        <f aca="false">CONCATENATE(AB275, "-",H275, ".mzML")</f>
        <v>NB_2021_023 - 07062021 - 1-124.mzML</v>
      </c>
      <c r="AF275" s="5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3" t="s">
        <v>318</v>
      </c>
      <c r="B276" s="4"/>
      <c r="C276" s="3" t="s">
        <v>319</v>
      </c>
      <c r="D276" s="5" t="s">
        <v>14</v>
      </c>
      <c r="E276" s="5" t="s">
        <v>320</v>
      </c>
      <c r="F276" s="6" t="s">
        <v>321</v>
      </c>
      <c r="G276" s="5" t="s">
        <v>322</v>
      </c>
      <c r="H276" s="14" t="s">
        <v>344</v>
      </c>
      <c r="I276" s="5" t="str">
        <f aca="false">CONCATENATE(E276, "_",H276)</f>
        <v>NLA_2021_007_125</v>
      </c>
      <c r="J276" s="5" t="s">
        <v>166</v>
      </c>
      <c r="K276" s="21" t="n">
        <v>7281</v>
      </c>
      <c r="L276" s="8" t="s">
        <v>69</v>
      </c>
      <c r="M276" s="6" t="s">
        <v>324</v>
      </c>
      <c r="N276" s="5" t="s">
        <v>325</v>
      </c>
      <c r="O276" s="5" t="s">
        <v>54</v>
      </c>
      <c r="P276" s="5" t="s">
        <v>326</v>
      </c>
      <c r="Q276" s="5" t="s">
        <v>340</v>
      </c>
      <c r="R276" s="5" t="s">
        <v>72</v>
      </c>
      <c r="S276" s="5" t="s">
        <v>46</v>
      </c>
      <c r="T276" s="5" t="s">
        <v>46</v>
      </c>
      <c r="U276" s="5" t="n">
        <v>10</v>
      </c>
      <c r="V276" s="1" t="n">
        <v>5</v>
      </c>
      <c r="W276" s="5" t="s">
        <v>328</v>
      </c>
      <c r="X276" s="5" t="s">
        <v>47</v>
      </c>
      <c r="Y276" s="1" t="n">
        <v>5500</v>
      </c>
      <c r="Z276" s="5" t="s">
        <v>329</v>
      </c>
      <c r="AA276" s="5" t="s">
        <v>330</v>
      </c>
      <c r="AB276" s="13" t="str">
        <f aca="true" t="array" ref="AB276:AB276">LEFT(AA276,LOOKUP(2^15,FIND(".",AA276,ROW(INDIRECT("1:"&amp;LEN(AA276)))))-1)</f>
        <v>NB_2021_023 - 07062021 - 1</v>
      </c>
      <c r="AC276" s="5" t="s">
        <v>331</v>
      </c>
      <c r="AD276" s="13" t="str">
        <f aca="true" t="array" ref="AD276:AD276">LEFT(AC276,LOOKUP(2^15,FIND(".",AC276,ROW(INDIRECT("1:"&amp;LEN(AC276)))))-1)</f>
        <v>NB_2021_023 - 07062021 - 2</v>
      </c>
      <c r="AE276" s="5" t="str">
        <f aca="false">CONCATENATE(AB276, "-",H276, ".mzML")</f>
        <v>NB_2021_023 - 07062021 - 1-125.mzML</v>
      </c>
      <c r="AF276" s="5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3" t="s">
        <v>318</v>
      </c>
      <c r="B277" s="4"/>
      <c r="C277" s="3" t="s">
        <v>319</v>
      </c>
      <c r="D277" s="5" t="s">
        <v>14</v>
      </c>
      <c r="E277" s="5" t="s">
        <v>320</v>
      </c>
      <c r="F277" s="6" t="s">
        <v>321</v>
      </c>
      <c r="G277" s="5" t="s">
        <v>322</v>
      </c>
      <c r="H277" s="14" t="s">
        <v>345</v>
      </c>
      <c r="I277" s="5" t="str">
        <f aca="false">CONCATENATE(E277, "_",H277)</f>
        <v>NLA_2021_007_126</v>
      </c>
      <c r="J277" s="5" t="s">
        <v>166</v>
      </c>
      <c r="K277" s="21" t="n">
        <v>7273</v>
      </c>
      <c r="L277" s="8" t="s">
        <v>69</v>
      </c>
      <c r="M277" s="6" t="s">
        <v>324</v>
      </c>
      <c r="N277" s="5" t="s">
        <v>325</v>
      </c>
      <c r="O277" s="5" t="s">
        <v>54</v>
      </c>
      <c r="P277" s="5" t="s">
        <v>326</v>
      </c>
      <c r="Q277" s="5" t="s">
        <v>340</v>
      </c>
      <c r="R277" s="5" t="s">
        <v>72</v>
      </c>
      <c r="S277" s="5" t="s">
        <v>46</v>
      </c>
      <c r="T277" s="5" t="s">
        <v>46</v>
      </c>
      <c r="U277" s="5" t="n">
        <v>10</v>
      </c>
      <c r="V277" s="1" t="n">
        <v>6</v>
      </c>
      <c r="W277" s="5" t="s">
        <v>328</v>
      </c>
      <c r="X277" s="5" t="s">
        <v>47</v>
      </c>
      <c r="Y277" s="1" t="n">
        <v>5500</v>
      </c>
      <c r="Z277" s="5" t="s">
        <v>329</v>
      </c>
      <c r="AA277" s="5" t="s">
        <v>330</v>
      </c>
      <c r="AB277" s="13" t="str">
        <f aca="true" t="array" ref="AB277:AB277">LEFT(AA277,LOOKUP(2^15,FIND(".",AA277,ROW(INDIRECT("1:"&amp;LEN(AA277)))))-1)</f>
        <v>NB_2021_023 - 07062021 - 1</v>
      </c>
      <c r="AC277" s="5" t="s">
        <v>331</v>
      </c>
      <c r="AD277" s="13" t="str">
        <f aca="true" t="array" ref="AD277:AD277">LEFT(AC277,LOOKUP(2^15,FIND(".",AC277,ROW(INDIRECT("1:"&amp;LEN(AC277)))))-1)</f>
        <v>NB_2021_023 - 07062021 - 2</v>
      </c>
      <c r="AE277" s="5" t="str">
        <f aca="false">CONCATENATE(AB277, "-",H277, ".mzML")</f>
        <v>NB_2021_023 - 07062021 - 1-126.mzML</v>
      </c>
      <c r="AF277" s="5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3" t="s">
        <v>318</v>
      </c>
      <c r="B278" s="4"/>
      <c r="C278" s="3" t="s">
        <v>319</v>
      </c>
      <c r="D278" s="5" t="s">
        <v>14</v>
      </c>
      <c r="E278" s="5" t="s">
        <v>320</v>
      </c>
      <c r="F278" s="6" t="s">
        <v>321</v>
      </c>
      <c r="G278" s="5" t="s">
        <v>322</v>
      </c>
      <c r="H278" s="14" t="s">
        <v>346</v>
      </c>
      <c r="I278" s="5" t="str">
        <f aca="false">CONCATENATE(E278, "_",H278)</f>
        <v>NLA_2021_007_127</v>
      </c>
      <c r="J278" s="5" t="s">
        <v>166</v>
      </c>
      <c r="K278" s="21" t="n">
        <v>7274</v>
      </c>
      <c r="L278" s="8" t="s">
        <v>69</v>
      </c>
      <c r="M278" s="6" t="s">
        <v>324</v>
      </c>
      <c r="N278" s="5" t="s">
        <v>325</v>
      </c>
      <c r="O278" s="5" t="s">
        <v>54</v>
      </c>
      <c r="P278" s="5" t="s">
        <v>326</v>
      </c>
      <c r="Q278" s="5" t="s">
        <v>340</v>
      </c>
      <c r="R278" s="5" t="s">
        <v>72</v>
      </c>
      <c r="S278" s="5" t="s">
        <v>46</v>
      </c>
      <c r="T278" s="5" t="s">
        <v>46</v>
      </c>
      <c r="U278" s="5" t="n">
        <v>10</v>
      </c>
      <c r="V278" s="1" t="n">
        <v>7</v>
      </c>
      <c r="W278" s="5" t="s">
        <v>328</v>
      </c>
      <c r="X278" s="5" t="s">
        <v>47</v>
      </c>
      <c r="Y278" s="1" t="n">
        <v>5500</v>
      </c>
      <c r="Z278" s="5" t="s">
        <v>329</v>
      </c>
      <c r="AA278" s="5" t="s">
        <v>330</v>
      </c>
      <c r="AB278" s="13" t="str">
        <f aca="true" t="array" ref="AB278:AB278">LEFT(AA278,LOOKUP(2^15,FIND(".",AA278,ROW(INDIRECT("1:"&amp;LEN(AA278)))))-1)</f>
        <v>NB_2021_023 - 07062021 - 1</v>
      </c>
      <c r="AC278" s="5" t="s">
        <v>331</v>
      </c>
      <c r="AD278" s="13" t="str">
        <f aca="true" t="array" ref="AD278:AD278">LEFT(AC278,LOOKUP(2^15,FIND(".",AC278,ROW(INDIRECT("1:"&amp;LEN(AC278)))))-1)</f>
        <v>NB_2021_023 - 07062021 - 2</v>
      </c>
      <c r="AE278" s="5" t="str">
        <f aca="false">CONCATENATE(AB278, "-",H278, ".mzML")</f>
        <v>NB_2021_023 - 07062021 - 1-127.mzML</v>
      </c>
      <c r="AF278" s="5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3" t="s">
        <v>318</v>
      </c>
      <c r="B279" s="4"/>
      <c r="C279" s="3" t="s">
        <v>319</v>
      </c>
      <c r="D279" s="5" t="s">
        <v>14</v>
      </c>
      <c r="E279" s="5" t="s">
        <v>320</v>
      </c>
      <c r="F279" s="6" t="s">
        <v>321</v>
      </c>
      <c r="G279" s="5" t="s">
        <v>322</v>
      </c>
      <c r="H279" s="14" t="s">
        <v>347</v>
      </c>
      <c r="I279" s="5" t="str">
        <f aca="false">CONCATENATE(E279, "_",H279)</f>
        <v>NLA_2021_007_128</v>
      </c>
      <c r="J279" s="5" t="s">
        <v>166</v>
      </c>
      <c r="K279" s="21" t="n">
        <v>7275</v>
      </c>
      <c r="L279" s="8" t="s">
        <v>69</v>
      </c>
      <c r="M279" s="6" t="s">
        <v>324</v>
      </c>
      <c r="N279" s="5" t="s">
        <v>325</v>
      </c>
      <c r="O279" s="5" t="s">
        <v>54</v>
      </c>
      <c r="P279" s="5" t="s">
        <v>326</v>
      </c>
      <c r="Q279" s="5" t="s">
        <v>340</v>
      </c>
      <c r="R279" s="5" t="s">
        <v>72</v>
      </c>
      <c r="S279" s="5" t="s">
        <v>46</v>
      </c>
      <c r="T279" s="5" t="s">
        <v>46</v>
      </c>
      <c r="U279" s="5" t="n">
        <v>10</v>
      </c>
      <c r="V279" s="1" t="n">
        <v>8</v>
      </c>
      <c r="W279" s="5" t="s">
        <v>328</v>
      </c>
      <c r="X279" s="5" t="s">
        <v>47</v>
      </c>
      <c r="Y279" s="1" t="n">
        <v>5500</v>
      </c>
      <c r="Z279" s="5" t="s">
        <v>329</v>
      </c>
      <c r="AA279" s="5" t="s">
        <v>330</v>
      </c>
      <c r="AB279" s="13" t="str">
        <f aca="true" t="array" ref="AB279:AB279">LEFT(AA279,LOOKUP(2^15,FIND(".",AA279,ROW(INDIRECT("1:"&amp;LEN(AA279)))))-1)</f>
        <v>NB_2021_023 - 07062021 - 1</v>
      </c>
      <c r="AC279" s="5" t="s">
        <v>331</v>
      </c>
      <c r="AD279" s="13" t="str">
        <f aca="true" t="array" ref="AD279:AD279">LEFT(AC279,LOOKUP(2^15,FIND(".",AC279,ROW(INDIRECT("1:"&amp;LEN(AC279)))))-1)</f>
        <v>NB_2021_023 - 07062021 - 2</v>
      </c>
      <c r="AE279" s="5" t="str">
        <f aca="false">CONCATENATE(AB279, "-",H279, ".mzML")</f>
        <v>NB_2021_023 - 07062021 - 1-128.mzML</v>
      </c>
      <c r="AF279" s="5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3" t="s">
        <v>318</v>
      </c>
      <c r="B280" s="4"/>
      <c r="C280" s="3" t="s">
        <v>319</v>
      </c>
      <c r="D280" s="5" t="s">
        <v>14</v>
      </c>
      <c r="E280" s="5" t="s">
        <v>320</v>
      </c>
      <c r="F280" s="6" t="s">
        <v>321</v>
      </c>
      <c r="G280" s="5" t="s">
        <v>320</v>
      </c>
      <c r="H280" s="14" t="s">
        <v>64</v>
      </c>
      <c r="I280" s="5" t="str">
        <f aca="false">CONCATENATE(E280, "_",H280)</f>
        <v>NLA_2021_007_Blank_1</v>
      </c>
      <c r="J280" s="5" t="s">
        <v>52</v>
      </c>
      <c r="K280" s="21" t="s">
        <v>64</v>
      </c>
      <c r="L280" s="8" t="s">
        <v>69</v>
      </c>
      <c r="M280" s="22" t="s">
        <v>46</v>
      </c>
      <c r="N280" s="23" t="s">
        <v>65</v>
      </c>
      <c r="O280" s="23" t="s">
        <v>46</v>
      </c>
      <c r="P280" s="21" t="s">
        <v>46</v>
      </c>
      <c r="Q280" s="23" t="s">
        <v>46</v>
      </c>
      <c r="R280" s="23" t="s">
        <v>46</v>
      </c>
      <c r="S280" s="21" t="s">
        <v>46</v>
      </c>
      <c r="T280" s="21" t="s">
        <v>46</v>
      </c>
      <c r="U280" s="21" t="s">
        <v>46</v>
      </c>
      <c r="V280" s="23" t="n">
        <v>1</v>
      </c>
      <c r="W280" s="5"/>
      <c r="X280" s="5" t="s">
        <v>46</v>
      </c>
      <c r="Y280" s="1" t="n">
        <v>5500</v>
      </c>
      <c r="Z280" s="5" t="s">
        <v>329</v>
      </c>
      <c r="AA280" s="5" t="s">
        <v>330</v>
      </c>
      <c r="AB280" s="13" t="str">
        <f aca="true" t="array" ref="AB280:AB280">LEFT(AA280,LOOKUP(2^15,FIND(".",AA280,ROW(INDIRECT("1:"&amp;LEN(AA280)))))-1)</f>
        <v>NB_2021_023 - 07062021 - 1</v>
      </c>
      <c r="AC280" s="5" t="s">
        <v>331</v>
      </c>
      <c r="AD280" s="13" t="str">
        <f aca="true" t="array" ref="AD280:AD280">LEFT(AC280,LOOKUP(2^15,FIND(".",AC280,ROW(INDIRECT("1:"&amp;LEN(AC280)))))-1)</f>
        <v>NB_2021_023 - 07062021 - 2</v>
      </c>
      <c r="AE280" s="5" t="str">
        <f aca="false">CONCATENATE(AB280, "-",H280, ".mzML")</f>
        <v>NB_2021_023 - 07062021 - 1-Blank_1.mzML</v>
      </c>
      <c r="AF280" s="5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3" t="s">
        <v>318</v>
      </c>
      <c r="B281" s="4"/>
      <c r="C281" s="3" t="s">
        <v>319</v>
      </c>
      <c r="D281" s="5" t="s">
        <v>14</v>
      </c>
      <c r="E281" s="5" t="s">
        <v>320</v>
      </c>
      <c r="F281" s="6" t="s">
        <v>321</v>
      </c>
      <c r="G281" s="5" t="s">
        <v>320</v>
      </c>
      <c r="H281" s="14" t="s">
        <v>66</v>
      </c>
      <c r="I281" s="5" t="str">
        <f aca="false">CONCATENATE(E281, "_",H281)</f>
        <v>NLA_2021_007_Blank_2</v>
      </c>
      <c r="J281" s="5" t="s">
        <v>52</v>
      </c>
      <c r="K281" s="21" t="s">
        <v>66</v>
      </c>
      <c r="L281" s="8" t="s">
        <v>69</v>
      </c>
      <c r="M281" s="22" t="s">
        <v>46</v>
      </c>
      <c r="N281" s="23" t="s">
        <v>65</v>
      </c>
      <c r="O281" s="23" t="s">
        <v>46</v>
      </c>
      <c r="P281" s="21" t="s">
        <v>46</v>
      </c>
      <c r="Q281" s="23" t="s">
        <v>46</v>
      </c>
      <c r="R281" s="5" t="s">
        <v>46</v>
      </c>
      <c r="S281" s="21" t="s">
        <v>46</v>
      </c>
      <c r="T281" s="21" t="s">
        <v>46</v>
      </c>
      <c r="U281" s="21" t="s">
        <v>46</v>
      </c>
      <c r="V281" s="23" t="n">
        <v>2</v>
      </c>
      <c r="W281" s="5"/>
      <c r="X281" s="5" t="s">
        <v>46</v>
      </c>
      <c r="Y281" s="1" t="n">
        <v>5500</v>
      </c>
      <c r="Z281" s="5" t="s">
        <v>329</v>
      </c>
      <c r="AA281" s="5" t="s">
        <v>330</v>
      </c>
      <c r="AB281" s="13" t="str">
        <f aca="true" t="array" ref="AB281:AB281">LEFT(AA281,LOOKUP(2^15,FIND(".",AA281,ROW(INDIRECT("1:"&amp;LEN(AA281)))))-1)</f>
        <v>NB_2021_023 - 07062021 - 1</v>
      </c>
      <c r="AC281" s="5" t="s">
        <v>331</v>
      </c>
      <c r="AD281" s="13" t="str">
        <f aca="true" t="array" ref="AD281:AD281">LEFT(AC281,LOOKUP(2^15,FIND(".",AC281,ROW(INDIRECT("1:"&amp;LEN(AC281)))))-1)</f>
        <v>NB_2021_023 - 07062021 - 2</v>
      </c>
      <c r="AE281" s="5" t="str">
        <f aca="false">CONCATENATE(AB281, "-",H281, ".mzML")</f>
        <v>NB_2021_023 - 07062021 - 1-Blank_2.mzML</v>
      </c>
      <c r="AF281" s="5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3" t="s">
        <v>318</v>
      </c>
      <c r="B282" s="4"/>
      <c r="C282" s="3" t="s">
        <v>319</v>
      </c>
      <c r="D282" s="5" t="s">
        <v>14</v>
      </c>
      <c r="E282" s="5" t="s">
        <v>320</v>
      </c>
      <c r="F282" s="6" t="s">
        <v>321</v>
      </c>
      <c r="G282" s="5" t="s">
        <v>320</v>
      </c>
      <c r="H282" s="14" t="s">
        <v>348</v>
      </c>
      <c r="I282" s="5" t="str">
        <f aca="false">CONCATENATE(E282, "_",H282)</f>
        <v>NLA_2021_007_QC_1</v>
      </c>
      <c r="J282" s="5" t="s">
        <v>52</v>
      </c>
      <c r="K282" s="21" t="s">
        <v>348</v>
      </c>
      <c r="L282" s="8" t="s">
        <v>69</v>
      </c>
      <c r="M282" s="6" t="s">
        <v>46</v>
      </c>
      <c r="N282" s="5" t="s">
        <v>78</v>
      </c>
      <c r="O282" s="5" t="s">
        <v>46</v>
      </c>
      <c r="P282" s="5" t="s">
        <v>79</v>
      </c>
      <c r="Q282" s="5" t="s">
        <v>80</v>
      </c>
      <c r="R282" s="5" t="s">
        <v>81</v>
      </c>
      <c r="S282" s="5" t="s">
        <v>46</v>
      </c>
      <c r="T282" s="5" t="s">
        <v>46</v>
      </c>
      <c r="U282" s="5" t="s">
        <v>82</v>
      </c>
      <c r="V282" s="1" t="n">
        <v>1</v>
      </c>
      <c r="W282" s="5"/>
      <c r="X282" s="5" t="s">
        <v>83</v>
      </c>
      <c r="Y282" s="1" t="n">
        <v>5500</v>
      </c>
      <c r="Z282" s="5" t="s">
        <v>329</v>
      </c>
      <c r="AA282" s="5" t="s">
        <v>330</v>
      </c>
      <c r="AB282" s="13" t="str">
        <f aca="true" t="array" ref="AB282:AB282">LEFT(AA282,LOOKUP(2^15,FIND(".",AA282,ROW(INDIRECT("1:"&amp;LEN(AA282)))))-1)</f>
        <v>NB_2021_023 - 07062021 - 1</v>
      </c>
      <c r="AC282" s="5" t="s">
        <v>331</v>
      </c>
      <c r="AD282" s="13" t="str">
        <f aca="true" t="array" ref="AD282:AD282">LEFT(AC282,LOOKUP(2^15,FIND(".",AC282,ROW(INDIRECT("1:"&amp;LEN(AC282)))))-1)</f>
        <v>NB_2021_023 - 07062021 - 2</v>
      </c>
      <c r="AE282" s="5" t="str">
        <f aca="false">CONCATENATE(AB282, "-",H282, ".mzML")</f>
        <v>NB_2021_023 - 07062021 - 1-QC_1.mzML</v>
      </c>
      <c r="AF282" s="5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3" t="s">
        <v>318</v>
      </c>
      <c r="B283" s="4"/>
      <c r="C283" s="3" t="s">
        <v>319</v>
      </c>
      <c r="D283" s="5" t="s">
        <v>14</v>
      </c>
      <c r="E283" s="5" t="s">
        <v>320</v>
      </c>
      <c r="F283" s="6" t="s">
        <v>321</v>
      </c>
      <c r="G283" s="5" t="s">
        <v>320</v>
      </c>
      <c r="H283" s="14" t="s">
        <v>349</v>
      </c>
      <c r="I283" s="5" t="str">
        <f aca="false">CONCATENATE(E283, "_",H283)</f>
        <v>NLA_2021_007_QC_2</v>
      </c>
      <c r="J283" s="5" t="s">
        <v>52</v>
      </c>
      <c r="K283" s="21" t="s">
        <v>349</v>
      </c>
      <c r="L283" s="8" t="s">
        <v>69</v>
      </c>
      <c r="M283" s="6" t="s">
        <v>46</v>
      </c>
      <c r="N283" s="5" t="s">
        <v>78</v>
      </c>
      <c r="O283" s="5" t="s">
        <v>46</v>
      </c>
      <c r="P283" s="5" t="s">
        <v>79</v>
      </c>
      <c r="Q283" s="5" t="s">
        <v>80</v>
      </c>
      <c r="R283" s="5" t="s">
        <v>81</v>
      </c>
      <c r="S283" s="5" t="s">
        <v>46</v>
      </c>
      <c r="T283" s="5" t="s">
        <v>46</v>
      </c>
      <c r="U283" s="5" t="s">
        <v>82</v>
      </c>
      <c r="V283" s="1" t="n">
        <v>2</v>
      </c>
      <c r="W283" s="5"/>
      <c r="X283" s="5" t="s">
        <v>83</v>
      </c>
      <c r="Y283" s="1" t="n">
        <v>5500</v>
      </c>
      <c r="Z283" s="5" t="s">
        <v>329</v>
      </c>
      <c r="AA283" s="5" t="s">
        <v>330</v>
      </c>
      <c r="AB283" s="13" t="str">
        <f aca="true" t="array" ref="AB283:AB283">LEFT(AA283,LOOKUP(2^15,FIND(".",AA283,ROW(INDIRECT("1:"&amp;LEN(AA283)))))-1)</f>
        <v>NB_2021_023 - 07062021 - 1</v>
      </c>
      <c r="AC283" s="5" t="s">
        <v>331</v>
      </c>
      <c r="AD283" s="13" t="str">
        <f aca="true" t="array" ref="AD283:AD283">LEFT(AC283,LOOKUP(2^15,FIND(".",AC283,ROW(INDIRECT("1:"&amp;LEN(AC283)))))-1)</f>
        <v>NB_2021_023 - 07062021 - 2</v>
      </c>
      <c r="AE283" s="5" t="str">
        <f aca="false">CONCATENATE(AB283, "-",H283, ".mzML")</f>
        <v>NB_2021_023 - 07062021 - 1-QC_2.mzML</v>
      </c>
      <c r="AF283" s="5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3" t="s">
        <v>318</v>
      </c>
      <c r="B284" s="4"/>
      <c r="C284" s="3" t="s">
        <v>319</v>
      </c>
      <c r="D284" s="5" t="s">
        <v>14</v>
      </c>
      <c r="E284" s="5" t="s">
        <v>320</v>
      </c>
      <c r="F284" s="6" t="s">
        <v>321</v>
      </c>
      <c r="G284" s="5" t="s">
        <v>320</v>
      </c>
      <c r="H284" s="14" t="s">
        <v>350</v>
      </c>
      <c r="I284" s="5" t="str">
        <f aca="false">CONCATENATE(E284, "_",H284)</f>
        <v>NLA_2021_007_QC_3</v>
      </c>
      <c r="J284" s="5" t="s">
        <v>52</v>
      </c>
      <c r="K284" s="21" t="s">
        <v>350</v>
      </c>
      <c r="L284" s="8" t="s">
        <v>69</v>
      </c>
      <c r="M284" s="6" t="s">
        <v>46</v>
      </c>
      <c r="N284" s="5" t="s">
        <v>78</v>
      </c>
      <c r="O284" s="5" t="s">
        <v>46</v>
      </c>
      <c r="P284" s="5" t="s">
        <v>79</v>
      </c>
      <c r="Q284" s="5" t="s">
        <v>80</v>
      </c>
      <c r="R284" s="5" t="s">
        <v>81</v>
      </c>
      <c r="S284" s="5" t="s">
        <v>46</v>
      </c>
      <c r="T284" s="5" t="s">
        <v>46</v>
      </c>
      <c r="U284" s="5" t="s">
        <v>82</v>
      </c>
      <c r="V284" s="1" t="n">
        <v>3</v>
      </c>
      <c r="W284" s="5"/>
      <c r="X284" s="5" t="s">
        <v>83</v>
      </c>
      <c r="Y284" s="1" t="n">
        <v>5500</v>
      </c>
      <c r="Z284" s="5" t="s">
        <v>329</v>
      </c>
      <c r="AA284" s="5" t="s">
        <v>330</v>
      </c>
      <c r="AB284" s="13" t="str">
        <f aca="true" t="array" ref="AB284:AB284">LEFT(AA284,LOOKUP(2^15,FIND(".",AA284,ROW(INDIRECT("1:"&amp;LEN(AA284)))))-1)</f>
        <v>NB_2021_023 - 07062021 - 1</v>
      </c>
      <c r="AC284" s="5" t="s">
        <v>331</v>
      </c>
      <c r="AD284" s="13" t="str">
        <f aca="true" t="array" ref="AD284:AD284">LEFT(AC284,LOOKUP(2^15,FIND(".",AC284,ROW(INDIRECT("1:"&amp;LEN(AC284)))))-1)</f>
        <v>NB_2021_023 - 07062021 - 2</v>
      </c>
      <c r="AE284" s="5" t="str">
        <f aca="false">CONCATENATE(AB284, "-",H284, ".mzML")</f>
        <v>NB_2021_023 - 07062021 - 1-QC_3.mzML</v>
      </c>
      <c r="AF284" s="5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3" t="s">
        <v>318</v>
      </c>
      <c r="B285" s="4"/>
      <c r="C285" s="3" t="s">
        <v>319</v>
      </c>
      <c r="D285" s="5" t="s">
        <v>14</v>
      </c>
      <c r="E285" s="5" t="s">
        <v>320</v>
      </c>
      <c r="F285" s="6" t="s">
        <v>321</v>
      </c>
      <c r="G285" s="5" t="s">
        <v>320</v>
      </c>
      <c r="H285" s="14" t="s">
        <v>351</v>
      </c>
      <c r="I285" s="5" t="str">
        <f aca="false">CONCATENATE(E285, "_",H285)</f>
        <v>NLA_2021_007_QC_4</v>
      </c>
      <c r="J285" s="5" t="s">
        <v>52</v>
      </c>
      <c r="K285" s="21" t="s">
        <v>351</v>
      </c>
      <c r="L285" s="8" t="s">
        <v>69</v>
      </c>
      <c r="M285" s="6" t="s">
        <v>46</v>
      </c>
      <c r="N285" s="5" t="s">
        <v>78</v>
      </c>
      <c r="O285" s="5" t="s">
        <v>46</v>
      </c>
      <c r="P285" s="5" t="s">
        <v>79</v>
      </c>
      <c r="Q285" s="5" t="s">
        <v>80</v>
      </c>
      <c r="R285" s="5" t="s">
        <v>81</v>
      </c>
      <c r="S285" s="5" t="s">
        <v>46</v>
      </c>
      <c r="T285" s="5" t="s">
        <v>46</v>
      </c>
      <c r="U285" s="5" t="s">
        <v>82</v>
      </c>
      <c r="V285" s="25" t="n">
        <v>4</v>
      </c>
      <c r="W285" s="5"/>
      <c r="X285" s="5" t="s">
        <v>83</v>
      </c>
      <c r="Y285" s="1" t="n">
        <v>5500</v>
      </c>
      <c r="Z285" s="5" t="s">
        <v>329</v>
      </c>
      <c r="AA285" s="5" t="s">
        <v>330</v>
      </c>
      <c r="AB285" s="13" t="str">
        <f aca="true" t="array" ref="AB285:AB285">LEFT(AA285,LOOKUP(2^15,FIND(".",AA285,ROW(INDIRECT("1:"&amp;LEN(AA285)))))-1)</f>
        <v>NB_2021_023 - 07062021 - 1</v>
      </c>
      <c r="AC285" s="5" t="s">
        <v>331</v>
      </c>
      <c r="AD285" s="13" t="str">
        <f aca="true" t="array" ref="AD285:AD285">LEFT(AC285,LOOKUP(2^15,FIND(".",AC285,ROW(INDIRECT("1:"&amp;LEN(AC285)))))-1)</f>
        <v>NB_2021_023 - 07062021 - 2</v>
      </c>
      <c r="AE285" s="5" t="str">
        <f aca="false">CONCATENATE(AB285, "-",H285, ".mzML")</f>
        <v>NB_2021_023 - 07062021 - 1-QC_4.mzML</v>
      </c>
      <c r="AF285" s="5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3" t="s">
        <v>318</v>
      </c>
      <c r="B286" s="4"/>
      <c r="C286" s="3" t="s">
        <v>319</v>
      </c>
      <c r="D286" s="5" t="s">
        <v>14</v>
      </c>
      <c r="E286" s="5" t="s">
        <v>320</v>
      </c>
      <c r="F286" s="6" t="s">
        <v>321</v>
      </c>
      <c r="G286" s="5" t="s">
        <v>320</v>
      </c>
      <c r="H286" s="14" t="s">
        <v>352</v>
      </c>
      <c r="I286" s="5" t="str">
        <f aca="false">CONCATENATE(E286, "_",H286)</f>
        <v>NLA_2021_007_QC_5</v>
      </c>
      <c r="J286" s="5" t="s">
        <v>52</v>
      </c>
      <c r="K286" s="21" t="s">
        <v>352</v>
      </c>
      <c r="L286" s="8" t="s">
        <v>69</v>
      </c>
      <c r="M286" s="6" t="s">
        <v>46</v>
      </c>
      <c r="N286" s="5" t="s">
        <v>78</v>
      </c>
      <c r="O286" s="5" t="s">
        <v>46</v>
      </c>
      <c r="P286" s="5" t="s">
        <v>79</v>
      </c>
      <c r="Q286" s="5" t="s">
        <v>80</v>
      </c>
      <c r="R286" s="5" t="s">
        <v>81</v>
      </c>
      <c r="S286" s="5" t="s">
        <v>46</v>
      </c>
      <c r="T286" s="5" t="s">
        <v>46</v>
      </c>
      <c r="U286" s="5" t="s">
        <v>82</v>
      </c>
      <c r="V286" s="25" t="n">
        <v>5</v>
      </c>
      <c r="W286" s="5"/>
      <c r="X286" s="5" t="s">
        <v>83</v>
      </c>
      <c r="Y286" s="1" t="n">
        <v>5500</v>
      </c>
      <c r="Z286" s="5" t="s">
        <v>329</v>
      </c>
      <c r="AA286" s="5" t="s">
        <v>330</v>
      </c>
      <c r="AB286" s="13" t="str">
        <f aca="true" t="array" ref="AB286:AB286">LEFT(AA286,LOOKUP(2^15,FIND(".",AA286,ROW(INDIRECT("1:"&amp;LEN(AA286)))))-1)</f>
        <v>NB_2021_023 - 07062021 - 1</v>
      </c>
      <c r="AC286" s="5" t="s">
        <v>331</v>
      </c>
      <c r="AD286" s="13" t="str">
        <f aca="true" t="array" ref="AD286:AD286">LEFT(AC286,LOOKUP(2^15,FIND(".",AC286,ROW(INDIRECT("1:"&amp;LEN(AC286)))))-1)</f>
        <v>NB_2021_023 - 07062021 - 2</v>
      </c>
      <c r="AE286" s="5" t="str">
        <f aca="false">CONCATENATE(AB286, "-",H286, ".mzML")</f>
        <v>NB_2021_023 - 07062021 - 1-QC_5.mzML</v>
      </c>
      <c r="AF286" s="5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3" t="s">
        <v>353</v>
      </c>
      <c r="B287" s="4"/>
      <c r="C287" s="3" t="s">
        <v>354</v>
      </c>
      <c r="D287" s="5" t="s">
        <v>14</v>
      </c>
      <c r="E287" s="5" t="s">
        <v>320</v>
      </c>
      <c r="F287" s="6" t="s">
        <v>321</v>
      </c>
      <c r="G287" s="5" t="s">
        <v>355</v>
      </c>
      <c r="H287" s="14" t="s">
        <v>356</v>
      </c>
      <c r="I287" s="5" t="str">
        <f aca="false">CONCATENATE(E287, "_",H287)</f>
        <v>NLA_2021_007_129</v>
      </c>
      <c r="J287" s="5" t="s">
        <v>158</v>
      </c>
      <c r="K287" s="21" t="n">
        <v>7234</v>
      </c>
      <c r="L287" s="8" t="s">
        <v>69</v>
      </c>
      <c r="M287" s="6" t="s">
        <v>357</v>
      </c>
      <c r="N287" s="5" t="s">
        <v>325</v>
      </c>
      <c r="O287" s="5" t="s">
        <v>42</v>
      </c>
      <c r="P287" s="5" t="s">
        <v>326</v>
      </c>
      <c r="Q287" s="5" t="s">
        <v>327</v>
      </c>
      <c r="R287" s="5" t="s">
        <v>72</v>
      </c>
      <c r="S287" s="5" t="s">
        <v>46</v>
      </c>
      <c r="T287" s="5" t="s">
        <v>46</v>
      </c>
      <c r="U287" s="5" t="n">
        <v>10</v>
      </c>
      <c r="V287" s="1" t="n">
        <v>1</v>
      </c>
      <c r="W287" s="5" t="s">
        <v>358</v>
      </c>
      <c r="X287" s="5" t="s">
        <v>47</v>
      </c>
      <c r="Y287" s="1" t="n">
        <v>5500</v>
      </c>
      <c r="Z287" s="5" t="s">
        <v>329</v>
      </c>
      <c r="AA287" s="5" t="s">
        <v>330</v>
      </c>
      <c r="AB287" s="13" t="str">
        <f aca="true" t="array" ref="AB287:AB287">LEFT(AA287,LOOKUP(2^15,FIND(".",AA287,ROW(INDIRECT("1:"&amp;LEN(AA287)))))-1)</f>
        <v>NB_2021_023 - 07062021 - 1</v>
      </c>
      <c r="AC287" s="5" t="s">
        <v>331</v>
      </c>
      <c r="AD287" s="13" t="str">
        <f aca="true" t="array" ref="AD287:AD287">LEFT(AC287,LOOKUP(2^15,FIND(".",AC287,ROW(INDIRECT("1:"&amp;LEN(AC287)))))-1)</f>
        <v>NB_2021_023 - 07062021 - 2</v>
      </c>
      <c r="AE287" s="5" t="str">
        <f aca="false">CONCATENATE(AB287, "-",H287, ".mzML")</f>
        <v>NB_2021_023 - 07062021 - 1-129.mzML</v>
      </c>
      <c r="AF287" s="5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3" t="s">
        <v>353</v>
      </c>
      <c r="B288" s="4"/>
      <c r="C288" s="3" t="s">
        <v>354</v>
      </c>
      <c r="D288" s="5" t="s">
        <v>14</v>
      </c>
      <c r="E288" s="5" t="s">
        <v>320</v>
      </c>
      <c r="F288" s="6" t="s">
        <v>321</v>
      </c>
      <c r="G288" s="5" t="s">
        <v>355</v>
      </c>
      <c r="H288" s="14" t="s">
        <v>359</v>
      </c>
      <c r="I288" s="5" t="str">
        <f aca="false">CONCATENATE(E288, "_",H288)</f>
        <v>NLA_2021_007_130</v>
      </c>
      <c r="J288" s="5" t="s">
        <v>158</v>
      </c>
      <c r="K288" s="21" t="n">
        <v>7246</v>
      </c>
      <c r="L288" s="8" t="s">
        <v>69</v>
      </c>
      <c r="M288" s="6" t="s">
        <v>357</v>
      </c>
      <c r="N288" s="5" t="s">
        <v>325</v>
      </c>
      <c r="O288" s="5" t="s">
        <v>42</v>
      </c>
      <c r="P288" s="5" t="s">
        <v>326</v>
      </c>
      <c r="Q288" s="5" t="s">
        <v>327</v>
      </c>
      <c r="R288" s="5" t="s">
        <v>72</v>
      </c>
      <c r="S288" s="5" t="s">
        <v>46</v>
      </c>
      <c r="T288" s="5" t="s">
        <v>46</v>
      </c>
      <c r="U288" s="5" t="n">
        <v>10</v>
      </c>
      <c r="V288" s="1" t="n">
        <v>2</v>
      </c>
      <c r="W288" s="5" t="s">
        <v>358</v>
      </c>
      <c r="X288" s="5" t="s">
        <v>47</v>
      </c>
      <c r="Y288" s="1" t="n">
        <v>5500</v>
      </c>
      <c r="Z288" s="5" t="s">
        <v>329</v>
      </c>
      <c r="AA288" s="5" t="s">
        <v>330</v>
      </c>
      <c r="AB288" s="13" t="str">
        <f aca="true" t="array" ref="AB288:AB288">LEFT(AA288,LOOKUP(2^15,FIND(".",AA288,ROW(INDIRECT("1:"&amp;LEN(AA288)))))-1)</f>
        <v>NB_2021_023 - 07062021 - 1</v>
      </c>
      <c r="AC288" s="5" t="s">
        <v>331</v>
      </c>
      <c r="AD288" s="13" t="str">
        <f aca="true" t="array" ref="AD288:AD288">LEFT(AC288,LOOKUP(2^15,FIND(".",AC288,ROW(INDIRECT("1:"&amp;LEN(AC288)))))-1)</f>
        <v>NB_2021_023 - 07062021 - 2</v>
      </c>
      <c r="AE288" s="5" t="str">
        <f aca="false">CONCATENATE(AB288, "-",H288, ".mzML")</f>
        <v>NB_2021_023 - 07062021 - 1-130.mzML</v>
      </c>
      <c r="AF288" s="5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3" t="s">
        <v>353</v>
      </c>
      <c r="B289" s="4"/>
      <c r="C289" s="3" t="s">
        <v>354</v>
      </c>
      <c r="D289" s="5" t="s">
        <v>14</v>
      </c>
      <c r="E289" s="5" t="s">
        <v>320</v>
      </c>
      <c r="F289" s="6" t="s">
        <v>321</v>
      </c>
      <c r="G289" s="5" t="s">
        <v>355</v>
      </c>
      <c r="H289" s="14" t="s">
        <v>360</v>
      </c>
      <c r="I289" s="5" t="str">
        <f aca="false">CONCATENATE(E289, "_",H289)</f>
        <v>NLA_2021_007_131</v>
      </c>
      <c r="J289" s="5" t="s">
        <v>158</v>
      </c>
      <c r="K289" s="21" t="n">
        <v>7247</v>
      </c>
      <c r="L289" s="8" t="s">
        <v>69</v>
      </c>
      <c r="M289" s="6" t="s">
        <v>357</v>
      </c>
      <c r="N289" s="5" t="s">
        <v>325</v>
      </c>
      <c r="O289" s="5" t="s">
        <v>42</v>
      </c>
      <c r="P289" s="5" t="s">
        <v>326</v>
      </c>
      <c r="Q289" s="5" t="s">
        <v>327</v>
      </c>
      <c r="R289" s="5" t="s">
        <v>72</v>
      </c>
      <c r="S289" s="5" t="s">
        <v>46</v>
      </c>
      <c r="T289" s="5" t="s">
        <v>46</v>
      </c>
      <c r="U289" s="5" t="n">
        <v>10</v>
      </c>
      <c r="V289" s="1" t="n">
        <v>3</v>
      </c>
      <c r="W289" s="5" t="s">
        <v>358</v>
      </c>
      <c r="X289" s="5" t="s">
        <v>47</v>
      </c>
      <c r="Y289" s="1" t="n">
        <v>5500</v>
      </c>
      <c r="Z289" s="5" t="s">
        <v>329</v>
      </c>
      <c r="AA289" s="5" t="s">
        <v>330</v>
      </c>
      <c r="AB289" s="13" t="str">
        <f aca="true" t="array" ref="AB289:AB289">LEFT(AA289,LOOKUP(2^15,FIND(".",AA289,ROW(INDIRECT("1:"&amp;LEN(AA289)))))-1)</f>
        <v>NB_2021_023 - 07062021 - 1</v>
      </c>
      <c r="AC289" s="5" t="s">
        <v>331</v>
      </c>
      <c r="AD289" s="13" t="str">
        <f aca="true" t="array" ref="AD289:AD289">LEFT(AC289,LOOKUP(2^15,FIND(".",AC289,ROW(INDIRECT("1:"&amp;LEN(AC289)))))-1)</f>
        <v>NB_2021_023 - 07062021 - 2</v>
      </c>
      <c r="AE289" s="5" t="str">
        <f aca="false">CONCATENATE(AB289, "-",H289, ".mzML")</f>
        <v>NB_2021_023 - 07062021 - 1-131.mzML</v>
      </c>
      <c r="AF289" s="5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3" t="s">
        <v>353</v>
      </c>
      <c r="B290" s="4"/>
      <c r="C290" s="3" t="s">
        <v>354</v>
      </c>
      <c r="D290" s="5" t="s">
        <v>14</v>
      </c>
      <c r="E290" s="5" t="s">
        <v>320</v>
      </c>
      <c r="F290" s="6" t="s">
        <v>321</v>
      </c>
      <c r="G290" s="5" t="s">
        <v>355</v>
      </c>
      <c r="H290" s="14" t="s">
        <v>361</v>
      </c>
      <c r="I290" s="5" t="str">
        <f aca="false">CONCATENATE(E290, "_",H290)</f>
        <v>NLA_2021_007_132</v>
      </c>
      <c r="J290" s="5" t="s">
        <v>158</v>
      </c>
      <c r="K290" s="21" t="n">
        <v>7248</v>
      </c>
      <c r="L290" s="8" t="s">
        <v>69</v>
      </c>
      <c r="M290" s="6" t="s">
        <v>357</v>
      </c>
      <c r="N290" s="5" t="s">
        <v>325</v>
      </c>
      <c r="O290" s="5" t="s">
        <v>42</v>
      </c>
      <c r="P290" s="5" t="s">
        <v>326</v>
      </c>
      <c r="Q290" s="5" t="s">
        <v>327</v>
      </c>
      <c r="R290" s="5" t="s">
        <v>72</v>
      </c>
      <c r="S290" s="5" t="s">
        <v>46</v>
      </c>
      <c r="T290" s="5" t="s">
        <v>46</v>
      </c>
      <c r="U290" s="5" t="n">
        <v>10</v>
      </c>
      <c r="V290" s="1" t="n">
        <v>4</v>
      </c>
      <c r="W290" s="5" t="s">
        <v>358</v>
      </c>
      <c r="X290" s="5" t="s">
        <v>47</v>
      </c>
      <c r="Y290" s="1" t="n">
        <v>5500</v>
      </c>
      <c r="Z290" s="5" t="s">
        <v>329</v>
      </c>
      <c r="AA290" s="5" t="s">
        <v>330</v>
      </c>
      <c r="AB290" s="13" t="str">
        <f aca="true" t="array" ref="AB290:AB290">LEFT(AA290,LOOKUP(2^15,FIND(".",AA290,ROW(INDIRECT("1:"&amp;LEN(AA290)))))-1)</f>
        <v>NB_2021_023 - 07062021 - 1</v>
      </c>
      <c r="AC290" s="5" t="s">
        <v>331</v>
      </c>
      <c r="AD290" s="13" t="str">
        <f aca="true" t="array" ref="AD290:AD290">LEFT(AC290,LOOKUP(2^15,FIND(".",AC290,ROW(INDIRECT("1:"&amp;LEN(AC290)))))-1)</f>
        <v>NB_2021_023 - 07062021 - 2</v>
      </c>
      <c r="AE290" s="5" t="str">
        <f aca="false">CONCATENATE(AB290, "-",H290, ".mzML")</f>
        <v>NB_2021_023 - 07062021 - 1-132.mzML</v>
      </c>
      <c r="AF290" s="5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3" t="s">
        <v>353</v>
      </c>
      <c r="B291" s="4"/>
      <c r="C291" s="3" t="s">
        <v>354</v>
      </c>
      <c r="D291" s="5" t="s">
        <v>14</v>
      </c>
      <c r="E291" s="5" t="s">
        <v>320</v>
      </c>
      <c r="F291" s="6" t="s">
        <v>321</v>
      </c>
      <c r="G291" s="5" t="s">
        <v>355</v>
      </c>
      <c r="H291" s="14" t="s">
        <v>362</v>
      </c>
      <c r="I291" s="5" t="str">
        <f aca="false">CONCATENATE(E291, "_",H291)</f>
        <v>NLA_2021_007_133</v>
      </c>
      <c r="J291" s="5" t="s">
        <v>158</v>
      </c>
      <c r="K291" s="21" t="n">
        <v>7249</v>
      </c>
      <c r="L291" s="8" t="s">
        <v>69</v>
      </c>
      <c r="M291" s="6" t="s">
        <v>357</v>
      </c>
      <c r="N291" s="5" t="s">
        <v>325</v>
      </c>
      <c r="O291" s="5" t="s">
        <v>42</v>
      </c>
      <c r="P291" s="5" t="s">
        <v>326</v>
      </c>
      <c r="Q291" s="5" t="s">
        <v>327</v>
      </c>
      <c r="R291" s="5" t="s">
        <v>72</v>
      </c>
      <c r="S291" s="5" t="s">
        <v>46</v>
      </c>
      <c r="T291" s="5" t="s">
        <v>46</v>
      </c>
      <c r="U291" s="5" t="n">
        <v>10</v>
      </c>
      <c r="V291" s="1" t="n">
        <v>5</v>
      </c>
      <c r="W291" s="5" t="s">
        <v>358</v>
      </c>
      <c r="X291" s="5" t="s">
        <v>47</v>
      </c>
      <c r="Y291" s="1" t="n">
        <v>5500</v>
      </c>
      <c r="Z291" s="5" t="s">
        <v>329</v>
      </c>
      <c r="AA291" s="5" t="s">
        <v>330</v>
      </c>
      <c r="AB291" s="13" t="str">
        <f aca="true" t="array" ref="AB291:AB291">LEFT(AA291,LOOKUP(2^15,FIND(".",AA291,ROW(INDIRECT("1:"&amp;LEN(AA291)))))-1)</f>
        <v>NB_2021_023 - 07062021 - 1</v>
      </c>
      <c r="AC291" s="5" t="s">
        <v>331</v>
      </c>
      <c r="AD291" s="13" t="str">
        <f aca="true" t="array" ref="AD291:AD291">LEFT(AC291,LOOKUP(2^15,FIND(".",AC291,ROW(INDIRECT("1:"&amp;LEN(AC291)))))-1)</f>
        <v>NB_2021_023 - 07062021 - 2</v>
      </c>
      <c r="AE291" s="5" t="str">
        <f aca="false">CONCATENATE(AB291, "-",H291, ".mzML")</f>
        <v>NB_2021_023 - 07062021 - 1-133.mzML</v>
      </c>
      <c r="AF291" s="5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3" t="s">
        <v>353</v>
      </c>
      <c r="B292" s="4"/>
      <c r="C292" s="3" t="s">
        <v>354</v>
      </c>
      <c r="D292" s="5" t="s">
        <v>14</v>
      </c>
      <c r="E292" s="5" t="s">
        <v>320</v>
      </c>
      <c r="F292" s="6" t="s">
        <v>321</v>
      </c>
      <c r="G292" s="5" t="s">
        <v>355</v>
      </c>
      <c r="H292" s="14" t="s">
        <v>363</v>
      </c>
      <c r="I292" s="5" t="str">
        <f aca="false">CONCATENATE(E292, "_",H292)</f>
        <v>NLA_2021_007_134</v>
      </c>
      <c r="J292" s="5" t="s">
        <v>158</v>
      </c>
      <c r="K292" s="21" t="n">
        <v>7250</v>
      </c>
      <c r="L292" s="8" t="s">
        <v>69</v>
      </c>
      <c r="M292" s="6" t="s">
        <v>357</v>
      </c>
      <c r="N292" s="5" t="s">
        <v>325</v>
      </c>
      <c r="O292" s="5" t="s">
        <v>42</v>
      </c>
      <c r="P292" s="5" t="s">
        <v>326</v>
      </c>
      <c r="Q292" s="5" t="s">
        <v>327</v>
      </c>
      <c r="R292" s="5" t="s">
        <v>72</v>
      </c>
      <c r="S292" s="5" t="s">
        <v>46</v>
      </c>
      <c r="T292" s="5" t="s">
        <v>46</v>
      </c>
      <c r="U292" s="5" t="n">
        <v>10</v>
      </c>
      <c r="V292" s="1" t="n">
        <v>6</v>
      </c>
      <c r="W292" s="5" t="s">
        <v>358</v>
      </c>
      <c r="X292" s="5" t="s">
        <v>47</v>
      </c>
      <c r="Y292" s="1" t="n">
        <v>5500</v>
      </c>
      <c r="Z292" s="5" t="s">
        <v>329</v>
      </c>
      <c r="AA292" s="5" t="s">
        <v>330</v>
      </c>
      <c r="AB292" s="13" t="str">
        <f aca="true" t="array" ref="AB292:AB292">LEFT(AA292,LOOKUP(2^15,FIND(".",AA292,ROW(INDIRECT("1:"&amp;LEN(AA292)))))-1)</f>
        <v>NB_2021_023 - 07062021 - 1</v>
      </c>
      <c r="AC292" s="5" t="s">
        <v>331</v>
      </c>
      <c r="AD292" s="13" t="str">
        <f aca="true" t="array" ref="AD292:AD292">LEFT(AC292,LOOKUP(2^15,FIND(".",AC292,ROW(INDIRECT("1:"&amp;LEN(AC292)))))-1)</f>
        <v>NB_2021_023 - 07062021 - 2</v>
      </c>
      <c r="AE292" s="5" t="str">
        <f aca="false">CONCATENATE(AB292, "-",H292, ".mzML")</f>
        <v>NB_2021_023 - 07062021 - 1-134.mzML</v>
      </c>
      <c r="AF292" s="5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3" t="s">
        <v>353</v>
      </c>
      <c r="B293" s="4"/>
      <c r="C293" s="3" t="s">
        <v>354</v>
      </c>
      <c r="D293" s="5" t="s">
        <v>14</v>
      </c>
      <c r="E293" s="5" t="s">
        <v>320</v>
      </c>
      <c r="F293" s="6" t="s">
        <v>321</v>
      </c>
      <c r="G293" s="5" t="s">
        <v>355</v>
      </c>
      <c r="H293" s="14" t="s">
        <v>364</v>
      </c>
      <c r="I293" s="5" t="str">
        <f aca="false">CONCATENATE(E293, "_",H293)</f>
        <v>NLA_2021_007_135</v>
      </c>
      <c r="J293" s="5" t="s">
        <v>158</v>
      </c>
      <c r="K293" s="21" t="n">
        <v>7251</v>
      </c>
      <c r="L293" s="8" t="s">
        <v>69</v>
      </c>
      <c r="M293" s="6" t="s">
        <v>357</v>
      </c>
      <c r="N293" s="5" t="s">
        <v>325</v>
      </c>
      <c r="O293" s="5" t="s">
        <v>42</v>
      </c>
      <c r="P293" s="5" t="s">
        <v>326</v>
      </c>
      <c r="Q293" s="5" t="s">
        <v>327</v>
      </c>
      <c r="R293" s="5" t="s">
        <v>72</v>
      </c>
      <c r="S293" s="5" t="s">
        <v>46</v>
      </c>
      <c r="T293" s="5" t="s">
        <v>46</v>
      </c>
      <c r="U293" s="5" t="n">
        <v>10</v>
      </c>
      <c r="V293" s="1" t="n">
        <v>7</v>
      </c>
      <c r="W293" s="5" t="s">
        <v>358</v>
      </c>
      <c r="X293" s="5" t="s">
        <v>47</v>
      </c>
      <c r="Y293" s="1" t="n">
        <v>5500</v>
      </c>
      <c r="Z293" s="5" t="s">
        <v>329</v>
      </c>
      <c r="AA293" s="5" t="s">
        <v>330</v>
      </c>
      <c r="AB293" s="13" t="str">
        <f aca="true" t="array" ref="AB293:AB293">LEFT(AA293,LOOKUP(2^15,FIND(".",AA293,ROW(INDIRECT("1:"&amp;LEN(AA293)))))-1)</f>
        <v>NB_2021_023 - 07062021 - 1</v>
      </c>
      <c r="AC293" s="5" t="s">
        <v>331</v>
      </c>
      <c r="AD293" s="13" t="str">
        <f aca="true" t="array" ref="AD293:AD293">LEFT(AC293,LOOKUP(2^15,FIND(".",AC293,ROW(INDIRECT("1:"&amp;LEN(AC293)))))-1)</f>
        <v>NB_2021_023 - 07062021 - 2</v>
      </c>
      <c r="AE293" s="5" t="str">
        <f aca="false">CONCATENATE(AB293, "-",H293, ".mzML")</f>
        <v>NB_2021_023 - 07062021 - 1-135.mzML</v>
      </c>
      <c r="AF293" s="5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3" t="s">
        <v>353</v>
      </c>
      <c r="B294" s="4"/>
      <c r="C294" s="3" t="s">
        <v>354</v>
      </c>
      <c r="D294" s="5" t="s">
        <v>14</v>
      </c>
      <c r="E294" s="5" t="s">
        <v>320</v>
      </c>
      <c r="F294" s="6" t="s">
        <v>321</v>
      </c>
      <c r="G294" s="5" t="s">
        <v>355</v>
      </c>
      <c r="H294" s="14" t="s">
        <v>365</v>
      </c>
      <c r="I294" s="5" t="str">
        <f aca="false">CONCATENATE(E294, "_",H294)</f>
        <v>NLA_2021_007_136</v>
      </c>
      <c r="J294" s="5" t="s">
        <v>158</v>
      </c>
      <c r="K294" s="21" t="n">
        <v>7252</v>
      </c>
      <c r="L294" s="8" t="s">
        <v>69</v>
      </c>
      <c r="M294" s="6" t="s">
        <v>357</v>
      </c>
      <c r="N294" s="5" t="s">
        <v>325</v>
      </c>
      <c r="O294" s="5" t="s">
        <v>42</v>
      </c>
      <c r="P294" s="5" t="s">
        <v>326</v>
      </c>
      <c r="Q294" s="5" t="s">
        <v>327</v>
      </c>
      <c r="R294" s="5" t="s">
        <v>72</v>
      </c>
      <c r="S294" s="5" t="s">
        <v>46</v>
      </c>
      <c r="T294" s="5" t="s">
        <v>46</v>
      </c>
      <c r="U294" s="5" t="n">
        <v>10</v>
      </c>
      <c r="V294" s="1" t="n">
        <v>8</v>
      </c>
      <c r="W294" s="5" t="s">
        <v>358</v>
      </c>
      <c r="X294" s="5" t="s">
        <v>47</v>
      </c>
      <c r="Y294" s="1" t="n">
        <v>5500</v>
      </c>
      <c r="Z294" s="5" t="s">
        <v>329</v>
      </c>
      <c r="AA294" s="5" t="s">
        <v>330</v>
      </c>
      <c r="AB294" s="13" t="str">
        <f aca="true" t="array" ref="AB294:AB294">LEFT(AA294,LOOKUP(2^15,FIND(".",AA294,ROW(INDIRECT("1:"&amp;LEN(AA294)))))-1)</f>
        <v>NB_2021_023 - 07062021 - 1</v>
      </c>
      <c r="AC294" s="5" t="s">
        <v>331</v>
      </c>
      <c r="AD294" s="13" t="str">
        <f aca="true" t="array" ref="AD294:AD294">LEFT(AC294,LOOKUP(2^15,FIND(".",AC294,ROW(INDIRECT("1:"&amp;LEN(AC294)))))-1)</f>
        <v>NB_2021_023 - 07062021 - 2</v>
      </c>
      <c r="AE294" s="5" t="str">
        <f aca="false">CONCATENATE(AB294, "-",H294, ".mzML")</f>
        <v>NB_2021_023 - 07062021 - 1-136.mzML</v>
      </c>
      <c r="AF294" s="5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3" t="s">
        <v>353</v>
      </c>
      <c r="B295" s="4"/>
      <c r="C295" s="3" t="s">
        <v>354</v>
      </c>
      <c r="D295" s="5" t="s">
        <v>14</v>
      </c>
      <c r="E295" s="5" t="s">
        <v>320</v>
      </c>
      <c r="F295" s="6" t="s">
        <v>321</v>
      </c>
      <c r="G295" s="5" t="s">
        <v>355</v>
      </c>
      <c r="H295" s="14" t="s">
        <v>366</v>
      </c>
      <c r="I295" s="5" t="str">
        <f aca="false">CONCATENATE(E295, "_",H295)</f>
        <v>NLA_2021_007_137</v>
      </c>
      <c r="J295" s="5" t="s">
        <v>166</v>
      </c>
      <c r="K295" s="21" t="n">
        <v>7303</v>
      </c>
      <c r="L295" s="8" t="s">
        <v>69</v>
      </c>
      <c r="M295" s="6" t="s">
        <v>357</v>
      </c>
      <c r="N295" s="5" t="s">
        <v>325</v>
      </c>
      <c r="O295" s="5" t="s">
        <v>54</v>
      </c>
      <c r="P295" s="5" t="s">
        <v>326</v>
      </c>
      <c r="Q295" s="5" t="s">
        <v>340</v>
      </c>
      <c r="R295" s="5" t="s">
        <v>72</v>
      </c>
      <c r="S295" s="5" t="s">
        <v>46</v>
      </c>
      <c r="T295" s="5" t="s">
        <v>46</v>
      </c>
      <c r="U295" s="5" t="n">
        <v>10</v>
      </c>
      <c r="V295" s="1" t="n">
        <v>1</v>
      </c>
      <c r="W295" s="5" t="s">
        <v>358</v>
      </c>
      <c r="X295" s="5" t="s">
        <v>47</v>
      </c>
      <c r="Y295" s="1" t="n">
        <v>5500</v>
      </c>
      <c r="Z295" s="5" t="s">
        <v>329</v>
      </c>
      <c r="AA295" s="5" t="s">
        <v>330</v>
      </c>
      <c r="AB295" s="13" t="str">
        <f aca="true" t="array" ref="AB295:AB295">LEFT(AA295,LOOKUP(2^15,FIND(".",AA295,ROW(INDIRECT("1:"&amp;LEN(AA295)))))-1)</f>
        <v>NB_2021_023 - 07062021 - 1</v>
      </c>
      <c r="AC295" s="5" t="s">
        <v>331</v>
      </c>
      <c r="AD295" s="13" t="str">
        <f aca="true" t="array" ref="AD295:AD295">LEFT(AC295,LOOKUP(2^15,FIND(".",AC295,ROW(INDIRECT("1:"&amp;LEN(AC295)))))-1)</f>
        <v>NB_2021_023 - 07062021 - 2</v>
      </c>
      <c r="AE295" s="5" t="str">
        <f aca="false">CONCATENATE(AB295, "-",H295, ".mzML")</f>
        <v>NB_2021_023 - 07062021 - 1-137.mzML</v>
      </c>
      <c r="AF295" s="5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3" t="s">
        <v>353</v>
      </c>
      <c r="B296" s="4"/>
      <c r="C296" s="3" t="s">
        <v>354</v>
      </c>
      <c r="D296" s="5" t="s">
        <v>14</v>
      </c>
      <c r="E296" s="5" t="s">
        <v>320</v>
      </c>
      <c r="F296" s="6" t="s">
        <v>321</v>
      </c>
      <c r="G296" s="5" t="s">
        <v>355</v>
      </c>
      <c r="H296" s="14" t="s">
        <v>367</v>
      </c>
      <c r="I296" s="5" t="str">
        <f aca="false">CONCATENATE(E296, "_",H296)</f>
        <v>NLA_2021_007_138</v>
      </c>
      <c r="J296" s="5" t="s">
        <v>166</v>
      </c>
      <c r="K296" s="21" t="n">
        <v>7304</v>
      </c>
      <c r="L296" s="8" t="s">
        <v>69</v>
      </c>
      <c r="M296" s="6" t="s">
        <v>357</v>
      </c>
      <c r="N296" s="5" t="s">
        <v>325</v>
      </c>
      <c r="O296" s="5" t="s">
        <v>54</v>
      </c>
      <c r="P296" s="5" t="s">
        <v>326</v>
      </c>
      <c r="Q296" s="5" t="s">
        <v>340</v>
      </c>
      <c r="R296" s="5" t="s">
        <v>72</v>
      </c>
      <c r="S296" s="5" t="s">
        <v>46</v>
      </c>
      <c r="T296" s="5" t="s">
        <v>46</v>
      </c>
      <c r="U296" s="5" t="n">
        <v>10</v>
      </c>
      <c r="V296" s="1" t="n">
        <v>2</v>
      </c>
      <c r="W296" s="5" t="s">
        <v>358</v>
      </c>
      <c r="X296" s="5" t="s">
        <v>47</v>
      </c>
      <c r="Y296" s="1" t="n">
        <v>5500</v>
      </c>
      <c r="Z296" s="5" t="s">
        <v>329</v>
      </c>
      <c r="AA296" s="5" t="s">
        <v>330</v>
      </c>
      <c r="AB296" s="13" t="str">
        <f aca="true" t="array" ref="AB296:AB296">LEFT(AA296,LOOKUP(2^15,FIND(".",AA296,ROW(INDIRECT("1:"&amp;LEN(AA296)))))-1)</f>
        <v>NB_2021_023 - 07062021 - 1</v>
      </c>
      <c r="AC296" s="5" t="s">
        <v>331</v>
      </c>
      <c r="AD296" s="13" t="str">
        <f aca="true" t="array" ref="AD296:AD296">LEFT(AC296,LOOKUP(2^15,FIND(".",AC296,ROW(INDIRECT("1:"&amp;LEN(AC296)))))-1)</f>
        <v>NB_2021_023 - 07062021 - 2</v>
      </c>
      <c r="AE296" s="5" t="str">
        <f aca="false">CONCATENATE(AB296, "-",H296, ".mzML")</f>
        <v>NB_2021_023 - 07062021 - 1-138.mzML</v>
      </c>
      <c r="AF296" s="5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3" t="s">
        <v>353</v>
      </c>
      <c r="B297" s="4"/>
      <c r="C297" s="3" t="s">
        <v>354</v>
      </c>
      <c r="D297" s="5" t="s">
        <v>14</v>
      </c>
      <c r="E297" s="5" t="s">
        <v>320</v>
      </c>
      <c r="F297" s="6" t="s">
        <v>321</v>
      </c>
      <c r="G297" s="5" t="s">
        <v>355</v>
      </c>
      <c r="H297" s="14" t="s">
        <v>368</v>
      </c>
      <c r="I297" s="5" t="str">
        <f aca="false">CONCATENATE(E297, "_",H297)</f>
        <v>NLA_2021_007_139</v>
      </c>
      <c r="J297" s="5" t="s">
        <v>166</v>
      </c>
      <c r="K297" s="21" t="n">
        <v>7305</v>
      </c>
      <c r="L297" s="8" t="s">
        <v>69</v>
      </c>
      <c r="M297" s="6" t="s">
        <v>357</v>
      </c>
      <c r="N297" s="5" t="s">
        <v>325</v>
      </c>
      <c r="O297" s="5" t="s">
        <v>54</v>
      </c>
      <c r="P297" s="5" t="s">
        <v>326</v>
      </c>
      <c r="Q297" s="5" t="s">
        <v>340</v>
      </c>
      <c r="R297" s="5" t="s">
        <v>72</v>
      </c>
      <c r="S297" s="5" t="s">
        <v>46</v>
      </c>
      <c r="T297" s="5" t="s">
        <v>46</v>
      </c>
      <c r="U297" s="5" t="n">
        <v>10</v>
      </c>
      <c r="V297" s="1" t="n">
        <v>3</v>
      </c>
      <c r="W297" s="5" t="s">
        <v>358</v>
      </c>
      <c r="X297" s="5" t="s">
        <v>47</v>
      </c>
      <c r="Y297" s="1" t="n">
        <v>5500</v>
      </c>
      <c r="Z297" s="5" t="s">
        <v>329</v>
      </c>
      <c r="AA297" s="5" t="s">
        <v>330</v>
      </c>
      <c r="AB297" s="13" t="str">
        <f aca="true" t="array" ref="AB297:AB297">LEFT(AA297,LOOKUP(2^15,FIND(".",AA297,ROW(INDIRECT("1:"&amp;LEN(AA297)))))-1)</f>
        <v>NB_2021_023 - 07062021 - 1</v>
      </c>
      <c r="AC297" s="5" t="s">
        <v>331</v>
      </c>
      <c r="AD297" s="13" t="str">
        <f aca="true" t="array" ref="AD297:AD297">LEFT(AC297,LOOKUP(2^15,FIND(".",AC297,ROW(INDIRECT("1:"&amp;LEN(AC297)))))-1)</f>
        <v>NB_2021_023 - 07062021 - 2</v>
      </c>
      <c r="AE297" s="5" t="str">
        <f aca="false">CONCATENATE(AB297, "-",H297, ".mzML")</f>
        <v>NB_2021_023 - 07062021 - 1-139.mzML</v>
      </c>
      <c r="AF297" s="5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3" t="s">
        <v>353</v>
      </c>
      <c r="B298" s="4"/>
      <c r="C298" s="3" t="s">
        <v>354</v>
      </c>
      <c r="D298" s="5" t="s">
        <v>14</v>
      </c>
      <c r="E298" s="5" t="s">
        <v>320</v>
      </c>
      <c r="F298" s="6" t="s">
        <v>321</v>
      </c>
      <c r="G298" s="5" t="s">
        <v>355</v>
      </c>
      <c r="H298" s="14" t="s">
        <v>369</v>
      </c>
      <c r="I298" s="5" t="str">
        <f aca="false">CONCATENATE(E298, "_",H298)</f>
        <v>NLA_2021_007_140</v>
      </c>
      <c r="J298" s="5" t="s">
        <v>166</v>
      </c>
      <c r="K298" s="21" t="n">
        <v>7306</v>
      </c>
      <c r="L298" s="8" t="s">
        <v>69</v>
      </c>
      <c r="M298" s="6" t="s">
        <v>357</v>
      </c>
      <c r="N298" s="5" t="s">
        <v>325</v>
      </c>
      <c r="O298" s="5" t="s">
        <v>54</v>
      </c>
      <c r="P298" s="5" t="s">
        <v>326</v>
      </c>
      <c r="Q298" s="5" t="s">
        <v>340</v>
      </c>
      <c r="R298" s="5" t="s">
        <v>72</v>
      </c>
      <c r="S298" s="5" t="s">
        <v>46</v>
      </c>
      <c r="T298" s="5" t="s">
        <v>46</v>
      </c>
      <c r="U298" s="5" t="n">
        <v>10</v>
      </c>
      <c r="V298" s="1" t="n">
        <v>4</v>
      </c>
      <c r="W298" s="5" t="s">
        <v>358</v>
      </c>
      <c r="X298" s="5" t="s">
        <v>47</v>
      </c>
      <c r="Y298" s="1" t="n">
        <v>5500</v>
      </c>
      <c r="Z298" s="5" t="s">
        <v>329</v>
      </c>
      <c r="AA298" s="5" t="s">
        <v>330</v>
      </c>
      <c r="AB298" s="13" t="str">
        <f aca="true" t="array" ref="AB298:AB298">LEFT(AA298,LOOKUP(2^15,FIND(".",AA298,ROW(INDIRECT("1:"&amp;LEN(AA298)))))-1)</f>
        <v>NB_2021_023 - 07062021 - 1</v>
      </c>
      <c r="AC298" s="5" t="s">
        <v>331</v>
      </c>
      <c r="AD298" s="13" t="str">
        <f aca="true" t="array" ref="AD298:AD298">LEFT(AC298,LOOKUP(2^15,FIND(".",AC298,ROW(INDIRECT("1:"&amp;LEN(AC298)))))-1)</f>
        <v>NB_2021_023 - 07062021 - 2</v>
      </c>
      <c r="AE298" s="5" t="str">
        <f aca="false">CONCATENATE(AB298, "-",H298, ".mzML")</f>
        <v>NB_2021_023 - 07062021 - 1-140.mzML</v>
      </c>
      <c r="AF298" s="5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3" t="s">
        <v>353</v>
      </c>
      <c r="B299" s="4"/>
      <c r="C299" s="3" t="s">
        <v>354</v>
      </c>
      <c r="D299" s="5" t="s">
        <v>14</v>
      </c>
      <c r="E299" s="5" t="s">
        <v>320</v>
      </c>
      <c r="F299" s="6" t="s">
        <v>321</v>
      </c>
      <c r="G299" s="5" t="s">
        <v>355</v>
      </c>
      <c r="H299" s="14" t="s">
        <v>370</v>
      </c>
      <c r="I299" s="5" t="str">
        <f aca="false">CONCATENATE(E299, "_",H299)</f>
        <v>NLA_2021_007_141</v>
      </c>
      <c r="J299" s="5" t="s">
        <v>166</v>
      </c>
      <c r="K299" s="21" t="n">
        <v>7307</v>
      </c>
      <c r="L299" s="8" t="s">
        <v>69</v>
      </c>
      <c r="M299" s="6" t="s">
        <v>357</v>
      </c>
      <c r="N299" s="5" t="s">
        <v>325</v>
      </c>
      <c r="O299" s="5" t="s">
        <v>54</v>
      </c>
      <c r="P299" s="5" t="s">
        <v>326</v>
      </c>
      <c r="Q299" s="5" t="s">
        <v>340</v>
      </c>
      <c r="R299" s="5" t="s">
        <v>72</v>
      </c>
      <c r="S299" s="5" t="s">
        <v>46</v>
      </c>
      <c r="T299" s="5" t="s">
        <v>46</v>
      </c>
      <c r="U299" s="5" t="n">
        <v>10</v>
      </c>
      <c r="V299" s="1" t="n">
        <v>5</v>
      </c>
      <c r="W299" s="5" t="s">
        <v>358</v>
      </c>
      <c r="X299" s="5" t="s">
        <v>47</v>
      </c>
      <c r="Y299" s="1" t="n">
        <v>5500</v>
      </c>
      <c r="Z299" s="5" t="s">
        <v>329</v>
      </c>
      <c r="AA299" s="5" t="s">
        <v>330</v>
      </c>
      <c r="AB299" s="13" t="str">
        <f aca="true" t="array" ref="AB299:AB299">LEFT(AA299,LOOKUP(2^15,FIND(".",AA299,ROW(INDIRECT("1:"&amp;LEN(AA299)))))-1)</f>
        <v>NB_2021_023 - 07062021 - 1</v>
      </c>
      <c r="AC299" s="5" t="s">
        <v>331</v>
      </c>
      <c r="AD299" s="13" t="str">
        <f aca="true" t="array" ref="AD299:AD299">LEFT(AC299,LOOKUP(2^15,FIND(".",AC299,ROW(INDIRECT("1:"&amp;LEN(AC299)))))-1)</f>
        <v>NB_2021_023 - 07062021 - 2</v>
      </c>
      <c r="AE299" s="5" t="str">
        <f aca="false">CONCATENATE(AB299, "-",H299, ".mzML")</f>
        <v>NB_2021_023 - 07062021 - 1-141.mzML</v>
      </c>
      <c r="AF299" s="5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3" t="s">
        <v>353</v>
      </c>
      <c r="B300" s="4"/>
      <c r="C300" s="3" t="s">
        <v>354</v>
      </c>
      <c r="D300" s="5" t="s">
        <v>14</v>
      </c>
      <c r="E300" s="5" t="s">
        <v>320</v>
      </c>
      <c r="F300" s="6" t="s">
        <v>321</v>
      </c>
      <c r="G300" s="5" t="s">
        <v>355</v>
      </c>
      <c r="H300" s="14" t="s">
        <v>371</v>
      </c>
      <c r="I300" s="5" t="str">
        <f aca="false">CONCATENATE(E300, "_",H300)</f>
        <v>NLA_2021_007_142</v>
      </c>
      <c r="J300" s="5" t="s">
        <v>166</v>
      </c>
      <c r="K300" s="21" t="n">
        <v>7308</v>
      </c>
      <c r="L300" s="8" t="s">
        <v>69</v>
      </c>
      <c r="M300" s="6" t="s">
        <v>357</v>
      </c>
      <c r="N300" s="5" t="s">
        <v>325</v>
      </c>
      <c r="O300" s="5" t="s">
        <v>54</v>
      </c>
      <c r="P300" s="5" t="s">
        <v>326</v>
      </c>
      <c r="Q300" s="5" t="s">
        <v>340</v>
      </c>
      <c r="R300" s="5" t="s">
        <v>72</v>
      </c>
      <c r="S300" s="5" t="s">
        <v>46</v>
      </c>
      <c r="T300" s="5" t="s">
        <v>46</v>
      </c>
      <c r="U300" s="5" t="n">
        <v>10</v>
      </c>
      <c r="V300" s="1" t="n">
        <v>6</v>
      </c>
      <c r="W300" s="5" t="s">
        <v>358</v>
      </c>
      <c r="X300" s="5" t="s">
        <v>47</v>
      </c>
      <c r="Y300" s="1" t="n">
        <v>5500</v>
      </c>
      <c r="Z300" s="5" t="s">
        <v>329</v>
      </c>
      <c r="AA300" s="5" t="s">
        <v>330</v>
      </c>
      <c r="AB300" s="13" t="str">
        <f aca="true" t="array" ref="AB300:AB300">LEFT(AA300,LOOKUP(2^15,FIND(".",AA300,ROW(INDIRECT("1:"&amp;LEN(AA300)))))-1)</f>
        <v>NB_2021_023 - 07062021 - 1</v>
      </c>
      <c r="AC300" s="5" t="s">
        <v>331</v>
      </c>
      <c r="AD300" s="13" t="str">
        <f aca="true" t="array" ref="AD300:AD300">LEFT(AC300,LOOKUP(2^15,FIND(".",AC300,ROW(INDIRECT("1:"&amp;LEN(AC300)))))-1)</f>
        <v>NB_2021_023 - 07062021 - 2</v>
      </c>
      <c r="AE300" s="5" t="str">
        <f aca="false">CONCATENATE(AB300, "-",H300, ".mzML")</f>
        <v>NB_2021_023 - 07062021 - 1-142.mzML</v>
      </c>
      <c r="AF300" s="5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3" t="s">
        <v>353</v>
      </c>
      <c r="B301" s="4"/>
      <c r="C301" s="3" t="s">
        <v>354</v>
      </c>
      <c r="D301" s="5" t="s">
        <v>14</v>
      </c>
      <c r="E301" s="5" t="s">
        <v>320</v>
      </c>
      <c r="F301" s="6" t="s">
        <v>321</v>
      </c>
      <c r="G301" s="5" t="s">
        <v>355</v>
      </c>
      <c r="H301" s="14" t="s">
        <v>372</v>
      </c>
      <c r="I301" s="5" t="str">
        <f aca="false">CONCATENATE(E301, "_",H301)</f>
        <v>NLA_2021_007_143</v>
      </c>
      <c r="J301" s="5" t="s">
        <v>166</v>
      </c>
      <c r="K301" s="21" t="n">
        <v>7309</v>
      </c>
      <c r="L301" s="8" t="s">
        <v>69</v>
      </c>
      <c r="M301" s="6" t="s">
        <v>357</v>
      </c>
      <c r="N301" s="5" t="s">
        <v>325</v>
      </c>
      <c r="O301" s="5" t="s">
        <v>54</v>
      </c>
      <c r="P301" s="5" t="s">
        <v>326</v>
      </c>
      <c r="Q301" s="5" t="s">
        <v>340</v>
      </c>
      <c r="R301" s="5" t="s">
        <v>72</v>
      </c>
      <c r="S301" s="5" t="s">
        <v>46</v>
      </c>
      <c r="T301" s="5" t="s">
        <v>46</v>
      </c>
      <c r="U301" s="5" t="n">
        <v>10</v>
      </c>
      <c r="V301" s="1" t="n">
        <v>7</v>
      </c>
      <c r="W301" s="5" t="s">
        <v>358</v>
      </c>
      <c r="X301" s="5" t="s">
        <v>47</v>
      </c>
      <c r="Y301" s="1" t="n">
        <v>5500</v>
      </c>
      <c r="Z301" s="5" t="s">
        <v>329</v>
      </c>
      <c r="AA301" s="5" t="s">
        <v>330</v>
      </c>
      <c r="AB301" s="13" t="str">
        <f aca="true" t="array" ref="AB301:AB301">LEFT(AA301,LOOKUP(2^15,FIND(".",AA301,ROW(INDIRECT("1:"&amp;LEN(AA301)))))-1)</f>
        <v>NB_2021_023 - 07062021 - 1</v>
      </c>
      <c r="AC301" s="5" t="s">
        <v>331</v>
      </c>
      <c r="AD301" s="13" t="str">
        <f aca="true" t="array" ref="AD301:AD301">LEFT(AC301,LOOKUP(2^15,FIND(".",AC301,ROW(INDIRECT("1:"&amp;LEN(AC301)))))-1)</f>
        <v>NB_2021_023 - 07062021 - 2</v>
      </c>
      <c r="AE301" s="5" t="str">
        <f aca="false">CONCATENATE(AB301, "-",H301, ".mzML")</f>
        <v>NB_2021_023 - 07062021 - 1-143.mzML</v>
      </c>
      <c r="AF301" s="5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3" t="s">
        <v>353</v>
      </c>
      <c r="B302" s="4"/>
      <c r="C302" s="3" t="s">
        <v>354</v>
      </c>
      <c r="D302" s="5" t="s">
        <v>14</v>
      </c>
      <c r="E302" s="5" t="s">
        <v>320</v>
      </c>
      <c r="F302" s="6" t="s">
        <v>321</v>
      </c>
      <c r="G302" s="5" t="s">
        <v>355</v>
      </c>
      <c r="H302" s="14" t="s">
        <v>373</v>
      </c>
      <c r="I302" s="5" t="str">
        <f aca="false">CONCATENATE(E302, "_",H302)</f>
        <v>NLA_2021_007_144</v>
      </c>
      <c r="J302" s="5" t="s">
        <v>166</v>
      </c>
      <c r="K302" s="21" t="n">
        <v>7310</v>
      </c>
      <c r="L302" s="8" t="s">
        <v>69</v>
      </c>
      <c r="M302" s="6" t="s">
        <v>357</v>
      </c>
      <c r="N302" s="5" t="s">
        <v>325</v>
      </c>
      <c r="O302" s="5" t="s">
        <v>54</v>
      </c>
      <c r="P302" s="5" t="s">
        <v>326</v>
      </c>
      <c r="Q302" s="5" t="s">
        <v>340</v>
      </c>
      <c r="R302" s="5" t="s">
        <v>72</v>
      </c>
      <c r="S302" s="5" t="s">
        <v>46</v>
      </c>
      <c r="T302" s="5" t="s">
        <v>46</v>
      </c>
      <c r="U302" s="5" t="n">
        <v>10</v>
      </c>
      <c r="V302" s="1" t="n">
        <v>8</v>
      </c>
      <c r="W302" s="5" t="s">
        <v>358</v>
      </c>
      <c r="X302" s="5" t="s">
        <v>47</v>
      </c>
      <c r="Y302" s="1" t="n">
        <v>5500</v>
      </c>
      <c r="Z302" s="5" t="s">
        <v>329</v>
      </c>
      <c r="AA302" s="5" t="s">
        <v>330</v>
      </c>
      <c r="AB302" s="13" t="str">
        <f aca="true" t="array" ref="AB302:AB302">LEFT(AA302,LOOKUP(2^15,FIND(".",AA302,ROW(INDIRECT("1:"&amp;LEN(AA302)))))-1)</f>
        <v>NB_2021_023 - 07062021 - 1</v>
      </c>
      <c r="AC302" s="5" t="s">
        <v>331</v>
      </c>
      <c r="AD302" s="13" t="str">
        <f aca="true" t="array" ref="AD302:AD302">LEFT(AC302,LOOKUP(2^15,FIND(".",AC302,ROW(INDIRECT("1:"&amp;LEN(AC302)))))-1)</f>
        <v>NB_2021_023 - 07062021 - 2</v>
      </c>
      <c r="AE302" s="5" t="str">
        <f aca="false">CONCATENATE(AB302, "-",H302, ".mzML")</f>
        <v>NB_2021_023 - 07062021 - 1-144.mzML</v>
      </c>
      <c r="AF302" s="5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3" t="s">
        <v>353</v>
      </c>
      <c r="B303" s="4"/>
      <c r="C303" s="3" t="s">
        <v>354</v>
      </c>
      <c r="D303" s="5" t="s">
        <v>14</v>
      </c>
      <c r="E303" s="5" t="s">
        <v>320</v>
      </c>
      <c r="F303" s="6" t="s">
        <v>321</v>
      </c>
      <c r="G303" s="5" t="s">
        <v>320</v>
      </c>
      <c r="H303" s="14" t="s">
        <v>64</v>
      </c>
      <c r="I303" s="5" t="str">
        <f aca="false">CONCATENATE(E303, "_",H303)</f>
        <v>NLA_2021_007_Blank_1</v>
      </c>
      <c r="J303" s="5" t="s">
        <v>52</v>
      </c>
      <c r="K303" s="21" t="s">
        <v>64</v>
      </c>
      <c r="L303" s="8" t="s">
        <v>69</v>
      </c>
      <c r="M303" s="22" t="s">
        <v>46</v>
      </c>
      <c r="N303" s="23" t="s">
        <v>65</v>
      </c>
      <c r="O303" s="23" t="s">
        <v>46</v>
      </c>
      <c r="P303" s="21" t="s">
        <v>46</v>
      </c>
      <c r="Q303" s="23" t="s">
        <v>46</v>
      </c>
      <c r="R303" s="23" t="s">
        <v>46</v>
      </c>
      <c r="S303" s="21" t="s">
        <v>46</v>
      </c>
      <c r="T303" s="21" t="s">
        <v>46</v>
      </c>
      <c r="U303" s="21" t="s">
        <v>46</v>
      </c>
      <c r="V303" s="23" t="n">
        <v>1</v>
      </c>
      <c r="W303" s="5"/>
      <c r="X303" s="5" t="s">
        <v>46</v>
      </c>
      <c r="Y303" s="1" t="n">
        <v>5500</v>
      </c>
      <c r="Z303" s="5" t="s">
        <v>329</v>
      </c>
      <c r="AA303" s="5" t="s">
        <v>330</v>
      </c>
      <c r="AB303" s="13" t="str">
        <f aca="true" t="array" ref="AB303:AB303">LEFT(AA303,LOOKUP(2^15,FIND(".",AA303,ROW(INDIRECT("1:"&amp;LEN(AA303)))))-1)</f>
        <v>NB_2021_023 - 07062021 - 1</v>
      </c>
      <c r="AC303" s="5" t="s">
        <v>331</v>
      </c>
      <c r="AD303" s="13" t="str">
        <f aca="true" t="array" ref="AD303:AD303">LEFT(AC303,LOOKUP(2^15,FIND(".",AC303,ROW(INDIRECT("1:"&amp;LEN(AC303)))))-1)</f>
        <v>NB_2021_023 - 07062021 - 2</v>
      </c>
      <c r="AE303" s="5" t="str">
        <f aca="false">CONCATENATE(AB303, "-",H303, ".mzML")</f>
        <v>NB_2021_023 - 07062021 - 1-Blank_1.mzML</v>
      </c>
      <c r="AF303" s="5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3" t="s">
        <v>353</v>
      </c>
      <c r="B304" s="4"/>
      <c r="C304" s="3" t="s">
        <v>354</v>
      </c>
      <c r="D304" s="5" t="s">
        <v>14</v>
      </c>
      <c r="E304" s="5" t="s">
        <v>320</v>
      </c>
      <c r="F304" s="6" t="s">
        <v>321</v>
      </c>
      <c r="G304" s="5" t="s">
        <v>320</v>
      </c>
      <c r="H304" s="14" t="s">
        <v>66</v>
      </c>
      <c r="I304" s="5" t="str">
        <f aca="false">CONCATENATE(E304, "_",H304)</f>
        <v>NLA_2021_007_Blank_2</v>
      </c>
      <c r="J304" s="5" t="s">
        <v>52</v>
      </c>
      <c r="K304" s="21" t="s">
        <v>66</v>
      </c>
      <c r="L304" s="8" t="s">
        <v>69</v>
      </c>
      <c r="M304" s="22" t="s">
        <v>46</v>
      </c>
      <c r="N304" s="23" t="s">
        <v>65</v>
      </c>
      <c r="O304" s="23" t="s">
        <v>46</v>
      </c>
      <c r="P304" s="21" t="s">
        <v>46</v>
      </c>
      <c r="Q304" s="23" t="s">
        <v>46</v>
      </c>
      <c r="R304" s="5" t="s">
        <v>46</v>
      </c>
      <c r="S304" s="21" t="s">
        <v>46</v>
      </c>
      <c r="T304" s="21" t="s">
        <v>46</v>
      </c>
      <c r="U304" s="21" t="s">
        <v>46</v>
      </c>
      <c r="V304" s="23" t="n">
        <v>2</v>
      </c>
      <c r="W304" s="5"/>
      <c r="X304" s="5" t="s">
        <v>46</v>
      </c>
      <c r="Y304" s="1" t="n">
        <v>5500</v>
      </c>
      <c r="Z304" s="5" t="s">
        <v>329</v>
      </c>
      <c r="AA304" s="5" t="s">
        <v>330</v>
      </c>
      <c r="AB304" s="13" t="str">
        <f aca="true" t="array" ref="AB304:AB304">LEFT(AA304,LOOKUP(2^15,FIND(".",AA304,ROW(INDIRECT("1:"&amp;LEN(AA304)))))-1)</f>
        <v>NB_2021_023 - 07062021 - 1</v>
      </c>
      <c r="AC304" s="5" t="s">
        <v>331</v>
      </c>
      <c r="AD304" s="13" t="str">
        <f aca="true" t="array" ref="AD304:AD304">LEFT(AC304,LOOKUP(2^15,FIND(".",AC304,ROW(INDIRECT("1:"&amp;LEN(AC304)))))-1)</f>
        <v>NB_2021_023 - 07062021 - 2</v>
      </c>
      <c r="AE304" s="5" t="str">
        <f aca="false">CONCATENATE(AB304, "-",H304, ".mzML")</f>
        <v>NB_2021_023 - 07062021 - 1-Blank_2.mzML</v>
      </c>
      <c r="AF304" s="5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3" t="s">
        <v>353</v>
      </c>
      <c r="B305" s="4"/>
      <c r="C305" s="3" t="s">
        <v>354</v>
      </c>
      <c r="D305" s="5" t="s">
        <v>14</v>
      </c>
      <c r="E305" s="5" t="s">
        <v>320</v>
      </c>
      <c r="F305" s="6" t="s">
        <v>321</v>
      </c>
      <c r="G305" s="5" t="s">
        <v>320</v>
      </c>
      <c r="H305" s="14" t="s">
        <v>348</v>
      </c>
      <c r="I305" s="5" t="str">
        <f aca="false">CONCATENATE(E305, "_",H305)</f>
        <v>NLA_2021_007_QC_1</v>
      </c>
      <c r="J305" s="5" t="s">
        <v>52</v>
      </c>
      <c r="K305" s="21" t="s">
        <v>348</v>
      </c>
      <c r="L305" s="8" t="s">
        <v>69</v>
      </c>
      <c r="M305" s="6" t="s">
        <v>46</v>
      </c>
      <c r="N305" s="5" t="s">
        <v>78</v>
      </c>
      <c r="O305" s="5" t="s">
        <v>46</v>
      </c>
      <c r="P305" s="5" t="s">
        <v>79</v>
      </c>
      <c r="Q305" s="5" t="s">
        <v>80</v>
      </c>
      <c r="R305" s="5" t="s">
        <v>81</v>
      </c>
      <c r="S305" s="5" t="s">
        <v>46</v>
      </c>
      <c r="T305" s="5" t="s">
        <v>46</v>
      </c>
      <c r="U305" s="5" t="s">
        <v>82</v>
      </c>
      <c r="V305" s="1" t="n">
        <v>1</v>
      </c>
      <c r="W305" s="5"/>
      <c r="X305" s="5" t="s">
        <v>83</v>
      </c>
      <c r="Y305" s="1" t="n">
        <v>5500</v>
      </c>
      <c r="Z305" s="5" t="s">
        <v>329</v>
      </c>
      <c r="AA305" s="5" t="s">
        <v>330</v>
      </c>
      <c r="AB305" s="13" t="str">
        <f aca="true" t="array" ref="AB305:AB305">LEFT(AA305,LOOKUP(2^15,FIND(".",AA305,ROW(INDIRECT("1:"&amp;LEN(AA305)))))-1)</f>
        <v>NB_2021_023 - 07062021 - 1</v>
      </c>
      <c r="AC305" s="5" t="s">
        <v>331</v>
      </c>
      <c r="AD305" s="13" t="str">
        <f aca="true" t="array" ref="AD305:AD305">LEFT(AC305,LOOKUP(2^15,FIND(".",AC305,ROW(INDIRECT("1:"&amp;LEN(AC305)))))-1)</f>
        <v>NB_2021_023 - 07062021 - 2</v>
      </c>
      <c r="AE305" s="5" t="str">
        <f aca="false">CONCATENATE(AB305, "-",H305, ".mzML")</f>
        <v>NB_2021_023 - 07062021 - 1-QC_1.mzML</v>
      </c>
      <c r="AF305" s="5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3" t="s">
        <v>353</v>
      </c>
      <c r="B306" s="4"/>
      <c r="C306" s="3" t="s">
        <v>354</v>
      </c>
      <c r="D306" s="5" t="s">
        <v>14</v>
      </c>
      <c r="E306" s="5" t="s">
        <v>320</v>
      </c>
      <c r="F306" s="6" t="s">
        <v>321</v>
      </c>
      <c r="G306" s="5" t="s">
        <v>320</v>
      </c>
      <c r="H306" s="14" t="s">
        <v>349</v>
      </c>
      <c r="I306" s="5" t="str">
        <f aca="false">CONCATENATE(E306, "_",H306)</f>
        <v>NLA_2021_007_QC_2</v>
      </c>
      <c r="J306" s="5" t="s">
        <v>52</v>
      </c>
      <c r="K306" s="21" t="s">
        <v>349</v>
      </c>
      <c r="L306" s="8" t="s">
        <v>69</v>
      </c>
      <c r="M306" s="6" t="s">
        <v>46</v>
      </c>
      <c r="N306" s="5" t="s">
        <v>78</v>
      </c>
      <c r="O306" s="5" t="s">
        <v>46</v>
      </c>
      <c r="P306" s="5" t="s">
        <v>79</v>
      </c>
      <c r="Q306" s="5" t="s">
        <v>80</v>
      </c>
      <c r="R306" s="5" t="s">
        <v>81</v>
      </c>
      <c r="S306" s="5" t="s">
        <v>46</v>
      </c>
      <c r="T306" s="5" t="s">
        <v>46</v>
      </c>
      <c r="U306" s="5" t="s">
        <v>82</v>
      </c>
      <c r="V306" s="1" t="n">
        <v>2</v>
      </c>
      <c r="W306" s="5"/>
      <c r="X306" s="5" t="s">
        <v>83</v>
      </c>
      <c r="Y306" s="1" t="n">
        <v>5500</v>
      </c>
      <c r="Z306" s="5" t="s">
        <v>329</v>
      </c>
      <c r="AA306" s="5" t="s">
        <v>330</v>
      </c>
      <c r="AB306" s="13" t="str">
        <f aca="true" t="array" ref="AB306:AB306">LEFT(AA306,LOOKUP(2^15,FIND(".",AA306,ROW(INDIRECT("1:"&amp;LEN(AA306)))))-1)</f>
        <v>NB_2021_023 - 07062021 - 1</v>
      </c>
      <c r="AC306" s="5" t="s">
        <v>331</v>
      </c>
      <c r="AD306" s="13" t="str">
        <f aca="true" t="array" ref="AD306:AD306">LEFT(AC306,LOOKUP(2^15,FIND(".",AC306,ROW(INDIRECT("1:"&amp;LEN(AC306)))))-1)</f>
        <v>NB_2021_023 - 07062021 - 2</v>
      </c>
      <c r="AE306" s="5" t="str">
        <f aca="false">CONCATENATE(AB306, "-",H306, ".mzML")</f>
        <v>NB_2021_023 - 07062021 - 1-QC_2.mzML</v>
      </c>
      <c r="AF306" s="5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3" t="s">
        <v>353</v>
      </c>
      <c r="B307" s="4"/>
      <c r="C307" s="3" t="s">
        <v>354</v>
      </c>
      <c r="D307" s="5" t="s">
        <v>14</v>
      </c>
      <c r="E307" s="5" t="s">
        <v>320</v>
      </c>
      <c r="F307" s="6" t="s">
        <v>321</v>
      </c>
      <c r="G307" s="5" t="s">
        <v>320</v>
      </c>
      <c r="H307" s="14" t="s">
        <v>350</v>
      </c>
      <c r="I307" s="5" t="str">
        <f aca="false">CONCATENATE(E307, "_",H307)</f>
        <v>NLA_2021_007_QC_3</v>
      </c>
      <c r="J307" s="5" t="s">
        <v>52</v>
      </c>
      <c r="K307" s="21" t="s">
        <v>350</v>
      </c>
      <c r="L307" s="8" t="s">
        <v>69</v>
      </c>
      <c r="M307" s="6" t="s">
        <v>46</v>
      </c>
      <c r="N307" s="5" t="s">
        <v>78</v>
      </c>
      <c r="O307" s="5" t="s">
        <v>46</v>
      </c>
      <c r="P307" s="5" t="s">
        <v>79</v>
      </c>
      <c r="Q307" s="5" t="s">
        <v>80</v>
      </c>
      <c r="R307" s="5" t="s">
        <v>81</v>
      </c>
      <c r="S307" s="5" t="s">
        <v>46</v>
      </c>
      <c r="T307" s="5" t="s">
        <v>46</v>
      </c>
      <c r="U307" s="5" t="s">
        <v>82</v>
      </c>
      <c r="V307" s="1" t="n">
        <v>3</v>
      </c>
      <c r="W307" s="5"/>
      <c r="X307" s="5" t="s">
        <v>83</v>
      </c>
      <c r="Y307" s="1" t="n">
        <v>5500</v>
      </c>
      <c r="Z307" s="5" t="s">
        <v>329</v>
      </c>
      <c r="AA307" s="5" t="s">
        <v>330</v>
      </c>
      <c r="AB307" s="13" t="str">
        <f aca="true" t="array" ref="AB307:AB307">LEFT(AA307,LOOKUP(2^15,FIND(".",AA307,ROW(INDIRECT("1:"&amp;LEN(AA307)))))-1)</f>
        <v>NB_2021_023 - 07062021 - 1</v>
      </c>
      <c r="AC307" s="5" t="s">
        <v>331</v>
      </c>
      <c r="AD307" s="13" t="str">
        <f aca="true" t="array" ref="AD307:AD307">LEFT(AC307,LOOKUP(2^15,FIND(".",AC307,ROW(INDIRECT("1:"&amp;LEN(AC307)))))-1)</f>
        <v>NB_2021_023 - 07062021 - 2</v>
      </c>
      <c r="AE307" s="5" t="str">
        <f aca="false">CONCATENATE(AB307, "-",H307, ".mzML")</f>
        <v>NB_2021_023 - 07062021 - 1-QC_3.mzML</v>
      </c>
      <c r="AF307" s="5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3" t="s">
        <v>353</v>
      </c>
      <c r="B308" s="4"/>
      <c r="C308" s="3" t="s">
        <v>354</v>
      </c>
      <c r="D308" s="5" t="s">
        <v>14</v>
      </c>
      <c r="E308" s="5" t="s">
        <v>320</v>
      </c>
      <c r="F308" s="6" t="s">
        <v>321</v>
      </c>
      <c r="G308" s="5" t="s">
        <v>320</v>
      </c>
      <c r="H308" s="14" t="s">
        <v>351</v>
      </c>
      <c r="I308" s="5" t="str">
        <f aca="false">CONCATENATE(E308, "_",H308)</f>
        <v>NLA_2021_007_QC_4</v>
      </c>
      <c r="J308" s="5" t="s">
        <v>52</v>
      </c>
      <c r="K308" s="21" t="s">
        <v>351</v>
      </c>
      <c r="L308" s="8" t="s">
        <v>69</v>
      </c>
      <c r="M308" s="6" t="s">
        <v>46</v>
      </c>
      <c r="N308" s="5" t="s">
        <v>78</v>
      </c>
      <c r="O308" s="5" t="s">
        <v>46</v>
      </c>
      <c r="P308" s="5" t="s">
        <v>79</v>
      </c>
      <c r="Q308" s="5" t="s">
        <v>80</v>
      </c>
      <c r="R308" s="5" t="s">
        <v>81</v>
      </c>
      <c r="S308" s="5" t="s">
        <v>46</v>
      </c>
      <c r="T308" s="5" t="s">
        <v>46</v>
      </c>
      <c r="U308" s="5" t="s">
        <v>82</v>
      </c>
      <c r="V308" s="25" t="n">
        <v>4</v>
      </c>
      <c r="W308" s="5"/>
      <c r="X308" s="5" t="s">
        <v>83</v>
      </c>
      <c r="Y308" s="1" t="n">
        <v>5500</v>
      </c>
      <c r="Z308" s="5" t="s">
        <v>329</v>
      </c>
      <c r="AA308" s="5" t="s">
        <v>330</v>
      </c>
      <c r="AB308" s="13" t="str">
        <f aca="true" t="array" ref="AB308:AB308">LEFT(AA308,LOOKUP(2^15,FIND(".",AA308,ROW(INDIRECT("1:"&amp;LEN(AA308)))))-1)</f>
        <v>NB_2021_023 - 07062021 - 1</v>
      </c>
      <c r="AC308" s="5" t="s">
        <v>331</v>
      </c>
      <c r="AD308" s="13" t="str">
        <f aca="true" t="array" ref="AD308:AD308">LEFT(AC308,LOOKUP(2^15,FIND(".",AC308,ROW(INDIRECT("1:"&amp;LEN(AC308)))))-1)</f>
        <v>NB_2021_023 - 07062021 - 2</v>
      </c>
      <c r="AE308" s="5" t="str">
        <f aca="false">CONCATENATE(AB308, "-",H308, ".mzML")</f>
        <v>NB_2021_023 - 07062021 - 1-QC_4.mzML</v>
      </c>
      <c r="AF308" s="5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3" t="s">
        <v>353</v>
      </c>
      <c r="B309" s="4"/>
      <c r="C309" s="3" t="s">
        <v>354</v>
      </c>
      <c r="D309" s="5" t="s">
        <v>14</v>
      </c>
      <c r="E309" s="5" t="s">
        <v>320</v>
      </c>
      <c r="F309" s="6" t="s">
        <v>321</v>
      </c>
      <c r="G309" s="5" t="s">
        <v>320</v>
      </c>
      <c r="H309" s="14" t="s">
        <v>352</v>
      </c>
      <c r="I309" s="5" t="str">
        <f aca="false">CONCATENATE(E309, "_",H309)</f>
        <v>NLA_2021_007_QC_5</v>
      </c>
      <c r="J309" s="5" t="s">
        <v>52</v>
      </c>
      <c r="K309" s="21" t="s">
        <v>352</v>
      </c>
      <c r="L309" s="8" t="s">
        <v>69</v>
      </c>
      <c r="M309" s="6" t="s">
        <v>46</v>
      </c>
      <c r="N309" s="5" t="s">
        <v>78</v>
      </c>
      <c r="O309" s="5" t="s">
        <v>46</v>
      </c>
      <c r="P309" s="5" t="s">
        <v>79</v>
      </c>
      <c r="Q309" s="5" t="s">
        <v>80</v>
      </c>
      <c r="R309" s="5" t="s">
        <v>81</v>
      </c>
      <c r="S309" s="5" t="s">
        <v>46</v>
      </c>
      <c r="T309" s="5" t="s">
        <v>46</v>
      </c>
      <c r="U309" s="5" t="s">
        <v>82</v>
      </c>
      <c r="V309" s="25" t="n">
        <v>5</v>
      </c>
      <c r="W309" s="5"/>
      <c r="X309" s="5" t="s">
        <v>83</v>
      </c>
      <c r="Y309" s="1" t="n">
        <v>5500</v>
      </c>
      <c r="Z309" s="5" t="s">
        <v>329</v>
      </c>
      <c r="AA309" s="5" t="s">
        <v>330</v>
      </c>
      <c r="AB309" s="13" t="str">
        <f aca="true" t="array" ref="AB309:AB309">LEFT(AA309,LOOKUP(2^15,FIND(".",AA309,ROW(INDIRECT("1:"&amp;LEN(AA309)))))-1)</f>
        <v>NB_2021_023 - 07062021 - 1</v>
      </c>
      <c r="AC309" s="5" t="s">
        <v>331</v>
      </c>
      <c r="AD309" s="13" t="str">
        <f aca="true" t="array" ref="AD309:AD309">LEFT(AC309,LOOKUP(2^15,FIND(".",AC309,ROW(INDIRECT("1:"&amp;LEN(AC309)))))-1)</f>
        <v>NB_2021_023 - 07062021 - 2</v>
      </c>
      <c r="AE309" s="5" t="str">
        <f aca="false">CONCATENATE(AB309, "-",H309, ".mzML")</f>
        <v>NB_2021_023 - 07062021 - 1-QC_5.mzML</v>
      </c>
      <c r="AF309" s="5" t="str">
        <f aca="false">CONCATENATE(AD309, "-",H309, ".mzML")</f>
        <v>NB_2021_023 - 07062021 - 2-QC_5.mzML</v>
      </c>
    </row>
    <row r="310" s="20" customFormat="true" ht="15" hidden="false" customHeight="false" outlineLevel="0" collapsed="false">
      <c r="A310" s="3" t="s">
        <v>374</v>
      </c>
      <c r="B310" s="4"/>
      <c r="C310" s="3" t="s">
        <v>375</v>
      </c>
      <c r="D310" s="5" t="s">
        <v>13</v>
      </c>
      <c r="E310" s="5" t="s">
        <v>376</v>
      </c>
      <c r="F310" s="6" t="s">
        <v>377</v>
      </c>
      <c r="G310" s="5" t="s">
        <v>378</v>
      </c>
      <c r="H310" s="7" t="s">
        <v>101</v>
      </c>
      <c r="I310" s="5" t="str">
        <f aca="false">CONCATENATE(E310, "_",H310)</f>
        <v>NLA_2021_008_006</v>
      </c>
      <c r="J310" s="5" t="s">
        <v>38</v>
      </c>
      <c r="K310" s="21" t="s">
        <v>379</v>
      </c>
      <c r="L310" s="8" t="s">
        <v>69</v>
      </c>
      <c r="M310" s="26" t="s">
        <v>380</v>
      </c>
      <c r="N310" s="5" t="s">
        <v>246</v>
      </c>
      <c r="O310" s="21" t="s">
        <v>42</v>
      </c>
      <c r="P310" s="21" t="s">
        <v>162</v>
      </c>
      <c r="Q310" s="21" t="s">
        <v>162</v>
      </c>
      <c r="R310" s="5" t="s">
        <v>72</v>
      </c>
      <c r="S310" s="21" t="s">
        <v>73</v>
      </c>
      <c r="T310" s="21" t="s">
        <v>46</v>
      </c>
      <c r="U310" s="21" t="n">
        <v>600</v>
      </c>
      <c r="V310" s="25" t="n">
        <v>6</v>
      </c>
      <c r="W310" s="5"/>
      <c r="X310" s="5" t="s">
        <v>47</v>
      </c>
      <c r="Y310" s="1" t="n">
        <v>5500</v>
      </c>
      <c r="Z310" s="1"/>
      <c r="AA310" s="5" t="s">
        <v>381</v>
      </c>
      <c r="AB310" s="13" t="str">
        <f aca="true" t="array" ref="AB310:AB310">LEFT(AA310,LOOKUP(2^15,FIND(".",AA310,ROW(INDIRECT("1:"&amp;LEN(AA310)))))-1)</f>
        <v>NB_2021_037 - 11082021 - 1</v>
      </c>
      <c r="AC310" s="5" t="s">
        <v>382</v>
      </c>
      <c r="AD310" s="13" t="str">
        <f aca="true" t="array" ref="AD310:AD310">LEFT(AC310,LOOKUP(2^15,FIND(".",AC310,ROW(INDIRECT("1:"&amp;LEN(AC310)))))-1)</f>
        <v>NB_2021_037 - 11082021 - 2</v>
      </c>
      <c r="AE310" s="5" t="str">
        <f aca="false">CONCATENATE(AB310, "-",H310, ".mzML")</f>
        <v>NB_2021_037 - 11082021 - 1-006.mzML</v>
      </c>
      <c r="AF310" s="5" t="str">
        <f aca="false">CONCATENATE(AD310, "-",H310, ".mzML")</f>
        <v>NB_2021_037 - 11082021 - 2-006.mzML</v>
      </c>
    </row>
    <row r="311" s="20" customFormat="true" ht="15" hidden="false" customHeight="false" outlineLevel="0" collapsed="false">
      <c r="A311" s="3" t="s">
        <v>374</v>
      </c>
      <c r="B311" s="4"/>
      <c r="C311" s="3" t="s">
        <v>375</v>
      </c>
      <c r="D311" s="5" t="s">
        <v>13</v>
      </c>
      <c r="E311" s="5" t="s">
        <v>376</v>
      </c>
      <c r="F311" s="6" t="s">
        <v>377</v>
      </c>
      <c r="G311" s="5" t="s">
        <v>378</v>
      </c>
      <c r="H311" s="7" t="s">
        <v>51</v>
      </c>
      <c r="I311" s="5" t="str">
        <f aca="false">CONCATENATE(E311, "_",H311)</f>
        <v>NLA_2021_008_012</v>
      </c>
      <c r="J311" s="5" t="s">
        <v>38</v>
      </c>
      <c r="K311" s="21" t="s">
        <v>383</v>
      </c>
      <c r="L311" s="8" t="s">
        <v>69</v>
      </c>
      <c r="M311" s="26" t="s">
        <v>380</v>
      </c>
      <c r="N311" s="5" t="s">
        <v>246</v>
      </c>
      <c r="O311" s="21" t="s">
        <v>42</v>
      </c>
      <c r="P311" s="21" t="s">
        <v>162</v>
      </c>
      <c r="Q311" s="21" t="s">
        <v>162</v>
      </c>
      <c r="R311" s="5" t="s">
        <v>72</v>
      </c>
      <c r="S311" s="21" t="s">
        <v>73</v>
      </c>
      <c r="T311" s="21" t="s">
        <v>46</v>
      </c>
      <c r="U311" s="21" t="n">
        <v>600</v>
      </c>
      <c r="V311" s="25" t="n">
        <v>6</v>
      </c>
      <c r="W311" s="5"/>
      <c r="X311" s="5" t="s">
        <v>47</v>
      </c>
      <c r="Y311" s="1" t="n">
        <v>5500</v>
      </c>
      <c r="Z311" s="1"/>
      <c r="AA311" s="5" t="s">
        <v>381</v>
      </c>
      <c r="AB311" s="13" t="str">
        <f aca="true" t="array" ref="AB311:AB311">LEFT(AA311,LOOKUP(2^15,FIND(".",AA311,ROW(INDIRECT("1:"&amp;LEN(AA311)))))-1)</f>
        <v>NB_2021_037 - 11082021 - 1</v>
      </c>
      <c r="AC311" s="5" t="s">
        <v>382</v>
      </c>
      <c r="AD311" s="13" t="str">
        <f aca="true" t="array" ref="AD311:AD311">LEFT(AC311,LOOKUP(2^15,FIND(".",AC311,ROW(INDIRECT("1:"&amp;LEN(AC311)))))-1)</f>
        <v>NB_2021_037 - 11082021 - 2</v>
      </c>
      <c r="AE311" s="5" t="str">
        <f aca="false">CONCATENATE(AB311, "-",H311, ".mzML")</f>
        <v>NB_2021_037 - 11082021 - 1-012.mzML</v>
      </c>
      <c r="AF311" s="5" t="str">
        <f aca="false">CONCATENATE(AD311, "-",H311, ".mzML")</f>
        <v>NB_2021_037 - 11082021 - 2-012.mzML</v>
      </c>
    </row>
    <row r="312" s="20" customFormat="true" ht="15" hidden="false" customHeight="false" outlineLevel="0" collapsed="false">
      <c r="A312" s="3" t="s">
        <v>374</v>
      </c>
      <c r="B312" s="4"/>
      <c r="C312" s="3" t="s">
        <v>375</v>
      </c>
      <c r="D312" s="5" t="s">
        <v>13</v>
      </c>
      <c r="E312" s="5" t="s">
        <v>376</v>
      </c>
      <c r="F312" s="6" t="s">
        <v>377</v>
      </c>
      <c r="G312" s="5" t="s">
        <v>378</v>
      </c>
      <c r="H312" s="7" t="s">
        <v>93</v>
      </c>
      <c r="I312" s="5" t="str">
        <f aca="false">CONCATENATE(E312, "_",H312)</f>
        <v>NLA_2021_008_018</v>
      </c>
      <c r="J312" s="5" t="s">
        <v>38</v>
      </c>
      <c r="K312" s="21" t="s">
        <v>384</v>
      </c>
      <c r="L312" s="8" t="s">
        <v>69</v>
      </c>
      <c r="M312" s="26" t="s">
        <v>380</v>
      </c>
      <c r="N312" s="5" t="s">
        <v>246</v>
      </c>
      <c r="O312" s="21" t="s">
        <v>42</v>
      </c>
      <c r="P312" s="21" t="s">
        <v>162</v>
      </c>
      <c r="Q312" s="21" t="s">
        <v>162</v>
      </c>
      <c r="R312" s="5" t="s">
        <v>72</v>
      </c>
      <c r="S312" s="21" t="s">
        <v>73</v>
      </c>
      <c r="T312" s="21" t="s">
        <v>46</v>
      </c>
      <c r="U312" s="21" t="n">
        <v>600</v>
      </c>
      <c r="V312" s="25" t="n">
        <v>6</v>
      </c>
      <c r="W312" s="5"/>
      <c r="X312" s="5" t="s">
        <v>47</v>
      </c>
      <c r="Y312" s="1" t="n">
        <v>5500</v>
      </c>
      <c r="Z312" s="1"/>
      <c r="AA312" s="5" t="s">
        <v>381</v>
      </c>
      <c r="AB312" s="13" t="str">
        <f aca="true" t="array" ref="AB312:AB312">LEFT(AA312,LOOKUP(2^15,FIND(".",AA312,ROW(INDIRECT("1:"&amp;LEN(AA312)))))-1)</f>
        <v>NB_2021_037 - 11082021 - 1</v>
      </c>
      <c r="AC312" s="5" t="s">
        <v>382</v>
      </c>
      <c r="AD312" s="13" t="str">
        <f aca="true" t="array" ref="AD312:AD312">LEFT(AC312,LOOKUP(2^15,FIND(".",AC312,ROW(INDIRECT("1:"&amp;LEN(AC312)))))-1)</f>
        <v>NB_2021_037 - 11082021 - 2</v>
      </c>
      <c r="AE312" s="5" t="str">
        <f aca="false">CONCATENATE(AB312, "-",H312, ".mzML")</f>
        <v>NB_2021_037 - 11082021 - 1-018.mzML</v>
      </c>
      <c r="AF312" s="5" t="str">
        <f aca="false">CONCATENATE(AD312, "-",H312, ".mzML")</f>
        <v>NB_2021_037 - 11082021 - 2-018.mzML</v>
      </c>
    </row>
    <row r="313" s="20" customFormat="true" ht="18.75" hidden="false" customHeight="true" outlineLevel="0" collapsed="false">
      <c r="A313" s="3" t="s">
        <v>374</v>
      </c>
      <c r="B313" s="4"/>
      <c r="C313" s="3" t="s">
        <v>375</v>
      </c>
      <c r="D313" s="5" t="s">
        <v>13</v>
      </c>
      <c r="E313" s="5" t="s">
        <v>376</v>
      </c>
      <c r="F313" s="6" t="s">
        <v>377</v>
      </c>
      <c r="G313" s="5" t="s">
        <v>378</v>
      </c>
      <c r="H313" s="7" t="s">
        <v>385</v>
      </c>
      <c r="I313" s="5" t="str">
        <f aca="false">CONCATENATE(E313, "_",H313)</f>
        <v>NLA_2021_008_030</v>
      </c>
      <c r="J313" s="5" t="s">
        <v>38</v>
      </c>
      <c r="K313" s="21" t="s">
        <v>386</v>
      </c>
      <c r="L313" s="8" t="s">
        <v>69</v>
      </c>
      <c r="M313" s="26" t="s">
        <v>380</v>
      </c>
      <c r="N313" s="5" t="s">
        <v>246</v>
      </c>
      <c r="O313" s="21" t="s">
        <v>42</v>
      </c>
      <c r="P313" s="21" t="s">
        <v>162</v>
      </c>
      <c r="Q313" s="21" t="s">
        <v>162</v>
      </c>
      <c r="R313" s="5" t="s">
        <v>72</v>
      </c>
      <c r="S313" s="21" t="s">
        <v>73</v>
      </c>
      <c r="T313" s="21" t="s">
        <v>46</v>
      </c>
      <c r="U313" s="21" t="n">
        <v>600</v>
      </c>
      <c r="V313" s="25" t="n">
        <v>5</v>
      </c>
      <c r="W313" s="5"/>
      <c r="X313" s="5" t="s">
        <v>47</v>
      </c>
      <c r="Y313" s="1" t="n">
        <v>5500</v>
      </c>
      <c r="Z313" s="1"/>
      <c r="AA313" s="5" t="s">
        <v>381</v>
      </c>
      <c r="AB313" s="13" t="str">
        <f aca="true" t="array" ref="AB313:AB313">LEFT(AA313,LOOKUP(2^15,FIND(".",AA313,ROW(INDIRECT("1:"&amp;LEN(AA313)))))-1)</f>
        <v>NB_2021_037 - 11082021 - 1</v>
      </c>
      <c r="AC313" s="5" t="s">
        <v>382</v>
      </c>
      <c r="AD313" s="13" t="str">
        <f aca="true" t="array" ref="AD313:AD313">LEFT(AC313,LOOKUP(2^15,FIND(".",AC313,ROW(INDIRECT("1:"&amp;LEN(AC313)))))-1)</f>
        <v>NB_2021_037 - 11082021 - 2</v>
      </c>
      <c r="AE313" s="5" t="str">
        <f aca="false">CONCATENATE(AB313, "-",H313, ".mzML")</f>
        <v>NB_2021_037 - 11082021 - 1-030.mzML</v>
      </c>
      <c r="AF313" s="5" t="str">
        <f aca="false">CONCATENATE(AD313, "-",H313, ".mzML")</f>
        <v>NB_2021_037 - 11082021 - 2-030.mzML</v>
      </c>
    </row>
    <row r="314" s="20" customFormat="true" ht="15" hidden="false" customHeight="false" outlineLevel="0" collapsed="false">
      <c r="A314" s="3" t="s">
        <v>374</v>
      </c>
      <c r="B314" s="4"/>
      <c r="C314" s="3" t="s">
        <v>375</v>
      </c>
      <c r="D314" s="5" t="s">
        <v>13</v>
      </c>
      <c r="E314" s="5" t="s">
        <v>376</v>
      </c>
      <c r="F314" s="6" t="s">
        <v>377</v>
      </c>
      <c r="G314" s="5" t="s">
        <v>376</v>
      </c>
      <c r="H314" s="7" t="s">
        <v>64</v>
      </c>
      <c r="I314" s="5" t="str">
        <f aca="false">CONCATENATE(E314, "_",H314)</f>
        <v>NLA_2021_008_Blank_1</v>
      </c>
      <c r="J314" s="5" t="s">
        <v>46</v>
      </c>
      <c r="K314" s="27" t="s">
        <v>64</v>
      </c>
      <c r="L314" s="8" t="s">
        <v>69</v>
      </c>
      <c r="M314" s="22" t="s">
        <v>46</v>
      </c>
      <c r="N314" s="23" t="s">
        <v>65</v>
      </c>
      <c r="O314" s="23" t="s">
        <v>46</v>
      </c>
      <c r="P314" s="21" t="s">
        <v>46</v>
      </c>
      <c r="Q314" s="23" t="s">
        <v>46</v>
      </c>
      <c r="R314" s="5" t="s">
        <v>46</v>
      </c>
      <c r="S314" s="21" t="s">
        <v>46</v>
      </c>
      <c r="T314" s="21" t="s">
        <v>46</v>
      </c>
      <c r="U314" s="21" t="s">
        <v>46</v>
      </c>
      <c r="V314" s="23" t="n">
        <v>1</v>
      </c>
      <c r="W314" s="5"/>
      <c r="X314" s="5" t="s">
        <v>46</v>
      </c>
      <c r="Y314" s="1" t="n">
        <v>5500</v>
      </c>
      <c r="Z314" s="1"/>
      <c r="AA314" s="5" t="s">
        <v>381</v>
      </c>
      <c r="AB314" s="13" t="str">
        <f aca="true" t="array" ref="AB314:AB314">LEFT(AA314,LOOKUP(2^15,FIND(".",AA314,ROW(INDIRECT("1:"&amp;LEN(AA314)))))-1)</f>
        <v>NB_2021_037 - 11082021 - 1</v>
      </c>
      <c r="AC314" s="5" t="s">
        <v>382</v>
      </c>
      <c r="AD314" s="13" t="str">
        <f aca="true" t="array" ref="AD314:AD314">LEFT(AC314,LOOKUP(2^15,FIND(".",AC314,ROW(INDIRECT("1:"&amp;LEN(AC314)))))-1)</f>
        <v>NB_2021_037 - 11082021 - 2</v>
      </c>
      <c r="AE314" s="5" t="str">
        <f aca="false">CONCATENATE(AB314, "-",H314, ".mzML")</f>
        <v>NB_2021_037 - 11082021 - 1-Blank_1.mzML</v>
      </c>
      <c r="AF314" s="5" t="str">
        <f aca="false">CONCATENATE(AD314, "-",H314, ".mzML")</f>
        <v>NB_2021_037 - 11082021 - 2-Blank_1.mzML</v>
      </c>
    </row>
    <row r="315" s="20" customFormat="true" ht="15" hidden="false" customHeight="false" outlineLevel="0" collapsed="false">
      <c r="A315" s="3" t="s">
        <v>374</v>
      </c>
      <c r="B315" s="4"/>
      <c r="C315" s="3" t="s">
        <v>375</v>
      </c>
      <c r="D315" s="5" t="s">
        <v>13</v>
      </c>
      <c r="E315" s="5" t="s">
        <v>376</v>
      </c>
      <c r="F315" s="6" t="s">
        <v>377</v>
      </c>
      <c r="G315" s="5" t="s">
        <v>376</v>
      </c>
      <c r="H315" s="7" t="s">
        <v>66</v>
      </c>
      <c r="I315" s="5" t="str">
        <f aca="false">CONCATENATE(E315, "_",H315)</f>
        <v>NLA_2021_008_Blank_2</v>
      </c>
      <c r="J315" s="5" t="s">
        <v>46</v>
      </c>
      <c r="K315" s="27" t="s">
        <v>66</v>
      </c>
      <c r="L315" s="8" t="s">
        <v>69</v>
      </c>
      <c r="M315" s="22" t="s">
        <v>46</v>
      </c>
      <c r="N315" s="23" t="s">
        <v>65</v>
      </c>
      <c r="O315" s="23" t="s">
        <v>46</v>
      </c>
      <c r="P315" s="21" t="s">
        <v>46</v>
      </c>
      <c r="Q315" s="23" t="s">
        <v>46</v>
      </c>
      <c r="R315" s="5" t="s">
        <v>46</v>
      </c>
      <c r="S315" s="21" t="s">
        <v>46</v>
      </c>
      <c r="T315" s="21" t="s">
        <v>46</v>
      </c>
      <c r="U315" s="21" t="s">
        <v>46</v>
      </c>
      <c r="V315" s="23" t="n">
        <v>2</v>
      </c>
      <c r="W315" s="5"/>
      <c r="X315" s="5" t="s">
        <v>46</v>
      </c>
      <c r="Y315" s="1" t="n">
        <v>5500</v>
      </c>
      <c r="Z315" s="1"/>
      <c r="AA315" s="5" t="s">
        <v>381</v>
      </c>
      <c r="AB315" s="13" t="str">
        <f aca="true" t="array" ref="AB315:AB315">LEFT(AA315,LOOKUP(2^15,FIND(".",AA315,ROW(INDIRECT("1:"&amp;LEN(AA315)))))-1)</f>
        <v>NB_2021_037 - 11082021 - 1</v>
      </c>
      <c r="AC315" s="5" t="s">
        <v>382</v>
      </c>
      <c r="AD315" s="13" t="str">
        <f aca="true" t="array" ref="AD315:AD315">LEFT(AC315,LOOKUP(2^15,FIND(".",AC315,ROW(INDIRECT("1:"&amp;LEN(AC315)))))-1)</f>
        <v>NB_2021_037 - 11082021 - 2</v>
      </c>
      <c r="AE315" s="5" t="str">
        <f aca="false">CONCATENATE(AB315, "-",H315, ".mzML")</f>
        <v>NB_2021_037 - 11082021 - 1-Blank_2.mzML</v>
      </c>
      <c r="AF315" s="5" t="str">
        <f aca="false">CONCATENATE(AD315, "-",H315, ".mzML")</f>
        <v>NB_2021_037 - 11082021 - 2-Blank_2.mzML</v>
      </c>
    </row>
    <row r="316" s="20" customFormat="true" ht="15" hidden="false" customHeight="false" outlineLevel="0" collapsed="false">
      <c r="A316" s="3" t="s">
        <v>374</v>
      </c>
      <c r="B316" s="4"/>
      <c r="C316" s="3" t="s">
        <v>375</v>
      </c>
      <c r="D316" s="5" t="s">
        <v>13</v>
      </c>
      <c r="E316" s="5" t="s">
        <v>376</v>
      </c>
      <c r="F316" s="6" t="s">
        <v>377</v>
      </c>
      <c r="G316" s="5" t="s">
        <v>376</v>
      </c>
      <c r="H316" s="7" t="s">
        <v>68</v>
      </c>
      <c r="I316" s="5" t="str">
        <f aca="false">CONCATENATE(E316, "_",H316)</f>
        <v>NLA_2021_008_QC_C_1</v>
      </c>
      <c r="J316" s="5" t="s">
        <v>46</v>
      </c>
      <c r="K316" s="27" t="s">
        <v>68</v>
      </c>
      <c r="L316" s="8" t="s">
        <v>69</v>
      </c>
      <c r="M316" s="5" t="s">
        <v>46</v>
      </c>
      <c r="N316" s="5" t="s">
        <v>70</v>
      </c>
      <c r="O316" s="5" t="s">
        <v>46</v>
      </c>
      <c r="P316" s="5" t="s">
        <v>71</v>
      </c>
      <c r="Q316" s="5" t="s">
        <v>71</v>
      </c>
      <c r="R316" s="5" t="s">
        <v>72</v>
      </c>
      <c r="S316" s="5" t="s">
        <v>73</v>
      </c>
      <c r="T316" s="5" t="s">
        <v>46</v>
      </c>
      <c r="U316" s="5" t="n">
        <v>1000</v>
      </c>
      <c r="V316" s="1" t="n">
        <v>1</v>
      </c>
      <c r="W316" s="1"/>
      <c r="X316" s="5" t="s">
        <v>74</v>
      </c>
      <c r="Y316" s="1" t="n">
        <v>5500</v>
      </c>
      <c r="Z316" s="1"/>
      <c r="AA316" s="5" t="s">
        <v>381</v>
      </c>
      <c r="AB316" s="13" t="str">
        <f aca="true" t="array" ref="AB316:AB316">LEFT(AA316,LOOKUP(2^15,FIND(".",AA316,ROW(INDIRECT("1:"&amp;LEN(AA316)))))-1)</f>
        <v>NB_2021_037 - 11082021 - 1</v>
      </c>
      <c r="AC316" s="5" t="s">
        <v>382</v>
      </c>
      <c r="AD316" s="13" t="str">
        <f aca="true" t="array" ref="AD316:AD316">LEFT(AC316,LOOKUP(2^15,FIND(".",AC316,ROW(INDIRECT("1:"&amp;LEN(AC316)))))-1)</f>
        <v>NB_2021_037 - 11082021 - 2</v>
      </c>
      <c r="AE316" s="5" t="str">
        <f aca="false">CONCATENATE(AB316, "-",H316, ".mzML")</f>
        <v>NB_2021_037 - 11082021 - 1-QC_C_1.mzML</v>
      </c>
      <c r="AF316" s="5" t="str">
        <f aca="false">CONCATENATE(AD316, "-",H316, ".mzML")</f>
        <v>NB_2021_037 - 11082021 - 2-QC_C_1.mzML</v>
      </c>
    </row>
    <row r="317" s="20" customFormat="true" ht="15" hidden="false" customHeight="false" outlineLevel="0" collapsed="false">
      <c r="A317" s="3" t="s">
        <v>374</v>
      </c>
      <c r="B317" s="4"/>
      <c r="C317" s="3" t="s">
        <v>375</v>
      </c>
      <c r="D317" s="5" t="s">
        <v>13</v>
      </c>
      <c r="E317" s="5" t="s">
        <v>376</v>
      </c>
      <c r="F317" s="6" t="s">
        <v>377</v>
      </c>
      <c r="G317" s="5" t="s">
        <v>376</v>
      </c>
      <c r="H317" s="7" t="s">
        <v>75</v>
      </c>
      <c r="I317" s="5" t="str">
        <f aca="false">CONCATENATE(E317, "_",H317)</f>
        <v>NLA_2021_008_QC_C_2</v>
      </c>
      <c r="J317" s="5" t="s">
        <v>46</v>
      </c>
      <c r="K317" s="27" t="s">
        <v>75</v>
      </c>
      <c r="L317" s="8" t="s">
        <v>69</v>
      </c>
      <c r="M317" s="5" t="s">
        <v>46</v>
      </c>
      <c r="N317" s="5" t="s">
        <v>70</v>
      </c>
      <c r="O317" s="5" t="s">
        <v>46</v>
      </c>
      <c r="P317" s="5" t="s">
        <v>71</v>
      </c>
      <c r="Q317" s="5" t="s">
        <v>71</v>
      </c>
      <c r="R317" s="5" t="s">
        <v>72</v>
      </c>
      <c r="S317" s="5" t="s">
        <v>73</v>
      </c>
      <c r="T317" s="5" t="s">
        <v>46</v>
      </c>
      <c r="U317" s="5" t="n">
        <v>1000</v>
      </c>
      <c r="V317" s="1" t="n">
        <v>2</v>
      </c>
      <c r="W317" s="1"/>
      <c r="X317" s="5" t="s">
        <v>74</v>
      </c>
      <c r="Y317" s="1" t="n">
        <v>5500</v>
      </c>
      <c r="Z317" s="1"/>
      <c r="AA317" s="5" t="s">
        <v>381</v>
      </c>
      <c r="AB317" s="13" t="str">
        <f aca="true" t="array" ref="AB317:AB317">LEFT(AA317,LOOKUP(2^15,FIND(".",AA317,ROW(INDIRECT("1:"&amp;LEN(AA317)))))-1)</f>
        <v>NB_2021_037 - 11082021 - 1</v>
      </c>
      <c r="AC317" s="5" t="s">
        <v>382</v>
      </c>
      <c r="AD317" s="13" t="str">
        <f aca="true" t="array" ref="AD317:AD317">LEFT(AC317,LOOKUP(2^15,FIND(".",AC317,ROW(INDIRECT("1:"&amp;LEN(AC317)))))-1)</f>
        <v>NB_2021_037 - 11082021 - 2</v>
      </c>
      <c r="AE317" s="5" t="str">
        <f aca="false">CONCATENATE(AB317, "-",H317, ".mzML")</f>
        <v>NB_2021_037 - 11082021 - 1-QC_C_2.mzML</v>
      </c>
      <c r="AF317" s="5" t="str">
        <f aca="false">CONCATENATE(AD317, "-",H317, ".mzML")</f>
        <v>NB_2021_037 - 11082021 - 2-QC_C_2.mzML</v>
      </c>
    </row>
    <row r="318" s="20" customFormat="true" ht="15" hidden="false" customHeight="false" outlineLevel="0" collapsed="false">
      <c r="A318" s="3" t="s">
        <v>374</v>
      </c>
      <c r="B318" s="4"/>
      <c r="C318" s="3" t="s">
        <v>375</v>
      </c>
      <c r="D318" s="5" t="s">
        <v>13</v>
      </c>
      <c r="E318" s="5" t="s">
        <v>376</v>
      </c>
      <c r="F318" s="6" t="s">
        <v>377</v>
      </c>
      <c r="G318" s="5" t="s">
        <v>376</v>
      </c>
      <c r="H318" s="7" t="s">
        <v>76</v>
      </c>
      <c r="I318" s="5" t="str">
        <f aca="false">CONCATENATE(E318, "_",H318)</f>
        <v>NLA_2021_008_QC_C_3</v>
      </c>
      <c r="J318" s="5" t="s">
        <v>46</v>
      </c>
      <c r="K318" s="27" t="s">
        <v>76</v>
      </c>
      <c r="L318" s="8" t="s">
        <v>69</v>
      </c>
      <c r="M318" s="5" t="s">
        <v>46</v>
      </c>
      <c r="N318" s="5" t="s">
        <v>70</v>
      </c>
      <c r="O318" s="5" t="s">
        <v>46</v>
      </c>
      <c r="P318" s="5" t="s">
        <v>71</v>
      </c>
      <c r="Q318" s="5" t="s">
        <v>71</v>
      </c>
      <c r="R318" s="5" t="s">
        <v>72</v>
      </c>
      <c r="S318" s="5" t="s">
        <v>73</v>
      </c>
      <c r="T318" s="5" t="s">
        <v>46</v>
      </c>
      <c r="U318" s="5" t="n">
        <v>1000</v>
      </c>
      <c r="V318" s="25" t="n">
        <v>3</v>
      </c>
      <c r="W318" s="5"/>
      <c r="X318" s="5" t="s">
        <v>74</v>
      </c>
      <c r="Y318" s="1" t="n">
        <v>5500</v>
      </c>
      <c r="Z318" s="1"/>
      <c r="AA318" s="5" t="s">
        <v>381</v>
      </c>
      <c r="AB318" s="13" t="str">
        <f aca="true" t="array" ref="AB318:AB318">LEFT(AA318,LOOKUP(2^15,FIND(".",AA318,ROW(INDIRECT("1:"&amp;LEN(AA318)))))-1)</f>
        <v>NB_2021_037 - 11082021 - 1</v>
      </c>
      <c r="AC318" s="5" t="s">
        <v>382</v>
      </c>
      <c r="AD318" s="13" t="str">
        <f aca="true" t="array" ref="AD318:AD318">LEFT(AC318,LOOKUP(2^15,FIND(".",AC318,ROW(INDIRECT("1:"&amp;LEN(AC318)))))-1)</f>
        <v>NB_2021_037 - 11082021 - 2</v>
      </c>
      <c r="AE318" s="5" t="str">
        <f aca="false">CONCATENATE(AB318, "-",H318, ".mzML")</f>
        <v>NB_2021_037 - 11082021 - 1-QC_C_3.mzML</v>
      </c>
      <c r="AF318" s="5" t="str">
        <f aca="false">CONCATENATE(AD318, "-",H318, ".mzML")</f>
        <v>NB_2021_037 - 11082021 - 2-QC_C_3.mzML</v>
      </c>
    </row>
    <row r="319" s="20" customFormat="true" ht="15" hidden="false" customHeight="false" outlineLevel="0" collapsed="false">
      <c r="A319" s="3" t="s">
        <v>374</v>
      </c>
      <c r="B319" s="4"/>
      <c r="C319" s="3" t="s">
        <v>375</v>
      </c>
      <c r="D319" s="5" t="s">
        <v>13</v>
      </c>
      <c r="E319" s="5" t="s">
        <v>376</v>
      </c>
      <c r="F319" s="6" t="s">
        <v>377</v>
      </c>
      <c r="G319" s="5" t="s">
        <v>376</v>
      </c>
      <c r="H319" s="7" t="s">
        <v>222</v>
      </c>
      <c r="I319" s="5" t="str">
        <f aca="false">CONCATENATE(E319, "_",H319)</f>
        <v>NLA_2021_008_QC_C_4</v>
      </c>
      <c r="J319" s="5" t="s">
        <v>46</v>
      </c>
      <c r="K319" s="27" t="s">
        <v>222</v>
      </c>
      <c r="L319" s="8" t="s">
        <v>69</v>
      </c>
      <c r="M319" s="5" t="s">
        <v>46</v>
      </c>
      <c r="N319" s="5" t="s">
        <v>70</v>
      </c>
      <c r="O319" s="5" t="s">
        <v>46</v>
      </c>
      <c r="P319" s="5" t="s">
        <v>71</v>
      </c>
      <c r="Q319" s="5" t="s">
        <v>71</v>
      </c>
      <c r="R319" s="5" t="s">
        <v>72</v>
      </c>
      <c r="S319" s="5" t="s">
        <v>73</v>
      </c>
      <c r="T319" s="5" t="s">
        <v>46</v>
      </c>
      <c r="U319" s="5" t="n">
        <v>1000</v>
      </c>
      <c r="V319" s="25" t="n">
        <v>4</v>
      </c>
      <c r="W319" s="5"/>
      <c r="X319" s="5" t="s">
        <v>74</v>
      </c>
      <c r="Y319" s="1" t="n">
        <v>5500</v>
      </c>
      <c r="Z319" s="1"/>
      <c r="AA319" s="5" t="s">
        <v>381</v>
      </c>
      <c r="AB319" s="13" t="str">
        <f aca="true" t="array" ref="AB319:AB319">LEFT(AA319,LOOKUP(2^15,FIND(".",AA319,ROW(INDIRECT("1:"&amp;LEN(AA319)))))-1)</f>
        <v>NB_2021_037 - 11082021 - 1</v>
      </c>
      <c r="AC319" s="5" t="s">
        <v>382</v>
      </c>
      <c r="AD319" s="13" t="str">
        <f aca="true" t="array" ref="AD319:AD319">LEFT(AC319,LOOKUP(2^15,FIND(".",AC319,ROW(INDIRECT("1:"&amp;LEN(AC319)))))-1)</f>
        <v>NB_2021_037 - 11082021 - 2</v>
      </c>
      <c r="AE319" s="5" t="str">
        <f aca="false">CONCATENATE(AB319, "-",H319, ".mzML")</f>
        <v>NB_2021_037 - 11082021 - 1-QC_C_4.mzML</v>
      </c>
      <c r="AF319" s="5" t="str">
        <f aca="false">CONCATENATE(AD319, "-",H319, ".mzML")</f>
        <v>NB_2021_037 - 11082021 - 2-QC_C_4.mzML</v>
      </c>
    </row>
    <row r="320" s="20" customFormat="true" ht="15" hidden="false" customHeight="false" outlineLevel="0" collapsed="false">
      <c r="A320" s="3" t="s">
        <v>374</v>
      </c>
      <c r="B320" s="4"/>
      <c r="C320" s="3" t="s">
        <v>375</v>
      </c>
      <c r="D320" s="5" t="s">
        <v>13</v>
      </c>
      <c r="E320" s="5" t="s">
        <v>220</v>
      </c>
      <c r="F320" s="6" t="s">
        <v>207</v>
      </c>
      <c r="G320" s="5" t="s">
        <v>216</v>
      </c>
      <c r="H320" s="7" t="s">
        <v>99</v>
      </c>
      <c r="I320" s="5" t="str">
        <f aca="false">CONCATENATE(E320, "_",H320)</f>
        <v>NLA_2022_002_004</v>
      </c>
      <c r="J320" s="5" t="s">
        <v>38</v>
      </c>
      <c r="K320" s="5" t="s">
        <v>217</v>
      </c>
      <c r="L320" s="8" t="s">
        <v>69</v>
      </c>
      <c r="M320" s="6" t="s">
        <v>210</v>
      </c>
      <c r="N320" s="5" t="s">
        <v>41</v>
      </c>
      <c r="O320" s="5" t="s">
        <v>42</v>
      </c>
      <c r="P320" s="21" t="s">
        <v>162</v>
      </c>
      <c r="Q320" s="21" t="s">
        <v>162</v>
      </c>
      <c r="R320" s="5" t="s">
        <v>72</v>
      </c>
      <c r="S320" s="5" t="s">
        <v>73</v>
      </c>
      <c r="T320" s="5" t="s">
        <v>90</v>
      </c>
      <c r="U320" s="5" t="n">
        <v>1000</v>
      </c>
      <c r="V320" s="1" t="n">
        <v>1</v>
      </c>
      <c r="W320" s="5"/>
      <c r="X320" s="5" t="s">
        <v>47</v>
      </c>
      <c r="Y320" s="1" t="n">
        <v>5500</v>
      </c>
      <c r="Z320" s="5" t="s">
        <v>211</v>
      </c>
      <c r="AA320" s="5" t="s">
        <v>212</v>
      </c>
      <c r="AB320" s="13" t="str">
        <f aca="true" t="array" ref="AB320:AB320">LEFT(AA320,LOOKUP(2^15,FIND(".",AA320,ROW(INDIRECT("1:"&amp;LEN(AA320)))))-1)</f>
        <v>NB_2022_015 - 23022022 - 1</v>
      </c>
      <c r="AC320" s="5" t="s">
        <v>213</v>
      </c>
      <c r="AD320" s="13" t="str">
        <f aca="true" t="array" ref="AD320:AD320">LEFT(AC320,LOOKUP(2^15,FIND(".",AC320,ROW(INDIRECT("1:"&amp;LEN(AC320)))))-1)</f>
        <v>NB_2022_015 - 23022022 - 2</v>
      </c>
      <c r="AE320" s="5" t="str">
        <f aca="false">CONCATENATE(AB320, "-",H320, ".mzML")</f>
        <v>NB_2022_015 - 23022022 - 1-004.mzML</v>
      </c>
      <c r="AF320" s="5" t="str">
        <f aca="false">CONCATENATE(AD320, "-",H320, ".mzML")</f>
        <v>NB_2022_015 - 23022022 - 2-004.mzML</v>
      </c>
    </row>
    <row r="321" s="20" customFormat="true" ht="15" hidden="false" customHeight="false" outlineLevel="0" collapsed="false">
      <c r="A321" s="3" t="s">
        <v>374</v>
      </c>
      <c r="B321" s="4"/>
      <c r="C321" s="3" t="s">
        <v>375</v>
      </c>
      <c r="D321" s="5" t="s">
        <v>13</v>
      </c>
      <c r="E321" s="5" t="s">
        <v>220</v>
      </c>
      <c r="F321" s="6" t="s">
        <v>207</v>
      </c>
      <c r="G321" s="5" t="s">
        <v>216</v>
      </c>
      <c r="H321" s="7" t="s">
        <v>91</v>
      </c>
      <c r="I321" s="5" t="str">
        <f aca="false">CONCATENATE(E321, "_",H321)</f>
        <v>NLA_2022_002_005</v>
      </c>
      <c r="J321" s="5" t="s">
        <v>38</v>
      </c>
      <c r="K321" s="5" t="s">
        <v>218</v>
      </c>
      <c r="L321" s="8" t="s">
        <v>69</v>
      </c>
      <c r="M321" s="6" t="s">
        <v>210</v>
      </c>
      <c r="N321" s="5" t="s">
        <v>41</v>
      </c>
      <c r="O321" s="5" t="s">
        <v>42</v>
      </c>
      <c r="P321" s="21" t="s">
        <v>162</v>
      </c>
      <c r="Q321" s="21" t="s">
        <v>162</v>
      </c>
      <c r="R321" s="5" t="s">
        <v>72</v>
      </c>
      <c r="S321" s="5" t="s">
        <v>73</v>
      </c>
      <c r="T321" s="5" t="s">
        <v>90</v>
      </c>
      <c r="U321" s="5" t="n">
        <v>1000</v>
      </c>
      <c r="V321" s="1" t="n">
        <v>2</v>
      </c>
      <c r="W321" s="5"/>
      <c r="X321" s="5" t="s">
        <v>47</v>
      </c>
      <c r="Y321" s="1" t="n">
        <v>5500</v>
      </c>
      <c r="Z321" s="5" t="s">
        <v>211</v>
      </c>
      <c r="AA321" s="5" t="s">
        <v>212</v>
      </c>
      <c r="AB321" s="13" t="str">
        <f aca="true" t="array" ref="AB321:AB321">LEFT(AA321,LOOKUP(2^15,FIND(".",AA321,ROW(INDIRECT("1:"&amp;LEN(AA321)))))-1)</f>
        <v>NB_2022_015 - 23022022 - 1</v>
      </c>
      <c r="AC321" s="5" t="s">
        <v>213</v>
      </c>
      <c r="AD321" s="13" t="str">
        <f aca="true" t="array" ref="AD321:AD321">LEFT(AC321,LOOKUP(2^15,FIND(".",AC321,ROW(INDIRECT("1:"&amp;LEN(AC321)))))-1)</f>
        <v>NB_2022_015 - 23022022 - 2</v>
      </c>
      <c r="AE321" s="5" t="str">
        <f aca="false">CONCATENATE(AB321, "-",H321, ".mzML")</f>
        <v>NB_2022_015 - 23022022 - 1-005.mzML</v>
      </c>
      <c r="AF321" s="5" t="str">
        <f aca="false">CONCATENATE(AD321, "-",H321, ".mzML")</f>
        <v>NB_2022_015 - 23022022 - 2-005.mzML</v>
      </c>
    </row>
    <row r="322" s="20" customFormat="true" ht="15" hidden="false" customHeight="false" outlineLevel="0" collapsed="false">
      <c r="A322" s="3" t="s">
        <v>374</v>
      </c>
      <c r="B322" s="4"/>
      <c r="C322" s="3" t="s">
        <v>375</v>
      </c>
      <c r="D322" s="5" t="s">
        <v>13</v>
      </c>
      <c r="E322" s="5" t="s">
        <v>220</v>
      </c>
      <c r="F322" s="6" t="s">
        <v>207</v>
      </c>
      <c r="G322" s="5" t="s">
        <v>216</v>
      </c>
      <c r="H322" s="7" t="s">
        <v>101</v>
      </c>
      <c r="I322" s="5" t="str">
        <f aca="false">CONCATENATE(E322, "_",H322)</f>
        <v>NLA_2022_002_006</v>
      </c>
      <c r="J322" s="5" t="s">
        <v>38</v>
      </c>
      <c r="K322" s="5" t="s">
        <v>219</v>
      </c>
      <c r="L322" s="8" t="s">
        <v>69</v>
      </c>
      <c r="M322" s="6" t="s">
        <v>210</v>
      </c>
      <c r="N322" s="5" t="s">
        <v>41</v>
      </c>
      <c r="O322" s="5" t="s">
        <v>42</v>
      </c>
      <c r="P322" s="21" t="s">
        <v>162</v>
      </c>
      <c r="Q322" s="21" t="s">
        <v>162</v>
      </c>
      <c r="R322" s="5" t="s">
        <v>72</v>
      </c>
      <c r="S322" s="5" t="s">
        <v>73</v>
      </c>
      <c r="T322" s="5" t="s">
        <v>90</v>
      </c>
      <c r="U322" s="5" t="n">
        <v>1000</v>
      </c>
      <c r="V322" s="1" t="n">
        <v>3</v>
      </c>
      <c r="W322" s="5"/>
      <c r="X322" s="5" t="s">
        <v>47</v>
      </c>
      <c r="Y322" s="1" t="n">
        <v>5500</v>
      </c>
      <c r="Z322" s="5" t="s">
        <v>211</v>
      </c>
      <c r="AA322" s="5" t="s">
        <v>212</v>
      </c>
      <c r="AB322" s="13" t="str">
        <f aca="true" t="array" ref="AB322:AB322">LEFT(AA322,LOOKUP(2^15,FIND(".",AA322,ROW(INDIRECT("1:"&amp;LEN(AA322)))))-1)</f>
        <v>NB_2022_015 - 23022022 - 1</v>
      </c>
      <c r="AC322" s="5" t="s">
        <v>213</v>
      </c>
      <c r="AD322" s="13" t="str">
        <f aca="true" t="array" ref="AD322:AD322">LEFT(AC322,LOOKUP(2^15,FIND(".",AC322,ROW(INDIRECT("1:"&amp;LEN(AC322)))))-1)</f>
        <v>NB_2022_015 - 23022022 - 2</v>
      </c>
      <c r="AE322" s="5" t="str">
        <f aca="false">CONCATENATE(AB322, "-",H322, ".mzML")</f>
        <v>NB_2022_015 - 23022022 - 1-006.mzML</v>
      </c>
      <c r="AF322" s="5" t="str">
        <f aca="false">CONCATENATE(AD322, "-",H322, ".mzML")</f>
        <v>NB_2022_015 - 23022022 - 2-006.mzML</v>
      </c>
    </row>
    <row r="323" s="20" customFormat="true" ht="15" hidden="false" customHeight="false" outlineLevel="0" collapsed="false">
      <c r="A323" s="3" t="s">
        <v>374</v>
      </c>
      <c r="B323" s="4"/>
      <c r="C323" s="3" t="s">
        <v>375</v>
      </c>
      <c r="D323" s="5" t="s">
        <v>13</v>
      </c>
      <c r="E323" s="5" t="s">
        <v>220</v>
      </c>
      <c r="F323" s="6" t="s">
        <v>207</v>
      </c>
      <c r="G323" s="5" t="s">
        <v>220</v>
      </c>
      <c r="H323" s="19" t="s">
        <v>64</v>
      </c>
      <c r="I323" s="5" t="str">
        <f aca="false">CONCATENATE(E323, "_",H323)</f>
        <v>NLA_2022_002_Blank_1</v>
      </c>
      <c r="J323" s="5" t="s">
        <v>52</v>
      </c>
      <c r="K323" s="5" t="s">
        <v>64</v>
      </c>
      <c r="L323" s="8" t="s">
        <v>46</v>
      </c>
      <c r="M323" s="6" t="s">
        <v>46</v>
      </c>
      <c r="N323" s="5" t="s">
        <v>65</v>
      </c>
      <c r="O323" s="5" t="s">
        <v>46</v>
      </c>
      <c r="P323" s="5" t="s">
        <v>46</v>
      </c>
      <c r="Q323" s="5" t="s">
        <v>46</v>
      </c>
      <c r="R323" s="5" t="s">
        <v>46</v>
      </c>
      <c r="S323" s="5" t="s">
        <v>46</v>
      </c>
      <c r="T323" s="5" t="s">
        <v>46</v>
      </c>
      <c r="U323" s="5" t="s">
        <v>46</v>
      </c>
      <c r="V323" s="1" t="n">
        <v>1</v>
      </c>
      <c r="W323" s="5"/>
      <c r="X323" s="5" t="s">
        <v>46</v>
      </c>
      <c r="Y323" s="1" t="n">
        <v>5500</v>
      </c>
      <c r="Z323" s="5" t="s">
        <v>211</v>
      </c>
      <c r="AA323" s="5" t="s">
        <v>212</v>
      </c>
      <c r="AB323" s="13" t="str">
        <f aca="true" t="array" ref="AB323:AB323">LEFT(AA323,LOOKUP(2^15,FIND(".",AA323,ROW(INDIRECT("1:"&amp;LEN(AA323)))))-1)</f>
        <v>NB_2022_015 - 23022022 - 1</v>
      </c>
      <c r="AC323" s="5" t="s">
        <v>213</v>
      </c>
      <c r="AD323" s="13" t="str">
        <f aca="true" t="array" ref="AD323:AD323">LEFT(AC323,LOOKUP(2^15,FIND(".",AC323,ROW(INDIRECT("1:"&amp;LEN(AC323)))))-1)</f>
        <v>NB_2022_015 - 23022022 - 2</v>
      </c>
      <c r="AE323" s="5" t="str">
        <f aca="false">CONCATENATE(AB323, "-",H323, ".mzML")</f>
        <v>NB_2022_015 - 23022022 - 1-Blank_1.mzML</v>
      </c>
      <c r="AF323" s="5" t="str">
        <f aca="false">CONCATENATE(AD323, "-",H323, ".mzML")</f>
        <v>NB_2022_015 - 23022022 - 2-Blank_1.mzML</v>
      </c>
    </row>
    <row r="324" s="20" customFormat="true" ht="15" hidden="false" customHeight="false" outlineLevel="0" collapsed="false">
      <c r="A324" s="3" t="s">
        <v>374</v>
      </c>
      <c r="B324" s="4"/>
      <c r="C324" s="3" t="s">
        <v>375</v>
      </c>
      <c r="D324" s="5" t="s">
        <v>13</v>
      </c>
      <c r="E324" s="5" t="s">
        <v>220</v>
      </c>
      <c r="F324" s="6" t="s">
        <v>207</v>
      </c>
      <c r="G324" s="5" t="s">
        <v>220</v>
      </c>
      <c r="H324" s="19" t="s">
        <v>66</v>
      </c>
      <c r="I324" s="5" t="str">
        <f aca="false">CONCATENATE(E324, "_",H324)</f>
        <v>NLA_2022_002_Blank_2</v>
      </c>
      <c r="J324" s="5" t="s">
        <v>52</v>
      </c>
      <c r="K324" s="5" t="s">
        <v>66</v>
      </c>
      <c r="L324" s="8" t="s">
        <v>46</v>
      </c>
      <c r="M324" s="6" t="s">
        <v>46</v>
      </c>
      <c r="N324" s="5" t="s">
        <v>65</v>
      </c>
      <c r="O324" s="5" t="s">
        <v>46</v>
      </c>
      <c r="P324" s="5" t="s">
        <v>46</v>
      </c>
      <c r="Q324" s="5" t="s">
        <v>46</v>
      </c>
      <c r="R324" s="5" t="s">
        <v>46</v>
      </c>
      <c r="S324" s="5" t="s">
        <v>46</v>
      </c>
      <c r="T324" s="5" t="s">
        <v>46</v>
      </c>
      <c r="U324" s="5" t="s">
        <v>46</v>
      </c>
      <c r="V324" s="1" t="n">
        <v>2</v>
      </c>
      <c r="W324" s="5"/>
      <c r="X324" s="5" t="s">
        <v>46</v>
      </c>
      <c r="Y324" s="1" t="n">
        <v>5500</v>
      </c>
      <c r="Z324" s="5" t="s">
        <v>211</v>
      </c>
      <c r="AA324" s="5" t="s">
        <v>212</v>
      </c>
      <c r="AB324" s="13" t="str">
        <f aca="true" t="array" ref="AB324:AB324">LEFT(AA324,LOOKUP(2^15,FIND(".",AA324,ROW(INDIRECT("1:"&amp;LEN(AA324)))))-1)</f>
        <v>NB_2022_015 - 23022022 - 1</v>
      </c>
      <c r="AC324" s="5" t="s">
        <v>213</v>
      </c>
      <c r="AD324" s="13" t="str">
        <f aca="true" t="array" ref="AD324:AD324">LEFT(AC324,LOOKUP(2^15,FIND(".",AC324,ROW(INDIRECT("1:"&amp;LEN(AC324)))))-1)</f>
        <v>NB_2022_015 - 23022022 - 2</v>
      </c>
      <c r="AE324" s="5" t="str">
        <f aca="false">CONCATENATE(AB324, "-",H324, ".mzML")</f>
        <v>NB_2022_015 - 23022022 - 1-Blank_2.mzML</v>
      </c>
      <c r="AF324" s="5" t="str">
        <f aca="false">CONCATENATE(AD324, "-",H324, ".mzML")</f>
        <v>NB_2022_015 - 23022022 - 2-Blank_2.mzML</v>
      </c>
    </row>
    <row r="325" s="20" customFormat="true" ht="15" hidden="false" customHeight="false" outlineLevel="0" collapsed="false">
      <c r="A325" s="3" t="s">
        <v>374</v>
      </c>
      <c r="B325" s="4"/>
      <c r="C325" s="3" t="s">
        <v>375</v>
      </c>
      <c r="D325" s="5" t="s">
        <v>13</v>
      </c>
      <c r="E325" s="5" t="s">
        <v>220</v>
      </c>
      <c r="F325" s="6" t="s">
        <v>207</v>
      </c>
      <c r="G325" s="5" t="s">
        <v>220</v>
      </c>
      <c r="H325" s="19" t="s">
        <v>67</v>
      </c>
      <c r="I325" s="5" t="str">
        <f aca="false">CONCATENATE(E325, "_",H325)</f>
        <v>NLA_2022_002_Blank_3</v>
      </c>
      <c r="J325" s="5" t="s">
        <v>52</v>
      </c>
      <c r="K325" s="5" t="s">
        <v>67</v>
      </c>
      <c r="L325" s="8" t="s">
        <v>46</v>
      </c>
      <c r="M325" s="6" t="s">
        <v>46</v>
      </c>
      <c r="N325" s="5" t="s">
        <v>65</v>
      </c>
      <c r="O325" s="5" t="s">
        <v>46</v>
      </c>
      <c r="P325" s="5" t="s">
        <v>46</v>
      </c>
      <c r="Q325" s="5" t="s">
        <v>46</v>
      </c>
      <c r="R325" s="5" t="s">
        <v>46</v>
      </c>
      <c r="S325" s="5" t="s">
        <v>46</v>
      </c>
      <c r="T325" s="5" t="s">
        <v>46</v>
      </c>
      <c r="U325" s="5" t="s">
        <v>46</v>
      </c>
      <c r="V325" s="1" t="n">
        <v>3</v>
      </c>
      <c r="W325" s="5"/>
      <c r="X325" s="5" t="s">
        <v>46</v>
      </c>
      <c r="Y325" s="1" t="n">
        <v>5500</v>
      </c>
      <c r="Z325" s="5" t="s">
        <v>211</v>
      </c>
      <c r="AA325" s="5" t="s">
        <v>212</v>
      </c>
      <c r="AB325" s="13" t="str">
        <f aca="true" t="array" ref="AB325:AB325">LEFT(AA325,LOOKUP(2^15,FIND(".",AA325,ROW(INDIRECT("1:"&amp;LEN(AA325)))))-1)</f>
        <v>NB_2022_015 - 23022022 - 1</v>
      </c>
      <c r="AC325" s="5" t="s">
        <v>213</v>
      </c>
      <c r="AD325" s="13" t="str">
        <f aca="true" t="array" ref="AD325:AD325">LEFT(AC325,LOOKUP(2^15,FIND(".",AC325,ROW(INDIRECT("1:"&amp;LEN(AC325)))))-1)</f>
        <v>NB_2022_015 - 23022022 - 2</v>
      </c>
      <c r="AE325" s="5" t="str">
        <f aca="false">CONCATENATE(AB325, "-",H325, ".mzML")</f>
        <v>NB_2022_015 - 23022022 - 1-Blank_3.mzML</v>
      </c>
      <c r="AF325" s="5" t="str">
        <f aca="false">CONCATENATE(AD325, "-",H325, ".mzML")</f>
        <v>NB_2022_015 - 23022022 - 2-Blank_3.mzML</v>
      </c>
    </row>
    <row r="326" s="20" customFormat="true" ht="15" hidden="false" customHeight="false" outlineLevel="0" collapsed="false">
      <c r="A326" s="3" t="s">
        <v>374</v>
      </c>
      <c r="B326" s="4"/>
      <c r="C326" s="3" t="s">
        <v>375</v>
      </c>
      <c r="D326" s="5" t="s">
        <v>13</v>
      </c>
      <c r="E326" s="5" t="s">
        <v>220</v>
      </c>
      <c r="F326" s="6" t="s">
        <v>207</v>
      </c>
      <c r="G326" s="5" t="s">
        <v>220</v>
      </c>
      <c r="H326" s="19" t="s">
        <v>221</v>
      </c>
      <c r="I326" s="5" t="str">
        <f aca="false">CONCATENATE(E326, "_",H326)</f>
        <v>NLA_2022_002_Blank_4</v>
      </c>
      <c r="J326" s="5" t="s">
        <v>52</v>
      </c>
      <c r="K326" s="5" t="s">
        <v>221</v>
      </c>
      <c r="L326" s="8" t="s">
        <v>46</v>
      </c>
      <c r="M326" s="6" t="s">
        <v>46</v>
      </c>
      <c r="N326" s="5" t="s">
        <v>65</v>
      </c>
      <c r="O326" s="5" t="s">
        <v>46</v>
      </c>
      <c r="P326" s="5" t="s">
        <v>46</v>
      </c>
      <c r="Q326" s="5" t="s">
        <v>46</v>
      </c>
      <c r="R326" s="5" t="s">
        <v>46</v>
      </c>
      <c r="S326" s="5" t="s">
        <v>46</v>
      </c>
      <c r="T326" s="5" t="s">
        <v>46</v>
      </c>
      <c r="U326" s="5" t="s">
        <v>46</v>
      </c>
      <c r="V326" s="1" t="n">
        <v>4</v>
      </c>
      <c r="W326" s="5"/>
      <c r="X326" s="5" t="s">
        <v>46</v>
      </c>
      <c r="Y326" s="1" t="n">
        <v>5500</v>
      </c>
      <c r="Z326" s="5" t="s">
        <v>211</v>
      </c>
      <c r="AA326" s="5" t="s">
        <v>212</v>
      </c>
      <c r="AB326" s="13" t="str">
        <f aca="true" t="array" ref="AB326:AB326">LEFT(AA326,LOOKUP(2^15,FIND(".",AA326,ROW(INDIRECT("1:"&amp;LEN(AA326)))))-1)</f>
        <v>NB_2022_015 - 23022022 - 1</v>
      </c>
      <c r="AC326" s="5" t="s">
        <v>213</v>
      </c>
      <c r="AD326" s="13" t="str">
        <f aca="true" t="array" ref="AD326:AD326">LEFT(AC326,LOOKUP(2^15,FIND(".",AC326,ROW(INDIRECT("1:"&amp;LEN(AC326)))))-1)</f>
        <v>NB_2022_015 - 23022022 - 2</v>
      </c>
      <c r="AE326" s="5" t="str">
        <f aca="false">CONCATENATE(AB326, "-",H326, ".mzML")</f>
        <v>NB_2022_015 - 23022022 - 1-Blank_4.mzML</v>
      </c>
      <c r="AF326" s="5" t="str">
        <f aca="false">CONCATENATE(AD326, "-",H326, ".mzML")</f>
        <v>NB_2022_015 - 23022022 - 2-Blank_4.mzML</v>
      </c>
    </row>
    <row r="327" s="20" customFormat="true" ht="15" hidden="false" customHeight="false" outlineLevel="0" collapsed="false">
      <c r="A327" s="3" t="s">
        <v>374</v>
      </c>
      <c r="B327" s="4"/>
      <c r="C327" s="3" t="s">
        <v>375</v>
      </c>
      <c r="D327" s="5" t="s">
        <v>13</v>
      </c>
      <c r="E327" s="5" t="s">
        <v>220</v>
      </c>
      <c r="F327" s="6" t="s">
        <v>207</v>
      </c>
      <c r="G327" s="5" t="s">
        <v>220</v>
      </c>
      <c r="H327" s="19" t="s">
        <v>68</v>
      </c>
      <c r="I327" s="5" t="str">
        <f aca="false">CONCATENATE(E327, "_",H327)</f>
        <v>NLA_2022_002_QC_C_1</v>
      </c>
      <c r="J327" s="5" t="s">
        <v>52</v>
      </c>
      <c r="K327" s="5" t="s">
        <v>68</v>
      </c>
      <c r="L327" s="8" t="s">
        <v>69</v>
      </c>
      <c r="M327" s="5" t="s">
        <v>46</v>
      </c>
      <c r="N327" s="5" t="s">
        <v>70</v>
      </c>
      <c r="O327" s="5" t="s">
        <v>46</v>
      </c>
      <c r="P327" s="5" t="s">
        <v>71</v>
      </c>
      <c r="Q327" s="5" t="s">
        <v>71</v>
      </c>
      <c r="R327" s="5" t="s">
        <v>72</v>
      </c>
      <c r="S327" s="5" t="s">
        <v>73</v>
      </c>
      <c r="T327" s="5" t="s">
        <v>46</v>
      </c>
      <c r="U327" s="5" t="n">
        <v>1000</v>
      </c>
      <c r="V327" s="1" t="n">
        <v>1</v>
      </c>
      <c r="W327" s="5"/>
      <c r="X327" s="5" t="s">
        <v>74</v>
      </c>
      <c r="Y327" s="5" t="n">
        <v>5500</v>
      </c>
      <c r="Z327" s="5" t="s">
        <v>211</v>
      </c>
      <c r="AA327" s="5" t="s">
        <v>212</v>
      </c>
      <c r="AB327" s="13" t="str">
        <f aca="true" t="array" ref="AB327:AB327">LEFT(AA327,LOOKUP(2^15,FIND(".",AA327,ROW(INDIRECT("1:"&amp;LEN(AA327)))))-1)</f>
        <v>NB_2022_015 - 23022022 - 1</v>
      </c>
      <c r="AC327" s="5" t="s">
        <v>213</v>
      </c>
      <c r="AD327" s="13" t="str">
        <f aca="true" t="array" ref="AD327:AD327">LEFT(AC327,LOOKUP(2^15,FIND(".",AC327,ROW(INDIRECT("1:"&amp;LEN(AC327)))))-1)</f>
        <v>NB_2022_015 - 23022022 - 2</v>
      </c>
      <c r="AE327" s="5" t="str">
        <f aca="false">CONCATENATE(AB327, "-",H327, ".mzML")</f>
        <v>NB_2022_015 - 23022022 - 1-QC_C_1.mzML</v>
      </c>
      <c r="AF327" s="5" t="str">
        <f aca="false">CONCATENATE(AD327, "-",H327, ".mzML")</f>
        <v>NB_2022_015 - 23022022 - 2-QC_C_1.mzML</v>
      </c>
    </row>
    <row r="328" s="20" customFormat="true" ht="15" hidden="false" customHeight="false" outlineLevel="0" collapsed="false">
      <c r="A328" s="3" t="s">
        <v>374</v>
      </c>
      <c r="B328" s="4"/>
      <c r="C328" s="3" t="s">
        <v>375</v>
      </c>
      <c r="D328" s="5" t="s">
        <v>13</v>
      </c>
      <c r="E328" s="5" t="s">
        <v>220</v>
      </c>
      <c r="F328" s="6" t="s">
        <v>207</v>
      </c>
      <c r="G328" s="5" t="s">
        <v>220</v>
      </c>
      <c r="H328" s="19" t="s">
        <v>75</v>
      </c>
      <c r="I328" s="5" t="str">
        <f aca="false">CONCATENATE(E328, "_",H328)</f>
        <v>NLA_2022_002_QC_C_2</v>
      </c>
      <c r="J328" s="5" t="s">
        <v>52</v>
      </c>
      <c r="K328" s="5" t="s">
        <v>75</v>
      </c>
      <c r="L328" s="8" t="s">
        <v>69</v>
      </c>
      <c r="M328" s="5" t="s">
        <v>46</v>
      </c>
      <c r="N328" s="5" t="s">
        <v>70</v>
      </c>
      <c r="O328" s="5" t="s">
        <v>46</v>
      </c>
      <c r="P328" s="5" t="s">
        <v>71</v>
      </c>
      <c r="Q328" s="5" t="s">
        <v>71</v>
      </c>
      <c r="R328" s="5" t="s">
        <v>72</v>
      </c>
      <c r="S328" s="5" t="s">
        <v>73</v>
      </c>
      <c r="T328" s="5" t="s">
        <v>46</v>
      </c>
      <c r="U328" s="5" t="n">
        <v>1000</v>
      </c>
      <c r="V328" s="1" t="n">
        <v>2</v>
      </c>
      <c r="W328" s="5"/>
      <c r="X328" s="5" t="s">
        <v>74</v>
      </c>
      <c r="Y328" s="5" t="n">
        <v>5500</v>
      </c>
      <c r="Z328" s="5" t="s">
        <v>211</v>
      </c>
      <c r="AA328" s="5" t="s">
        <v>212</v>
      </c>
      <c r="AB328" s="13" t="str">
        <f aca="true" t="array" ref="AB328:AB328">LEFT(AA328,LOOKUP(2^15,FIND(".",AA328,ROW(INDIRECT("1:"&amp;LEN(AA328)))))-1)</f>
        <v>NB_2022_015 - 23022022 - 1</v>
      </c>
      <c r="AC328" s="5" t="s">
        <v>213</v>
      </c>
      <c r="AD328" s="13" t="str">
        <f aca="true" t="array" ref="AD328:AD328">LEFT(AC328,LOOKUP(2^15,FIND(".",AC328,ROW(INDIRECT("1:"&amp;LEN(AC328)))))-1)</f>
        <v>NB_2022_015 - 23022022 - 2</v>
      </c>
      <c r="AE328" s="5" t="str">
        <f aca="false">CONCATENATE(AB328, "-",H328, ".mzML")</f>
        <v>NB_2022_015 - 23022022 - 1-QC_C_2.mzML</v>
      </c>
      <c r="AF328" s="5" t="str">
        <f aca="false">CONCATENATE(AD328, "-",H328, ".mzML")</f>
        <v>NB_2022_015 - 23022022 - 2-QC_C_2.mzML</v>
      </c>
    </row>
    <row r="329" s="20" customFormat="true" ht="15" hidden="false" customHeight="false" outlineLevel="0" collapsed="false">
      <c r="A329" s="3" t="s">
        <v>374</v>
      </c>
      <c r="B329" s="4"/>
      <c r="C329" s="3" t="s">
        <v>375</v>
      </c>
      <c r="D329" s="5" t="s">
        <v>13</v>
      </c>
      <c r="E329" s="5" t="s">
        <v>220</v>
      </c>
      <c r="F329" s="6" t="s">
        <v>207</v>
      </c>
      <c r="G329" s="5" t="s">
        <v>220</v>
      </c>
      <c r="H329" s="19" t="s">
        <v>76</v>
      </c>
      <c r="I329" s="5" t="str">
        <f aca="false">CONCATENATE(E329, "_",H329)</f>
        <v>NLA_2022_002_QC_C_3</v>
      </c>
      <c r="J329" s="5" t="s">
        <v>52</v>
      </c>
      <c r="K329" s="5" t="s">
        <v>76</v>
      </c>
      <c r="L329" s="8" t="s">
        <v>69</v>
      </c>
      <c r="M329" s="5" t="s">
        <v>46</v>
      </c>
      <c r="N329" s="5" t="s">
        <v>70</v>
      </c>
      <c r="O329" s="5" t="s">
        <v>46</v>
      </c>
      <c r="P329" s="5" t="s">
        <v>71</v>
      </c>
      <c r="Q329" s="5" t="s">
        <v>71</v>
      </c>
      <c r="R329" s="5" t="s">
        <v>72</v>
      </c>
      <c r="S329" s="5" t="s">
        <v>73</v>
      </c>
      <c r="T329" s="5" t="s">
        <v>46</v>
      </c>
      <c r="U329" s="5" t="n">
        <v>1000</v>
      </c>
      <c r="V329" s="1" t="n">
        <v>3</v>
      </c>
      <c r="W329" s="5"/>
      <c r="X329" s="5" t="s">
        <v>74</v>
      </c>
      <c r="Y329" s="5" t="n">
        <v>5500</v>
      </c>
      <c r="Z329" s="5" t="s">
        <v>211</v>
      </c>
      <c r="AA329" s="5" t="s">
        <v>212</v>
      </c>
      <c r="AB329" s="13" t="str">
        <f aca="true" t="array" ref="AB329:AB329">LEFT(AA329,LOOKUP(2^15,FIND(".",AA329,ROW(INDIRECT("1:"&amp;LEN(AA329)))))-1)</f>
        <v>NB_2022_015 - 23022022 - 1</v>
      </c>
      <c r="AC329" s="5" t="s">
        <v>213</v>
      </c>
      <c r="AD329" s="13" t="str">
        <f aca="true" t="array" ref="AD329:AD329">LEFT(AC329,LOOKUP(2^15,FIND(".",AC329,ROW(INDIRECT("1:"&amp;LEN(AC329)))))-1)</f>
        <v>NB_2022_015 - 23022022 - 2</v>
      </c>
      <c r="AE329" s="5" t="str">
        <f aca="false">CONCATENATE(AB329, "-",H329, ".mzML")</f>
        <v>NB_2022_015 - 23022022 - 1-QC_C_3.mzML</v>
      </c>
      <c r="AF329" s="5" t="str">
        <f aca="false">CONCATENATE(AD329, "-",H329, ".mzML")</f>
        <v>NB_2022_015 - 23022022 - 2-QC_C_3.mzML</v>
      </c>
    </row>
    <row r="330" s="20" customFormat="true" ht="15" hidden="false" customHeight="false" outlineLevel="0" collapsed="false">
      <c r="A330" s="3" t="s">
        <v>374</v>
      </c>
      <c r="B330" s="4"/>
      <c r="C330" s="3" t="s">
        <v>375</v>
      </c>
      <c r="D330" s="5" t="s">
        <v>13</v>
      </c>
      <c r="E330" s="5" t="s">
        <v>220</v>
      </c>
      <c r="F330" s="6" t="s">
        <v>207</v>
      </c>
      <c r="G330" s="5" t="s">
        <v>220</v>
      </c>
      <c r="H330" s="19" t="s">
        <v>222</v>
      </c>
      <c r="I330" s="5" t="str">
        <f aca="false">CONCATENATE(E330, "_",H330)</f>
        <v>NLA_2022_002_QC_C_4</v>
      </c>
      <c r="J330" s="5" t="s">
        <v>52</v>
      </c>
      <c r="K330" s="5" t="s">
        <v>222</v>
      </c>
      <c r="L330" s="8" t="s">
        <v>69</v>
      </c>
      <c r="M330" s="6" t="s">
        <v>46</v>
      </c>
      <c r="N330" s="5" t="s">
        <v>223</v>
      </c>
      <c r="O330" s="5" t="s">
        <v>46</v>
      </c>
      <c r="P330" s="5" t="s">
        <v>71</v>
      </c>
      <c r="Q330" s="5" t="s">
        <v>71</v>
      </c>
      <c r="R330" s="5" t="s">
        <v>72</v>
      </c>
      <c r="S330" s="5" t="s">
        <v>73</v>
      </c>
      <c r="T330" s="5" t="s">
        <v>46</v>
      </c>
      <c r="U330" s="5" t="n">
        <v>1000</v>
      </c>
      <c r="V330" s="1" t="n">
        <v>4</v>
      </c>
      <c r="W330" s="5"/>
      <c r="X330" s="5" t="s">
        <v>74</v>
      </c>
      <c r="Y330" s="1" t="n">
        <v>5500</v>
      </c>
      <c r="Z330" s="5" t="s">
        <v>211</v>
      </c>
      <c r="AA330" s="5" t="s">
        <v>212</v>
      </c>
      <c r="AB330" s="13" t="str">
        <f aca="true" t="array" ref="AB330:AB330">LEFT(AA330,LOOKUP(2^15,FIND(".",AA330,ROW(INDIRECT("1:"&amp;LEN(AA330)))))-1)</f>
        <v>NB_2022_015 - 23022022 - 1</v>
      </c>
      <c r="AC330" s="5" t="s">
        <v>213</v>
      </c>
      <c r="AD330" s="13" t="str">
        <f aca="true" t="array" ref="AD330:AD330">LEFT(AC330,LOOKUP(2^15,FIND(".",AC330,ROW(INDIRECT("1:"&amp;LEN(AC330)))))-1)</f>
        <v>NB_2022_015 - 23022022 - 2</v>
      </c>
      <c r="AE330" s="5" t="str">
        <f aca="false">CONCATENATE(AB330, "-",H330, ".mzML")</f>
        <v>NB_2022_015 - 23022022 - 1-QC_C_4.mzML</v>
      </c>
      <c r="AF330" s="5" t="str">
        <f aca="false">CONCATENATE(AD330, "-",H330, ".mzML")</f>
        <v>NB_2022_015 - 23022022 - 2-QC_C_4.mzML</v>
      </c>
    </row>
    <row r="331" s="20" customFormat="true" ht="15" hidden="false" customHeight="false" outlineLevel="0" collapsed="false">
      <c r="A331" s="3" t="s">
        <v>374</v>
      </c>
      <c r="B331" s="4"/>
      <c r="C331" s="3" t="s">
        <v>375</v>
      </c>
      <c r="D331" s="5" t="s">
        <v>13</v>
      </c>
      <c r="E331" s="5" t="s">
        <v>387</v>
      </c>
      <c r="F331" s="6" t="s">
        <v>388</v>
      </c>
      <c r="G331" s="5" t="s">
        <v>389</v>
      </c>
      <c r="H331" s="7" t="s">
        <v>108</v>
      </c>
      <c r="I331" s="5" t="str">
        <f aca="false">CONCATENATE(E331, "_",H331)</f>
        <v>NLA_2022_010_001</v>
      </c>
      <c r="J331" s="5" t="s">
        <v>38</v>
      </c>
      <c r="K331" s="5" t="s">
        <v>390</v>
      </c>
      <c r="L331" s="8" t="s">
        <v>69</v>
      </c>
      <c r="M331" s="6" t="s">
        <v>391</v>
      </c>
      <c r="N331" s="5" t="s">
        <v>392</v>
      </c>
      <c r="O331" s="5" t="s">
        <v>42</v>
      </c>
      <c r="P331" s="5" t="s">
        <v>162</v>
      </c>
      <c r="Q331" s="5" t="s">
        <v>162</v>
      </c>
      <c r="R331" s="5" t="s">
        <v>72</v>
      </c>
      <c r="S331" s="5" t="s">
        <v>73</v>
      </c>
      <c r="T331" s="5" t="s">
        <v>46</v>
      </c>
      <c r="U331" s="5" t="n">
        <v>1000</v>
      </c>
      <c r="V331" s="1" t="n">
        <v>1</v>
      </c>
      <c r="W331" s="5"/>
      <c r="X331" s="5" t="s">
        <v>393</v>
      </c>
      <c r="Y331" s="1" t="n">
        <v>5500</v>
      </c>
      <c r="Z331" s="5" t="s">
        <v>394</v>
      </c>
      <c r="AA331" s="5" t="s">
        <v>395</v>
      </c>
      <c r="AB331" s="13" t="str">
        <f aca="true" t="array" ref="AB331:AB331">LEFT(AA331,LOOKUP(2^15,FIND(".",AA331,ROW(INDIRECT("1:"&amp;LEN(AA331)))))-1)</f>
        <v>NB_2022_043 - 15082022 - 1</v>
      </c>
      <c r="AC331" s="5" t="s">
        <v>396</v>
      </c>
      <c r="AD331" s="13" t="str">
        <f aca="true" t="array" ref="AD331:AD331">LEFT(AC331,LOOKUP(2^15,FIND(".",AC331,ROW(INDIRECT("1:"&amp;LEN(AC331)))))-1)</f>
        <v>NB_2022_043 - 15082022 - 2</v>
      </c>
      <c r="AE331" s="5" t="str">
        <f aca="false">CONCATENATE(AB331, "-",H331, ".mzML")</f>
        <v>NB_2022_043 - 15082022 - 1-001.mzML</v>
      </c>
      <c r="AF331" s="5" t="str">
        <f aca="false">CONCATENATE(AD331, "-",H331, ".mzML")</f>
        <v>NB_2022_043 - 15082022 - 2-001.mzML</v>
      </c>
    </row>
    <row r="332" s="20" customFormat="true" ht="15" hidden="false" customHeight="false" outlineLevel="0" collapsed="false">
      <c r="A332" s="3" t="s">
        <v>374</v>
      </c>
      <c r="B332" s="4"/>
      <c r="C332" s="3" t="s">
        <v>375</v>
      </c>
      <c r="D332" s="5" t="s">
        <v>13</v>
      </c>
      <c r="E332" s="5" t="s">
        <v>387</v>
      </c>
      <c r="F332" s="6" t="s">
        <v>388</v>
      </c>
      <c r="G332" s="5" t="s">
        <v>389</v>
      </c>
      <c r="H332" s="7" t="s">
        <v>88</v>
      </c>
      <c r="I332" s="5" t="str">
        <f aca="false">CONCATENATE(E332, "_",H332)</f>
        <v>NLA_2022_010_002</v>
      </c>
      <c r="J332" s="5" t="s">
        <v>38</v>
      </c>
      <c r="K332" s="5" t="s">
        <v>390</v>
      </c>
      <c r="L332" s="8" t="s">
        <v>69</v>
      </c>
      <c r="M332" s="6" t="s">
        <v>391</v>
      </c>
      <c r="N332" s="5" t="s">
        <v>392</v>
      </c>
      <c r="O332" s="5" t="s">
        <v>42</v>
      </c>
      <c r="P332" s="5" t="s">
        <v>162</v>
      </c>
      <c r="Q332" s="5" t="s">
        <v>162</v>
      </c>
      <c r="R332" s="5" t="s">
        <v>72</v>
      </c>
      <c r="S332" s="5" t="s">
        <v>73</v>
      </c>
      <c r="T332" s="5" t="s">
        <v>46</v>
      </c>
      <c r="U332" s="5" t="n">
        <v>1000</v>
      </c>
      <c r="V332" s="1" t="n">
        <v>2</v>
      </c>
      <c r="W332" s="5"/>
      <c r="X332" s="5" t="s">
        <v>393</v>
      </c>
      <c r="Y332" s="1" t="n">
        <v>5500</v>
      </c>
      <c r="Z332" s="5" t="s">
        <v>394</v>
      </c>
      <c r="AA332" s="5" t="s">
        <v>395</v>
      </c>
      <c r="AB332" s="13" t="str">
        <f aca="true" t="array" ref="AB332:AB332">LEFT(AA332,LOOKUP(2^15,FIND(".",AA332,ROW(INDIRECT("1:"&amp;LEN(AA332)))))-1)</f>
        <v>NB_2022_043 - 15082022 - 1</v>
      </c>
      <c r="AC332" s="5" t="s">
        <v>396</v>
      </c>
      <c r="AD332" s="13" t="str">
        <f aca="true" t="array" ref="AD332:AD332">LEFT(AC332,LOOKUP(2^15,FIND(".",AC332,ROW(INDIRECT("1:"&amp;LEN(AC332)))))-1)</f>
        <v>NB_2022_043 - 15082022 - 2</v>
      </c>
      <c r="AE332" s="5" t="str">
        <f aca="false">CONCATENATE(AB332, "-",H332, ".mzML")</f>
        <v>NB_2022_043 - 15082022 - 1-002.mzML</v>
      </c>
      <c r="AF332" s="5" t="str">
        <f aca="false">CONCATENATE(AD332, "-",H332, ".mzML")</f>
        <v>NB_2022_043 - 15082022 - 2-002.mzML</v>
      </c>
    </row>
    <row r="333" s="20" customFormat="true" ht="15" hidden="false" customHeight="false" outlineLevel="0" collapsed="false">
      <c r="A333" s="3" t="s">
        <v>374</v>
      </c>
      <c r="B333" s="4"/>
      <c r="C333" s="3" t="s">
        <v>375</v>
      </c>
      <c r="D333" s="5" t="s">
        <v>13</v>
      </c>
      <c r="E333" s="5" t="s">
        <v>387</v>
      </c>
      <c r="F333" s="6" t="s">
        <v>388</v>
      </c>
      <c r="G333" s="5" t="s">
        <v>389</v>
      </c>
      <c r="H333" s="7" t="s">
        <v>97</v>
      </c>
      <c r="I333" s="5" t="str">
        <f aca="false">CONCATENATE(E333, "_",H333)</f>
        <v>NLA_2022_010_003</v>
      </c>
      <c r="J333" s="5" t="s">
        <v>38</v>
      </c>
      <c r="K333" s="5" t="s">
        <v>390</v>
      </c>
      <c r="L333" s="8" t="s">
        <v>69</v>
      </c>
      <c r="M333" s="6" t="s">
        <v>391</v>
      </c>
      <c r="N333" s="5" t="s">
        <v>392</v>
      </c>
      <c r="O333" s="5" t="s">
        <v>42</v>
      </c>
      <c r="P333" s="5" t="s">
        <v>162</v>
      </c>
      <c r="Q333" s="5" t="s">
        <v>162</v>
      </c>
      <c r="R333" s="5" t="s">
        <v>72</v>
      </c>
      <c r="S333" s="5" t="s">
        <v>73</v>
      </c>
      <c r="T333" s="5" t="s">
        <v>46</v>
      </c>
      <c r="U333" s="5" t="n">
        <v>1000</v>
      </c>
      <c r="V333" s="1" t="n">
        <v>3</v>
      </c>
      <c r="W333" s="5"/>
      <c r="X333" s="5" t="s">
        <v>393</v>
      </c>
      <c r="Y333" s="1" t="n">
        <v>5500</v>
      </c>
      <c r="Z333" s="5" t="s">
        <v>394</v>
      </c>
      <c r="AA333" s="5" t="s">
        <v>395</v>
      </c>
      <c r="AB333" s="13" t="str">
        <f aca="true" t="array" ref="AB333:AB333">LEFT(AA333,LOOKUP(2^15,FIND(".",AA333,ROW(INDIRECT("1:"&amp;LEN(AA333)))))-1)</f>
        <v>NB_2022_043 - 15082022 - 1</v>
      </c>
      <c r="AC333" s="5" t="s">
        <v>396</v>
      </c>
      <c r="AD333" s="13" t="str">
        <f aca="true" t="array" ref="AD333:AD333">LEFT(AC333,LOOKUP(2^15,FIND(".",AC333,ROW(INDIRECT("1:"&amp;LEN(AC333)))))-1)</f>
        <v>NB_2022_043 - 15082022 - 2</v>
      </c>
      <c r="AE333" s="5" t="str">
        <f aca="false">CONCATENATE(AB333, "-",H333, ".mzML")</f>
        <v>NB_2022_043 - 15082022 - 1-003.mzML</v>
      </c>
      <c r="AF333" s="5" t="str">
        <f aca="false">CONCATENATE(AD333, "-",H333, ".mzML")</f>
        <v>NB_2022_043 - 15082022 - 2-003.mzML</v>
      </c>
    </row>
    <row r="334" s="20" customFormat="true" ht="15" hidden="false" customHeight="false" outlineLevel="0" collapsed="false">
      <c r="A334" s="3" t="s">
        <v>374</v>
      </c>
      <c r="B334" s="4"/>
      <c r="C334" s="3" t="s">
        <v>375</v>
      </c>
      <c r="D334" s="5" t="s">
        <v>13</v>
      </c>
      <c r="E334" s="5" t="s">
        <v>387</v>
      </c>
      <c r="F334" s="6" t="s">
        <v>388</v>
      </c>
      <c r="G334" s="5" t="s">
        <v>389</v>
      </c>
      <c r="H334" s="7" t="s">
        <v>99</v>
      </c>
      <c r="I334" s="5" t="str">
        <f aca="false">CONCATENATE(E334, "_",H334)</f>
        <v>NLA_2022_010_004</v>
      </c>
      <c r="J334" s="5" t="s">
        <v>38</v>
      </c>
      <c r="K334" s="5" t="s">
        <v>390</v>
      </c>
      <c r="L334" s="8" t="s">
        <v>69</v>
      </c>
      <c r="M334" s="6" t="s">
        <v>391</v>
      </c>
      <c r="N334" s="5" t="s">
        <v>392</v>
      </c>
      <c r="O334" s="5" t="s">
        <v>42</v>
      </c>
      <c r="P334" s="5" t="s">
        <v>162</v>
      </c>
      <c r="Q334" s="5" t="s">
        <v>162</v>
      </c>
      <c r="R334" s="5" t="s">
        <v>72</v>
      </c>
      <c r="S334" s="5" t="s">
        <v>73</v>
      </c>
      <c r="T334" s="5" t="s">
        <v>46</v>
      </c>
      <c r="U334" s="5" t="n">
        <v>1000</v>
      </c>
      <c r="V334" s="1" t="n">
        <v>4</v>
      </c>
      <c r="W334" s="5"/>
      <c r="X334" s="5" t="s">
        <v>393</v>
      </c>
      <c r="Y334" s="1" t="n">
        <v>5500</v>
      </c>
      <c r="Z334" s="1" t="s">
        <v>394</v>
      </c>
      <c r="AA334" s="5" t="s">
        <v>395</v>
      </c>
      <c r="AB334" s="13" t="str">
        <f aca="true" t="array" ref="AB334:AB334">LEFT(AA334,LOOKUP(2^15,FIND(".",AA334,ROW(INDIRECT("1:"&amp;LEN(AA334)))))-1)</f>
        <v>NB_2022_043 - 15082022 - 1</v>
      </c>
      <c r="AC334" s="5" t="s">
        <v>396</v>
      </c>
      <c r="AD334" s="13" t="str">
        <f aca="true" t="array" ref="AD334:AD334">LEFT(AC334,LOOKUP(2^15,FIND(".",AC334,ROW(INDIRECT("1:"&amp;LEN(AC334)))))-1)</f>
        <v>NB_2022_043 - 15082022 - 2</v>
      </c>
      <c r="AE334" s="5" t="str">
        <f aca="false">CONCATENATE(AB334, "-",H334, ".mzML")</f>
        <v>NB_2022_043 - 15082022 - 1-004.mzML</v>
      </c>
      <c r="AF334" s="5" t="str">
        <f aca="false">CONCATENATE(AD334, "-",H334, ".mzML")</f>
        <v>NB_2022_043 - 15082022 - 2-004.mzML</v>
      </c>
    </row>
    <row r="335" s="20" customFormat="true" ht="15" hidden="false" customHeight="false" outlineLevel="0" collapsed="false">
      <c r="A335" s="3" t="s">
        <v>374</v>
      </c>
      <c r="B335" s="4"/>
      <c r="C335" s="3" t="s">
        <v>375</v>
      </c>
      <c r="D335" s="5" t="s">
        <v>13</v>
      </c>
      <c r="E335" s="5" t="s">
        <v>387</v>
      </c>
      <c r="F335" s="6" t="s">
        <v>388</v>
      </c>
      <c r="G335" s="5" t="s">
        <v>387</v>
      </c>
      <c r="H335" s="7" t="s">
        <v>64</v>
      </c>
      <c r="I335" s="5" t="str">
        <f aca="false">CONCATENATE(E335, "_",H335)</f>
        <v>NLA_2022_010_Blank_1</v>
      </c>
      <c r="J335" s="5" t="s">
        <v>46</v>
      </c>
      <c r="K335" s="5" t="s">
        <v>280</v>
      </c>
      <c r="L335" s="8" t="s">
        <v>46</v>
      </c>
      <c r="M335" s="6" t="s">
        <v>46</v>
      </c>
      <c r="N335" s="5" t="s">
        <v>65</v>
      </c>
      <c r="O335" s="5" t="s">
        <v>46</v>
      </c>
      <c r="P335" s="5" t="s">
        <v>46</v>
      </c>
      <c r="Q335" s="5" t="s">
        <v>46</v>
      </c>
      <c r="R335" s="5" t="s">
        <v>46</v>
      </c>
      <c r="S335" s="5" t="s">
        <v>46</v>
      </c>
      <c r="T335" s="5" t="s">
        <v>46</v>
      </c>
      <c r="U335" s="5" t="s">
        <v>46</v>
      </c>
      <c r="V335" s="1" t="n">
        <v>1</v>
      </c>
      <c r="W335" s="5"/>
      <c r="X335" s="5" t="s">
        <v>46</v>
      </c>
      <c r="Y335" s="1" t="n">
        <v>5500</v>
      </c>
      <c r="Z335" s="5" t="s">
        <v>394</v>
      </c>
      <c r="AA335" s="5" t="s">
        <v>395</v>
      </c>
      <c r="AB335" s="13" t="str">
        <f aca="true" t="array" ref="AB335:AB335">LEFT(AA335,LOOKUP(2^15,FIND(".",AA335,ROW(INDIRECT("1:"&amp;LEN(AA335)))))-1)</f>
        <v>NB_2022_043 - 15082022 - 1</v>
      </c>
      <c r="AC335" s="5" t="s">
        <v>396</v>
      </c>
      <c r="AD335" s="13" t="str">
        <f aca="true" t="array" ref="AD335:AD335">LEFT(AC335,LOOKUP(2^15,FIND(".",AC335,ROW(INDIRECT("1:"&amp;LEN(AC335)))))-1)</f>
        <v>NB_2022_043 - 15082022 - 2</v>
      </c>
      <c r="AE335" s="5" t="str">
        <f aca="false">CONCATENATE(AB335, "-",H335, ".mzML")</f>
        <v>NB_2022_043 - 15082022 - 1-Blank_1.mzML</v>
      </c>
      <c r="AF335" s="5" t="str">
        <f aca="false">CONCATENATE(AD335, "-",H335, ".mzML")</f>
        <v>NB_2022_043 - 15082022 - 2-Blank_1.mzML</v>
      </c>
    </row>
    <row r="336" s="20" customFormat="true" ht="15" hidden="false" customHeight="false" outlineLevel="0" collapsed="false">
      <c r="A336" s="3" t="s">
        <v>374</v>
      </c>
      <c r="B336" s="4"/>
      <c r="C336" s="3" t="s">
        <v>375</v>
      </c>
      <c r="D336" s="5" t="s">
        <v>13</v>
      </c>
      <c r="E336" s="5" t="s">
        <v>387</v>
      </c>
      <c r="F336" s="6" t="s">
        <v>388</v>
      </c>
      <c r="G336" s="5" t="s">
        <v>387</v>
      </c>
      <c r="H336" s="7" t="s">
        <v>66</v>
      </c>
      <c r="I336" s="5" t="str">
        <f aca="false">CONCATENATE(E336, "_",H336)</f>
        <v>NLA_2022_010_Blank_2</v>
      </c>
      <c r="J336" s="5" t="s">
        <v>46</v>
      </c>
      <c r="K336" s="5" t="s">
        <v>280</v>
      </c>
      <c r="L336" s="8" t="s">
        <v>46</v>
      </c>
      <c r="M336" s="6" t="s">
        <v>46</v>
      </c>
      <c r="N336" s="5" t="s">
        <v>65</v>
      </c>
      <c r="O336" s="5" t="s">
        <v>46</v>
      </c>
      <c r="P336" s="5" t="s">
        <v>46</v>
      </c>
      <c r="Q336" s="5" t="s">
        <v>46</v>
      </c>
      <c r="R336" s="5" t="s">
        <v>46</v>
      </c>
      <c r="S336" s="5" t="s">
        <v>46</v>
      </c>
      <c r="T336" s="5" t="s">
        <v>46</v>
      </c>
      <c r="U336" s="5" t="s">
        <v>46</v>
      </c>
      <c r="V336" s="1" t="n">
        <v>2</v>
      </c>
      <c r="W336" s="5"/>
      <c r="X336" s="5" t="s">
        <v>46</v>
      </c>
      <c r="Y336" s="1" t="n">
        <v>5500</v>
      </c>
      <c r="Z336" s="5" t="s">
        <v>394</v>
      </c>
      <c r="AA336" s="5" t="s">
        <v>395</v>
      </c>
      <c r="AB336" s="13" t="str">
        <f aca="true" t="array" ref="AB336:AB336">LEFT(AA336,LOOKUP(2^15,FIND(".",AA336,ROW(INDIRECT("1:"&amp;LEN(AA336)))))-1)</f>
        <v>NB_2022_043 - 15082022 - 1</v>
      </c>
      <c r="AC336" s="5" t="s">
        <v>396</v>
      </c>
      <c r="AD336" s="13" t="str">
        <f aca="true" t="array" ref="AD336:AD336">LEFT(AC336,LOOKUP(2^15,FIND(".",AC336,ROW(INDIRECT("1:"&amp;LEN(AC336)))))-1)</f>
        <v>NB_2022_043 - 15082022 - 2</v>
      </c>
      <c r="AE336" s="5" t="str">
        <f aca="false">CONCATENATE(AB336, "-",H336, ".mzML")</f>
        <v>NB_2022_043 - 15082022 - 1-Blank_2.mzML</v>
      </c>
      <c r="AF336" s="5" t="str">
        <f aca="false">CONCATENATE(AD336, "-",H336, ".mzML")</f>
        <v>NB_2022_043 - 15082022 - 2-Blank_2.mzML</v>
      </c>
    </row>
    <row r="337" s="20" customFormat="true" ht="15" hidden="false" customHeight="false" outlineLevel="0" collapsed="false">
      <c r="A337" s="3" t="s">
        <v>374</v>
      </c>
      <c r="B337" s="4"/>
      <c r="C337" s="3" t="s">
        <v>375</v>
      </c>
      <c r="D337" s="5" t="s">
        <v>13</v>
      </c>
      <c r="E337" s="5" t="s">
        <v>387</v>
      </c>
      <c r="F337" s="6" t="s">
        <v>388</v>
      </c>
      <c r="G337" s="5" t="s">
        <v>387</v>
      </c>
      <c r="H337" s="7" t="s">
        <v>67</v>
      </c>
      <c r="I337" s="5" t="str">
        <f aca="false">CONCATENATE(E337, "_",H337)</f>
        <v>NLA_2022_010_Blank_3</v>
      </c>
      <c r="J337" s="5" t="s">
        <v>46</v>
      </c>
      <c r="K337" s="5" t="s">
        <v>280</v>
      </c>
      <c r="L337" s="8" t="s">
        <v>46</v>
      </c>
      <c r="M337" s="6" t="s">
        <v>46</v>
      </c>
      <c r="N337" s="5" t="s">
        <v>65</v>
      </c>
      <c r="O337" s="5" t="s">
        <v>46</v>
      </c>
      <c r="P337" s="5" t="s">
        <v>46</v>
      </c>
      <c r="Q337" s="5" t="s">
        <v>46</v>
      </c>
      <c r="R337" s="5" t="s">
        <v>46</v>
      </c>
      <c r="S337" s="5" t="s">
        <v>46</v>
      </c>
      <c r="T337" s="5" t="s">
        <v>46</v>
      </c>
      <c r="U337" s="5" t="s">
        <v>46</v>
      </c>
      <c r="V337" s="1" t="n">
        <v>3</v>
      </c>
      <c r="W337" s="5"/>
      <c r="X337" s="5" t="s">
        <v>46</v>
      </c>
      <c r="Y337" s="1" t="n">
        <v>5500</v>
      </c>
      <c r="Z337" s="5" t="s">
        <v>394</v>
      </c>
      <c r="AA337" s="5" t="s">
        <v>395</v>
      </c>
      <c r="AB337" s="13" t="str">
        <f aca="true" t="array" ref="AB337:AB337">LEFT(AA337,LOOKUP(2^15,FIND(".",AA337,ROW(INDIRECT("1:"&amp;LEN(AA337)))))-1)</f>
        <v>NB_2022_043 - 15082022 - 1</v>
      </c>
      <c r="AC337" s="5" t="s">
        <v>396</v>
      </c>
      <c r="AD337" s="13" t="str">
        <f aca="true" t="array" ref="AD337:AD337">LEFT(AC337,LOOKUP(2^15,FIND(".",AC337,ROW(INDIRECT("1:"&amp;LEN(AC337)))))-1)</f>
        <v>NB_2022_043 - 15082022 - 2</v>
      </c>
      <c r="AE337" s="5" t="str">
        <f aca="false">CONCATENATE(AB337, "-",H337, ".mzML")</f>
        <v>NB_2022_043 - 15082022 - 1-Blank_3.mzML</v>
      </c>
      <c r="AF337" s="5" t="str">
        <f aca="false">CONCATENATE(AD337, "-",H337, ".mzML")</f>
        <v>NB_2022_043 - 15082022 - 2-Blank_3.mzML</v>
      </c>
    </row>
    <row r="338" s="20" customFormat="true" ht="15" hidden="false" customHeight="false" outlineLevel="0" collapsed="false">
      <c r="A338" s="3" t="s">
        <v>374</v>
      </c>
      <c r="B338" s="4"/>
      <c r="C338" s="3" t="s">
        <v>375</v>
      </c>
      <c r="D338" s="5" t="s">
        <v>13</v>
      </c>
      <c r="E338" s="5" t="s">
        <v>387</v>
      </c>
      <c r="F338" s="6" t="s">
        <v>388</v>
      </c>
      <c r="G338" s="5" t="s">
        <v>387</v>
      </c>
      <c r="H338" s="7" t="s">
        <v>68</v>
      </c>
      <c r="I338" s="5" t="str">
        <f aca="false">CONCATENATE(E338, "_",H338)</f>
        <v>NLA_2022_010_QC_C_1</v>
      </c>
      <c r="J338" s="5" t="s">
        <v>46</v>
      </c>
      <c r="K338" s="5" t="s">
        <v>223</v>
      </c>
      <c r="L338" s="8" t="s">
        <v>69</v>
      </c>
      <c r="M338" s="5" t="s">
        <v>46</v>
      </c>
      <c r="N338" s="5" t="s">
        <v>70</v>
      </c>
      <c r="O338" s="5" t="s">
        <v>46</v>
      </c>
      <c r="P338" s="5" t="s">
        <v>71</v>
      </c>
      <c r="Q338" s="5" t="s">
        <v>71</v>
      </c>
      <c r="R338" s="5" t="s">
        <v>72</v>
      </c>
      <c r="S338" s="5" t="s">
        <v>73</v>
      </c>
      <c r="T338" s="5" t="s">
        <v>46</v>
      </c>
      <c r="U338" s="5" t="n">
        <v>1000</v>
      </c>
      <c r="V338" s="1" t="n">
        <v>1</v>
      </c>
      <c r="W338" s="5"/>
      <c r="X338" s="5" t="s">
        <v>74</v>
      </c>
      <c r="Y338" s="1" t="n">
        <v>5500</v>
      </c>
      <c r="Z338" s="5" t="s">
        <v>394</v>
      </c>
      <c r="AA338" s="5" t="s">
        <v>395</v>
      </c>
      <c r="AB338" s="13" t="str">
        <f aca="true" t="array" ref="AB338:AB338">LEFT(AA338,LOOKUP(2^15,FIND(".",AA338,ROW(INDIRECT("1:"&amp;LEN(AA338)))))-1)</f>
        <v>NB_2022_043 - 15082022 - 1</v>
      </c>
      <c r="AC338" s="5" t="s">
        <v>396</v>
      </c>
      <c r="AD338" s="13" t="str">
        <f aca="true" t="array" ref="AD338:AD338">LEFT(AC338,LOOKUP(2^15,FIND(".",AC338,ROW(INDIRECT("1:"&amp;LEN(AC338)))))-1)</f>
        <v>NB_2022_043 - 15082022 - 2</v>
      </c>
      <c r="AE338" s="5" t="str">
        <f aca="false">CONCATENATE(AB338, "-",H338, ".mzML")</f>
        <v>NB_2022_043 - 15082022 - 1-QC_C_1.mzML</v>
      </c>
      <c r="AF338" s="5" t="str">
        <f aca="false">CONCATENATE(AD338, "-",H338, ".mzML")</f>
        <v>NB_2022_043 - 15082022 - 2-QC_C_1.mzML</v>
      </c>
    </row>
    <row r="339" s="20" customFormat="true" ht="15" hidden="false" customHeight="false" outlineLevel="0" collapsed="false">
      <c r="A339" s="3" t="s">
        <v>374</v>
      </c>
      <c r="B339" s="4"/>
      <c r="C339" s="3" t="s">
        <v>375</v>
      </c>
      <c r="D339" s="5" t="s">
        <v>13</v>
      </c>
      <c r="E339" s="5" t="s">
        <v>387</v>
      </c>
      <c r="F339" s="6" t="s">
        <v>388</v>
      </c>
      <c r="G339" s="5" t="s">
        <v>387</v>
      </c>
      <c r="H339" s="7" t="s">
        <v>75</v>
      </c>
      <c r="I339" s="5" t="str">
        <f aca="false">CONCATENATE(E339, "_",H339)</f>
        <v>NLA_2022_010_QC_C_2</v>
      </c>
      <c r="J339" s="5" t="s">
        <v>46</v>
      </c>
      <c r="K339" s="5" t="s">
        <v>223</v>
      </c>
      <c r="L339" s="8" t="s">
        <v>69</v>
      </c>
      <c r="M339" s="5" t="s">
        <v>46</v>
      </c>
      <c r="N339" s="5" t="s">
        <v>70</v>
      </c>
      <c r="O339" s="5" t="s">
        <v>46</v>
      </c>
      <c r="P339" s="5" t="s">
        <v>71</v>
      </c>
      <c r="Q339" s="5" t="s">
        <v>71</v>
      </c>
      <c r="R339" s="5" t="s">
        <v>72</v>
      </c>
      <c r="S339" s="5" t="s">
        <v>73</v>
      </c>
      <c r="T339" s="5" t="s">
        <v>46</v>
      </c>
      <c r="U339" s="5" t="n">
        <v>1000</v>
      </c>
      <c r="V339" s="1" t="n">
        <v>2</v>
      </c>
      <c r="W339" s="5"/>
      <c r="X339" s="5" t="s">
        <v>74</v>
      </c>
      <c r="Y339" s="5" t="n">
        <v>5500</v>
      </c>
      <c r="Z339" s="5" t="s">
        <v>394</v>
      </c>
      <c r="AA339" s="5" t="s">
        <v>395</v>
      </c>
      <c r="AB339" s="13" t="str">
        <f aca="true" t="array" ref="AB339:AB339">LEFT(AA339,LOOKUP(2^15,FIND(".",AA339,ROW(INDIRECT("1:"&amp;LEN(AA339)))))-1)</f>
        <v>NB_2022_043 - 15082022 - 1</v>
      </c>
      <c r="AC339" s="5" t="s">
        <v>396</v>
      </c>
      <c r="AD339" s="13" t="str">
        <f aca="true" t="array" ref="AD339:AD339">LEFT(AC339,LOOKUP(2^15,FIND(".",AC339,ROW(INDIRECT("1:"&amp;LEN(AC339)))))-1)</f>
        <v>NB_2022_043 - 15082022 - 2</v>
      </c>
      <c r="AE339" s="5" t="str">
        <f aca="false">CONCATENATE(AB339, "-",H339, ".mzML")</f>
        <v>NB_2022_043 - 15082022 - 1-QC_C_2.mzML</v>
      </c>
      <c r="AF339" s="5" t="str">
        <f aca="false">CONCATENATE(AD339, "-",H339, ".mzML")</f>
        <v>NB_2022_043 - 15082022 - 2-QC_C_2.mzML</v>
      </c>
    </row>
    <row r="340" s="20" customFormat="true" ht="15" hidden="false" customHeight="false" outlineLevel="0" collapsed="false">
      <c r="A340" s="3" t="s">
        <v>374</v>
      </c>
      <c r="B340" s="4"/>
      <c r="C340" s="3" t="s">
        <v>375</v>
      </c>
      <c r="D340" s="5" t="s">
        <v>13</v>
      </c>
      <c r="E340" s="5" t="s">
        <v>387</v>
      </c>
      <c r="F340" s="6" t="s">
        <v>388</v>
      </c>
      <c r="G340" s="5" t="s">
        <v>387</v>
      </c>
      <c r="H340" s="7" t="s">
        <v>76</v>
      </c>
      <c r="I340" s="5" t="str">
        <f aca="false">CONCATENATE(E340, "_",H340)</f>
        <v>NLA_2022_010_QC_C_3</v>
      </c>
      <c r="J340" s="5" t="s">
        <v>46</v>
      </c>
      <c r="K340" s="5" t="s">
        <v>223</v>
      </c>
      <c r="L340" s="8" t="s">
        <v>69</v>
      </c>
      <c r="M340" s="5" t="s">
        <v>46</v>
      </c>
      <c r="N340" s="5" t="s">
        <v>70</v>
      </c>
      <c r="O340" s="5" t="s">
        <v>46</v>
      </c>
      <c r="P340" s="5" t="s">
        <v>71</v>
      </c>
      <c r="Q340" s="5" t="s">
        <v>71</v>
      </c>
      <c r="R340" s="5" t="s">
        <v>72</v>
      </c>
      <c r="S340" s="5" t="s">
        <v>73</v>
      </c>
      <c r="T340" s="5" t="s">
        <v>46</v>
      </c>
      <c r="U340" s="5" t="n">
        <v>1000</v>
      </c>
      <c r="V340" s="1" t="n">
        <v>3</v>
      </c>
      <c r="W340" s="5"/>
      <c r="X340" s="5" t="s">
        <v>74</v>
      </c>
      <c r="Y340" s="1" t="n">
        <v>5500</v>
      </c>
      <c r="Z340" s="5" t="s">
        <v>394</v>
      </c>
      <c r="AA340" s="5" t="s">
        <v>395</v>
      </c>
      <c r="AB340" s="13" t="str">
        <f aca="true" t="array" ref="AB340:AB340">LEFT(AA340,LOOKUP(2^15,FIND(".",AA340,ROW(INDIRECT("1:"&amp;LEN(AA340)))))-1)</f>
        <v>NB_2022_043 - 15082022 - 1</v>
      </c>
      <c r="AC340" s="5" t="s">
        <v>396</v>
      </c>
      <c r="AD340" s="13" t="str">
        <f aca="true" t="array" ref="AD340:AD340">LEFT(AC340,LOOKUP(2^15,FIND(".",AC340,ROW(INDIRECT("1:"&amp;LEN(AC340)))))-1)</f>
        <v>NB_2022_043 - 15082022 - 2</v>
      </c>
      <c r="AE340" s="5" t="str">
        <f aca="false">CONCATENATE(AB340, "-",H340, ".mzML")</f>
        <v>NB_2022_043 - 15082022 - 1-QC_C_3.mzML</v>
      </c>
      <c r="AF340" s="5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3" t="s">
        <v>397</v>
      </c>
      <c r="B341" s="4"/>
      <c r="C341" s="3" t="s">
        <v>398</v>
      </c>
      <c r="D341" s="5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5" t="s">
        <v>158</v>
      </c>
      <c r="K341" s="5" t="s">
        <v>403</v>
      </c>
      <c r="L341" s="5" t="s">
        <v>69</v>
      </c>
      <c r="M341" s="5" t="s">
        <v>46</v>
      </c>
      <c r="N341" s="5" t="s">
        <v>404</v>
      </c>
      <c r="O341" s="5" t="s">
        <v>54</v>
      </c>
      <c r="P341" s="5" t="s">
        <v>405</v>
      </c>
      <c r="Q341" s="5" t="s">
        <v>46</v>
      </c>
      <c r="R341" s="5" t="s">
        <v>44</v>
      </c>
      <c r="S341" s="5" t="s">
        <v>46</v>
      </c>
      <c r="T341" s="5" t="s">
        <v>406</v>
      </c>
      <c r="U341" s="5" t="s">
        <v>46</v>
      </c>
      <c r="V341" s="5" t="n">
        <v>1</v>
      </c>
      <c r="W341" s="1" t="s">
        <v>407</v>
      </c>
      <c r="X341" s="5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3" t="s">
        <v>397</v>
      </c>
      <c r="B342" s="4"/>
      <c r="C342" s="3" t="s">
        <v>398</v>
      </c>
      <c r="D342" s="5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5" t="s">
        <v>166</v>
      </c>
      <c r="K342" s="5" t="s">
        <v>417</v>
      </c>
      <c r="L342" s="5" t="s">
        <v>69</v>
      </c>
      <c r="M342" s="5" t="s">
        <v>46</v>
      </c>
      <c r="N342" s="5" t="s">
        <v>404</v>
      </c>
      <c r="O342" s="5" t="s">
        <v>418</v>
      </c>
      <c r="P342" s="5" t="s">
        <v>405</v>
      </c>
      <c r="Q342" s="5" t="s">
        <v>46</v>
      </c>
      <c r="R342" s="5" t="s">
        <v>72</v>
      </c>
      <c r="S342" s="5" t="s">
        <v>46</v>
      </c>
      <c r="T342" s="5" t="s">
        <v>419</v>
      </c>
      <c r="U342" s="5" t="s">
        <v>46</v>
      </c>
      <c r="V342" s="5" t="n">
        <v>1</v>
      </c>
      <c r="W342" s="1" t="s">
        <v>420</v>
      </c>
      <c r="X342" s="5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3" t="s">
        <v>397</v>
      </c>
      <c r="B343" s="4"/>
      <c r="C343" s="3" t="s">
        <v>398</v>
      </c>
      <c r="D343" s="5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5" t="s">
        <v>158</v>
      </c>
      <c r="K343" s="5" t="s">
        <v>424</v>
      </c>
      <c r="L343" s="5" t="s">
        <v>69</v>
      </c>
      <c r="M343" s="5" t="s">
        <v>46</v>
      </c>
      <c r="N343" s="5" t="s">
        <v>404</v>
      </c>
      <c r="O343" s="5" t="s">
        <v>54</v>
      </c>
      <c r="P343" s="5" t="s">
        <v>405</v>
      </c>
      <c r="Q343" s="5" t="s">
        <v>46</v>
      </c>
      <c r="R343" s="5" t="s">
        <v>44</v>
      </c>
      <c r="S343" s="5" t="s">
        <v>46</v>
      </c>
      <c r="T343" s="5" t="s">
        <v>406</v>
      </c>
      <c r="U343" s="5" t="s">
        <v>46</v>
      </c>
      <c r="V343" s="5" t="n">
        <v>1</v>
      </c>
      <c r="W343" s="1" t="s">
        <v>425</v>
      </c>
      <c r="X343" s="5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3" t="s">
        <v>397</v>
      </c>
      <c r="B344" s="4"/>
      <c r="C344" s="3" t="s">
        <v>398</v>
      </c>
      <c r="D344" s="5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5" t="s">
        <v>166</v>
      </c>
      <c r="K344" s="5" t="s">
        <v>429</v>
      </c>
      <c r="L344" s="5" t="s">
        <v>69</v>
      </c>
      <c r="M344" s="5" t="s">
        <v>46</v>
      </c>
      <c r="N344" s="5" t="s">
        <v>404</v>
      </c>
      <c r="O344" s="5" t="s">
        <v>430</v>
      </c>
      <c r="P344" s="5" t="s">
        <v>405</v>
      </c>
      <c r="Q344" s="5" t="s">
        <v>46</v>
      </c>
      <c r="R344" s="5" t="s">
        <v>44</v>
      </c>
      <c r="S344" s="5" t="s">
        <v>46</v>
      </c>
      <c r="T344" s="5" t="s">
        <v>419</v>
      </c>
      <c r="U344" s="5" t="s">
        <v>46</v>
      </c>
      <c r="V344" s="5" t="n">
        <v>1</v>
      </c>
      <c r="W344" s="1" t="s">
        <v>431</v>
      </c>
      <c r="X344" s="5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3" t="s">
        <v>397</v>
      </c>
      <c r="B345" s="4"/>
      <c r="C345" s="3" t="s">
        <v>398</v>
      </c>
      <c r="D345" s="5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5" t="s">
        <v>166</v>
      </c>
      <c r="K345" s="5" t="s">
        <v>435</v>
      </c>
      <c r="L345" s="5" t="s">
        <v>69</v>
      </c>
      <c r="M345" s="5" t="s">
        <v>46</v>
      </c>
      <c r="N345" s="5" t="s">
        <v>404</v>
      </c>
      <c r="O345" s="5" t="s">
        <v>418</v>
      </c>
      <c r="P345" s="5" t="s">
        <v>405</v>
      </c>
      <c r="Q345" s="5" t="s">
        <v>46</v>
      </c>
      <c r="R345" s="5" t="s">
        <v>72</v>
      </c>
      <c r="S345" s="5" t="s">
        <v>46</v>
      </c>
      <c r="T345" s="5" t="s">
        <v>419</v>
      </c>
      <c r="U345" s="5" t="s">
        <v>46</v>
      </c>
      <c r="V345" s="5" t="n">
        <v>1</v>
      </c>
      <c r="W345" s="1" t="s">
        <v>436</v>
      </c>
      <c r="X345" s="5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3" t="s">
        <v>397</v>
      </c>
      <c r="B346" s="4"/>
      <c r="C346" s="3" t="s">
        <v>398</v>
      </c>
      <c r="D346" s="5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5" t="s">
        <v>166</v>
      </c>
      <c r="K346" s="5" t="s">
        <v>441</v>
      </c>
      <c r="L346" s="5" t="s">
        <v>69</v>
      </c>
      <c r="M346" s="5" t="s">
        <v>46</v>
      </c>
      <c r="N346" s="5" t="s">
        <v>404</v>
      </c>
      <c r="O346" s="5" t="s">
        <v>42</v>
      </c>
      <c r="P346" s="5" t="s">
        <v>405</v>
      </c>
      <c r="Q346" s="5" t="s">
        <v>46</v>
      </c>
      <c r="R346" s="5" t="s">
        <v>72</v>
      </c>
      <c r="S346" s="5" t="s">
        <v>46</v>
      </c>
      <c r="T346" s="5" t="s">
        <v>419</v>
      </c>
      <c r="U346" s="5" t="s">
        <v>46</v>
      </c>
      <c r="V346" s="5" t="n">
        <v>1</v>
      </c>
      <c r="W346" s="1" t="s">
        <v>442</v>
      </c>
      <c r="X346" s="5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3" t="s">
        <v>397</v>
      </c>
      <c r="B347" s="4"/>
      <c r="C347" s="3" t="s">
        <v>398</v>
      </c>
      <c r="D347" s="5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5" t="s">
        <v>158</v>
      </c>
      <c r="K347" s="5" t="s">
        <v>447</v>
      </c>
      <c r="L347" s="5" t="s">
        <v>69</v>
      </c>
      <c r="M347" s="5" t="s">
        <v>46</v>
      </c>
      <c r="N347" s="5" t="s">
        <v>404</v>
      </c>
      <c r="O347" s="5" t="s">
        <v>42</v>
      </c>
      <c r="P347" s="5" t="s">
        <v>405</v>
      </c>
      <c r="Q347" s="5" t="s">
        <v>46</v>
      </c>
      <c r="R347" s="5" t="s">
        <v>72</v>
      </c>
      <c r="S347" s="5" t="s">
        <v>46</v>
      </c>
      <c r="T347" s="5" t="s">
        <v>406</v>
      </c>
      <c r="U347" s="5" t="s">
        <v>46</v>
      </c>
      <c r="V347" s="5" t="n">
        <v>1</v>
      </c>
      <c r="W347" s="1" t="s">
        <v>448</v>
      </c>
      <c r="X347" s="5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3" t="s">
        <v>397</v>
      </c>
      <c r="B348" s="4"/>
      <c r="C348" s="3" t="s">
        <v>398</v>
      </c>
      <c r="D348" s="5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5" t="s">
        <v>158</v>
      </c>
      <c r="K348" s="5" t="s">
        <v>64</v>
      </c>
      <c r="L348" s="5" t="s">
        <v>46</v>
      </c>
      <c r="M348" s="5" t="s">
        <v>46</v>
      </c>
      <c r="N348" s="5" t="s">
        <v>65</v>
      </c>
      <c r="O348" s="5" t="s">
        <v>46</v>
      </c>
      <c r="P348" s="5" t="s">
        <v>46</v>
      </c>
      <c r="Q348" s="5" t="s">
        <v>46</v>
      </c>
      <c r="R348" s="5" t="s">
        <v>46</v>
      </c>
      <c r="S348" s="5" t="s">
        <v>46</v>
      </c>
      <c r="T348" s="5" t="s">
        <v>46</v>
      </c>
      <c r="U348" s="5" t="s">
        <v>46</v>
      </c>
      <c r="V348" s="5" t="n">
        <v>1</v>
      </c>
      <c r="X348" s="5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3" t="s">
        <v>397</v>
      </c>
      <c r="B349" s="4"/>
      <c r="C349" s="3" t="s">
        <v>398</v>
      </c>
      <c r="D349" s="5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5" t="s">
        <v>158</v>
      </c>
      <c r="K349" s="5" t="s">
        <v>66</v>
      </c>
      <c r="L349" s="5" t="s">
        <v>46</v>
      </c>
      <c r="M349" s="5" t="s">
        <v>46</v>
      </c>
      <c r="N349" s="5" t="s">
        <v>65</v>
      </c>
      <c r="O349" s="5" t="s">
        <v>46</v>
      </c>
      <c r="P349" s="5" t="s">
        <v>46</v>
      </c>
      <c r="Q349" s="5" t="s">
        <v>46</v>
      </c>
      <c r="R349" s="5" t="s">
        <v>46</v>
      </c>
      <c r="S349" s="5" t="s">
        <v>46</v>
      </c>
      <c r="T349" s="5" t="s">
        <v>46</v>
      </c>
      <c r="U349" s="5" t="s">
        <v>46</v>
      </c>
      <c r="V349" s="5" t="n">
        <v>2</v>
      </c>
      <c r="X349" s="5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3" t="s">
        <v>397</v>
      </c>
      <c r="B350" s="4"/>
      <c r="C350" s="3" t="s">
        <v>398</v>
      </c>
      <c r="D350" s="5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5" t="s">
        <v>158</v>
      </c>
      <c r="K350" s="5" t="s">
        <v>67</v>
      </c>
      <c r="L350" s="5" t="s">
        <v>46</v>
      </c>
      <c r="M350" s="5" t="s">
        <v>46</v>
      </c>
      <c r="N350" s="5" t="s">
        <v>65</v>
      </c>
      <c r="O350" s="5" t="s">
        <v>46</v>
      </c>
      <c r="P350" s="5" t="s">
        <v>46</v>
      </c>
      <c r="Q350" s="5" t="s">
        <v>46</v>
      </c>
      <c r="R350" s="5" t="s">
        <v>46</v>
      </c>
      <c r="S350" s="5" t="s">
        <v>46</v>
      </c>
      <c r="T350" s="5" t="s">
        <v>46</v>
      </c>
      <c r="U350" s="5" t="s">
        <v>46</v>
      </c>
      <c r="V350" s="5" t="n">
        <v>3</v>
      </c>
      <c r="X350" s="5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3" t="s">
        <v>397</v>
      </c>
      <c r="B351" s="4"/>
      <c r="C351" s="3" t="s">
        <v>398</v>
      </c>
      <c r="D351" s="5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5" t="s">
        <v>158</v>
      </c>
      <c r="K351" s="5" t="s">
        <v>221</v>
      </c>
      <c r="L351" s="5" t="s">
        <v>46</v>
      </c>
      <c r="M351" s="5" t="s">
        <v>46</v>
      </c>
      <c r="N351" s="5" t="s">
        <v>65</v>
      </c>
      <c r="O351" s="5" t="s">
        <v>46</v>
      </c>
      <c r="P351" s="5" t="s">
        <v>46</v>
      </c>
      <c r="Q351" s="5" t="s">
        <v>46</v>
      </c>
      <c r="R351" s="5" t="s">
        <v>46</v>
      </c>
      <c r="S351" s="5" t="s">
        <v>46</v>
      </c>
      <c r="T351" s="5" t="s">
        <v>46</v>
      </c>
      <c r="U351" s="5" t="s">
        <v>46</v>
      </c>
      <c r="V351" s="5" t="n">
        <v>4</v>
      </c>
      <c r="X351" s="5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3" t="s">
        <v>397</v>
      </c>
      <c r="B352" s="4"/>
      <c r="C352" s="3" t="s">
        <v>398</v>
      </c>
      <c r="D352" s="5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5" t="s">
        <v>158</v>
      </c>
      <c r="K352" s="5" t="s">
        <v>463</v>
      </c>
      <c r="L352" s="5" t="s">
        <v>69</v>
      </c>
      <c r="M352" s="5" t="s">
        <v>46</v>
      </c>
      <c r="N352" s="5" t="s">
        <v>465</v>
      </c>
      <c r="O352" s="5" t="s">
        <v>81</v>
      </c>
      <c r="P352" s="5" t="s">
        <v>81</v>
      </c>
      <c r="Q352" s="5" t="s">
        <v>81</v>
      </c>
      <c r="R352" s="5" t="s">
        <v>81</v>
      </c>
      <c r="S352" s="5" t="s">
        <v>46</v>
      </c>
      <c r="T352" s="5" t="s">
        <v>81</v>
      </c>
      <c r="U352" s="5" t="s">
        <v>46</v>
      </c>
      <c r="V352" s="5" t="n">
        <v>1</v>
      </c>
      <c r="X352" s="5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3" t="s">
        <v>397</v>
      </c>
      <c r="B353" s="4"/>
      <c r="C353" s="3" t="s">
        <v>398</v>
      </c>
      <c r="D353" s="5" t="s">
        <v>19</v>
      </c>
      <c r="E353" s="5" t="s">
        <v>399</v>
      </c>
      <c r="F353" s="5" t="s">
        <v>400</v>
      </c>
      <c r="G353" s="5" t="s">
        <v>399</v>
      </c>
      <c r="H353" s="6" t="s">
        <v>468</v>
      </c>
      <c r="I353" s="5" t="s">
        <v>469</v>
      </c>
      <c r="J353" s="1" t="s">
        <v>158</v>
      </c>
      <c r="K353" s="5" t="s">
        <v>468</v>
      </c>
      <c r="L353" s="5" t="s">
        <v>69</v>
      </c>
      <c r="M353" s="5" t="s">
        <v>46</v>
      </c>
      <c r="N353" s="5" t="s">
        <v>465</v>
      </c>
      <c r="O353" s="5" t="s">
        <v>81</v>
      </c>
      <c r="P353" s="5" t="s">
        <v>81</v>
      </c>
      <c r="Q353" s="5" t="s">
        <v>81</v>
      </c>
      <c r="R353" s="5" t="s">
        <v>81</v>
      </c>
      <c r="S353" s="5" t="s">
        <v>46</v>
      </c>
      <c r="T353" s="5" t="s">
        <v>81</v>
      </c>
      <c r="U353" s="5" t="s">
        <v>46</v>
      </c>
      <c r="V353" s="5" t="n">
        <v>2</v>
      </c>
      <c r="X353" s="5" t="s">
        <v>408</v>
      </c>
      <c r="Y353" s="5" t="n">
        <v>5500</v>
      </c>
      <c r="Z353" s="5" t="s">
        <v>409</v>
      </c>
      <c r="AA353" s="5" t="s">
        <v>410</v>
      </c>
      <c r="AB353" s="5" t="s">
        <v>411</v>
      </c>
      <c r="AC353" s="5" t="s">
        <v>412</v>
      </c>
      <c r="AD353" s="1" t="s">
        <v>413</v>
      </c>
      <c r="AE353" s="5" t="s">
        <v>470</v>
      </c>
      <c r="AF353" s="5" t="s">
        <v>471</v>
      </c>
    </row>
    <row r="354" customFormat="false" ht="14.9" hidden="false" customHeight="false" outlineLevel="0" collapsed="false">
      <c r="A354" s="3" t="s">
        <v>397</v>
      </c>
      <c r="B354" s="4"/>
      <c r="C354" s="3" t="s">
        <v>398</v>
      </c>
      <c r="D354" s="5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5" t="s">
        <v>158</v>
      </c>
      <c r="K354" s="5" t="s">
        <v>472</v>
      </c>
      <c r="L354" s="5" t="s">
        <v>69</v>
      </c>
      <c r="M354" s="5" t="s">
        <v>46</v>
      </c>
      <c r="N354" s="5" t="s">
        <v>465</v>
      </c>
      <c r="O354" s="5" t="s">
        <v>81</v>
      </c>
      <c r="P354" s="5" t="s">
        <v>81</v>
      </c>
      <c r="Q354" s="5" t="s">
        <v>81</v>
      </c>
      <c r="R354" s="5" t="s">
        <v>81</v>
      </c>
      <c r="S354" s="5" t="s">
        <v>46</v>
      </c>
      <c r="T354" s="5" t="s">
        <v>81</v>
      </c>
      <c r="U354" s="5" t="s">
        <v>46</v>
      </c>
      <c r="V354" s="5" t="n">
        <v>3</v>
      </c>
      <c r="X354" s="5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3" t="s">
        <v>397</v>
      </c>
      <c r="B355" s="4"/>
      <c r="C355" s="3" t="s">
        <v>398</v>
      </c>
      <c r="D355" s="5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5" t="s">
        <v>158</v>
      </c>
      <c r="K355" s="5" t="s">
        <v>476</v>
      </c>
      <c r="L355" s="5" t="s">
        <v>69</v>
      </c>
      <c r="M355" s="5" t="s">
        <v>46</v>
      </c>
      <c r="N355" s="5" t="s">
        <v>465</v>
      </c>
      <c r="O355" s="5" t="s">
        <v>81</v>
      </c>
      <c r="P355" s="5" t="s">
        <v>81</v>
      </c>
      <c r="Q355" s="5" t="s">
        <v>81</v>
      </c>
      <c r="R355" s="5" t="s">
        <v>81</v>
      </c>
      <c r="S355" s="5" t="s">
        <v>46</v>
      </c>
      <c r="T355" s="5" t="s">
        <v>81</v>
      </c>
      <c r="U355" s="5" t="s">
        <v>46</v>
      </c>
      <c r="V355" s="5" t="n">
        <v>4</v>
      </c>
      <c r="X355" s="5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3" t="s">
        <v>397</v>
      </c>
      <c r="B356" s="4"/>
      <c r="C356" s="3" t="s">
        <v>398</v>
      </c>
      <c r="D356" s="5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5" t="s">
        <v>158</v>
      </c>
      <c r="K356" s="5" t="s">
        <v>348</v>
      </c>
      <c r="L356" s="5" t="s">
        <v>69</v>
      </c>
      <c r="M356" s="5" t="s">
        <v>46</v>
      </c>
      <c r="N356" s="5" t="s">
        <v>70</v>
      </c>
      <c r="O356" s="5" t="s">
        <v>46</v>
      </c>
      <c r="P356" s="5" t="s">
        <v>71</v>
      </c>
      <c r="Q356" s="5" t="s">
        <v>71</v>
      </c>
      <c r="R356" s="5" t="s">
        <v>72</v>
      </c>
      <c r="S356" s="5" t="s">
        <v>73</v>
      </c>
      <c r="T356" s="5" t="s">
        <v>46</v>
      </c>
      <c r="U356" s="5" t="n">
        <v>1000</v>
      </c>
      <c r="V356" s="5" t="n">
        <v>1</v>
      </c>
      <c r="W356" s="5"/>
      <c r="X356" s="5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3" t="s">
        <v>397</v>
      </c>
      <c r="B357" s="4"/>
      <c r="C357" s="3" t="s">
        <v>398</v>
      </c>
      <c r="D357" s="5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5" t="s">
        <v>158</v>
      </c>
      <c r="K357" s="5" t="s">
        <v>349</v>
      </c>
      <c r="L357" s="5" t="s">
        <v>69</v>
      </c>
      <c r="M357" s="5" t="s">
        <v>46</v>
      </c>
      <c r="N357" s="5" t="s">
        <v>70</v>
      </c>
      <c r="O357" s="5" t="s">
        <v>46</v>
      </c>
      <c r="P357" s="5" t="s">
        <v>71</v>
      </c>
      <c r="Q357" s="5" t="s">
        <v>71</v>
      </c>
      <c r="R357" s="5" t="s">
        <v>72</v>
      </c>
      <c r="S357" s="5" t="s">
        <v>73</v>
      </c>
      <c r="T357" s="5" t="s">
        <v>46</v>
      </c>
      <c r="U357" s="5" t="n">
        <v>1000</v>
      </c>
      <c r="V357" s="5" t="n">
        <v>2</v>
      </c>
      <c r="W357" s="5"/>
      <c r="X357" s="5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3" t="s">
        <v>397</v>
      </c>
      <c r="B358" s="4"/>
      <c r="C358" s="3" t="s">
        <v>398</v>
      </c>
      <c r="D358" s="5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5" t="s">
        <v>158</v>
      </c>
      <c r="K358" s="5" t="s">
        <v>350</v>
      </c>
      <c r="L358" s="5" t="s">
        <v>69</v>
      </c>
      <c r="M358" s="5" t="s">
        <v>46</v>
      </c>
      <c r="N358" s="5" t="s">
        <v>70</v>
      </c>
      <c r="O358" s="5" t="s">
        <v>46</v>
      </c>
      <c r="P358" s="5" t="s">
        <v>71</v>
      </c>
      <c r="Q358" s="5" t="s">
        <v>71</v>
      </c>
      <c r="R358" s="5" t="s">
        <v>72</v>
      </c>
      <c r="S358" s="5" t="s">
        <v>73</v>
      </c>
      <c r="T358" s="5" t="s">
        <v>46</v>
      </c>
      <c r="U358" s="5" t="n">
        <v>1000</v>
      </c>
      <c r="V358" s="5" t="n">
        <v>3</v>
      </c>
      <c r="W358" s="5"/>
      <c r="X358" s="5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3" t="s">
        <v>397</v>
      </c>
      <c r="B359" s="4"/>
      <c r="C359" s="3" t="s">
        <v>398</v>
      </c>
      <c r="D359" s="5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5" t="s">
        <v>158</v>
      </c>
      <c r="K359" s="5" t="s">
        <v>351</v>
      </c>
      <c r="L359" s="5" t="s">
        <v>69</v>
      </c>
      <c r="M359" s="5" t="s">
        <v>46</v>
      </c>
      <c r="N359" s="5" t="s">
        <v>70</v>
      </c>
      <c r="O359" s="5" t="s">
        <v>46</v>
      </c>
      <c r="P359" s="5" t="s">
        <v>71</v>
      </c>
      <c r="Q359" s="5" t="s">
        <v>71</v>
      </c>
      <c r="R359" s="5" t="s">
        <v>72</v>
      </c>
      <c r="S359" s="5" t="s">
        <v>73</v>
      </c>
      <c r="T359" s="5" t="s">
        <v>46</v>
      </c>
      <c r="U359" s="5" t="n">
        <v>1000</v>
      </c>
      <c r="V359" s="5" t="n">
        <v>4</v>
      </c>
      <c r="W359" s="5"/>
      <c r="X359" s="5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3" t="s">
        <v>397</v>
      </c>
      <c r="B360" s="4"/>
      <c r="C360" s="3" t="s">
        <v>398</v>
      </c>
      <c r="D360" s="5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5" t="s">
        <v>158</v>
      </c>
      <c r="K360" s="5" t="s">
        <v>496</v>
      </c>
      <c r="L360" s="5" t="s">
        <v>69</v>
      </c>
      <c r="M360" s="5" t="s">
        <v>46</v>
      </c>
      <c r="N360" s="5" t="s">
        <v>404</v>
      </c>
      <c r="O360" s="5" t="s">
        <v>42</v>
      </c>
      <c r="P360" s="5" t="s">
        <v>405</v>
      </c>
      <c r="Q360" s="5" t="s">
        <v>46</v>
      </c>
      <c r="R360" s="5" t="s">
        <v>44</v>
      </c>
      <c r="S360" s="5" t="s">
        <v>46</v>
      </c>
      <c r="T360" s="5" t="s">
        <v>406</v>
      </c>
      <c r="U360" s="5" t="s">
        <v>46</v>
      </c>
      <c r="V360" s="5" t="n">
        <v>1</v>
      </c>
      <c r="W360" s="5" t="s">
        <v>497</v>
      </c>
      <c r="X360" s="5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3" t="s">
        <v>397</v>
      </c>
      <c r="B361" s="4"/>
      <c r="C361" s="3" t="s">
        <v>398</v>
      </c>
      <c r="D361" s="5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5" t="s">
        <v>158</v>
      </c>
      <c r="K361" s="5" t="s">
        <v>507</v>
      </c>
      <c r="L361" s="5" t="s">
        <v>69</v>
      </c>
      <c r="M361" s="5" t="s">
        <v>46</v>
      </c>
      <c r="N361" s="5" t="s">
        <v>404</v>
      </c>
      <c r="O361" s="5" t="s">
        <v>42</v>
      </c>
      <c r="P361" s="5" t="s">
        <v>405</v>
      </c>
      <c r="Q361" s="5" t="s">
        <v>46</v>
      </c>
      <c r="R361" s="5" t="s">
        <v>72</v>
      </c>
      <c r="S361" s="5" t="s">
        <v>46</v>
      </c>
      <c r="T361" s="5" t="s">
        <v>406</v>
      </c>
      <c r="U361" s="5" t="s">
        <v>46</v>
      </c>
      <c r="V361" s="5" t="n">
        <v>1</v>
      </c>
      <c r="W361" s="1" t="s">
        <v>508</v>
      </c>
      <c r="X361" s="5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3" t="s">
        <v>397</v>
      </c>
      <c r="B362" s="4"/>
      <c r="C362" s="3" t="s">
        <v>398</v>
      </c>
      <c r="D362" s="5" t="s">
        <v>19</v>
      </c>
      <c r="E362" s="5" t="s">
        <v>492</v>
      </c>
      <c r="F362" s="5" t="s">
        <v>493</v>
      </c>
      <c r="G362" s="5" t="s">
        <v>401</v>
      </c>
      <c r="H362" s="6" t="s">
        <v>511</v>
      </c>
      <c r="I362" s="5" t="s">
        <v>512</v>
      </c>
      <c r="J362" s="5" t="s">
        <v>158</v>
      </c>
      <c r="K362" s="5" t="s">
        <v>513</v>
      </c>
      <c r="L362" s="5" t="s">
        <v>69</v>
      </c>
      <c r="M362" s="5" t="s">
        <v>46</v>
      </c>
      <c r="N362" s="5" t="s">
        <v>404</v>
      </c>
      <c r="O362" s="5" t="s">
        <v>42</v>
      </c>
      <c r="P362" s="5" t="s">
        <v>405</v>
      </c>
      <c r="Q362" s="5" t="s">
        <v>46</v>
      </c>
      <c r="R362" s="5" t="s">
        <v>72</v>
      </c>
      <c r="S362" s="5" t="s">
        <v>46</v>
      </c>
      <c r="T362" s="5" t="s">
        <v>406</v>
      </c>
      <c r="U362" s="5" t="s">
        <v>46</v>
      </c>
      <c r="V362" s="5" t="n">
        <v>1</v>
      </c>
      <c r="W362" s="1" t="s">
        <v>514</v>
      </c>
      <c r="X362" s="5" t="s">
        <v>408</v>
      </c>
      <c r="Y362" s="5" t="n">
        <v>5500</v>
      </c>
      <c r="Z362" s="5" t="s">
        <v>498</v>
      </c>
      <c r="AA362" s="5" t="s">
        <v>499</v>
      </c>
      <c r="AB362" s="5" t="s">
        <v>500</v>
      </c>
      <c r="AC362" s="5" t="s">
        <v>501</v>
      </c>
      <c r="AD362" s="1" t="s">
        <v>502</v>
      </c>
      <c r="AE362" s="5" t="s">
        <v>515</v>
      </c>
      <c r="AF362" s="5" t="s">
        <v>516</v>
      </c>
    </row>
    <row r="363" customFormat="false" ht="14.9" hidden="false" customHeight="false" outlineLevel="0" collapsed="false">
      <c r="A363" s="3" t="s">
        <v>397</v>
      </c>
      <c r="B363" s="4"/>
      <c r="C363" s="3" t="s">
        <v>398</v>
      </c>
      <c r="D363" s="5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5" t="s">
        <v>166</v>
      </c>
      <c r="K363" s="5" t="s">
        <v>519</v>
      </c>
      <c r="L363" s="5" t="s">
        <v>69</v>
      </c>
      <c r="M363" s="5" t="s">
        <v>46</v>
      </c>
      <c r="N363" s="5" t="s">
        <v>404</v>
      </c>
      <c r="O363" s="5" t="s">
        <v>42</v>
      </c>
      <c r="P363" s="5" t="s">
        <v>405</v>
      </c>
      <c r="Q363" s="5" t="s">
        <v>46</v>
      </c>
      <c r="R363" s="5" t="s">
        <v>44</v>
      </c>
      <c r="S363" s="5" t="s">
        <v>46</v>
      </c>
      <c r="T363" s="5" t="s">
        <v>419</v>
      </c>
      <c r="U363" s="5" t="s">
        <v>46</v>
      </c>
      <c r="V363" s="5" t="n">
        <v>1</v>
      </c>
      <c r="W363" s="1" t="s">
        <v>520</v>
      </c>
      <c r="X363" s="5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3" t="s">
        <v>397</v>
      </c>
      <c r="B364" s="4"/>
      <c r="C364" s="3" t="s">
        <v>398</v>
      </c>
      <c r="D364" s="5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5" t="s">
        <v>166</v>
      </c>
      <c r="K364" s="5" t="s">
        <v>525</v>
      </c>
      <c r="L364" s="5" t="s">
        <v>69</v>
      </c>
      <c r="M364" s="5" t="s">
        <v>46</v>
      </c>
      <c r="N364" s="5" t="s">
        <v>404</v>
      </c>
      <c r="O364" s="5" t="s">
        <v>526</v>
      </c>
      <c r="P364" s="5" t="s">
        <v>405</v>
      </c>
      <c r="Q364" s="5" t="s">
        <v>46</v>
      </c>
      <c r="R364" s="5" t="s">
        <v>72</v>
      </c>
      <c r="S364" s="5" t="s">
        <v>46</v>
      </c>
      <c r="T364" s="5" t="s">
        <v>419</v>
      </c>
      <c r="U364" s="5" t="s">
        <v>46</v>
      </c>
      <c r="V364" s="5" t="n">
        <v>1</v>
      </c>
      <c r="W364" s="1" t="s">
        <v>527</v>
      </c>
      <c r="X364" s="5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3" t="s">
        <v>397</v>
      </c>
      <c r="B365" s="4"/>
      <c r="C365" s="3" t="s">
        <v>398</v>
      </c>
      <c r="D365" s="5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5" t="s">
        <v>64</v>
      </c>
      <c r="L365" s="5" t="s">
        <v>46</v>
      </c>
      <c r="M365" s="5" t="s">
        <v>46</v>
      </c>
      <c r="N365" s="5" t="s">
        <v>65</v>
      </c>
      <c r="O365" s="5" t="s">
        <v>46</v>
      </c>
      <c r="P365" s="5" t="s">
        <v>46</v>
      </c>
      <c r="Q365" s="5" t="s">
        <v>46</v>
      </c>
      <c r="R365" s="5" t="s">
        <v>46</v>
      </c>
      <c r="S365" s="5" t="s">
        <v>46</v>
      </c>
      <c r="T365" s="5" t="s">
        <v>46</v>
      </c>
      <c r="U365" s="5" t="s">
        <v>46</v>
      </c>
      <c r="V365" s="5" t="n">
        <v>1</v>
      </c>
      <c r="X365" s="5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3" t="s">
        <v>397</v>
      </c>
      <c r="B366" s="4"/>
      <c r="C366" s="3" t="s">
        <v>398</v>
      </c>
      <c r="D366" s="5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5" t="s">
        <v>66</v>
      </c>
      <c r="L366" s="5" t="s">
        <v>46</v>
      </c>
      <c r="M366" s="5" t="s">
        <v>46</v>
      </c>
      <c r="N366" s="5" t="s">
        <v>65</v>
      </c>
      <c r="O366" s="5" t="s">
        <v>46</v>
      </c>
      <c r="P366" s="5" t="s">
        <v>46</v>
      </c>
      <c r="Q366" s="5" t="s">
        <v>46</v>
      </c>
      <c r="R366" s="5" t="s">
        <v>46</v>
      </c>
      <c r="S366" s="5" t="s">
        <v>46</v>
      </c>
      <c r="T366" s="5" t="s">
        <v>46</v>
      </c>
      <c r="U366" s="5" t="s">
        <v>46</v>
      </c>
      <c r="V366" s="5" t="n">
        <v>2</v>
      </c>
      <c r="X366" s="5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3" t="s">
        <v>397</v>
      </c>
      <c r="B367" s="4"/>
      <c r="C367" s="3" t="s">
        <v>398</v>
      </c>
      <c r="D367" s="5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5" t="s">
        <v>67</v>
      </c>
      <c r="L367" s="5" t="s">
        <v>46</v>
      </c>
      <c r="M367" s="5" t="s">
        <v>46</v>
      </c>
      <c r="N367" s="5" t="s">
        <v>65</v>
      </c>
      <c r="O367" s="5" t="s">
        <v>46</v>
      </c>
      <c r="P367" s="5" t="s">
        <v>46</v>
      </c>
      <c r="Q367" s="5" t="s">
        <v>46</v>
      </c>
      <c r="R367" s="5" t="s">
        <v>46</v>
      </c>
      <c r="S367" s="5" t="s">
        <v>46</v>
      </c>
      <c r="T367" s="5" t="s">
        <v>46</v>
      </c>
      <c r="U367" s="5" t="s">
        <v>46</v>
      </c>
      <c r="V367" s="5" t="n">
        <v>3</v>
      </c>
      <c r="X367" s="5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3" t="s">
        <v>397</v>
      </c>
      <c r="B368" s="4"/>
      <c r="C368" s="3" t="s">
        <v>398</v>
      </c>
      <c r="D368" s="5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5" t="s">
        <v>221</v>
      </c>
      <c r="L368" s="5" t="s">
        <v>46</v>
      </c>
      <c r="M368" s="5" t="s">
        <v>46</v>
      </c>
      <c r="N368" s="5" t="s">
        <v>65</v>
      </c>
      <c r="O368" s="5" t="s">
        <v>46</v>
      </c>
      <c r="P368" s="5" t="s">
        <v>46</v>
      </c>
      <c r="Q368" s="5" t="s">
        <v>46</v>
      </c>
      <c r="R368" s="5" t="s">
        <v>46</v>
      </c>
      <c r="S368" s="5" t="s">
        <v>46</v>
      </c>
      <c r="T368" s="5" t="s">
        <v>46</v>
      </c>
      <c r="U368" s="5" t="s">
        <v>46</v>
      </c>
      <c r="V368" s="5" t="n">
        <v>4</v>
      </c>
      <c r="X368" s="5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3" t="s">
        <v>397</v>
      </c>
      <c r="B369" s="4"/>
      <c r="C369" s="3" t="s">
        <v>398</v>
      </c>
      <c r="D369" s="5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5" t="s">
        <v>463</v>
      </c>
      <c r="L369" s="5" t="s">
        <v>69</v>
      </c>
      <c r="M369" s="5" t="s">
        <v>46</v>
      </c>
      <c r="N369" s="5" t="s">
        <v>465</v>
      </c>
      <c r="O369" s="5" t="s">
        <v>81</v>
      </c>
      <c r="P369" s="5" t="s">
        <v>81</v>
      </c>
      <c r="Q369" s="5" t="s">
        <v>81</v>
      </c>
      <c r="R369" s="5" t="s">
        <v>81</v>
      </c>
      <c r="S369" s="5" t="s">
        <v>46</v>
      </c>
      <c r="T369" s="5" t="s">
        <v>81</v>
      </c>
      <c r="U369" s="5" t="s">
        <v>46</v>
      </c>
      <c r="V369" s="5" t="n">
        <v>1</v>
      </c>
      <c r="X369" s="5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3" t="s">
        <v>397</v>
      </c>
      <c r="B370" s="4"/>
      <c r="C370" s="3" t="s">
        <v>398</v>
      </c>
      <c r="D370" s="5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5" t="s">
        <v>468</v>
      </c>
      <c r="L370" s="5" t="s">
        <v>69</v>
      </c>
      <c r="M370" s="5" t="s">
        <v>46</v>
      </c>
      <c r="N370" s="5" t="s">
        <v>465</v>
      </c>
      <c r="O370" s="5" t="s">
        <v>81</v>
      </c>
      <c r="P370" s="5" t="s">
        <v>81</v>
      </c>
      <c r="Q370" s="5" t="s">
        <v>81</v>
      </c>
      <c r="R370" s="5" t="s">
        <v>81</v>
      </c>
      <c r="S370" s="5" t="s">
        <v>46</v>
      </c>
      <c r="T370" s="5" t="s">
        <v>81</v>
      </c>
      <c r="U370" s="5" t="s">
        <v>46</v>
      </c>
      <c r="V370" s="5" t="n">
        <v>2</v>
      </c>
      <c r="X370" s="5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3" t="s">
        <v>397</v>
      </c>
      <c r="B371" s="4"/>
      <c r="C371" s="3" t="s">
        <v>398</v>
      </c>
      <c r="D371" s="5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5" t="s">
        <v>472</v>
      </c>
      <c r="L371" s="5" t="s">
        <v>69</v>
      </c>
      <c r="M371" s="5" t="s">
        <v>46</v>
      </c>
      <c r="N371" s="5" t="s">
        <v>465</v>
      </c>
      <c r="O371" s="5" t="s">
        <v>81</v>
      </c>
      <c r="P371" s="5" t="s">
        <v>81</v>
      </c>
      <c r="Q371" s="5" t="s">
        <v>81</v>
      </c>
      <c r="R371" s="5" t="s">
        <v>81</v>
      </c>
      <c r="S371" s="5" t="s">
        <v>46</v>
      </c>
      <c r="T371" s="5" t="s">
        <v>81</v>
      </c>
      <c r="U371" s="5" t="s">
        <v>46</v>
      </c>
      <c r="V371" s="5" t="n">
        <v>3</v>
      </c>
      <c r="X371" s="5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3" t="s">
        <v>397</v>
      </c>
      <c r="B372" s="4"/>
      <c r="C372" s="3" t="s">
        <v>398</v>
      </c>
      <c r="D372" s="5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5" t="s">
        <v>476</v>
      </c>
      <c r="L372" s="5" t="s">
        <v>69</v>
      </c>
      <c r="M372" s="5" t="s">
        <v>46</v>
      </c>
      <c r="N372" s="5" t="s">
        <v>465</v>
      </c>
      <c r="O372" s="5" t="s">
        <v>81</v>
      </c>
      <c r="P372" s="5" t="s">
        <v>81</v>
      </c>
      <c r="Q372" s="5" t="s">
        <v>81</v>
      </c>
      <c r="R372" s="5" t="s">
        <v>81</v>
      </c>
      <c r="S372" s="5" t="s">
        <v>46</v>
      </c>
      <c r="T372" s="5" t="s">
        <v>81</v>
      </c>
      <c r="U372" s="5" t="s">
        <v>46</v>
      </c>
      <c r="V372" s="5" t="n">
        <v>4</v>
      </c>
      <c r="X372" s="5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3" t="s">
        <v>397</v>
      </c>
      <c r="B373" s="4"/>
      <c r="C373" s="3" t="s">
        <v>398</v>
      </c>
      <c r="D373" s="5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5" t="s">
        <v>348</v>
      </c>
      <c r="L373" s="5" t="s">
        <v>69</v>
      </c>
      <c r="M373" s="5" t="s">
        <v>46</v>
      </c>
      <c r="N373" s="5" t="s">
        <v>70</v>
      </c>
      <c r="O373" s="5" t="s">
        <v>46</v>
      </c>
      <c r="P373" s="5" t="s">
        <v>71</v>
      </c>
      <c r="Q373" s="5" t="s">
        <v>71</v>
      </c>
      <c r="R373" s="5" t="s">
        <v>72</v>
      </c>
      <c r="S373" s="5" t="s">
        <v>73</v>
      </c>
      <c r="T373" s="5" t="s">
        <v>46</v>
      </c>
      <c r="U373" s="5" t="n">
        <v>1000</v>
      </c>
      <c r="V373" s="5" t="n">
        <v>1</v>
      </c>
      <c r="X373" s="5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3" t="s">
        <v>397</v>
      </c>
      <c r="B374" s="4"/>
      <c r="C374" s="3" t="s">
        <v>398</v>
      </c>
      <c r="D374" s="5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1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5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5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3" t="s">
        <v>397</v>
      </c>
      <c r="B375" s="4"/>
      <c r="C375" s="3" t="s">
        <v>398</v>
      </c>
      <c r="D375" s="5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1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5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5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3" t="s">
        <v>397</v>
      </c>
      <c r="B376" s="4"/>
      <c r="C376" s="3" t="s">
        <v>398</v>
      </c>
      <c r="D376" s="5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1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5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5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3" t="s">
        <v>397</v>
      </c>
      <c r="B377" s="4"/>
      <c r="C377" s="3" t="s">
        <v>398</v>
      </c>
      <c r="D377" s="5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5" t="s">
        <v>158</v>
      </c>
      <c r="K377" s="5" t="s">
        <v>570</v>
      </c>
      <c r="L377" s="5" t="s">
        <v>69</v>
      </c>
      <c r="M377" s="5" t="s">
        <v>46</v>
      </c>
      <c r="N377" s="5" t="s">
        <v>404</v>
      </c>
      <c r="O377" s="5" t="s">
        <v>42</v>
      </c>
      <c r="P377" s="5" t="s">
        <v>405</v>
      </c>
      <c r="Q377" s="5" t="s">
        <v>46</v>
      </c>
      <c r="R377" s="5" t="s">
        <v>44</v>
      </c>
      <c r="S377" s="5" t="s">
        <v>46</v>
      </c>
      <c r="T377" s="5" t="s">
        <v>406</v>
      </c>
      <c r="U377" s="5" t="s">
        <v>46</v>
      </c>
      <c r="V377" s="5" t="n">
        <v>1</v>
      </c>
      <c r="W377" s="5" t="s">
        <v>571</v>
      </c>
      <c r="X377" s="5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3" t="s">
        <v>397</v>
      </c>
      <c r="B378" s="4"/>
      <c r="C378" s="3" t="s">
        <v>398</v>
      </c>
      <c r="D378" s="5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5" t="s">
        <v>158</v>
      </c>
      <c r="K378" s="28" t="s">
        <v>581</v>
      </c>
      <c r="L378" s="5" t="s">
        <v>69</v>
      </c>
      <c r="M378" s="5" t="s">
        <v>46</v>
      </c>
      <c r="N378" s="5" t="s">
        <v>404</v>
      </c>
      <c r="O378" s="5" t="s">
        <v>54</v>
      </c>
      <c r="P378" s="5" t="s">
        <v>405</v>
      </c>
      <c r="Q378" s="5" t="s">
        <v>46</v>
      </c>
      <c r="R378" s="5" t="s">
        <v>72</v>
      </c>
      <c r="S378" s="5" t="s">
        <v>46</v>
      </c>
      <c r="T378" s="5" t="s">
        <v>406</v>
      </c>
      <c r="U378" s="5" t="s">
        <v>46</v>
      </c>
      <c r="V378" s="5" t="n">
        <v>1</v>
      </c>
      <c r="W378" s="5" t="s">
        <v>582</v>
      </c>
      <c r="X378" s="5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3" t="s">
        <v>397</v>
      </c>
      <c r="B379" s="4"/>
      <c r="C379" s="3" t="s">
        <v>398</v>
      </c>
      <c r="D379" s="5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5" t="s">
        <v>158</v>
      </c>
      <c r="K379" s="5" t="s">
        <v>587</v>
      </c>
      <c r="L379" s="5" t="s">
        <v>69</v>
      </c>
      <c r="M379" s="5" t="s">
        <v>46</v>
      </c>
      <c r="N379" s="5" t="s">
        <v>404</v>
      </c>
      <c r="O379" s="5" t="s">
        <v>42</v>
      </c>
      <c r="P379" s="5" t="s">
        <v>405</v>
      </c>
      <c r="Q379" s="5" t="s">
        <v>46</v>
      </c>
      <c r="R379" s="5" t="s">
        <v>44</v>
      </c>
      <c r="S379" s="5" t="s">
        <v>46</v>
      </c>
      <c r="T379" s="5" t="s">
        <v>406</v>
      </c>
      <c r="U379" s="5" t="s">
        <v>46</v>
      </c>
      <c r="V379" s="5" t="n">
        <v>1</v>
      </c>
      <c r="W379" s="5" t="s">
        <v>588</v>
      </c>
      <c r="X379" s="5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3" t="s">
        <v>397</v>
      </c>
      <c r="B380" s="4"/>
      <c r="C380" s="3" t="s">
        <v>398</v>
      </c>
      <c r="D380" s="5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5" t="s">
        <v>158</v>
      </c>
      <c r="K380" s="28" t="s">
        <v>593</v>
      </c>
      <c r="L380" s="5" t="s">
        <v>69</v>
      </c>
      <c r="M380" s="5" t="s">
        <v>46</v>
      </c>
      <c r="N380" s="5" t="s">
        <v>404</v>
      </c>
      <c r="O380" s="5" t="s">
        <v>42</v>
      </c>
      <c r="P380" s="5" t="s">
        <v>405</v>
      </c>
      <c r="Q380" s="5" t="s">
        <v>46</v>
      </c>
      <c r="R380" s="5" t="s">
        <v>44</v>
      </c>
      <c r="S380" s="5" t="s">
        <v>46</v>
      </c>
      <c r="T380" s="5" t="s">
        <v>406</v>
      </c>
      <c r="U380" s="5" t="s">
        <v>46</v>
      </c>
      <c r="V380" s="5" t="n">
        <v>1</v>
      </c>
      <c r="W380" s="5" t="s">
        <v>594</v>
      </c>
      <c r="X380" s="5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3" t="s">
        <v>397</v>
      </c>
      <c r="B381" s="4"/>
      <c r="C381" s="3" t="s">
        <v>398</v>
      </c>
      <c r="D381" s="5" t="s">
        <v>19</v>
      </c>
      <c r="E381" s="5" t="s">
        <v>566</v>
      </c>
      <c r="F381" s="6" t="s">
        <v>567</v>
      </c>
      <c r="G381" s="5" t="s">
        <v>401</v>
      </c>
      <c r="H381" s="14" t="s">
        <v>597</v>
      </c>
      <c r="I381" s="5" t="str">
        <f aca="false">CONCATENATE(E381, "_",H381)</f>
        <v>NLA_2022_016_094</v>
      </c>
      <c r="J381" s="5" t="s">
        <v>158</v>
      </c>
      <c r="K381" s="5" t="s">
        <v>598</v>
      </c>
      <c r="L381" s="5" t="s">
        <v>69</v>
      </c>
      <c r="M381" s="5" t="s">
        <v>46</v>
      </c>
      <c r="N381" s="5" t="s">
        <v>404</v>
      </c>
      <c r="O381" s="5" t="s">
        <v>54</v>
      </c>
      <c r="P381" s="5" t="s">
        <v>405</v>
      </c>
      <c r="Q381" s="5" t="s">
        <v>46</v>
      </c>
      <c r="R381" s="5" t="s">
        <v>44</v>
      </c>
      <c r="S381" s="5" t="s">
        <v>46</v>
      </c>
      <c r="T381" s="5" t="s">
        <v>406</v>
      </c>
      <c r="U381" s="5" t="s">
        <v>46</v>
      </c>
      <c r="V381" s="5" t="n">
        <v>1</v>
      </c>
      <c r="W381" s="5" t="s">
        <v>599</v>
      </c>
      <c r="X381" s="5" t="s">
        <v>408</v>
      </c>
      <c r="Y381" s="5" t="n">
        <v>5500</v>
      </c>
      <c r="Z381" s="5" t="s">
        <v>572</v>
      </c>
      <c r="AA381" s="5" t="s">
        <v>573</v>
      </c>
      <c r="AB381" s="5" t="s">
        <v>573</v>
      </c>
      <c r="AC381" s="5" t="s">
        <v>575</v>
      </c>
      <c r="AD381" s="13" t="str">
        <f aca="true" t="array" ref="AD381:AD381">LEFT(AC381,LOOKUP(2^15,FIND(".",AC381,ROW(INDIRECT("1:"&amp;LEN(AC381)))))-1)</f>
        <v>NB_2022_047 - 06102022 - 2</v>
      </c>
      <c r="AE381" s="5" t="str">
        <f aca="false">CONCATENATE(AB381, "-",H381, ".mzML")</f>
        <v>NB_2022_047 - 06102022 - 1.wiff-094.mzML</v>
      </c>
      <c r="AF381" s="5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3" t="s">
        <v>397</v>
      </c>
      <c r="B382" s="4"/>
      <c r="C382" s="3" t="s">
        <v>398</v>
      </c>
      <c r="D382" s="5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1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5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5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3" t="s">
        <v>397</v>
      </c>
      <c r="B383" s="4"/>
      <c r="C383" s="3" t="s">
        <v>398</v>
      </c>
      <c r="D383" s="5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1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5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5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3" t="s">
        <v>397</v>
      </c>
      <c r="B384" s="4"/>
      <c r="C384" s="3" t="s">
        <v>398</v>
      </c>
      <c r="D384" s="5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1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5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5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3" t="s">
        <v>397</v>
      </c>
      <c r="B385" s="4"/>
      <c r="C385" s="3" t="s">
        <v>398</v>
      </c>
      <c r="D385" s="5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1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5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5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3" t="s">
        <v>397</v>
      </c>
      <c r="B386" s="4"/>
      <c r="C386" s="3" t="s">
        <v>398</v>
      </c>
      <c r="D386" s="5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1" t="s">
        <v>46</v>
      </c>
      <c r="N386" s="5" t="s">
        <v>465</v>
      </c>
      <c r="O386" s="1" t="s">
        <v>81</v>
      </c>
      <c r="P386" s="1" t="s">
        <v>81</v>
      </c>
      <c r="Q386" s="1" t="s">
        <v>81</v>
      </c>
      <c r="R386" s="5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5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3" t="s">
        <v>397</v>
      </c>
      <c r="B387" s="4"/>
      <c r="C387" s="3" t="s">
        <v>398</v>
      </c>
      <c r="D387" s="5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1" t="s">
        <v>46</v>
      </c>
      <c r="N387" s="5" t="s">
        <v>465</v>
      </c>
      <c r="O387" s="1" t="s">
        <v>81</v>
      </c>
      <c r="P387" s="1" t="s">
        <v>81</v>
      </c>
      <c r="Q387" s="1" t="s">
        <v>81</v>
      </c>
      <c r="R387" s="5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5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3" t="s">
        <v>397</v>
      </c>
      <c r="B388" s="4"/>
      <c r="C388" s="3" t="s">
        <v>398</v>
      </c>
      <c r="D388" s="5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1" t="s">
        <v>46</v>
      </c>
      <c r="N388" s="5" t="s">
        <v>465</v>
      </c>
      <c r="O388" s="1" t="s">
        <v>81</v>
      </c>
      <c r="P388" s="1" t="s">
        <v>81</v>
      </c>
      <c r="Q388" s="1" t="s">
        <v>81</v>
      </c>
      <c r="R388" s="5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5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3" t="s">
        <v>397</v>
      </c>
      <c r="B389" s="4"/>
      <c r="C389" s="3" t="s">
        <v>398</v>
      </c>
      <c r="D389" s="5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1" t="s">
        <v>46</v>
      </c>
      <c r="N389" s="5" t="s">
        <v>465</v>
      </c>
      <c r="O389" s="1" t="s">
        <v>81</v>
      </c>
      <c r="P389" s="1" t="s">
        <v>81</v>
      </c>
      <c r="Q389" s="1" t="s">
        <v>81</v>
      </c>
      <c r="R389" s="5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5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3" t="s">
        <v>397</v>
      </c>
      <c r="B390" s="4"/>
      <c r="C390" s="3" t="s">
        <v>398</v>
      </c>
      <c r="D390" s="5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1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5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5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3" t="s">
        <v>397</v>
      </c>
      <c r="B391" s="4"/>
      <c r="C391" s="3" t="s">
        <v>398</v>
      </c>
      <c r="D391" s="5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1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5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5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3" t="s">
        <v>397</v>
      </c>
      <c r="B392" s="4"/>
      <c r="C392" s="3" t="s">
        <v>398</v>
      </c>
      <c r="D392" s="5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1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5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5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3" t="s">
        <v>397</v>
      </c>
      <c r="B393" s="4"/>
      <c r="C393" s="3" t="s">
        <v>398</v>
      </c>
      <c r="D393" s="5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1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5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5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3" t="s">
        <v>397</v>
      </c>
      <c r="B394" s="4"/>
      <c r="C394" s="3" t="s">
        <v>398</v>
      </c>
      <c r="D394" s="5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5" t="s">
        <v>166</v>
      </c>
      <c r="K394" s="28" t="s">
        <v>639</v>
      </c>
      <c r="L394" s="5" t="s">
        <v>69</v>
      </c>
      <c r="M394" s="5" t="s">
        <v>46</v>
      </c>
      <c r="N394" s="5" t="s">
        <v>404</v>
      </c>
      <c r="O394" s="5" t="s">
        <v>42</v>
      </c>
      <c r="P394" s="5" t="s">
        <v>405</v>
      </c>
      <c r="Q394" s="5" t="s">
        <v>46</v>
      </c>
      <c r="R394" s="5" t="s">
        <v>44</v>
      </c>
      <c r="S394" s="5" t="s">
        <v>46</v>
      </c>
      <c r="T394" s="5" t="s">
        <v>419</v>
      </c>
      <c r="U394" s="5" t="s">
        <v>46</v>
      </c>
      <c r="V394" s="5" t="n">
        <v>1</v>
      </c>
      <c r="W394" s="5" t="s">
        <v>640</v>
      </c>
      <c r="X394" s="5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3" t="s">
        <v>397</v>
      </c>
      <c r="B395" s="4"/>
      <c r="C395" s="3" t="s">
        <v>398</v>
      </c>
      <c r="D395" s="5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5" t="s">
        <v>158</v>
      </c>
      <c r="K395" s="28" t="s">
        <v>649</v>
      </c>
      <c r="L395" s="5" t="s">
        <v>69</v>
      </c>
      <c r="M395" s="5" t="s">
        <v>46</v>
      </c>
      <c r="N395" s="5" t="s">
        <v>404</v>
      </c>
      <c r="O395" s="5" t="s">
        <v>42</v>
      </c>
      <c r="P395" s="5" t="s">
        <v>405</v>
      </c>
      <c r="Q395" s="5" t="s">
        <v>46</v>
      </c>
      <c r="R395" s="5" t="s">
        <v>72</v>
      </c>
      <c r="S395" s="5" t="s">
        <v>46</v>
      </c>
      <c r="T395" s="5" t="s">
        <v>406</v>
      </c>
      <c r="U395" s="5" t="s">
        <v>46</v>
      </c>
      <c r="V395" s="5" t="n">
        <v>1</v>
      </c>
      <c r="W395" s="29" t="s">
        <v>650</v>
      </c>
      <c r="X395" s="5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3" t="s">
        <v>397</v>
      </c>
      <c r="B396" s="4"/>
      <c r="C396" s="3" t="s">
        <v>398</v>
      </c>
      <c r="D396" s="5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5" t="s">
        <v>654</v>
      </c>
      <c r="L396" s="5" t="s">
        <v>69</v>
      </c>
      <c r="M396" s="5" t="s">
        <v>46</v>
      </c>
      <c r="N396" s="5" t="s">
        <v>404</v>
      </c>
      <c r="O396" s="5" t="s">
        <v>42</v>
      </c>
      <c r="P396" s="5" t="s">
        <v>405</v>
      </c>
      <c r="Q396" s="5" t="s">
        <v>46</v>
      </c>
      <c r="R396" s="5" t="s">
        <v>44</v>
      </c>
      <c r="S396" s="5" t="s">
        <v>46</v>
      </c>
      <c r="T396" s="5" t="s">
        <v>419</v>
      </c>
      <c r="U396" s="5" t="s">
        <v>46</v>
      </c>
      <c r="V396" s="5" t="n">
        <v>1</v>
      </c>
      <c r="W396" s="1" t="s">
        <v>655</v>
      </c>
      <c r="X396" s="5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3" t="s">
        <v>397</v>
      </c>
      <c r="B397" s="4"/>
      <c r="C397" s="3" t="s">
        <v>398</v>
      </c>
      <c r="D397" s="5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5" t="s">
        <v>659</v>
      </c>
      <c r="L397" s="5" t="s">
        <v>69</v>
      </c>
      <c r="M397" s="5" t="s">
        <v>46</v>
      </c>
      <c r="N397" s="5" t="s">
        <v>404</v>
      </c>
      <c r="O397" s="5" t="s">
        <v>54</v>
      </c>
      <c r="P397" s="5" t="s">
        <v>405</v>
      </c>
      <c r="Q397" s="5" t="s">
        <v>46</v>
      </c>
      <c r="R397" s="5" t="s">
        <v>72</v>
      </c>
      <c r="S397" s="5" t="s">
        <v>46</v>
      </c>
      <c r="T397" s="5" t="s">
        <v>406</v>
      </c>
      <c r="U397" s="5" t="s">
        <v>46</v>
      </c>
      <c r="V397" s="5" t="n">
        <v>1</v>
      </c>
      <c r="W397" s="1" t="s">
        <v>660</v>
      </c>
      <c r="X397" s="5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3" t="s">
        <v>397</v>
      </c>
      <c r="B398" s="4"/>
      <c r="C398" s="3" t="s">
        <v>398</v>
      </c>
      <c r="D398" s="5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5" t="s">
        <v>166</v>
      </c>
      <c r="K398" s="28" t="s">
        <v>664</v>
      </c>
      <c r="L398" s="5" t="s">
        <v>69</v>
      </c>
      <c r="M398" s="5" t="s">
        <v>46</v>
      </c>
      <c r="N398" s="5" t="s">
        <v>404</v>
      </c>
      <c r="O398" s="5" t="s">
        <v>665</v>
      </c>
      <c r="P398" s="5" t="s">
        <v>405</v>
      </c>
      <c r="Q398" s="5" t="s">
        <v>46</v>
      </c>
      <c r="R398" s="5" t="s">
        <v>44</v>
      </c>
      <c r="S398" s="5" t="s">
        <v>46</v>
      </c>
      <c r="T398" s="5" t="s">
        <v>419</v>
      </c>
      <c r="U398" s="5" t="s">
        <v>46</v>
      </c>
      <c r="V398" s="5" t="n">
        <v>1</v>
      </c>
      <c r="W398" s="29" t="s">
        <v>666</v>
      </c>
      <c r="X398" s="5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3" t="s">
        <v>397</v>
      </c>
      <c r="B399" s="4"/>
      <c r="C399" s="3" t="s">
        <v>398</v>
      </c>
      <c r="D399" s="5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1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5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5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3" t="s">
        <v>397</v>
      </c>
      <c r="B400" s="4"/>
      <c r="C400" s="3" t="s">
        <v>398</v>
      </c>
      <c r="D400" s="5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1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5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5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3" t="s">
        <v>397</v>
      </c>
      <c r="B401" s="4"/>
      <c r="C401" s="3" t="s">
        <v>398</v>
      </c>
      <c r="D401" s="5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1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5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5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3" t="s">
        <v>397</v>
      </c>
      <c r="B402" s="4"/>
      <c r="C402" s="3" t="s">
        <v>398</v>
      </c>
      <c r="D402" s="5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1" t="s">
        <v>46</v>
      </c>
      <c r="N402" s="5" t="s">
        <v>65</v>
      </c>
      <c r="O402" s="1" t="s">
        <v>46</v>
      </c>
      <c r="P402" s="1" t="s">
        <v>46</v>
      </c>
      <c r="Q402" s="1" t="s">
        <v>46</v>
      </c>
      <c r="R402" s="5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5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3" t="s">
        <v>397</v>
      </c>
      <c r="B403" s="4"/>
      <c r="C403" s="3" t="s">
        <v>398</v>
      </c>
      <c r="D403" s="5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1" t="s">
        <v>46</v>
      </c>
      <c r="N403" s="5" t="s">
        <v>465</v>
      </c>
      <c r="O403" s="1" t="s">
        <v>81</v>
      </c>
      <c r="P403" s="1" t="s">
        <v>81</v>
      </c>
      <c r="Q403" s="1" t="s">
        <v>81</v>
      </c>
      <c r="R403" s="5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5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3" t="s">
        <v>397</v>
      </c>
      <c r="B404" s="4"/>
      <c r="C404" s="3" t="s">
        <v>398</v>
      </c>
      <c r="D404" s="5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1" t="s">
        <v>46</v>
      </c>
      <c r="N404" s="5" t="s">
        <v>465</v>
      </c>
      <c r="O404" s="1" t="s">
        <v>81</v>
      </c>
      <c r="P404" s="1" t="s">
        <v>81</v>
      </c>
      <c r="Q404" s="1" t="s">
        <v>81</v>
      </c>
      <c r="R404" s="5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5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3" t="s">
        <v>397</v>
      </c>
      <c r="B405" s="4"/>
      <c r="C405" s="3" t="s">
        <v>398</v>
      </c>
      <c r="D405" s="5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1" t="s">
        <v>46</v>
      </c>
      <c r="N405" s="5" t="s">
        <v>465</v>
      </c>
      <c r="O405" s="1" t="s">
        <v>81</v>
      </c>
      <c r="P405" s="1" t="s">
        <v>81</v>
      </c>
      <c r="Q405" s="1" t="s">
        <v>81</v>
      </c>
      <c r="R405" s="5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5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3" t="s">
        <v>397</v>
      </c>
      <c r="B406" s="4"/>
      <c r="C406" s="3" t="s">
        <v>398</v>
      </c>
      <c r="D406" s="5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1" t="s">
        <v>46</v>
      </c>
      <c r="N406" s="5" t="s">
        <v>465</v>
      </c>
      <c r="O406" s="1" t="s">
        <v>81</v>
      </c>
      <c r="P406" s="1" t="s">
        <v>81</v>
      </c>
      <c r="Q406" s="1" t="s">
        <v>81</v>
      </c>
      <c r="R406" s="5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5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3" t="s">
        <v>397</v>
      </c>
      <c r="B407" s="4"/>
      <c r="C407" s="3" t="s">
        <v>398</v>
      </c>
      <c r="D407" s="5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1" t="s">
        <v>46</v>
      </c>
      <c r="N407" s="5" t="s">
        <v>70</v>
      </c>
      <c r="O407" s="1" t="s">
        <v>46</v>
      </c>
      <c r="P407" s="1" t="s">
        <v>71</v>
      </c>
      <c r="Q407" s="1" t="s">
        <v>71</v>
      </c>
      <c r="R407" s="5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5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3" t="s">
        <v>397</v>
      </c>
      <c r="B408" s="4"/>
      <c r="C408" s="3" t="s">
        <v>398</v>
      </c>
      <c r="D408" s="5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1" t="s">
        <v>46</v>
      </c>
      <c r="N408" s="5" t="s">
        <v>70</v>
      </c>
      <c r="O408" s="1" t="s">
        <v>46</v>
      </c>
      <c r="P408" s="1" t="s">
        <v>71</v>
      </c>
      <c r="Q408" s="1" t="s">
        <v>71</v>
      </c>
      <c r="R408" s="5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5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3" t="s">
        <v>397</v>
      </c>
      <c r="B409" s="4"/>
      <c r="C409" s="3" t="s">
        <v>398</v>
      </c>
      <c r="D409" s="5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1" t="s">
        <v>46</v>
      </c>
      <c r="N409" s="5" t="s">
        <v>70</v>
      </c>
      <c r="O409" s="1" t="s">
        <v>46</v>
      </c>
      <c r="P409" s="1" t="s">
        <v>71</v>
      </c>
      <c r="Q409" s="1" t="s">
        <v>71</v>
      </c>
      <c r="R409" s="5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5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3" t="s">
        <v>397</v>
      </c>
      <c r="B410" s="4"/>
      <c r="C410" s="3" t="s">
        <v>398</v>
      </c>
      <c r="D410" s="5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1" t="s">
        <v>46</v>
      </c>
      <c r="N410" s="5" t="s">
        <v>70</v>
      </c>
      <c r="O410" s="1" t="s">
        <v>46</v>
      </c>
      <c r="P410" s="1" t="s">
        <v>71</v>
      </c>
      <c r="Q410" s="1" t="s">
        <v>71</v>
      </c>
      <c r="R410" s="5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5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3" t="s">
        <v>397</v>
      </c>
      <c r="B411" s="4"/>
      <c r="C411" s="3" t="s">
        <v>398</v>
      </c>
      <c r="D411" s="5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5" t="s">
        <v>158</v>
      </c>
      <c r="K411" s="5" t="s">
        <v>708</v>
      </c>
      <c r="L411" s="5" t="s">
        <v>69</v>
      </c>
      <c r="M411" s="5" t="s">
        <v>46</v>
      </c>
      <c r="N411" s="5" t="s">
        <v>404</v>
      </c>
      <c r="O411" s="5" t="s">
        <v>54</v>
      </c>
      <c r="P411" s="5" t="s">
        <v>405</v>
      </c>
      <c r="Q411" s="5" t="s">
        <v>46</v>
      </c>
      <c r="R411" s="5" t="s">
        <v>72</v>
      </c>
      <c r="S411" s="5" t="s">
        <v>46</v>
      </c>
      <c r="T411" s="5" t="s">
        <v>406</v>
      </c>
      <c r="U411" s="5" t="s">
        <v>46</v>
      </c>
      <c r="V411" s="5" t="n">
        <v>1</v>
      </c>
      <c r="W411" s="1" t="s">
        <v>709</v>
      </c>
      <c r="X411" s="5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3" t="s">
        <v>397</v>
      </c>
      <c r="B412" s="4"/>
      <c r="C412" s="3" t="s">
        <v>398</v>
      </c>
      <c r="D412" s="5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5" t="s">
        <v>158</v>
      </c>
      <c r="K412" s="5" t="s">
        <v>718</v>
      </c>
      <c r="L412" s="5" t="s">
        <v>69</v>
      </c>
      <c r="M412" s="5" t="s">
        <v>46</v>
      </c>
      <c r="N412" s="5" t="s">
        <v>404</v>
      </c>
      <c r="O412" s="5" t="s">
        <v>42</v>
      </c>
      <c r="P412" s="5" t="s">
        <v>405</v>
      </c>
      <c r="Q412" s="5" t="s">
        <v>46</v>
      </c>
      <c r="R412" s="5" t="s">
        <v>72</v>
      </c>
      <c r="S412" s="5" t="s">
        <v>46</v>
      </c>
      <c r="T412" s="5" t="s">
        <v>406</v>
      </c>
      <c r="U412" s="5" t="s">
        <v>46</v>
      </c>
      <c r="V412" s="5" t="n">
        <v>1</v>
      </c>
      <c r="W412" s="1" t="s">
        <v>719</v>
      </c>
      <c r="X412" s="5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3" t="s">
        <v>397</v>
      </c>
      <c r="B413" s="4"/>
      <c r="C413" s="3" t="s">
        <v>398</v>
      </c>
      <c r="D413" s="5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1" t="s">
        <v>46</v>
      </c>
      <c r="N413" s="5" t="s">
        <v>65</v>
      </c>
      <c r="O413" s="1" t="s">
        <v>46</v>
      </c>
      <c r="P413" s="1" t="s">
        <v>46</v>
      </c>
      <c r="Q413" s="1" t="s">
        <v>46</v>
      </c>
      <c r="R413" s="5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5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3" t="s">
        <v>397</v>
      </c>
      <c r="B414" s="4"/>
      <c r="C414" s="3" t="s">
        <v>398</v>
      </c>
      <c r="D414" s="5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1" t="s">
        <v>46</v>
      </c>
      <c r="N414" s="5" t="s">
        <v>65</v>
      </c>
      <c r="O414" s="1" t="s">
        <v>46</v>
      </c>
      <c r="P414" s="1" t="s">
        <v>46</v>
      </c>
      <c r="Q414" s="1" t="s">
        <v>46</v>
      </c>
      <c r="R414" s="5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5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3" t="s">
        <v>397</v>
      </c>
      <c r="B415" s="4"/>
      <c r="C415" s="3" t="s">
        <v>398</v>
      </c>
      <c r="D415" s="5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1" t="s">
        <v>46</v>
      </c>
      <c r="N415" s="5" t="s">
        <v>65</v>
      </c>
      <c r="O415" s="1" t="s">
        <v>46</v>
      </c>
      <c r="P415" s="1" t="s">
        <v>46</v>
      </c>
      <c r="Q415" s="1" t="s">
        <v>46</v>
      </c>
      <c r="R415" s="5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5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3" t="s">
        <v>397</v>
      </c>
      <c r="B416" s="4"/>
      <c r="C416" s="3" t="s">
        <v>398</v>
      </c>
      <c r="D416" s="5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1" t="s">
        <v>46</v>
      </c>
      <c r="N416" s="5" t="s">
        <v>65</v>
      </c>
      <c r="O416" s="1" t="s">
        <v>46</v>
      </c>
      <c r="P416" s="1" t="s">
        <v>46</v>
      </c>
      <c r="Q416" s="1" t="s">
        <v>46</v>
      </c>
      <c r="R416" s="5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5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3" t="s">
        <v>397</v>
      </c>
      <c r="B417" s="4"/>
      <c r="C417" s="3" t="s">
        <v>398</v>
      </c>
      <c r="D417" s="5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1" t="s">
        <v>46</v>
      </c>
      <c r="N417" s="5" t="s">
        <v>465</v>
      </c>
      <c r="O417" s="1" t="s">
        <v>81</v>
      </c>
      <c r="P417" s="1" t="s">
        <v>81</v>
      </c>
      <c r="Q417" s="1" t="s">
        <v>81</v>
      </c>
      <c r="R417" s="5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5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3" t="s">
        <v>397</v>
      </c>
      <c r="B418" s="4"/>
      <c r="C418" s="3" t="s">
        <v>398</v>
      </c>
      <c r="D418" s="5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1" t="s">
        <v>46</v>
      </c>
      <c r="N418" s="5" t="s">
        <v>465</v>
      </c>
      <c r="O418" s="1" t="s">
        <v>81</v>
      </c>
      <c r="P418" s="1" t="s">
        <v>81</v>
      </c>
      <c r="Q418" s="1" t="s">
        <v>81</v>
      </c>
      <c r="R418" s="5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5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3" t="s">
        <v>397</v>
      </c>
      <c r="B419" s="4"/>
      <c r="C419" s="3" t="s">
        <v>398</v>
      </c>
      <c r="D419" s="5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1" t="s">
        <v>46</v>
      </c>
      <c r="N419" s="5" t="s">
        <v>465</v>
      </c>
      <c r="O419" s="1" t="s">
        <v>81</v>
      </c>
      <c r="P419" s="1" t="s">
        <v>81</v>
      </c>
      <c r="Q419" s="1" t="s">
        <v>81</v>
      </c>
      <c r="R419" s="5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5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3" t="s">
        <v>397</v>
      </c>
      <c r="B420" s="4"/>
      <c r="C420" s="3" t="s">
        <v>398</v>
      </c>
      <c r="D420" s="5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1" t="s">
        <v>46</v>
      </c>
      <c r="N420" s="5" t="s">
        <v>465</v>
      </c>
      <c r="O420" s="1" t="s">
        <v>81</v>
      </c>
      <c r="P420" s="1" t="s">
        <v>81</v>
      </c>
      <c r="Q420" s="1" t="s">
        <v>81</v>
      </c>
      <c r="R420" s="5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5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3" t="s">
        <v>397</v>
      </c>
      <c r="B421" s="4"/>
      <c r="C421" s="3" t="s">
        <v>398</v>
      </c>
      <c r="D421" s="5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1" t="s">
        <v>46</v>
      </c>
      <c r="N421" s="5" t="s">
        <v>70</v>
      </c>
      <c r="O421" s="1" t="s">
        <v>46</v>
      </c>
      <c r="P421" s="1" t="s">
        <v>71</v>
      </c>
      <c r="Q421" s="1" t="s">
        <v>71</v>
      </c>
      <c r="R421" s="5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5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3" t="s">
        <v>397</v>
      </c>
      <c r="B422" s="4"/>
      <c r="C422" s="3" t="s">
        <v>398</v>
      </c>
      <c r="D422" s="5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1" t="s">
        <v>46</v>
      </c>
      <c r="N422" s="5" t="s">
        <v>70</v>
      </c>
      <c r="O422" s="1" t="s">
        <v>46</v>
      </c>
      <c r="P422" s="1" t="s">
        <v>71</v>
      </c>
      <c r="Q422" s="1" t="s">
        <v>71</v>
      </c>
      <c r="R422" s="5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5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3" t="s">
        <v>397</v>
      </c>
      <c r="B423" s="4"/>
      <c r="C423" s="3" t="s">
        <v>398</v>
      </c>
      <c r="D423" s="5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1" t="s">
        <v>46</v>
      </c>
      <c r="N423" s="5" t="s">
        <v>70</v>
      </c>
      <c r="O423" s="1" t="s">
        <v>46</v>
      </c>
      <c r="P423" s="1" t="s">
        <v>71</v>
      </c>
      <c r="Q423" s="1" t="s">
        <v>71</v>
      </c>
      <c r="R423" s="5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5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3" t="s">
        <v>397</v>
      </c>
      <c r="B424" s="4"/>
      <c r="C424" s="3" t="s">
        <v>398</v>
      </c>
      <c r="D424" s="5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1" t="s">
        <v>46</v>
      </c>
      <c r="N424" s="5" t="s">
        <v>70</v>
      </c>
      <c r="O424" s="1" t="s">
        <v>46</v>
      </c>
      <c r="P424" s="1" t="s">
        <v>71</v>
      </c>
      <c r="Q424" s="1" t="s">
        <v>71</v>
      </c>
      <c r="R424" s="5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5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3" t="s">
        <v>397</v>
      </c>
      <c r="B425" s="4"/>
      <c r="C425" s="3" t="s">
        <v>398</v>
      </c>
      <c r="D425" s="5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5" t="s">
        <v>158</v>
      </c>
      <c r="K425" s="5" t="s">
        <v>761</v>
      </c>
      <c r="L425" s="5" t="s">
        <v>69</v>
      </c>
      <c r="M425" s="5" t="s">
        <v>46</v>
      </c>
      <c r="N425" s="5" t="s">
        <v>404</v>
      </c>
      <c r="O425" s="5" t="s">
        <v>54</v>
      </c>
      <c r="P425" s="5" t="s">
        <v>405</v>
      </c>
      <c r="Q425" s="5" t="s">
        <v>46</v>
      </c>
      <c r="R425" s="5" t="s">
        <v>72</v>
      </c>
      <c r="S425" s="5" t="s">
        <v>46</v>
      </c>
      <c r="T425" s="5" t="s">
        <v>406</v>
      </c>
      <c r="U425" s="5" t="s">
        <v>46</v>
      </c>
      <c r="V425" s="5" t="n">
        <v>1</v>
      </c>
      <c r="W425" s="1" t="s">
        <v>762</v>
      </c>
      <c r="X425" s="5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3" t="s">
        <v>397</v>
      </c>
      <c r="B426" s="4"/>
      <c r="C426" s="3" t="s">
        <v>398</v>
      </c>
      <c r="D426" s="5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5" t="s">
        <v>772</v>
      </c>
      <c r="L426" s="5" t="s">
        <v>69</v>
      </c>
      <c r="M426" s="5" t="s">
        <v>46</v>
      </c>
      <c r="N426" s="5" t="s">
        <v>404</v>
      </c>
      <c r="O426" s="5" t="s">
        <v>42</v>
      </c>
      <c r="P426" s="5" t="s">
        <v>405</v>
      </c>
      <c r="Q426" s="5" t="s">
        <v>46</v>
      </c>
      <c r="R426" s="5" t="s">
        <v>44</v>
      </c>
      <c r="S426" s="5" t="s">
        <v>46</v>
      </c>
      <c r="T426" s="5" t="s">
        <v>419</v>
      </c>
      <c r="U426" s="5" t="s">
        <v>46</v>
      </c>
      <c r="V426" s="5" t="n">
        <v>1</v>
      </c>
      <c r="W426" s="1" t="s">
        <v>773</v>
      </c>
      <c r="X426" s="5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3" t="s">
        <v>397</v>
      </c>
      <c r="B427" s="4"/>
      <c r="C427" s="3" t="s">
        <v>398</v>
      </c>
      <c r="D427" s="5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5" t="s">
        <v>778</v>
      </c>
      <c r="L427" s="5" t="s">
        <v>69</v>
      </c>
      <c r="M427" s="5" t="s">
        <v>46</v>
      </c>
      <c r="N427" s="5" t="s">
        <v>404</v>
      </c>
      <c r="O427" s="5" t="s">
        <v>42</v>
      </c>
      <c r="P427" s="5" t="s">
        <v>405</v>
      </c>
      <c r="Q427" s="5" t="s">
        <v>46</v>
      </c>
      <c r="R427" s="5" t="s">
        <v>72</v>
      </c>
      <c r="S427" s="5" t="s">
        <v>46</v>
      </c>
      <c r="T427" s="5" t="s">
        <v>419</v>
      </c>
      <c r="U427" s="5" t="s">
        <v>46</v>
      </c>
      <c r="V427" s="5" t="n">
        <v>1</v>
      </c>
      <c r="W427" s="1" t="s">
        <v>779</v>
      </c>
      <c r="X427" s="5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3" t="s">
        <v>397</v>
      </c>
      <c r="B428" s="4"/>
      <c r="C428" s="3" t="s">
        <v>398</v>
      </c>
      <c r="D428" s="5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5" t="s">
        <v>784</v>
      </c>
      <c r="L428" s="5" t="s">
        <v>69</v>
      </c>
      <c r="M428" s="5" t="s">
        <v>46</v>
      </c>
      <c r="N428" s="5" t="s">
        <v>404</v>
      </c>
      <c r="O428" s="5" t="s">
        <v>42</v>
      </c>
      <c r="P428" s="5" t="s">
        <v>405</v>
      </c>
      <c r="Q428" s="5" t="s">
        <v>46</v>
      </c>
      <c r="R428" s="5" t="s">
        <v>44</v>
      </c>
      <c r="S428" s="5" t="s">
        <v>46</v>
      </c>
      <c r="T428" s="5" t="s">
        <v>406</v>
      </c>
      <c r="U428" s="5" t="s">
        <v>46</v>
      </c>
      <c r="V428" s="5" t="n">
        <v>1</v>
      </c>
      <c r="W428" s="1" t="s">
        <v>785</v>
      </c>
      <c r="X428" s="5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3" t="s">
        <v>397</v>
      </c>
      <c r="B429" s="4"/>
      <c r="C429" s="3" t="s">
        <v>398</v>
      </c>
      <c r="D429" s="5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1" t="s">
        <v>46</v>
      </c>
      <c r="N429" s="5" t="s">
        <v>65</v>
      </c>
      <c r="O429" s="1" t="s">
        <v>46</v>
      </c>
      <c r="P429" s="1" t="s">
        <v>46</v>
      </c>
      <c r="Q429" s="1" t="s">
        <v>46</v>
      </c>
      <c r="R429" s="5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5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3" t="s">
        <v>397</v>
      </c>
      <c r="B430" s="4"/>
      <c r="C430" s="3" t="s">
        <v>398</v>
      </c>
      <c r="D430" s="5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1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5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5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3" t="s">
        <v>397</v>
      </c>
      <c r="B431" s="4"/>
      <c r="C431" s="3" t="s">
        <v>398</v>
      </c>
      <c r="D431" s="5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1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5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5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3" t="s">
        <v>397</v>
      </c>
      <c r="B432" s="4"/>
      <c r="C432" s="3" t="s">
        <v>398</v>
      </c>
      <c r="D432" s="5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1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5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5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3" t="s">
        <v>397</v>
      </c>
      <c r="B433" s="4"/>
      <c r="C433" s="3" t="s">
        <v>398</v>
      </c>
      <c r="D433" s="5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1" t="s">
        <v>46</v>
      </c>
      <c r="N433" s="5" t="s">
        <v>465</v>
      </c>
      <c r="O433" s="1" t="s">
        <v>81</v>
      </c>
      <c r="P433" s="1" t="s">
        <v>81</v>
      </c>
      <c r="Q433" s="1" t="s">
        <v>81</v>
      </c>
      <c r="R433" s="5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5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3" t="s">
        <v>397</v>
      </c>
      <c r="B434" s="4"/>
      <c r="C434" s="3" t="s">
        <v>398</v>
      </c>
      <c r="D434" s="5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1" t="s">
        <v>46</v>
      </c>
      <c r="N434" s="5" t="s">
        <v>465</v>
      </c>
      <c r="O434" s="1" t="s">
        <v>81</v>
      </c>
      <c r="P434" s="1" t="s">
        <v>81</v>
      </c>
      <c r="Q434" s="1" t="s">
        <v>81</v>
      </c>
      <c r="R434" s="5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5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3" t="s">
        <v>397</v>
      </c>
      <c r="B435" s="4"/>
      <c r="C435" s="3" t="s">
        <v>398</v>
      </c>
      <c r="D435" s="5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1" t="s">
        <v>46</v>
      </c>
      <c r="N435" s="5" t="s">
        <v>465</v>
      </c>
      <c r="O435" s="1" t="s">
        <v>81</v>
      </c>
      <c r="P435" s="1" t="s">
        <v>81</v>
      </c>
      <c r="Q435" s="1" t="s">
        <v>81</v>
      </c>
      <c r="R435" s="5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5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3" t="s">
        <v>397</v>
      </c>
      <c r="B436" s="4"/>
      <c r="C436" s="3" t="s">
        <v>398</v>
      </c>
      <c r="D436" s="5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1" t="s">
        <v>46</v>
      </c>
      <c r="N436" s="5" t="s">
        <v>465</v>
      </c>
      <c r="O436" s="1" t="s">
        <v>81</v>
      </c>
      <c r="P436" s="1" t="s">
        <v>81</v>
      </c>
      <c r="Q436" s="1" t="s">
        <v>81</v>
      </c>
      <c r="R436" s="5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5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3" t="s">
        <v>397</v>
      </c>
      <c r="B437" s="4"/>
      <c r="C437" s="3" t="s">
        <v>398</v>
      </c>
      <c r="D437" s="5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1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5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5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3" t="s">
        <v>397</v>
      </c>
      <c r="B438" s="4"/>
      <c r="C438" s="3" t="s">
        <v>398</v>
      </c>
      <c r="D438" s="5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1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5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5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3" t="s">
        <v>397</v>
      </c>
      <c r="B439" s="4"/>
      <c r="C439" s="3" t="s">
        <v>398</v>
      </c>
      <c r="D439" s="5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1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5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5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3" t="s">
        <v>397</v>
      </c>
      <c r="B440" s="4"/>
      <c r="C440" s="3" t="s">
        <v>398</v>
      </c>
      <c r="D440" s="5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1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5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5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3" t="s">
        <v>397</v>
      </c>
      <c r="B441" s="4"/>
      <c r="C441" s="3" t="s">
        <v>398</v>
      </c>
      <c r="D441" s="5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5" t="s">
        <v>828</v>
      </c>
      <c r="L441" s="5" t="s">
        <v>69</v>
      </c>
      <c r="M441" s="5" t="s">
        <v>46</v>
      </c>
      <c r="N441" s="5" t="s">
        <v>404</v>
      </c>
      <c r="O441" s="5" t="s">
        <v>54</v>
      </c>
      <c r="P441" s="5" t="s">
        <v>405</v>
      </c>
      <c r="Q441" s="5" t="s">
        <v>46</v>
      </c>
      <c r="R441" s="5" t="s">
        <v>44</v>
      </c>
      <c r="S441" s="5" t="s">
        <v>46</v>
      </c>
      <c r="T441" s="5" t="s">
        <v>406</v>
      </c>
      <c r="U441" s="5" t="s">
        <v>46</v>
      </c>
      <c r="V441" s="5" t="n">
        <v>1</v>
      </c>
      <c r="W441" s="1" t="s">
        <v>829</v>
      </c>
      <c r="X441" s="5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3" t="s">
        <v>397</v>
      </c>
      <c r="B442" s="4"/>
      <c r="C442" s="3" t="s">
        <v>398</v>
      </c>
      <c r="D442" s="5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5" t="s">
        <v>839</v>
      </c>
      <c r="L442" s="5" t="s">
        <v>69</v>
      </c>
      <c r="M442" s="5" t="s">
        <v>46</v>
      </c>
      <c r="N442" s="5" t="s">
        <v>404</v>
      </c>
      <c r="O442" s="5" t="s">
        <v>42</v>
      </c>
      <c r="P442" s="5" t="s">
        <v>405</v>
      </c>
      <c r="Q442" s="5" t="s">
        <v>46</v>
      </c>
      <c r="R442" s="5" t="s">
        <v>44</v>
      </c>
      <c r="S442" s="5" t="s">
        <v>46</v>
      </c>
      <c r="T442" s="5" t="s">
        <v>406</v>
      </c>
      <c r="U442" s="5" t="s">
        <v>46</v>
      </c>
      <c r="V442" s="5" t="n">
        <v>1</v>
      </c>
      <c r="W442" s="1" t="s">
        <v>840</v>
      </c>
      <c r="X442" s="5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3" t="s">
        <v>397</v>
      </c>
      <c r="B443" s="4"/>
      <c r="C443" s="3" t="s">
        <v>398</v>
      </c>
      <c r="D443" s="5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5" t="s">
        <v>845</v>
      </c>
      <c r="L443" s="5" t="s">
        <v>69</v>
      </c>
      <c r="M443" s="5" t="s">
        <v>46</v>
      </c>
      <c r="N443" s="5" t="s">
        <v>404</v>
      </c>
      <c r="O443" s="5" t="s">
        <v>42</v>
      </c>
      <c r="P443" s="5" t="s">
        <v>405</v>
      </c>
      <c r="Q443" s="5" t="s">
        <v>46</v>
      </c>
      <c r="R443" s="5" t="s">
        <v>44</v>
      </c>
      <c r="S443" s="5" t="s">
        <v>46</v>
      </c>
      <c r="T443" s="5" t="s">
        <v>419</v>
      </c>
      <c r="U443" s="5" t="s">
        <v>46</v>
      </c>
      <c r="V443" s="5" t="n">
        <v>1</v>
      </c>
      <c r="W443" s="1" t="s">
        <v>846</v>
      </c>
      <c r="X443" s="5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3" t="s">
        <v>397</v>
      </c>
      <c r="B444" s="4"/>
      <c r="C444" s="3" t="s">
        <v>398</v>
      </c>
      <c r="D444" s="5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5" t="s">
        <v>851</v>
      </c>
      <c r="L444" s="5" t="s">
        <v>69</v>
      </c>
      <c r="M444" s="5" t="s">
        <v>46</v>
      </c>
      <c r="N444" s="5" t="s">
        <v>404</v>
      </c>
      <c r="O444" s="5" t="s">
        <v>54</v>
      </c>
      <c r="P444" s="5" t="s">
        <v>405</v>
      </c>
      <c r="Q444" s="5" t="s">
        <v>46</v>
      </c>
      <c r="R444" s="5" t="s">
        <v>44</v>
      </c>
      <c r="S444" s="5" t="s">
        <v>46</v>
      </c>
      <c r="T444" s="5" t="s">
        <v>406</v>
      </c>
      <c r="U444" s="5" t="s">
        <v>46</v>
      </c>
      <c r="V444" s="5" t="n">
        <v>1</v>
      </c>
      <c r="W444" s="1" t="s">
        <v>852</v>
      </c>
      <c r="X444" s="5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3" t="s">
        <v>397</v>
      </c>
      <c r="B445" s="4"/>
      <c r="C445" s="3" t="s">
        <v>398</v>
      </c>
      <c r="D445" s="5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5" t="s">
        <v>857</v>
      </c>
      <c r="L445" s="5" t="s">
        <v>69</v>
      </c>
      <c r="M445" s="5" t="s">
        <v>46</v>
      </c>
      <c r="N445" s="5" t="s">
        <v>404</v>
      </c>
      <c r="O445" s="5" t="s">
        <v>665</v>
      </c>
      <c r="P445" s="5" t="s">
        <v>405</v>
      </c>
      <c r="Q445" s="5" t="s">
        <v>46</v>
      </c>
      <c r="R445" s="5" t="s">
        <v>72</v>
      </c>
      <c r="S445" s="5" t="s">
        <v>46</v>
      </c>
      <c r="T445" s="5" t="s">
        <v>419</v>
      </c>
      <c r="U445" s="5" t="s">
        <v>46</v>
      </c>
      <c r="V445" s="5" t="n">
        <v>1</v>
      </c>
      <c r="W445" s="1" t="s">
        <v>858</v>
      </c>
      <c r="X445" s="5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3" t="s">
        <v>397</v>
      </c>
      <c r="B446" s="4"/>
      <c r="C446" s="3" t="s">
        <v>398</v>
      </c>
      <c r="D446" s="5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1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5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5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3" t="s">
        <v>397</v>
      </c>
      <c r="B447" s="4"/>
      <c r="C447" s="3" t="s">
        <v>398</v>
      </c>
      <c r="D447" s="5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1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5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5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3" t="s">
        <v>397</v>
      </c>
      <c r="B448" s="4"/>
      <c r="C448" s="3" t="s">
        <v>398</v>
      </c>
      <c r="D448" s="5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1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5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5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3" t="s">
        <v>397</v>
      </c>
      <c r="B449" s="4"/>
      <c r="C449" s="3" t="s">
        <v>398</v>
      </c>
      <c r="D449" s="5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1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5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5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3" t="s">
        <v>397</v>
      </c>
      <c r="B450" s="4"/>
      <c r="C450" s="3" t="s">
        <v>398</v>
      </c>
      <c r="D450" s="5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1" t="s">
        <v>46</v>
      </c>
      <c r="N450" s="5" t="s">
        <v>465</v>
      </c>
      <c r="O450" s="1" t="s">
        <v>81</v>
      </c>
      <c r="P450" s="1" t="s">
        <v>81</v>
      </c>
      <c r="Q450" s="1" t="s">
        <v>81</v>
      </c>
      <c r="R450" s="5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5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3" t="s">
        <v>397</v>
      </c>
      <c r="B451" s="4"/>
      <c r="C451" s="3" t="s">
        <v>398</v>
      </c>
      <c r="D451" s="5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1" t="s">
        <v>46</v>
      </c>
      <c r="N451" s="5" t="s">
        <v>465</v>
      </c>
      <c r="O451" s="1" t="s">
        <v>81</v>
      </c>
      <c r="P451" s="1" t="s">
        <v>81</v>
      </c>
      <c r="Q451" s="1" t="s">
        <v>81</v>
      </c>
      <c r="R451" s="5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5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3" t="s">
        <v>397</v>
      </c>
      <c r="B452" s="4"/>
      <c r="C452" s="3" t="s">
        <v>398</v>
      </c>
      <c r="D452" s="5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1" t="s">
        <v>46</v>
      </c>
      <c r="N452" s="5" t="s">
        <v>465</v>
      </c>
      <c r="O452" s="1" t="s">
        <v>81</v>
      </c>
      <c r="P452" s="1" t="s">
        <v>81</v>
      </c>
      <c r="Q452" s="1" t="s">
        <v>81</v>
      </c>
      <c r="R452" s="5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5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3" t="s">
        <v>397</v>
      </c>
      <c r="B453" s="4"/>
      <c r="C453" s="3" t="s">
        <v>398</v>
      </c>
      <c r="D453" s="5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1" t="s">
        <v>46</v>
      </c>
      <c r="N453" s="5" t="s">
        <v>465</v>
      </c>
      <c r="O453" s="1" t="s">
        <v>81</v>
      </c>
      <c r="P453" s="1" t="s">
        <v>81</v>
      </c>
      <c r="Q453" s="1" t="s">
        <v>81</v>
      </c>
      <c r="R453" s="5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5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3" t="s">
        <v>397</v>
      </c>
      <c r="B454" s="4"/>
      <c r="C454" s="3" t="s">
        <v>398</v>
      </c>
      <c r="D454" s="5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1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5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5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3" t="s">
        <v>397</v>
      </c>
      <c r="B455" s="4"/>
      <c r="C455" s="3" t="s">
        <v>398</v>
      </c>
      <c r="D455" s="5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1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5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5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3" t="s">
        <v>397</v>
      </c>
      <c r="B456" s="4"/>
      <c r="C456" s="3" t="s">
        <v>398</v>
      </c>
      <c r="D456" s="5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1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5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5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3" t="s">
        <v>397</v>
      </c>
      <c r="B457" s="4"/>
      <c r="C457" s="3" t="s">
        <v>398</v>
      </c>
      <c r="D457" s="5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1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5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5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3" t="s">
        <v>897</v>
      </c>
      <c r="B458" s="4"/>
      <c r="C458" s="3" t="s">
        <v>898</v>
      </c>
      <c r="D458" s="5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5" t="s">
        <v>158</v>
      </c>
      <c r="K458" s="28" t="s">
        <v>900</v>
      </c>
      <c r="L458" s="5" t="s">
        <v>69</v>
      </c>
      <c r="M458" s="5" t="s">
        <v>46</v>
      </c>
      <c r="N458" s="5" t="s">
        <v>404</v>
      </c>
      <c r="O458" s="5" t="s">
        <v>42</v>
      </c>
      <c r="P458" s="5" t="s">
        <v>901</v>
      </c>
      <c r="Q458" s="5" t="s">
        <v>46</v>
      </c>
      <c r="R458" s="5" t="s">
        <v>44</v>
      </c>
      <c r="S458" s="5" t="s">
        <v>46</v>
      </c>
      <c r="T458" s="5" t="s">
        <v>406</v>
      </c>
      <c r="U458" s="5" t="s">
        <v>46</v>
      </c>
      <c r="V458" s="5" t="n">
        <v>1</v>
      </c>
      <c r="W458" s="5" t="s">
        <v>407</v>
      </c>
      <c r="X458" s="5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3" t="s">
        <v>897</v>
      </c>
      <c r="B459" s="4"/>
      <c r="C459" s="3" t="s">
        <v>898</v>
      </c>
      <c r="D459" s="5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5" t="s">
        <v>158</v>
      </c>
      <c r="K459" s="28" t="s">
        <v>905</v>
      </c>
      <c r="L459" s="5" t="s">
        <v>69</v>
      </c>
      <c r="M459" s="5" t="s">
        <v>46</v>
      </c>
      <c r="N459" s="5" t="s">
        <v>404</v>
      </c>
      <c r="O459" s="5" t="s">
        <v>54</v>
      </c>
      <c r="P459" s="5" t="s">
        <v>901</v>
      </c>
      <c r="Q459" s="5" t="s">
        <v>46</v>
      </c>
      <c r="R459" s="5" t="s">
        <v>44</v>
      </c>
      <c r="S459" s="5" t="s">
        <v>46</v>
      </c>
      <c r="T459" s="5" t="s">
        <v>406</v>
      </c>
      <c r="U459" s="5" t="s">
        <v>46</v>
      </c>
      <c r="V459" s="5" t="n">
        <v>1</v>
      </c>
      <c r="W459" s="29" t="s">
        <v>425</v>
      </c>
      <c r="X459" s="5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3" t="s">
        <v>897</v>
      </c>
      <c r="B460" s="4"/>
      <c r="C460" s="3" t="s">
        <v>898</v>
      </c>
      <c r="D460" s="5" t="s">
        <v>19</v>
      </c>
      <c r="E460" s="5" t="s">
        <v>399</v>
      </c>
      <c r="F460" s="5" t="s">
        <v>400</v>
      </c>
      <c r="G460" s="5" t="s">
        <v>401</v>
      </c>
      <c r="H460" s="6" t="s">
        <v>181</v>
      </c>
      <c r="I460" s="5" t="s">
        <v>908</v>
      </c>
      <c r="J460" s="5" t="s">
        <v>158</v>
      </c>
      <c r="K460" s="28" t="s">
        <v>909</v>
      </c>
      <c r="L460" s="5" t="s">
        <v>69</v>
      </c>
      <c r="M460" s="5" t="s">
        <v>46</v>
      </c>
      <c r="N460" s="5" t="s">
        <v>404</v>
      </c>
      <c r="O460" s="5" t="s">
        <v>42</v>
      </c>
      <c r="P460" s="5" t="s">
        <v>901</v>
      </c>
      <c r="Q460" s="5" t="s">
        <v>46</v>
      </c>
      <c r="R460" s="5" t="s">
        <v>44</v>
      </c>
      <c r="S460" s="5" t="s">
        <v>46</v>
      </c>
      <c r="T460" s="5" t="s">
        <v>406</v>
      </c>
      <c r="U460" s="5" t="s">
        <v>46</v>
      </c>
      <c r="V460" s="5" t="n">
        <v>1</v>
      </c>
      <c r="W460" s="5" t="s">
        <v>448</v>
      </c>
      <c r="X460" s="5" t="s">
        <v>408</v>
      </c>
      <c r="Y460" s="5" t="n">
        <v>5500</v>
      </c>
      <c r="Z460" s="5" t="s">
        <v>409</v>
      </c>
      <c r="AA460" s="5" t="s">
        <v>410</v>
      </c>
      <c r="AB460" s="1" t="s">
        <v>411</v>
      </c>
      <c r="AC460" s="5" t="s">
        <v>412</v>
      </c>
      <c r="AD460" s="1" t="s">
        <v>413</v>
      </c>
      <c r="AE460" s="5" t="s">
        <v>910</v>
      </c>
      <c r="AF460" s="5" t="s">
        <v>911</v>
      </c>
    </row>
    <row r="461" customFormat="false" ht="14.9" hidden="false" customHeight="false" outlineLevel="0" collapsed="false">
      <c r="A461" s="3" t="s">
        <v>897</v>
      </c>
      <c r="B461" s="4"/>
      <c r="C461" s="3" t="s">
        <v>898</v>
      </c>
      <c r="D461" s="5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5" t="s">
        <v>166</v>
      </c>
      <c r="K461" s="28" t="s">
        <v>913</v>
      </c>
      <c r="L461" s="5" t="s">
        <v>69</v>
      </c>
      <c r="M461" s="5" t="s">
        <v>46</v>
      </c>
      <c r="N461" s="5" t="s">
        <v>404</v>
      </c>
      <c r="O461" s="5" t="s">
        <v>42</v>
      </c>
      <c r="P461" s="5" t="s">
        <v>901</v>
      </c>
      <c r="Q461" s="5" t="s">
        <v>46</v>
      </c>
      <c r="R461" s="5" t="s">
        <v>72</v>
      </c>
      <c r="S461" s="5" t="s">
        <v>46</v>
      </c>
      <c r="T461" s="5" t="s">
        <v>419</v>
      </c>
      <c r="U461" s="5" t="s">
        <v>46</v>
      </c>
      <c r="V461" s="5" t="n">
        <v>1</v>
      </c>
      <c r="W461" s="5" t="s">
        <v>420</v>
      </c>
      <c r="X461" s="5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3" t="s">
        <v>897</v>
      </c>
      <c r="B462" s="4"/>
      <c r="C462" s="3" t="s">
        <v>898</v>
      </c>
      <c r="D462" s="5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5" t="s">
        <v>166</v>
      </c>
      <c r="K462" s="5" t="s">
        <v>917</v>
      </c>
      <c r="L462" s="5" t="s">
        <v>69</v>
      </c>
      <c r="M462" s="5" t="s">
        <v>46</v>
      </c>
      <c r="N462" s="5" t="s">
        <v>404</v>
      </c>
      <c r="O462" s="5" t="s">
        <v>418</v>
      </c>
      <c r="P462" s="5" t="s">
        <v>901</v>
      </c>
      <c r="Q462" s="5" t="s">
        <v>46</v>
      </c>
      <c r="R462" s="5" t="s">
        <v>72</v>
      </c>
      <c r="S462" s="5" t="s">
        <v>46</v>
      </c>
      <c r="T462" s="5" t="s">
        <v>419</v>
      </c>
      <c r="U462" s="5" t="s">
        <v>46</v>
      </c>
      <c r="V462" s="5" t="n">
        <v>1</v>
      </c>
      <c r="W462" s="5" t="s">
        <v>431</v>
      </c>
      <c r="X462" s="5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3" t="s">
        <v>897</v>
      </c>
      <c r="B463" s="4"/>
      <c r="C463" s="3" t="s">
        <v>898</v>
      </c>
      <c r="D463" s="5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5" t="s">
        <v>166</v>
      </c>
      <c r="K463" s="5" t="s">
        <v>922</v>
      </c>
      <c r="L463" s="5" t="s">
        <v>69</v>
      </c>
      <c r="M463" s="5" t="s">
        <v>46</v>
      </c>
      <c r="N463" s="5" t="s">
        <v>404</v>
      </c>
      <c r="O463" s="5" t="s">
        <v>42</v>
      </c>
      <c r="P463" s="5" t="s">
        <v>901</v>
      </c>
      <c r="Q463" s="5" t="s">
        <v>46</v>
      </c>
      <c r="R463" s="5" t="s">
        <v>44</v>
      </c>
      <c r="S463" s="5" t="s">
        <v>46</v>
      </c>
      <c r="T463" s="5" t="s">
        <v>419</v>
      </c>
      <c r="U463" s="5" t="s">
        <v>46</v>
      </c>
      <c r="V463" s="5" t="n">
        <v>1</v>
      </c>
      <c r="W463" s="5" t="s">
        <v>436</v>
      </c>
      <c r="X463" s="5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3" t="s">
        <v>897</v>
      </c>
      <c r="B464" s="4"/>
      <c r="C464" s="3" t="s">
        <v>898</v>
      </c>
      <c r="D464" s="5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5" t="s">
        <v>158</v>
      </c>
      <c r="K464" s="28" t="s">
        <v>927</v>
      </c>
      <c r="L464" s="5" t="s">
        <v>69</v>
      </c>
      <c r="M464" s="5" t="s">
        <v>46</v>
      </c>
      <c r="N464" s="5" t="s">
        <v>404</v>
      </c>
      <c r="O464" s="5" t="s">
        <v>54</v>
      </c>
      <c r="P464" s="5" t="s">
        <v>901</v>
      </c>
      <c r="Q464" s="5" t="s">
        <v>46</v>
      </c>
      <c r="R464" s="5" t="s">
        <v>72</v>
      </c>
      <c r="S464" s="5" t="s">
        <v>46</v>
      </c>
      <c r="T464" s="5" t="s">
        <v>406</v>
      </c>
      <c r="U464" s="5" t="s">
        <v>46</v>
      </c>
      <c r="V464" s="5" t="n">
        <v>1</v>
      </c>
      <c r="W464" s="5" t="s">
        <v>497</v>
      </c>
      <c r="X464" s="5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3" t="s">
        <v>897</v>
      </c>
      <c r="B465" s="4"/>
      <c r="C465" s="3" t="s">
        <v>898</v>
      </c>
      <c r="D465" s="5" t="s">
        <v>19</v>
      </c>
      <c r="E465" s="5" t="s">
        <v>399</v>
      </c>
      <c r="F465" s="5" t="s">
        <v>400</v>
      </c>
      <c r="G465" s="5" t="s">
        <v>399</v>
      </c>
      <c r="H465" s="6" t="s">
        <v>64</v>
      </c>
      <c r="I465" s="5" t="s">
        <v>451</v>
      </c>
      <c r="J465" s="1" t="s">
        <v>158</v>
      </c>
      <c r="K465" s="5" t="s">
        <v>64</v>
      </c>
      <c r="L465" s="5" t="s">
        <v>46</v>
      </c>
      <c r="M465" s="5" t="s">
        <v>46</v>
      </c>
      <c r="N465" s="5" t="s">
        <v>65</v>
      </c>
      <c r="O465" s="5" t="s">
        <v>46</v>
      </c>
      <c r="P465" s="5" t="s">
        <v>46</v>
      </c>
      <c r="Q465" s="5" t="s">
        <v>46</v>
      </c>
      <c r="R465" s="5" t="s">
        <v>46</v>
      </c>
      <c r="S465" s="5" t="s">
        <v>46</v>
      </c>
      <c r="T465" s="5" t="s">
        <v>46</v>
      </c>
      <c r="U465" s="5" t="s">
        <v>46</v>
      </c>
      <c r="V465" s="5" t="n">
        <v>1</v>
      </c>
      <c r="X465" s="5" t="s">
        <v>46</v>
      </c>
      <c r="Y465" s="5" t="n">
        <v>5500</v>
      </c>
      <c r="Z465" s="5" t="s">
        <v>409</v>
      </c>
      <c r="AA465" s="5" t="s">
        <v>410</v>
      </c>
      <c r="AB465" s="1" t="s">
        <v>411</v>
      </c>
      <c r="AC465" s="5" t="s">
        <v>412</v>
      </c>
      <c r="AD465" s="1" t="s">
        <v>413</v>
      </c>
      <c r="AE465" s="5" t="s">
        <v>452</v>
      </c>
      <c r="AF465" s="5" t="s">
        <v>453</v>
      </c>
    </row>
    <row r="466" customFormat="false" ht="14.9" hidden="false" customHeight="false" outlineLevel="0" collapsed="false">
      <c r="A466" s="3" t="s">
        <v>897</v>
      </c>
      <c r="B466" s="4"/>
      <c r="C466" s="3" t="s">
        <v>898</v>
      </c>
      <c r="D466" s="5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5" t="s">
        <v>66</v>
      </c>
      <c r="L466" s="5" t="s">
        <v>46</v>
      </c>
      <c r="M466" s="5" t="s">
        <v>46</v>
      </c>
      <c r="N466" s="5" t="s">
        <v>65</v>
      </c>
      <c r="O466" s="5" t="s">
        <v>46</v>
      </c>
      <c r="P466" s="5" t="s">
        <v>46</v>
      </c>
      <c r="Q466" s="5" t="s">
        <v>46</v>
      </c>
      <c r="R466" s="5" t="s">
        <v>46</v>
      </c>
      <c r="S466" s="5" t="s">
        <v>46</v>
      </c>
      <c r="T466" s="5" t="s">
        <v>46</v>
      </c>
      <c r="U466" s="5" t="s">
        <v>46</v>
      </c>
      <c r="V466" s="5" t="n">
        <v>2</v>
      </c>
      <c r="X466" s="5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3" t="s">
        <v>897</v>
      </c>
      <c r="B467" s="4"/>
      <c r="C467" s="3" t="s">
        <v>898</v>
      </c>
      <c r="D467" s="5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5" t="s">
        <v>67</v>
      </c>
      <c r="L467" s="5" t="s">
        <v>46</v>
      </c>
      <c r="M467" s="5" t="s">
        <v>46</v>
      </c>
      <c r="N467" s="5" t="s">
        <v>65</v>
      </c>
      <c r="O467" s="5" t="s">
        <v>46</v>
      </c>
      <c r="P467" s="5" t="s">
        <v>46</v>
      </c>
      <c r="Q467" s="5" t="s">
        <v>46</v>
      </c>
      <c r="R467" s="5" t="s">
        <v>46</v>
      </c>
      <c r="S467" s="5" t="s">
        <v>46</v>
      </c>
      <c r="T467" s="5" t="s">
        <v>46</v>
      </c>
      <c r="U467" s="5" t="s">
        <v>46</v>
      </c>
      <c r="V467" s="5" t="n">
        <v>3</v>
      </c>
      <c r="X467" s="5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3" t="s">
        <v>897</v>
      </c>
      <c r="B468" s="4"/>
      <c r="C468" s="3" t="s">
        <v>898</v>
      </c>
      <c r="D468" s="5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5" t="s">
        <v>221</v>
      </c>
      <c r="L468" s="5" t="s">
        <v>46</v>
      </c>
      <c r="M468" s="5" t="s">
        <v>46</v>
      </c>
      <c r="N468" s="5" t="s">
        <v>65</v>
      </c>
      <c r="O468" s="5" t="s">
        <v>46</v>
      </c>
      <c r="P468" s="5" t="s">
        <v>46</v>
      </c>
      <c r="Q468" s="5" t="s">
        <v>46</v>
      </c>
      <c r="R468" s="5" t="s">
        <v>46</v>
      </c>
      <c r="S468" s="5" t="s">
        <v>46</v>
      </c>
      <c r="T468" s="5" t="s">
        <v>46</v>
      </c>
      <c r="U468" s="5" t="s">
        <v>46</v>
      </c>
      <c r="V468" s="5" t="n">
        <v>4</v>
      </c>
      <c r="X468" s="5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3" t="s">
        <v>897</v>
      </c>
      <c r="B469" s="4"/>
      <c r="C469" s="3" t="s">
        <v>898</v>
      </c>
      <c r="D469" s="5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5" t="s">
        <v>463</v>
      </c>
      <c r="L469" s="5" t="s">
        <v>69</v>
      </c>
      <c r="M469" s="5" t="s">
        <v>46</v>
      </c>
      <c r="N469" s="5" t="s">
        <v>465</v>
      </c>
      <c r="O469" s="5" t="s">
        <v>81</v>
      </c>
      <c r="P469" s="5" t="s">
        <v>81</v>
      </c>
      <c r="Q469" s="5" t="s">
        <v>81</v>
      </c>
      <c r="R469" s="5" t="s">
        <v>81</v>
      </c>
      <c r="S469" s="5" t="s">
        <v>46</v>
      </c>
      <c r="T469" s="5" t="s">
        <v>81</v>
      </c>
      <c r="U469" s="5" t="s">
        <v>46</v>
      </c>
      <c r="V469" s="5" t="n">
        <v>1</v>
      </c>
      <c r="X469" s="5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3" t="s">
        <v>897</v>
      </c>
      <c r="B470" s="4"/>
      <c r="C470" s="3" t="s">
        <v>898</v>
      </c>
      <c r="D470" s="5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5" t="s">
        <v>468</v>
      </c>
      <c r="L470" s="5" t="s">
        <v>69</v>
      </c>
      <c r="M470" s="5" t="s">
        <v>46</v>
      </c>
      <c r="N470" s="5" t="s">
        <v>465</v>
      </c>
      <c r="O470" s="5" t="s">
        <v>81</v>
      </c>
      <c r="P470" s="5" t="s">
        <v>81</v>
      </c>
      <c r="Q470" s="5" t="s">
        <v>81</v>
      </c>
      <c r="R470" s="5" t="s">
        <v>81</v>
      </c>
      <c r="S470" s="5" t="s">
        <v>46</v>
      </c>
      <c r="T470" s="5" t="s">
        <v>81</v>
      </c>
      <c r="U470" s="5" t="s">
        <v>46</v>
      </c>
      <c r="V470" s="5" t="n">
        <v>2</v>
      </c>
      <c r="X470" s="5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3" t="s">
        <v>897</v>
      </c>
      <c r="B471" s="4"/>
      <c r="C471" s="3" t="s">
        <v>898</v>
      </c>
      <c r="D471" s="5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5" t="s">
        <v>472</v>
      </c>
      <c r="L471" s="5" t="s">
        <v>69</v>
      </c>
      <c r="M471" s="5" t="s">
        <v>46</v>
      </c>
      <c r="N471" s="5" t="s">
        <v>465</v>
      </c>
      <c r="O471" s="5" t="s">
        <v>81</v>
      </c>
      <c r="P471" s="5" t="s">
        <v>81</v>
      </c>
      <c r="Q471" s="5" t="s">
        <v>81</v>
      </c>
      <c r="R471" s="5" t="s">
        <v>81</v>
      </c>
      <c r="S471" s="5" t="s">
        <v>46</v>
      </c>
      <c r="T471" s="5" t="s">
        <v>81</v>
      </c>
      <c r="U471" s="5" t="s">
        <v>46</v>
      </c>
      <c r="V471" s="5" t="n">
        <v>3</v>
      </c>
      <c r="X471" s="5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3" t="s">
        <v>897</v>
      </c>
      <c r="B472" s="4"/>
      <c r="C472" s="3" t="s">
        <v>898</v>
      </c>
      <c r="D472" s="5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5" t="s">
        <v>476</v>
      </c>
      <c r="L472" s="5" t="s">
        <v>69</v>
      </c>
      <c r="M472" s="5" t="s">
        <v>46</v>
      </c>
      <c r="N472" s="5" t="s">
        <v>465</v>
      </c>
      <c r="O472" s="5" t="s">
        <v>81</v>
      </c>
      <c r="P472" s="5" t="s">
        <v>81</v>
      </c>
      <c r="Q472" s="5" t="s">
        <v>81</v>
      </c>
      <c r="R472" s="5" t="s">
        <v>81</v>
      </c>
      <c r="S472" s="5" t="s">
        <v>46</v>
      </c>
      <c r="T472" s="5" t="s">
        <v>81</v>
      </c>
      <c r="U472" s="5" t="s">
        <v>46</v>
      </c>
      <c r="V472" s="5" t="n">
        <v>4</v>
      </c>
      <c r="X472" s="5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3" t="s">
        <v>897</v>
      </c>
      <c r="B473" s="4"/>
      <c r="C473" s="3" t="s">
        <v>898</v>
      </c>
      <c r="D473" s="5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5" t="s">
        <v>348</v>
      </c>
      <c r="L473" s="5" t="s">
        <v>69</v>
      </c>
      <c r="M473" s="5" t="s">
        <v>46</v>
      </c>
      <c r="N473" s="5" t="s">
        <v>70</v>
      </c>
      <c r="O473" s="5" t="s">
        <v>46</v>
      </c>
      <c r="P473" s="5" t="s">
        <v>71</v>
      </c>
      <c r="Q473" s="5" t="s">
        <v>71</v>
      </c>
      <c r="R473" s="5" t="s">
        <v>72</v>
      </c>
      <c r="S473" s="5" t="s">
        <v>73</v>
      </c>
      <c r="T473" s="5" t="s">
        <v>46</v>
      </c>
      <c r="U473" s="5" t="n">
        <v>1000</v>
      </c>
      <c r="V473" s="5" t="n">
        <v>1</v>
      </c>
      <c r="X473" s="5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3" t="s">
        <v>897</v>
      </c>
      <c r="B474" s="4"/>
      <c r="C474" s="3" t="s">
        <v>898</v>
      </c>
      <c r="D474" s="5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5" t="s">
        <v>349</v>
      </c>
      <c r="L474" s="5" t="s">
        <v>69</v>
      </c>
      <c r="M474" s="5" t="s">
        <v>46</v>
      </c>
      <c r="N474" s="5" t="s">
        <v>70</v>
      </c>
      <c r="O474" s="5" t="s">
        <v>46</v>
      </c>
      <c r="P474" s="5" t="s">
        <v>71</v>
      </c>
      <c r="Q474" s="5" t="s">
        <v>71</v>
      </c>
      <c r="R474" s="5" t="s">
        <v>72</v>
      </c>
      <c r="S474" s="5" t="s">
        <v>73</v>
      </c>
      <c r="T474" s="5" t="s">
        <v>46</v>
      </c>
      <c r="U474" s="5" t="n">
        <v>1000</v>
      </c>
      <c r="V474" s="5" t="n">
        <v>2</v>
      </c>
      <c r="X474" s="5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3" t="s">
        <v>897</v>
      </c>
      <c r="B475" s="4"/>
      <c r="C475" s="3" t="s">
        <v>898</v>
      </c>
      <c r="D475" s="5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5" t="s">
        <v>350</v>
      </c>
      <c r="L475" s="5" t="s">
        <v>69</v>
      </c>
      <c r="M475" s="5" t="s">
        <v>46</v>
      </c>
      <c r="N475" s="5" t="s">
        <v>70</v>
      </c>
      <c r="O475" s="5" t="s">
        <v>46</v>
      </c>
      <c r="P475" s="5" t="s">
        <v>71</v>
      </c>
      <c r="Q475" s="5" t="s">
        <v>71</v>
      </c>
      <c r="R475" s="5" t="s">
        <v>72</v>
      </c>
      <c r="S475" s="5" t="s">
        <v>73</v>
      </c>
      <c r="T475" s="5" t="s">
        <v>46</v>
      </c>
      <c r="U475" s="5" t="n">
        <v>1000</v>
      </c>
      <c r="V475" s="5" t="n">
        <v>3</v>
      </c>
      <c r="X475" s="5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3" t="s">
        <v>897</v>
      </c>
      <c r="B476" s="4"/>
      <c r="C476" s="3" t="s">
        <v>898</v>
      </c>
      <c r="D476" s="5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5" t="s">
        <v>158</v>
      </c>
      <c r="K476" s="5" t="s">
        <v>351</v>
      </c>
      <c r="L476" s="5" t="s">
        <v>69</v>
      </c>
      <c r="M476" s="5" t="s">
        <v>46</v>
      </c>
      <c r="N476" s="5" t="s">
        <v>70</v>
      </c>
      <c r="O476" s="5" t="s">
        <v>46</v>
      </c>
      <c r="P476" s="5" t="s">
        <v>71</v>
      </c>
      <c r="Q476" s="5" t="s">
        <v>71</v>
      </c>
      <c r="R476" s="5" t="s">
        <v>72</v>
      </c>
      <c r="S476" s="5" t="s">
        <v>73</v>
      </c>
      <c r="T476" s="5" t="s">
        <v>46</v>
      </c>
      <c r="U476" s="5" t="n">
        <v>1000</v>
      </c>
      <c r="V476" s="5" t="n">
        <v>4</v>
      </c>
      <c r="W476" s="5"/>
      <c r="X476" s="5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3" t="s">
        <v>897</v>
      </c>
      <c r="B477" s="4"/>
      <c r="C477" s="3" t="s">
        <v>898</v>
      </c>
      <c r="D477" s="5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5" t="s">
        <v>158</v>
      </c>
      <c r="K477" s="5" t="s">
        <v>932</v>
      </c>
      <c r="L477" s="5" t="s">
        <v>69</v>
      </c>
      <c r="M477" s="5" t="s">
        <v>46</v>
      </c>
      <c r="N477" s="5" t="s">
        <v>404</v>
      </c>
      <c r="O477" s="5" t="s">
        <v>42</v>
      </c>
      <c r="P477" s="5" t="s">
        <v>901</v>
      </c>
      <c r="Q477" s="5" t="s">
        <v>46</v>
      </c>
      <c r="R477" s="5" t="s">
        <v>44</v>
      </c>
      <c r="S477" s="5" t="s">
        <v>46</v>
      </c>
      <c r="T477" s="5" t="s">
        <v>406</v>
      </c>
      <c r="U477" s="5" t="s">
        <v>46</v>
      </c>
      <c r="V477" s="5" t="n">
        <v>1</v>
      </c>
      <c r="W477" s="5" t="s">
        <v>508</v>
      </c>
      <c r="X477" s="5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3" t="s">
        <v>897</v>
      </c>
      <c r="B478" s="4"/>
      <c r="C478" s="3" t="s">
        <v>898</v>
      </c>
      <c r="D478" s="5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5" t="s">
        <v>158</v>
      </c>
      <c r="K478" s="5" t="s">
        <v>937</v>
      </c>
      <c r="L478" s="5" t="s">
        <v>69</v>
      </c>
      <c r="M478" s="5" t="s">
        <v>46</v>
      </c>
      <c r="N478" s="5" t="s">
        <v>404</v>
      </c>
      <c r="O478" s="5" t="s">
        <v>42</v>
      </c>
      <c r="P478" s="5" t="s">
        <v>901</v>
      </c>
      <c r="Q478" s="5" t="s">
        <v>46</v>
      </c>
      <c r="R478" s="5" t="s">
        <v>72</v>
      </c>
      <c r="S478" s="5" t="s">
        <v>46</v>
      </c>
      <c r="T478" s="5" t="s">
        <v>406</v>
      </c>
      <c r="U478" s="5" t="s">
        <v>46</v>
      </c>
      <c r="V478" s="5" t="n">
        <v>1</v>
      </c>
      <c r="W478" s="5" t="s">
        <v>514</v>
      </c>
      <c r="X478" s="5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3" t="s">
        <v>897</v>
      </c>
      <c r="B479" s="4"/>
      <c r="C479" s="3" t="s">
        <v>898</v>
      </c>
      <c r="D479" s="5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5" t="s">
        <v>166</v>
      </c>
      <c r="K479" s="5" t="s">
        <v>942</v>
      </c>
      <c r="L479" s="5" t="s">
        <v>69</v>
      </c>
      <c r="M479" s="5" t="s">
        <v>46</v>
      </c>
      <c r="N479" s="5" t="s">
        <v>404</v>
      </c>
      <c r="O479" s="5" t="s">
        <v>42</v>
      </c>
      <c r="P479" s="5" t="s">
        <v>901</v>
      </c>
      <c r="Q479" s="5" t="s">
        <v>46</v>
      </c>
      <c r="R479" s="5" t="s">
        <v>72</v>
      </c>
      <c r="S479" s="5" t="s">
        <v>46</v>
      </c>
      <c r="T479" s="5" t="s">
        <v>419</v>
      </c>
      <c r="U479" s="5" t="s">
        <v>46</v>
      </c>
      <c r="V479" s="5" t="n">
        <v>1</v>
      </c>
      <c r="W479" s="5" t="s">
        <v>442</v>
      </c>
      <c r="X479" s="5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3" t="s">
        <v>897</v>
      </c>
      <c r="B480" s="4"/>
      <c r="C480" s="3" t="s">
        <v>898</v>
      </c>
      <c r="D480" s="5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5" t="s">
        <v>158</v>
      </c>
      <c r="K480" s="5" t="s">
        <v>947</v>
      </c>
      <c r="L480" s="5" t="s">
        <v>69</v>
      </c>
      <c r="M480" s="5" t="s">
        <v>46</v>
      </c>
      <c r="N480" s="5" t="s">
        <v>404</v>
      </c>
      <c r="O480" s="5" t="s">
        <v>42</v>
      </c>
      <c r="P480" s="5" t="s">
        <v>901</v>
      </c>
      <c r="Q480" s="5" t="s">
        <v>46</v>
      </c>
      <c r="R480" s="5" t="s">
        <v>72</v>
      </c>
      <c r="S480" s="5" t="s">
        <v>46</v>
      </c>
      <c r="T480" s="5" t="s">
        <v>406</v>
      </c>
      <c r="U480" s="5" t="s">
        <v>46</v>
      </c>
      <c r="V480" s="5" t="n">
        <v>1</v>
      </c>
      <c r="W480" s="5" t="s">
        <v>571</v>
      </c>
      <c r="X480" s="5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3" t="s">
        <v>897</v>
      </c>
      <c r="B481" s="4"/>
      <c r="C481" s="3" t="s">
        <v>898</v>
      </c>
      <c r="D481" s="5" t="s">
        <v>19</v>
      </c>
      <c r="E481" s="5" t="s">
        <v>492</v>
      </c>
      <c r="F481" s="6" t="s">
        <v>493</v>
      </c>
      <c r="G481" s="5" t="s">
        <v>401</v>
      </c>
      <c r="H481" s="14" t="s">
        <v>950</v>
      </c>
      <c r="I481" s="5" t="str">
        <f aca="false">CONCATENATE(E481, "_",H481)</f>
        <v>NLA_2022_015_069</v>
      </c>
      <c r="J481" s="5" t="s">
        <v>158</v>
      </c>
      <c r="K481" s="5" t="s">
        <v>951</v>
      </c>
      <c r="L481" s="5" t="s">
        <v>69</v>
      </c>
      <c r="M481" s="5" t="s">
        <v>46</v>
      </c>
      <c r="N481" s="5" t="s">
        <v>404</v>
      </c>
      <c r="O481" s="5" t="s">
        <v>54</v>
      </c>
      <c r="P481" s="5" t="s">
        <v>901</v>
      </c>
      <c r="Q481" s="5" t="s">
        <v>46</v>
      </c>
      <c r="R481" s="5" t="s">
        <v>44</v>
      </c>
      <c r="S481" s="5" t="s">
        <v>46</v>
      </c>
      <c r="T481" s="5" t="s">
        <v>406</v>
      </c>
      <c r="U481" s="5" t="s">
        <v>46</v>
      </c>
      <c r="V481" s="5" t="n">
        <v>1</v>
      </c>
      <c r="W481" s="5" t="s">
        <v>952</v>
      </c>
      <c r="X481" s="5" t="s">
        <v>408</v>
      </c>
      <c r="Y481" s="5" t="n">
        <v>5500</v>
      </c>
      <c r="Z481" s="5" t="s">
        <v>498</v>
      </c>
      <c r="AA481" s="5" t="s">
        <v>499</v>
      </c>
      <c r="AB481" s="13" t="str">
        <f aca="true" t="array" ref="AB481:AB481">LEFT(AA481,LOOKUP(2^15,FIND(".",AA481,ROW(INDIRECT("1:"&amp;LEN(AA481)))))-1)</f>
        <v>NB_2022_047 - 05102022 - 1</v>
      </c>
      <c r="AC481" s="5" t="s">
        <v>501</v>
      </c>
      <c r="AD481" s="13" t="str">
        <f aca="true" t="array" ref="AD481:AD481">LEFT(AC481,LOOKUP(2^15,FIND(".",AC481,ROW(INDIRECT("1:"&amp;LEN(AC481)))))-1)</f>
        <v>NB_2022_047 - 05102022 - 2</v>
      </c>
      <c r="AE481" s="5" t="str">
        <f aca="false">CONCATENATE(AB481, "-",H481, ".mzML")</f>
        <v>NB_2022_047 - 05102022 - 1-069.mzML</v>
      </c>
      <c r="AF481" s="5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3" t="s">
        <v>897</v>
      </c>
      <c r="B482" s="4"/>
      <c r="C482" s="3" t="s">
        <v>898</v>
      </c>
      <c r="D482" s="5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5" t="s">
        <v>64</v>
      </c>
      <c r="L482" s="5" t="s">
        <v>46</v>
      </c>
      <c r="M482" s="5" t="s">
        <v>46</v>
      </c>
      <c r="N482" s="5" t="s">
        <v>65</v>
      </c>
      <c r="O482" s="5" t="s">
        <v>46</v>
      </c>
      <c r="P482" s="5" t="s">
        <v>46</v>
      </c>
      <c r="Q482" s="5" t="s">
        <v>46</v>
      </c>
      <c r="R482" s="5" t="s">
        <v>46</v>
      </c>
      <c r="S482" s="5" t="s">
        <v>46</v>
      </c>
      <c r="T482" s="5" t="s">
        <v>46</v>
      </c>
      <c r="U482" s="5" t="s">
        <v>46</v>
      </c>
      <c r="V482" s="5" t="n">
        <v>1</v>
      </c>
      <c r="X482" s="5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3" t="s">
        <v>897</v>
      </c>
      <c r="B483" s="4"/>
      <c r="C483" s="3" t="s">
        <v>898</v>
      </c>
      <c r="D483" s="5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5" t="s">
        <v>66</v>
      </c>
      <c r="L483" s="5" t="s">
        <v>46</v>
      </c>
      <c r="M483" s="5" t="s">
        <v>46</v>
      </c>
      <c r="N483" s="5" t="s">
        <v>65</v>
      </c>
      <c r="O483" s="5" t="s">
        <v>46</v>
      </c>
      <c r="P483" s="5" t="s">
        <v>46</v>
      </c>
      <c r="Q483" s="5" t="s">
        <v>46</v>
      </c>
      <c r="R483" s="5" t="s">
        <v>46</v>
      </c>
      <c r="S483" s="5" t="s">
        <v>46</v>
      </c>
      <c r="T483" s="5" t="s">
        <v>46</v>
      </c>
      <c r="U483" s="5" t="s">
        <v>46</v>
      </c>
      <c r="V483" s="5" t="n">
        <v>2</v>
      </c>
      <c r="X483" s="5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3" t="s">
        <v>897</v>
      </c>
      <c r="B484" s="4"/>
      <c r="C484" s="3" t="s">
        <v>898</v>
      </c>
      <c r="D484" s="5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5" t="s">
        <v>67</v>
      </c>
      <c r="L484" s="5" t="s">
        <v>46</v>
      </c>
      <c r="M484" s="5" t="s">
        <v>46</v>
      </c>
      <c r="N484" s="5" t="s">
        <v>65</v>
      </c>
      <c r="O484" s="5" t="s">
        <v>46</v>
      </c>
      <c r="P484" s="5" t="s">
        <v>46</v>
      </c>
      <c r="Q484" s="5" t="s">
        <v>46</v>
      </c>
      <c r="R484" s="5" t="s">
        <v>46</v>
      </c>
      <c r="S484" s="5" t="s">
        <v>46</v>
      </c>
      <c r="T484" s="5" t="s">
        <v>46</v>
      </c>
      <c r="U484" s="5" t="s">
        <v>46</v>
      </c>
      <c r="V484" s="5" t="n">
        <v>3</v>
      </c>
      <c r="X484" s="5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3" t="s">
        <v>897</v>
      </c>
      <c r="B485" s="4"/>
      <c r="C485" s="3" t="s">
        <v>898</v>
      </c>
      <c r="D485" s="5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5" t="s">
        <v>221</v>
      </c>
      <c r="L485" s="5" t="s">
        <v>46</v>
      </c>
      <c r="M485" s="5" t="s">
        <v>46</v>
      </c>
      <c r="N485" s="5" t="s">
        <v>65</v>
      </c>
      <c r="O485" s="5" t="s">
        <v>46</v>
      </c>
      <c r="P485" s="5" t="s">
        <v>46</v>
      </c>
      <c r="Q485" s="5" t="s">
        <v>46</v>
      </c>
      <c r="R485" s="5" t="s">
        <v>46</v>
      </c>
      <c r="S485" s="5" t="s">
        <v>46</v>
      </c>
      <c r="T485" s="5" t="s">
        <v>46</v>
      </c>
      <c r="U485" s="5" t="s">
        <v>46</v>
      </c>
      <c r="V485" s="5" t="n">
        <v>4</v>
      </c>
      <c r="X485" s="5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3" t="s">
        <v>897</v>
      </c>
      <c r="B486" s="4"/>
      <c r="C486" s="3" t="s">
        <v>898</v>
      </c>
      <c r="D486" s="5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5" t="s">
        <v>463</v>
      </c>
      <c r="L486" s="5" t="s">
        <v>69</v>
      </c>
      <c r="M486" s="5" t="s">
        <v>46</v>
      </c>
      <c r="N486" s="5" t="s">
        <v>465</v>
      </c>
      <c r="O486" s="5" t="s">
        <v>81</v>
      </c>
      <c r="P486" s="5" t="s">
        <v>81</v>
      </c>
      <c r="Q486" s="5" t="s">
        <v>81</v>
      </c>
      <c r="R486" s="5" t="s">
        <v>81</v>
      </c>
      <c r="S486" s="5" t="s">
        <v>46</v>
      </c>
      <c r="T486" s="5" t="s">
        <v>81</v>
      </c>
      <c r="U486" s="5" t="s">
        <v>46</v>
      </c>
      <c r="V486" s="5" t="n">
        <v>1</v>
      </c>
      <c r="X486" s="5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3" t="s">
        <v>897</v>
      </c>
      <c r="B487" s="4"/>
      <c r="C487" s="3" t="s">
        <v>898</v>
      </c>
      <c r="D487" s="5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5" t="s">
        <v>468</v>
      </c>
      <c r="L487" s="5" t="s">
        <v>69</v>
      </c>
      <c r="M487" s="5" t="s">
        <v>46</v>
      </c>
      <c r="N487" s="5" t="s">
        <v>465</v>
      </c>
      <c r="O487" s="5" t="s">
        <v>81</v>
      </c>
      <c r="P487" s="5" t="s">
        <v>81</v>
      </c>
      <c r="Q487" s="5" t="s">
        <v>81</v>
      </c>
      <c r="R487" s="5" t="s">
        <v>81</v>
      </c>
      <c r="S487" s="5" t="s">
        <v>46</v>
      </c>
      <c r="T487" s="5" t="s">
        <v>81</v>
      </c>
      <c r="U487" s="5" t="s">
        <v>46</v>
      </c>
      <c r="V487" s="5" t="n">
        <v>2</v>
      </c>
      <c r="X487" s="5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3" t="s">
        <v>897</v>
      </c>
      <c r="B488" s="4"/>
      <c r="C488" s="3" t="s">
        <v>898</v>
      </c>
      <c r="D488" s="5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5" t="s">
        <v>472</v>
      </c>
      <c r="L488" s="5" t="s">
        <v>69</v>
      </c>
      <c r="M488" s="5" t="s">
        <v>46</v>
      </c>
      <c r="N488" s="5" t="s">
        <v>465</v>
      </c>
      <c r="O488" s="5" t="s">
        <v>81</v>
      </c>
      <c r="P488" s="5" t="s">
        <v>81</v>
      </c>
      <c r="Q488" s="5" t="s">
        <v>81</v>
      </c>
      <c r="R488" s="5" t="s">
        <v>81</v>
      </c>
      <c r="S488" s="5" t="s">
        <v>46</v>
      </c>
      <c r="T488" s="5" t="s">
        <v>81</v>
      </c>
      <c r="U488" s="5" t="s">
        <v>46</v>
      </c>
      <c r="V488" s="5" t="n">
        <v>3</v>
      </c>
      <c r="X488" s="5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3" t="s">
        <v>897</v>
      </c>
      <c r="B489" s="4"/>
      <c r="C489" s="3" t="s">
        <v>898</v>
      </c>
      <c r="D489" s="5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5" t="s">
        <v>476</v>
      </c>
      <c r="L489" s="5" t="s">
        <v>69</v>
      </c>
      <c r="M489" s="5" t="s">
        <v>46</v>
      </c>
      <c r="N489" s="5" t="s">
        <v>465</v>
      </c>
      <c r="O489" s="5" t="s">
        <v>81</v>
      </c>
      <c r="P489" s="5" t="s">
        <v>81</v>
      </c>
      <c r="Q489" s="5" t="s">
        <v>81</v>
      </c>
      <c r="R489" s="5" t="s">
        <v>81</v>
      </c>
      <c r="S489" s="5" t="s">
        <v>46</v>
      </c>
      <c r="T489" s="5" t="s">
        <v>81</v>
      </c>
      <c r="U489" s="5" t="s">
        <v>46</v>
      </c>
      <c r="V489" s="5" t="n">
        <v>4</v>
      </c>
      <c r="X489" s="5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3" t="s">
        <v>897</v>
      </c>
      <c r="B490" s="4"/>
      <c r="C490" s="3" t="s">
        <v>898</v>
      </c>
      <c r="D490" s="5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5" t="s">
        <v>348</v>
      </c>
      <c r="L490" s="5" t="s">
        <v>69</v>
      </c>
      <c r="M490" s="5" t="s">
        <v>46</v>
      </c>
      <c r="N490" s="5" t="s">
        <v>70</v>
      </c>
      <c r="O490" s="5" t="s">
        <v>46</v>
      </c>
      <c r="P490" s="5" t="s">
        <v>71</v>
      </c>
      <c r="Q490" s="5" t="s">
        <v>71</v>
      </c>
      <c r="R490" s="5" t="s">
        <v>72</v>
      </c>
      <c r="S490" s="5" t="s">
        <v>73</v>
      </c>
      <c r="T490" s="5" t="s">
        <v>46</v>
      </c>
      <c r="U490" s="5" t="n">
        <v>1000</v>
      </c>
      <c r="V490" s="5" t="n">
        <v>1</v>
      </c>
      <c r="X490" s="5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3" t="s">
        <v>897</v>
      </c>
      <c r="B491" s="4"/>
      <c r="C491" s="3" t="s">
        <v>898</v>
      </c>
      <c r="D491" s="5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1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5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5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3" t="s">
        <v>897</v>
      </c>
      <c r="B492" s="4"/>
      <c r="C492" s="3" t="s">
        <v>898</v>
      </c>
      <c r="D492" s="5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1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5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5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3" t="s">
        <v>897</v>
      </c>
      <c r="B493" s="4"/>
      <c r="C493" s="3" t="s">
        <v>898</v>
      </c>
      <c r="D493" s="5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1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5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5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3" t="s">
        <v>897</v>
      </c>
      <c r="B494" s="4"/>
      <c r="C494" s="3" t="s">
        <v>898</v>
      </c>
      <c r="D494" s="5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5" t="s">
        <v>955</v>
      </c>
      <c r="L494" s="5" t="s">
        <v>69</v>
      </c>
      <c r="M494" s="5" t="s">
        <v>46</v>
      </c>
      <c r="N494" s="5" t="s">
        <v>404</v>
      </c>
      <c r="O494" s="5" t="s">
        <v>42</v>
      </c>
      <c r="P494" s="5" t="s">
        <v>901</v>
      </c>
      <c r="Q494" s="5" t="s">
        <v>46</v>
      </c>
      <c r="R494" s="5" t="s">
        <v>44</v>
      </c>
      <c r="S494" s="5" t="s">
        <v>46</v>
      </c>
      <c r="T494" s="5" t="s">
        <v>406</v>
      </c>
      <c r="U494" s="5" t="s">
        <v>46</v>
      </c>
      <c r="V494" s="5" t="n">
        <v>1</v>
      </c>
      <c r="W494" s="1" t="s">
        <v>582</v>
      </c>
      <c r="X494" s="5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3" t="s">
        <v>897</v>
      </c>
      <c r="B495" s="4"/>
      <c r="C495" s="3" t="s">
        <v>898</v>
      </c>
      <c r="D495" s="5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5" t="s">
        <v>166</v>
      </c>
      <c r="K495" s="5" t="s">
        <v>960</v>
      </c>
      <c r="L495" s="5" t="s">
        <v>69</v>
      </c>
      <c r="M495" s="5" t="s">
        <v>46</v>
      </c>
      <c r="N495" s="5" t="s">
        <v>404</v>
      </c>
      <c r="O495" s="5" t="s">
        <v>418</v>
      </c>
      <c r="P495" s="5" t="s">
        <v>901</v>
      </c>
      <c r="Q495" s="5" t="s">
        <v>46</v>
      </c>
      <c r="R495" s="5" t="s">
        <v>72</v>
      </c>
      <c r="S495" s="5" t="s">
        <v>46</v>
      </c>
      <c r="T495" s="5" t="s">
        <v>419</v>
      </c>
      <c r="U495" s="5" t="s">
        <v>46</v>
      </c>
      <c r="V495" s="5" t="n">
        <v>1</v>
      </c>
      <c r="W495" s="5" t="s">
        <v>520</v>
      </c>
      <c r="X495" s="5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3" t="s">
        <v>897</v>
      </c>
      <c r="B496" s="4"/>
      <c r="C496" s="3" t="s">
        <v>898</v>
      </c>
      <c r="D496" s="5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1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5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5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3" t="s">
        <v>897</v>
      </c>
      <c r="B497" s="4"/>
      <c r="C497" s="3" t="s">
        <v>898</v>
      </c>
      <c r="D497" s="5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1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5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5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3" t="s">
        <v>897</v>
      </c>
      <c r="B498" s="4"/>
      <c r="C498" s="3" t="s">
        <v>898</v>
      </c>
      <c r="D498" s="5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1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5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5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3" t="s">
        <v>897</v>
      </c>
      <c r="B499" s="4"/>
      <c r="C499" s="3" t="s">
        <v>898</v>
      </c>
      <c r="D499" s="5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1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5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5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3" t="s">
        <v>897</v>
      </c>
      <c r="B500" s="4"/>
      <c r="C500" s="3" t="s">
        <v>898</v>
      </c>
      <c r="D500" s="5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1" t="s">
        <v>46</v>
      </c>
      <c r="N500" s="5" t="s">
        <v>465</v>
      </c>
      <c r="O500" s="1" t="s">
        <v>81</v>
      </c>
      <c r="P500" s="1" t="s">
        <v>81</v>
      </c>
      <c r="Q500" s="1" t="s">
        <v>81</v>
      </c>
      <c r="R500" s="5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5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3" t="s">
        <v>897</v>
      </c>
      <c r="B501" s="4"/>
      <c r="C501" s="3" t="s">
        <v>898</v>
      </c>
      <c r="D501" s="5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1" t="s">
        <v>46</v>
      </c>
      <c r="N501" s="5" t="s">
        <v>465</v>
      </c>
      <c r="O501" s="1" t="s">
        <v>81</v>
      </c>
      <c r="P501" s="1" t="s">
        <v>81</v>
      </c>
      <c r="Q501" s="1" t="s">
        <v>81</v>
      </c>
      <c r="R501" s="5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5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3" t="s">
        <v>897</v>
      </c>
      <c r="B502" s="4"/>
      <c r="C502" s="3" t="s">
        <v>898</v>
      </c>
      <c r="D502" s="5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1" t="s">
        <v>46</v>
      </c>
      <c r="N502" s="5" t="s">
        <v>465</v>
      </c>
      <c r="O502" s="1" t="s">
        <v>81</v>
      </c>
      <c r="P502" s="1" t="s">
        <v>81</v>
      </c>
      <c r="Q502" s="1" t="s">
        <v>81</v>
      </c>
      <c r="R502" s="5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5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3" t="s">
        <v>897</v>
      </c>
      <c r="B503" s="4"/>
      <c r="C503" s="3" t="s">
        <v>898</v>
      </c>
      <c r="D503" s="5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1" t="s">
        <v>46</v>
      </c>
      <c r="N503" s="5" t="s">
        <v>465</v>
      </c>
      <c r="O503" s="1" t="s">
        <v>81</v>
      </c>
      <c r="P503" s="1" t="s">
        <v>81</v>
      </c>
      <c r="Q503" s="1" t="s">
        <v>81</v>
      </c>
      <c r="R503" s="5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5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3" t="s">
        <v>897</v>
      </c>
      <c r="B504" s="4"/>
      <c r="C504" s="3" t="s">
        <v>898</v>
      </c>
      <c r="D504" s="5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1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5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5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3" t="s">
        <v>897</v>
      </c>
      <c r="B505" s="4"/>
      <c r="C505" s="3" t="s">
        <v>898</v>
      </c>
      <c r="D505" s="5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1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5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5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3" t="s">
        <v>897</v>
      </c>
      <c r="B506" s="4"/>
      <c r="C506" s="3" t="s">
        <v>898</v>
      </c>
      <c r="D506" s="5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1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5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5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3" t="s">
        <v>897</v>
      </c>
      <c r="B507" s="4"/>
      <c r="C507" s="3" t="s">
        <v>898</v>
      </c>
      <c r="D507" s="5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1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5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5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3" t="s">
        <v>897</v>
      </c>
      <c r="B508" s="4"/>
      <c r="C508" s="3" t="s">
        <v>898</v>
      </c>
      <c r="D508" s="5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5" t="s">
        <v>166</v>
      </c>
      <c r="K508" s="5" t="s">
        <v>964</v>
      </c>
      <c r="L508" s="5" t="s">
        <v>69</v>
      </c>
      <c r="M508" s="5" t="s">
        <v>46</v>
      </c>
      <c r="N508" s="5" t="s">
        <v>404</v>
      </c>
      <c r="O508" s="5" t="s">
        <v>42</v>
      </c>
      <c r="P508" s="5" t="s">
        <v>901</v>
      </c>
      <c r="Q508" s="5" t="s">
        <v>46</v>
      </c>
      <c r="R508" s="5" t="s">
        <v>44</v>
      </c>
      <c r="S508" s="5" t="s">
        <v>46</v>
      </c>
      <c r="T508" s="5" t="s">
        <v>419</v>
      </c>
      <c r="U508" s="5" t="s">
        <v>46</v>
      </c>
      <c r="V508" s="5" t="n">
        <v>1</v>
      </c>
      <c r="W508" s="5" t="s">
        <v>527</v>
      </c>
      <c r="X508" s="5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3" t="s">
        <v>897</v>
      </c>
      <c r="B509" s="4"/>
      <c r="C509" s="3" t="s">
        <v>898</v>
      </c>
      <c r="D509" s="5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5" t="s">
        <v>158</v>
      </c>
      <c r="K509" s="5" t="s">
        <v>968</v>
      </c>
      <c r="L509" s="5" t="s">
        <v>69</v>
      </c>
      <c r="M509" s="5" t="s">
        <v>46</v>
      </c>
      <c r="N509" s="5" t="s">
        <v>404</v>
      </c>
      <c r="O509" s="5" t="s">
        <v>42</v>
      </c>
      <c r="P509" s="5" t="s">
        <v>901</v>
      </c>
      <c r="Q509" s="5" t="s">
        <v>46</v>
      </c>
      <c r="R509" s="5" t="s">
        <v>44</v>
      </c>
      <c r="S509" s="5" t="s">
        <v>46</v>
      </c>
      <c r="T509" s="5" t="s">
        <v>406</v>
      </c>
      <c r="U509" s="5" t="s">
        <v>46</v>
      </c>
      <c r="V509" s="5" t="n">
        <v>1</v>
      </c>
      <c r="W509" s="5" t="s">
        <v>588</v>
      </c>
      <c r="X509" s="5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3" t="s">
        <v>897</v>
      </c>
      <c r="B510" s="4"/>
      <c r="C510" s="3" t="s">
        <v>898</v>
      </c>
      <c r="D510" s="5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1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5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5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3" t="s">
        <v>897</v>
      </c>
      <c r="B511" s="4"/>
      <c r="C511" s="3" t="s">
        <v>898</v>
      </c>
      <c r="D511" s="5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1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5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5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3" t="s">
        <v>897</v>
      </c>
      <c r="B512" s="4"/>
      <c r="C512" s="3" t="s">
        <v>898</v>
      </c>
      <c r="D512" s="5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1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5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5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3" t="s">
        <v>897</v>
      </c>
      <c r="B513" s="4"/>
      <c r="C513" s="3" t="s">
        <v>898</v>
      </c>
      <c r="D513" s="5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1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5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5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3" t="s">
        <v>897</v>
      </c>
      <c r="B514" s="4"/>
      <c r="C514" s="3" t="s">
        <v>898</v>
      </c>
      <c r="D514" s="5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1" t="s">
        <v>46</v>
      </c>
      <c r="N514" s="5" t="s">
        <v>465</v>
      </c>
      <c r="O514" s="1" t="s">
        <v>81</v>
      </c>
      <c r="P514" s="1" t="s">
        <v>81</v>
      </c>
      <c r="Q514" s="1" t="s">
        <v>81</v>
      </c>
      <c r="R514" s="5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5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3" t="s">
        <v>897</v>
      </c>
      <c r="B515" s="4"/>
      <c r="C515" s="3" t="s">
        <v>898</v>
      </c>
      <c r="D515" s="5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1" t="s">
        <v>46</v>
      </c>
      <c r="N515" s="5" t="s">
        <v>465</v>
      </c>
      <c r="O515" s="1" t="s">
        <v>81</v>
      </c>
      <c r="P515" s="1" t="s">
        <v>81</v>
      </c>
      <c r="Q515" s="1" t="s">
        <v>81</v>
      </c>
      <c r="R515" s="5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5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3" t="s">
        <v>897</v>
      </c>
      <c r="B516" s="4"/>
      <c r="C516" s="3" t="s">
        <v>898</v>
      </c>
      <c r="D516" s="5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1" t="s">
        <v>46</v>
      </c>
      <c r="N516" s="5" t="s">
        <v>465</v>
      </c>
      <c r="O516" s="1" t="s">
        <v>81</v>
      </c>
      <c r="P516" s="1" t="s">
        <v>81</v>
      </c>
      <c r="Q516" s="1" t="s">
        <v>81</v>
      </c>
      <c r="R516" s="5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5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3" t="s">
        <v>897</v>
      </c>
      <c r="B517" s="4"/>
      <c r="C517" s="3" t="s">
        <v>898</v>
      </c>
      <c r="D517" s="5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1" t="s">
        <v>46</v>
      </c>
      <c r="N517" s="5" t="s">
        <v>465</v>
      </c>
      <c r="O517" s="1" t="s">
        <v>81</v>
      </c>
      <c r="P517" s="1" t="s">
        <v>81</v>
      </c>
      <c r="Q517" s="1" t="s">
        <v>81</v>
      </c>
      <c r="R517" s="5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5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3" t="s">
        <v>897</v>
      </c>
      <c r="B518" s="4"/>
      <c r="C518" s="3" t="s">
        <v>898</v>
      </c>
      <c r="D518" s="5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1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5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5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3" t="s">
        <v>897</v>
      </c>
      <c r="B519" s="4"/>
      <c r="C519" s="3" t="s">
        <v>898</v>
      </c>
      <c r="D519" s="5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1" t="s">
        <v>46</v>
      </c>
      <c r="N519" s="5" t="s">
        <v>70</v>
      </c>
      <c r="O519" s="1" t="s">
        <v>46</v>
      </c>
      <c r="P519" s="1" t="s">
        <v>71</v>
      </c>
      <c r="Q519" s="1" t="s">
        <v>71</v>
      </c>
      <c r="R519" s="5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5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3" t="s">
        <v>897</v>
      </c>
      <c r="B520" s="4"/>
      <c r="C520" s="3" t="s">
        <v>898</v>
      </c>
      <c r="D520" s="5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1" t="s">
        <v>46</v>
      </c>
      <c r="N520" s="5" t="s">
        <v>70</v>
      </c>
      <c r="O520" s="1" t="s">
        <v>46</v>
      </c>
      <c r="P520" s="1" t="s">
        <v>71</v>
      </c>
      <c r="Q520" s="1" t="s">
        <v>71</v>
      </c>
      <c r="R520" s="5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5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3" t="s">
        <v>897</v>
      </c>
      <c r="B521" s="4"/>
      <c r="C521" s="3" t="s">
        <v>898</v>
      </c>
      <c r="D521" s="5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1" t="s">
        <v>46</v>
      </c>
      <c r="N521" s="5" t="s">
        <v>70</v>
      </c>
      <c r="O521" s="1" t="s">
        <v>46</v>
      </c>
      <c r="P521" s="1" t="s">
        <v>71</v>
      </c>
      <c r="Q521" s="1" t="s">
        <v>71</v>
      </c>
      <c r="R521" s="5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5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3" t="s">
        <v>897</v>
      </c>
      <c r="B522" s="4"/>
      <c r="C522" s="3" t="s">
        <v>898</v>
      </c>
      <c r="D522" s="5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5" t="s">
        <v>972</v>
      </c>
      <c r="L522" s="5" t="s">
        <v>69</v>
      </c>
      <c r="M522" s="5" t="s">
        <v>46</v>
      </c>
      <c r="N522" s="5" t="s">
        <v>404</v>
      </c>
      <c r="O522" s="5" t="s">
        <v>665</v>
      </c>
      <c r="P522" s="5" t="s">
        <v>901</v>
      </c>
      <c r="Q522" s="5" t="s">
        <v>46</v>
      </c>
      <c r="R522" s="5" t="s">
        <v>72</v>
      </c>
      <c r="S522" s="5" t="s">
        <v>46</v>
      </c>
      <c r="T522" s="5" t="s">
        <v>419</v>
      </c>
      <c r="U522" s="5" t="s">
        <v>46</v>
      </c>
      <c r="V522" s="5" t="n">
        <v>1</v>
      </c>
      <c r="W522" s="1" t="s">
        <v>640</v>
      </c>
      <c r="X522" s="5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3" t="s">
        <v>897</v>
      </c>
      <c r="B523" s="4"/>
      <c r="C523" s="3" t="s">
        <v>898</v>
      </c>
      <c r="D523" s="5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5" t="s">
        <v>158</v>
      </c>
      <c r="K523" s="28" t="s">
        <v>976</v>
      </c>
      <c r="L523" s="5" t="s">
        <v>69</v>
      </c>
      <c r="M523" s="5" t="s">
        <v>46</v>
      </c>
      <c r="N523" s="5" t="s">
        <v>404</v>
      </c>
      <c r="O523" s="5" t="s">
        <v>54</v>
      </c>
      <c r="P523" s="5" t="s">
        <v>901</v>
      </c>
      <c r="Q523" s="5" t="s">
        <v>46</v>
      </c>
      <c r="R523" s="5" t="s">
        <v>72</v>
      </c>
      <c r="S523" s="5" t="s">
        <v>46</v>
      </c>
      <c r="T523" s="5" t="s">
        <v>406</v>
      </c>
      <c r="U523" s="5" t="s">
        <v>46</v>
      </c>
      <c r="V523" s="1" t="n">
        <v>1</v>
      </c>
      <c r="W523" s="29" t="s">
        <v>594</v>
      </c>
      <c r="X523" s="5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3" t="s">
        <v>897</v>
      </c>
      <c r="B524" s="4"/>
      <c r="C524" s="3" t="s">
        <v>898</v>
      </c>
      <c r="D524" s="5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5" t="s">
        <v>158</v>
      </c>
      <c r="K524" s="28" t="s">
        <v>980</v>
      </c>
      <c r="L524" s="5" t="s">
        <v>69</v>
      </c>
      <c r="M524" s="5" t="s">
        <v>46</v>
      </c>
      <c r="N524" s="5" t="s">
        <v>404</v>
      </c>
      <c r="O524" s="5" t="s">
        <v>54</v>
      </c>
      <c r="P524" s="5" t="s">
        <v>901</v>
      </c>
      <c r="Q524" s="5" t="s">
        <v>46</v>
      </c>
      <c r="R524" s="5" t="s">
        <v>44</v>
      </c>
      <c r="S524" s="5" t="s">
        <v>46</v>
      </c>
      <c r="T524" s="5" t="s">
        <v>406</v>
      </c>
      <c r="U524" s="5" t="s">
        <v>46</v>
      </c>
      <c r="V524" s="1" t="n">
        <v>1</v>
      </c>
      <c r="W524" s="29" t="s">
        <v>650</v>
      </c>
      <c r="X524" s="5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3" t="s">
        <v>897</v>
      </c>
      <c r="B525" s="4"/>
      <c r="C525" s="3" t="s">
        <v>898</v>
      </c>
      <c r="D525" s="5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5" t="s">
        <v>158</v>
      </c>
      <c r="K525" s="28" t="s">
        <v>984</v>
      </c>
      <c r="L525" s="5" t="s">
        <v>69</v>
      </c>
      <c r="M525" s="5" t="s">
        <v>46</v>
      </c>
      <c r="N525" s="5" t="s">
        <v>404</v>
      </c>
      <c r="O525" s="5" t="s">
        <v>42</v>
      </c>
      <c r="P525" s="5" t="s">
        <v>901</v>
      </c>
      <c r="Q525" s="5" t="s">
        <v>46</v>
      </c>
      <c r="R525" s="5" t="s">
        <v>72</v>
      </c>
      <c r="S525" s="5" t="s">
        <v>46</v>
      </c>
      <c r="T525" s="5" t="s">
        <v>406</v>
      </c>
      <c r="U525" s="5" t="s">
        <v>46</v>
      </c>
      <c r="V525" s="1" t="n">
        <v>1</v>
      </c>
      <c r="W525" s="29" t="s">
        <v>660</v>
      </c>
      <c r="X525" s="5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3" t="s">
        <v>897</v>
      </c>
      <c r="B526" s="4"/>
      <c r="C526" s="3" t="s">
        <v>898</v>
      </c>
      <c r="D526" s="5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5" t="s">
        <v>166</v>
      </c>
      <c r="K526" s="5" t="s">
        <v>988</v>
      </c>
      <c r="L526" s="5" t="s">
        <v>69</v>
      </c>
      <c r="M526" s="5" t="s">
        <v>46</v>
      </c>
      <c r="N526" s="5" t="s">
        <v>404</v>
      </c>
      <c r="O526" s="5" t="s">
        <v>526</v>
      </c>
      <c r="P526" s="5" t="s">
        <v>901</v>
      </c>
      <c r="Q526" s="5" t="s">
        <v>46</v>
      </c>
      <c r="R526" s="5" t="s">
        <v>72</v>
      </c>
      <c r="S526" s="5" t="s">
        <v>46</v>
      </c>
      <c r="T526" s="5" t="s">
        <v>419</v>
      </c>
      <c r="U526" s="5" t="s">
        <v>46</v>
      </c>
      <c r="V526" s="5" t="n">
        <v>1</v>
      </c>
      <c r="W526" s="5" t="s">
        <v>655</v>
      </c>
      <c r="X526" s="5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3" t="s">
        <v>897</v>
      </c>
      <c r="B527" s="4"/>
      <c r="C527" s="3" t="s">
        <v>898</v>
      </c>
      <c r="D527" s="5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1" t="s">
        <v>46</v>
      </c>
      <c r="N527" s="5" t="s">
        <v>65</v>
      </c>
      <c r="O527" s="1" t="s">
        <v>46</v>
      </c>
      <c r="P527" s="1" t="s">
        <v>46</v>
      </c>
      <c r="Q527" s="1" t="s">
        <v>46</v>
      </c>
      <c r="R527" s="5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5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3" t="s">
        <v>897</v>
      </c>
      <c r="B528" s="4"/>
      <c r="C528" s="3" t="s">
        <v>898</v>
      </c>
      <c r="D528" s="5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1" t="s">
        <v>46</v>
      </c>
      <c r="N528" s="5" t="s">
        <v>65</v>
      </c>
      <c r="O528" s="1" t="s">
        <v>46</v>
      </c>
      <c r="P528" s="1" t="s">
        <v>46</v>
      </c>
      <c r="Q528" s="1" t="s">
        <v>46</v>
      </c>
      <c r="R528" s="5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5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3" t="s">
        <v>897</v>
      </c>
      <c r="B529" s="4"/>
      <c r="C529" s="3" t="s">
        <v>898</v>
      </c>
      <c r="D529" s="5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1" t="s">
        <v>46</v>
      </c>
      <c r="N529" s="5" t="s">
        <v>65</v>
      </c>
      <c r="O529" s="1" t="s">
        <v>46</v>
      </c>
      <c r="P529" s="1" t="s">
        <v>46</v>
      </c>
      <c r="Q529" s="1" t="s">
        <v>46</v>
      </c>
      <c r="R529" s="5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5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3" t="s">
        <v>897</v>
      </c>
      <c r="B530" s="4"/>
      <c r="C530" s="3" t="s">
        <v>898</v>
      </c>
      <c r="D530" s="5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1" t="s">
        <v>46</v>
      </c>
      <c r="N530" s="5" t="s">
        <v>65</v>
      </c>
      <c r="O530" s="1" t="s">
        <v>46</v>
      </c>
      <c r="P530" s="1" t="s">
        <v>46</v>
      </c>
      <c r="Q530" s="1" t="s">
        <v>46</v>
      </c>
      <c r="R530" s="5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5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3" t="s">
        <v>897</v>
      </c>
      <c r="B531" s="4"/>
      <c r="C531" s="3" t="s">
        <v>898</v>
      </c>
      <c r="D531" s="5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1" t="s">
        <v>46</v>
      </c>
      <c r="N531" s="5" t="s">
        <v>465</v>
      </c>
      <c r="O531" s="1" t="s">
        <v>81</v>
      </c>
      <c r="P531" s="1" t="s">
        <v>81</v>
      </c>
      <c r="Q531" s="1" t="s">
        <v>81</v>
      </c>
      <c r="R531" s="5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5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3" t="s">
        <v>897</v>
      </c>
      <c r="B532" s="4"/>
      <c r="C532" s="3" t="s">
        <v>898</v>
      </c>
      <c r="D532" s="5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1" t="s">
        <v>46</v>
      </c>
      <c r="N532" s="5" t="s">
        <v>465</v>
      </c>
      <c r="O532" s="1" t="s">
        <v>81</v>
      </c>
      <c r="P532" s="1" t="s">
        <v>81</v>
      </c>
      <c r="Q532" s="1" t="s">
        <v>81</v>
      </c>
      <c r="R532" s="5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5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3" t="s">
        <v>897</v>
      </c>
      <c r="B533" s="4"/>
      <c r="C533" s="3" t="s">
        <v>898</v>
      </c>
      <c r="D533" s="5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1" t="s">
        <v>46</v>
      </c>
      <c r="N533" s="5" t="s">
        <v>465</v>
      </c>
      <c r="O533" s="1" t="s">
        <v>81</v>
      </c>
      <c r="P533" s="1" t="s">
        <v>81</v>
      </c>
      <c r="Q533" s="1" t="s">
        <v>81</v>
      </c>
      <c r="R533" s="5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5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3" t="s">
        <v>897</v>
      </c>
      <c r="B534" s="4"/>
      <c r="C534" s="3" t="s">
        <v>898</v>
      </c>
      <c r="D534" s="5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1" t="s">
        <v>46</v>
      </c>
      <c r="N534" s="5" t="s">
        <v>465</v>
      </c>
      <c r="O534" s="1" t="s">
        <v>81</v>
      </c>
      <c r="P534" s="1" t="s">
        <v>81</v>
      </c>
      <c r="Q534" s="1" t="s">
        <v>81</v>
      </c>
      <c r="R534" s="5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5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3" t="s">
        <v>897</v>
      </c>
      <c r="B535" s="4"/>
      <c r="C535" s="3" t="s">
        <v>898</v>
      </c>
      <c r="D535" s="5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1" t="s">
        <v>46</v>
      </c>
      <c r="N535" s="5" t="s">
        <v>70</v>
      </c>
      <c r="O535" s="1" t="s">
        <v>46</v>
      </c>
      <c r="P535" s="1" t="s">
        <v>71</v>
      </c>
      <c r="Q535" s="1" t="s">
        <v>71</v>
      </c>
      <c r="R535" s="5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5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3" t="s">
        <v>897</v>
      </c>
      <c r="B536" s="4"/>
      <c r="C536" s="3" t="s">
        <v>898</v>
      </c>
      <c r="D536" s="5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1" t="s">
        <v>46</v>
      </c>
      <c r="N536" s="5" t="s">
        <v>70</v>
      </c>
      <c r="O536" s="1" t="s">
        <v>46</v>
      </c>
      <c r="P536" s="1" t="s">
        <v>71</v>
      </c>
      <c r="Q536" s="1" t="s">
        <v>71</v>
      </c>
      <c r="R536" s="5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5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3" t="s">
        <v>897</v>
      </c>
      <c r="B537" s="4"/>
      <c r="C537" s="3" t="s">
        <v>898</v>
      </c>
      <c r="D537" s="5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1" t="s">
        <v>46</v>
      </c>
      <c r="N537" s="5" t="s">
        <v>70</v>
      </c>
      <c r="O537" s="1" t="s">
        <v>46</v>
      </c>
      <c r="P537" s="1" t="s">
        <v>71</v>
      </c>
      <c r="Q537" s="1" t="s">
        <v>71</v>
      </c>
      <c r="R537" s="5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5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3" t="s">
        <v>897</v>
      </c>
      <c r="B538" s="4"/>
      <c r="C538" s="3" t="s">
        <v>898</v>
      </c>
      <c r="D538" s="5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1" t="s">
        <v>46</v>
      </c>
      <c r="N538" s="5" t="s">
        <v>70</v>
      </c>
      <c r="O538" s="1" t="s">
        <v>46</v>
      </c>
      <c r="P538" s="1" t="s">
        <v>71</v>
      </c>
      <c r="Q538" s="1" t="s">
        <v>71</v>
      </c>
      <c r="R538" s="5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5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3" t="s">
        <v>897</v>
      </c>
      <c r="B539" s="4"/>
      <c r="C539" s="3" t="s">
        <v>898</v>
      </c>
      <c r="D539" s="5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5" t="s">
        <v>158</v>
      </c>
      <c r="K539" s="28" t="s">
        <v>993</v>
      </c>
      <c r="L539" s="5" t="s">
        <v>69</v>
      </c>
      <c r="M539" s="5" t="s">
        <v>46</v>
      </c>
      <c r="N539" s="5" t="s">
        <v>404</v>
      </c>
      <c r="O539" s="5" t="s">
        <v>54</v>
      </c>
      <c r="P539" s="5" t="s">
        <v>901</v>
      </c>
      <c r="Q539" s="5" t="s">
        <v>46</v>
      </c>
      <c r="R539" s="5" t="s">
        <v>44</v>
      </c>
      <c r="S539" s="5" t="s">
        <v>46</v>
      </c>
      <c r="T539" s="5" t="s">
        <v>406</v>
      </c>
      <c r="U539" s="5" t="s">
        <v>46</v>
      </c>
      <c r="V539" s="1" t="n">
        <v>1</v>
      </c>
      <c r="W539" s="5" t="s">
        <v>709</v>
      </c>
      <c r="X539" s="5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3" t="s">
        <v>897</v>
      </c>
      <c r="B540" s="4"/>
      <c r="C540" s="3" t="s">
        <v>898</v>
      </c>
      <c r="D540" s="5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5" t="s">
        <v>158</v>
      </c>
      <c r="K540" s="5" t="s">
        <v>998</v>
      </c>
      <c r="L540" s="5" t="s">
        <v>69</v>
      </c>
      <c r="M540" s="5" t="s">
        <v>46</v>
      </c>
      <c r="N540" s="5" t="s">
        <v>404</v>
      </c>
      <c r="O540" s="5" t="s">
        <v>42</v>
      </c>
      <c r="P540" s="5" t="s">
        <v>901</v>
      </c>
      <c r="Q540" s="5" t="s">
        <v>46</v>
      </c>
      <c r="R540" s="5" t="s">
        <v>72</v>
      </c>
      <c r="S540" s="5" t="s">
        <v>46</v>
      </c>
      <c r="T540" s="5" t="s">
        <v>406</v>
      </c>
      <c r="U540" s="5" t="s">
        <v>46</v>
      </c>
      <c r="V540" s="5" t="n">
        <v>1</v>
      </c>
      <c r="W540" s="5" t="s">
        <v>719</v>
      </c>
      <c r="X540" s="5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3" t="s">
        <v>897</v>
      </c>
      <c r="B541" s="4"/>
      <c r="C541" s="3" t="s">
        <v>898</v>
      </c>
      <c r="D541" s="5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5" t="s">
        <v>158</v>
      </c>
      <c r="K541" s="5" t="s">
        <v>1003</v>
      </c>
      <c r="L541" s="5" t="s">
        <v>69</v>
      </c>
      <c r="M541" s="5" t="s">
        <v>46</v>
      </c>
      <c r="N541" s="5" t="s">
        <v>404</v>
      </c>
      <c r="O541" s="5" t="s">
        <v>42</v>
      </c>
      <c r="P541" s="5" t="s">
        <v>901</v>
      </c>
      <c r="Q541" s="5" t="s">
        <v>46</v>
      </c>
      <c r="R541" s="5" t="s">
        <v>72</v>
      </c>
      <c r="S541" s="5" t="s">
        <v>46</v>
      </c>
      <c r="T541" s="5" t="s">
        <v>406</v>
      </c>
      <c r="U541" s="5" t="s">
        <v>46</v>
      </c>
      <c r="V541" s="5" t="n">
        <v>1</v>
      </c>
      <c r="W541" s="5" t="s">
        <v>762</v>
      </c>
      <c r="X541" s="5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3" t="s">
        <v>897</v>
      </c>
      <c r="B542" s="4"/>
      <c r="C542" s="3" t="s">
        <v>898</v>
      </c>
      <c r="D542" s="5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5" t="s">
        <v>166</v>
      </c>
      <c r="K542" s="28" t="s">
        <v>1008</v>
      </c>
      <c r="L542" s="5" t="s">
        <v>69</v>
      </c>
      <c r="M542" s="5" t="s">
        <v>46</v>
      </c>
      <c r="N542" s="5" t="s">
        <v>404</v>
      </c>
      <c r="O542" s="5" t="s">
        <v>42</v>
      </c>
      <c r="P542" s="5" t="s">
        <v>901</v>
      </c>
      <c r="Q542" s="5" t="s">
        <v>46</v>
      </c>
      <c r="R542" s="5" t="s">
        <v>44</v>
      </c>
      <c r="S542" s="5" t="s">
        <v>46</v>
      </c>
      <c r="T542" s="5" t="s">
        <v>419</v>
      </c>
      <c r="U542" s="5" t="s">
        <v>46</v>
      </c>
      <c r="V542" s="1" t="n">
        <v>1</v>
      </c>
      <c r="W542" s="5" t="s">
        <v>666</v>
      </c>
      <c r="X542" s="5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3" t="s">
        <v>897</v>
      </c>
      <c r="B543" s="4"/>
      <c r="C543" s="3" t="s">
        <v>898</v>
      </c>
      <c r="D543" s="5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5" t="s">
        <v>1013</v>
      </c>
      <c r="L543" s="5" t="s">
        <v>69</v>
      </c>
      <c r="M543" s="5" t="s">
        <v>46</v>
      </c>
      <c r="N543" s="5" t="s">
        <v>404</v>
      </c>
      <c r="O543" s="5" t="s">
        <v>54</v>
      </c>
      <c r="P543" s="5" t="s">
        <v>901</v>
      </c>
      <c r="Q543" s="5" t="s">
        <v>46</v>
      </c>
      <c r="R543" s="5" t="s">
        <v>44</v>
      </c>
      <c r="S543" s="5" t="s">
        <v>46</v>
      </c>
      <c r="T543" s="5" t="s">
        <v>406</v>
      </c>
      <c r="U543" s="5" t="s">
        <v>46</v>
      </c>
      <c r="V543" s="5" t="n">
        <v>1</v>
      </c>
      <c r="W543" s="1" t="s">
        <v>785</v>
      </c>
      <c r="X543" s="5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3" t="s">
        <v>897</v>
      </c>
      <c r="B544" s="4"/>
      <c r="C544" s="3" t="s">
        <v>898</v>
      </c>
      <c r="D544" s="5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5" t="s">
        <v>1018</v>
      </c>
      <c r="L544" s="5" t="s">
        <v>69</v>
      </c>
      <c r="M544" s="5" t="s">
        <v>46</v>
      </c>
      <c r="N544" s="5" t="s">
        <v>404</v>
      </c>
      <c r="O544" s="5" t="s">
        <v>665</v>
      </c>
      <c r="P544" s="5" t="s">
        <v>901</v>
      </c>
      <c r="Q544" s="5" t="s">
        <v>46</v>
      </c>
      <c r="R544" s="5" t="s">
        <v>44</v>
      </c>
      <c r="S544" s="5" t="s">
        <v>46</v>
      </c>
      <c r="T544" s="5" t="s">
        <v>419</v>
      </c>
      <c r="U544" s="5" t="s">
        <v>46</v>
      </c>
      <c r="V544" s="5" t="n">
        <v>1</v>
      </c>
      <c r="W544" s="1" t="s">
        <v>779</v>
      </c>
      <c r="X544" s="5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3" t="s">
        <v>897</v>
      </c>
      <c r="B545" s="4"/>
      <c r="C545" s="3" t="s">
        <v>898</v>
      </c>
      <c r="D545" s="5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5" t="s">
        <v>166</v>
      </c>
      <c r="K545" s="28" t="s">
        <v>1023</v>
      </c>
      <c r="L545" s="5" t="s">
        <v>69</v>
      </c>
      <c r="M545" s="5" t="s">
        <v>46</v>
      </c>
      <c r="N545" s="5" t="s">
        <v>404</v>
      </c>
      <c r="O545" s="5" t="s">
        <v>42</v>
      </c>
      <c r="P545" s="5" t="s">
        <v>901</v>
      </c>
      <c r="Q545" s="5" t="s">
        <v>46</v>
      </c>
      <c r="R545" s="5" t="s">
        <v>44</v>
      </c>
      <c r="S545" s="5" t="s">
        <v>46</v>
      </c>
      <c r="T545" s="5" t="s">
        <v>419</v>
      </c>
      <c r="U545" s="5" t="s">
        <v>46</v>
      </c>
      <c r="V545" s="1" t="n">
        <v>1</v>
      </c>
      <c r="W545" s="5" t="s">
        <v>846</v>
      </c>
      <c r="X545" s="5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3" t="s">
        <v>897</v>
      </c>
      <c r="B546" s="4"/>
      <c r="C546" s="3" t="s">
        <v>898</v>
      </c>
      <c r="D546" s="5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1" t="s">
        <v>46</v>
      </c>
      <c r="N546" s="5" t="s">
        <v>65</v>
      </c>
      <c r="O546" s="1" t="s">
        <v>46</v>
      </c>
      <c r="P546" s="1" t="s">
        <v>46</v>
      </c>
      <c r="Q546" s="1" t="s">
        <v>46</v>
      </c>
      <c r="R546" s="5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5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3" t="s">
        <v>897</v>
      </c>
      <c r="B547" s="4"/>
      <c r="C547" s="3" t="s">
        <v>898</v>
      </c>
      <c r="D547" s="5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1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5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5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3" t="s">
        <v>897</v>
      </c>
      <c r="B548" s="4"/>
      <c r="C548" s="3" t="s">
        <v>898</v>
      </c>
      <c r="D548" s="5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1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5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5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3" t="s">
        <v>897</v>
      </c>
      <c r="B549" s="4"/>
      <c r="C549" s="3" t="s">
        <v>898</v>
      </c>
      <c r="D549" s="5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1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5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5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3" t="s">
        <v>897</v>
      </c>
      <c r="B550" s="4"/>
      <c r="C550" s="3" t="s">
        <v>898</v>
      </c>
      <c r="D550" s="5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1" t="s">
        <v>46</v>
      </c>
      <c r="N550" s="5" t="s">
        <v>465</v>
      </c>
      <c r="O550" s="1" t="s">
        <v>81</v>
      </c>
      <c r="P550" s="1" t="s">
        <v>81</v>
      </c>
      <c r="Q550" s="1" t="s">
        <v>81</v>
      </c>
      <c r="R550" s="5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5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3" t="s">
        <v>897</v>
      </c>
      <c r="B551" s="4"/>
      <c r="C551" s="3" t="s">
        <v>898</v>
      </c>
      <c r="D551" s="5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1" t="s">
        <v>46</v>
      </c>
      <c r="N551" s="5" t="s">
        <v>465</v>
      </c>
      <c r="O551" s="1" t="s">
        <v>81</v>
      </c>
      <c r="P551" s="1" t="s">
        <v>81</v>
      </c>
      <c r="Q551" s="1" t="s">
        <v>81</v>
      </c>
      <c r="R551" s="5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5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3" t="s">
        <v>897</v>
      </c>
      <c r="B552" s="4"/>
      <c r="C552" s="3" t="s">
        <v>898</v>
      </c>
      <c r="D552" s="5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1" t="s">
        <v>46</v>
      </c>
      <c r="N552" s="5" t="s">
        <v>465</v>
      </c>
      <c r="O552" s="1" t="s">
        <v>81</v>
      </c>
      <c r="P552" s="1" t="s">
        <v>81</v>
      </c>
      <c r="Q552" s="1" t="s">
        <v>81</v>
      </c>
      <c r="R552" s="5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5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3" t="s">
        <v>897</v>
      </c>
      <c r="B553" s="4"/>
      <c r="C553" s="3" t="s">
        <v>898</v>
      </c>
      <c r="D553" s="5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1" t="s">
        <v>46</v>
      </c>
      <c r="N553" s="5" t="s">
        <v>465</v>
      </c>
      <c r="O553" s="1" t="s">
        <v>81</v>
      </c>
      <c r="P553" s="1" t="s">
        <v>81</v>
      </c>
      <c r="Q553" s="1" t="s">
        <v>81</v>
      </c>
      <c r="R553" s="5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5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3" t="s">
        <v>897</v>
      </c>
      <c r="B554" s="4"/>
      <c r="C554" s="3" t="s">
        <v>898</v>
      </c>
      <c r="D554" s="5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1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5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5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3" t="s">
        <v>897</v>
      </c>
      <c r="B555" s="4"/>
      <c r="C555" s="3" t="s">
        <v>898</v>
      </c>
      <c r="D555" s="5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1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5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5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3" t="s">
        <v>897</v>
      </c>
      <c r="B556" s="4"/>
      <c r="C556" s="3" t="s">
        <v>898</v>
      </c>
      <c r="D556" s="5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1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5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5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3" t="s">
        <v>897</v>
      </c>
      <c r="B557" s="4"/>
      <c r="C557" s="3" t="s">
        <v>898</v>
      </c>
      <c r="D557" s="5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1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5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5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3" t="s">
        <v>897</v>
      </c>
      <c r="B558" s="4"/>
      <c r="C558" s="3" t="s">
        <v>898</v>
      </c>
      <c r="D558" s="5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5" t="s">
        <v>1028</v>
      </c>
      <c r="L558" s="5" t="s">
        <v>69</v>
      </c>
      <c r="M558" s="5" t="s">
        <v>46</v>
      </c>
      <c r="N558" s="5" t="s">
        <v>404</v>
      </c>
      <c r="O558" s="5" t="s">
        <v>42</v>
      </c>
      <c r="P558" s="5" t="s">
        <v>901</v>
      </c>
      <c r="Q558" s="5" t="s">
        <v>46</v>
      </c>
      <c r="R558" s="5" t="s">
        <v>44</v>
      </c>
      <c r="S558" s="5" t="s">
        <v>46</v>
      </c>
      <c r="T558" s="5" t="s">
        <v>406</v>
      </c>
      <c r="U558" s="5" t="s">
        <v>46</v>
      </c>
      <c r="V558" s="5" t="n">
        <v>1</v>
      </c>
      <c r="W558" s="1" t="s">
        <v>829</v>
      </c>
      <c r="X558" s="5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3" t="s">
        <v>897</v>
      </c>
      <c r="B559" s="4"/>
      <c r="C559" s="3" t="s">
        <v>898</v>
      </c>
      <c r="D559" s="5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5" t="s">
        <v>1033</v>
      </c>
      <c r="L559" s="5" t="s">
        <v>69</v>
      </c>
      <c r="M559" s="5" t="s">
        <v>46</v>
      </c>
      <c r="N559" s="5" t="s">
        <v>404</v>
      </c>
      <c r="O559" s="5" t="s">
        <v>54</v>
      </c>
      <c r="P559" s="5" t="s">
        <v>901</v>
      </c>
      <c r="Q559" s="5" t="s">
        <v>46</v>
      </c>
      <c r="R559" s="5" t="s">
        <v>72</v>
      </c>
      <c r="S559" s="5" t="s">
        <v>46</v>
      </c>
      <c r="T559" s="5" t="s">
        <v>406</v>
      </c>
      <c r="U559" s="5" t="s">
        <v>46</v>
      </c>
      <c r="V559" s="5" t="n">
        <v>1</v>
      </c>
      <c r="W559" s="1" t="s">
        <v>840</v>
      </c>
      <c r="X559" s="5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3" t="s">
        <v>897</v>
      </c>
      <c r="B560" s="4"/>
      <c r="C560" s="3" t="s">
        <v>898</v>
      </c>
      <c r="D560" s="5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5" t="s">
        <v>1038</v>
      </c>
      <c r="L560" s="5" t="s">
        <v>69</v>
      </c>
      <c r="M560" s="5" t="s">
        <v>46</v>
      </c>
      <c r="N560" s="5" t="s">
        <v>404</v>
      </c>
      <c r="O560" s="5" t="s">
        <v>42</v>
      </c>
      <c r="P560" s="5" t="s">
        <v>901</v>
      </c>
      <c r="Q560" s="5" t="s">
        <v>46</v>
      </c>
      <c r="R560" s="5" t="s">
        <v>44</v>
      </c>
      <c r="S560" s="5" t="s">
        <v>46</v>
      </c>
      <c r="T560" s="5" t="s">
        <v>419</v>
      </c>
      <c r="U560" s="5" t="s">
        <v>46</v>
      </c>
      <c r="V560" s="5" t="n">
        <v>1</v>
      </c>
      <c r="W560" s="1" t="s">
        <v>1039</v>
      </c>
      <c r="X560" s="5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3" t="s">
        <v>897</v>
      </c>
      <c r="B561" s="4"/>
      <c r="C561" s="3" t="s">
        <v>898</v>
      </c>
      <c r="D561" s="5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5" t="s">
        <v>1044</v>
      </c>
      <c r="L561" s="5" t="s">
        <v>69</v>
      </c>
      <c r="M561" s="5" t="s">
        <v>46</v>
      </c>
      <c r="N561" s="5" t="s">
        <v>404</v>
      </c>
      <c r="O561" s="5" t="s">
        <v>430</v>
      </c>
      <c r="P561" s="5" t="s">
        <v>901</v>
      </c>
      <c r="Q561" s="5" t="s">
        <v>46</v>
      </c>
      <c r="R561" s="5" t="s">
        <v>44</v>
      </c>
      <c r="S561" s="5" t="s">
        <v>46</v>
      </c>
      <c r="T561" s="5" t="s">
        <v>419</v>
      </c>
      <c r="U561" s="5" t="s">
        <v>46</v>
      </c>
      <c r="V561" s="5" t="n">
        <v>1</v>
      </c>
      <c r="W561" s="1" t="s">
        <v>858</v>
      </c>
      <c r="X561" s="5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3" t="s">
        <v>897</v>
      </c>
      <c r="B562" s="4"/>
      <c r="C562" s="3" t="s">
        <v>898</v>
      </c>
      <c r="D562" s="5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5" t="s">
        <v>1049</v>
      </c>
      <c r="L562" s="5" t="s">
        <v>69</v>
      </c>
      <c r="M562" s="5" t="s">
        <v>46</v>
      </c>
      <c r="N562" s="5" t="s">
        <v>404</v>
      </c>
      <c r="O562" s="5" t="s">
        <v>54</v>
      </c>
      <c r="P562" s="5" t="s">
        <v>901</v>
      </c>
      <c r="Q562" s="5" t="s">
        <v>46</v>
      </c>
      <c r="R562" s="5" t="s">
        <v>72</v>
      </c>
      <c r="S562" s="5" t="s">
        <v>46</v>
      </c>
      <c r="T562" s="5" t="s">
        <v>406</v>
      </c>
      <c r="U562" s="5" t="s">
        <v>46</v>
      </c>
      <c r="V562" s="5" t="n">
        <v>1</v>
      </c>
      <c r="W562" s="1" t="s">
        <v>852</v>
      </c>
      <c r="X562" s="5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3" t="s">
        <v>897</v>
      </c>
      <c r="B563" s="4"/>
      <c r="C563" s="3" t="s">
        <v>898</v>
      </c>
      <c r="D563" s="5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1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5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5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3" t="s">
        <v>897</v>
      </c>
      <c r="B564" s="4"/>
      <c r="C564" s="3" t="s">
        <v>898</v>
      </c>
      <c r="D564" s="5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1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5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5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3" t="s">
        <v>897</v>
      </c>
      <c r="B565" s="4"/>
      <c r="C565" s="3" t="s">
        <v>898</v>
      </c>
      <c r="D565" s="5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1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5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5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3" t="s">
        <v>897</v>
      </c>
      <c r="B566" s="4"/>
      <c r="C566" s="3" t="s">
        <v>898</v>
      </c>
      <c r="D566" s="5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1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5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5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3" t="s">
        <v>897</v>
      </c>
      <c r="B567" s="4"/>
      <c r="C567" s="3" t="s">
        <v>898</v>
      </c>
      <c r="D567" s="5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1" t="s">
        <v>46</v>
      </c>
      <c r="N567" s="5" t="s">
        <v>465</v>
      </c>
      <c r="O567" s="1" t="s">
        <v>81</v>
      </c>
      <c r="P567" s="1" t="s">
        <v>81</v>
      </c>
      <c r="Q567" s="1" t="s">
        <v>81</v>
      </c>
      <c r="R567" s="5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5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3" t="s">
        <v>897</v>
      </c>
      <c r="B568" s="4"/>
      <c r="C568" s="3" t="s">
        <v>898</v>
      </c>
      <c r="D568" s="5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1" t="s">
        <v>46</v>
      </c>
      <c r="N568" s="5" t="s">
        <v>465</v>
      </c>
      <c r="O568" s="1" t="s">
        <v>81</v>
      </c>
      <c r="P568" s="1" t="s">
        <v>81</v>
      </c>
      <c r="Q568" s="1" t="s">
        <v>81</v>
      </c>
      <c r="R568" s="5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5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3" t="s">
        <v>897</v>
      </c>
      <c r="B569" s="4"/>
      <c r="C569" s="3" t="s">
        <v>898</v>
      </c>
      <c r="D569" s="5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1" t="s">
        <v>46</v>
      </c>
      <c r="N569" s="5" t="s">
        <v>465</v>
      </c>
      <c r="O569" s="1" t="s">
        <v>81</v>
      </c>
      <c r="P569" s="1" t="s">
        <v>81</v>
      </c>
      <c r="Q569" s="1" t="s">
        <v>81</v>
      </c>
      <c r="R569" s="5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5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3" t="s">
        <v>897</v>
      </c>
      <c r="B570" s="4"/>
      <c r="C570" s="3" t="s">
        <v>898</v>
      </c>
      <c r="D570" s="5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1" t="s">
        <v>46</v>
      </c>
      <c r="N570" s="5" t="s">
        <v>465</v>
      </c>
      <c r="O570" s="1" t="s">
        <v>81</v>
      </c>
      <c r="P570" s="1" t="s">
        <v>81</v>
      </c>
      <c r="Q570" s="1" t="s">
        <v>81</v>
      </c>
      <c r="R570" s="5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5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3" t="s">
        <v>897</v>
      </c>
      <c r="B571" s="4"/>
      <c r="C571" s="3" t="s">
        <v>898</v>
      </c>
      <c r="D571" s="5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1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5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5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3" t="s">
        <v>897</v>
      </c>
      <c r="B572" s="4"/>
      <c r="C572" s="3" t="s">
        <v>898</v>
      </c>
      <c r="D572" s="5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1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5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5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3" t="s">
        <v>897</v>
      </c>
      <c r="B573" s="4"/>
      <c r="C573" s="3" t="s">
        <v>898</v>
      </c>
      <c r="D573" s="5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1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5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5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3" t="s">
        <v>897</v>
      </c>
      <c r="B574" s="4"/>
      <c r="C574" s="3" t="s">
        <v>898</v>
      </c>
      <c r="D574" s="5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1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5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5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3" t="s">
        <v>1052</v>
      </c>
      <c r="B575" s="4"/>
      <c r="C575" s="3" t="s">
        <v>1053</v>
      </c>
      <c r="D575" s="5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5" t="s">
        <v>1055</v>
      </c>
      <c r="L575" s="5" t="s">
        <v>69</v>
      </c>
      <c r="M575" s="5" t="s">
        <v>46</v>
      </c>
      <c r="N575" s="5" t="s">
        <v>404</v>
      </c>
      <c r="O575" s="5" t="s">
        <v>42</v>
      </c>
      <c r="P575" s="5" t="s">
        <v>1056</v>
      </c>
      <c r="Q575" s="5" t="s">
        <v>46</v>
      </c>
      <c r="R575" s="5" t="s">
        <v>44</v>
      </c>
      <c r="S575" s="5" t="s">
        <v>46</v>
      </c>
      <c r="T575" s="5" t="s">
        <v>419</v>
      </c>
      <c r="U575" s="5" t="s">
        <v>46</v>
      </c>
      <c r="V575" s="5" t="n">
        <v>1</v>
      </c>
      <c r="W575" s="1" t="s">
        <v>420</v>
      </c>
      <c r="X575" s="5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3" t="s">
        <v>1052</v>
      </c>
      <c r="B576" s="4"/>
      <c r="C576" s="3" t="s">
        <v>1053</v>
      </c>
      <c r="D576" s="5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5" t="s">
        <v>1060</v>
      </c>
      <c r="L576" s="5" t="s">
        <v>69</v>
      </c>
      <c r="M576" s="5" t="s">
        <v>46</v>
      </c>
      <c r="N576" s="5" t="s">
        <v>404</v>
      </c>
      <c r="O576" s="5" t="s">
        <v>42</v>
      </c>
      <c r="P576" s="5" t="s">
        <v>1056</v>
      </c>
      <c r="Q576" s="5" t="s">
        <v>46</v>
      </c>
      <c r="R576" s="5" t="s">
        <v>72</v>
      </c>
      <c r="S576" s="5" t="s">
        <v>46</v>
      </c>
      <c r="T576" s="5" t="s">
        <v>419</v>
      </c>
      <c r="U576" s="5" t="s">
        <v>46</v>
      </c>
      <c r="V576" s="5" t="n">
        <v>1</v>
      </c>
      <c r="W576" s="1" t="s">
        <v>431</v>
      </c>
      <c r="X576" s="5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3" t="s">
        <v>1052</v>
      </c>
      <c r="B577" s="4"/>
      <c r="C577" s="3" t="s">
        <v>1053</v>
      </c>
      <c r="D577" s="5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5" t="s">
        <v>1065</v>
      </c>
      <c r="L577" s="5" t="s">
        <v>69</v>
      </c>
      <c r="M577" s="5" t="s">
        <v>46</v>
      </c>
      <c r="N577" s="5" t="s">
        <v>404</v>
      </c>
      <c r="O577" s="5" t="s">
        <v>418</v>
      </c>
      <c r="P577" s="5" t="s">
        <v>1056</v>
      </c>
      <c r="Q577" s="5" t="s">
        <v>46</v>
      </c>
      <c r="R577" s="5" t="s">
        <v>72</v>
      </c>
      <c r="S577" s="5" t="s">
        <v>46</v>
      </c>
      <c r="T577" s="5" t="s">
        <v>419</v>
      </c>
      <c r="U577" s="5" t="s">
        <v>46</v>
      </c>
      <c r="V577" s="5" t="n">
        <v>1</v>
      </c>
      <c r="W577" s="1" t="s">
        <v>436</v>
      </c>
      <c r="X577" s="5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3" t="s">
        <v>1052</v>
      </c>
      <c r="B578" s="4"/>
      <c r="C578" s="3" t="s">
        <v>1053</v>
      </c>
      <c r="D578" s="5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5" t="s">
        <v>64</v>
      </c>
      <c r="L578" s="5" t="s">
        <v>46</v>
      </c>
      <c r="M578" s="5" t="s">
        <v>46</v>
      </c>
      <c r="N578" s="5" t="s">
        <v>65</v>
      </c>
      <c r="O578" s="5" t="s">
        <v>46</v>
      </c>
      <c r="P578" s="5" t="s">
        <v>46</v>
      </c>
      <c r="Q578" s="5" t="s">
        <v>46</v>
      </c>
      <c r="R578" s="5" t="s">
        <v>46</v>
      </c>
      <c r="S578" s="5" t="s">
        <v>46</v>
      </c>
      <c r="T578" s="5" t="s">
        <v>46</v>
      </c>
      <c r="U578" s="5" t="s">
        <v>46</v>
      </c>
      <c r="V578" s="5" t="n">
        <v>1</v>
      </c>
      <c r="X578" s="5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3" t="s">
        <v>1052</v>
      </c>
      <c r="B579" s="4"/>
      <c r="C579" s="3" t="s">
        <v>1053</v>
      </c>
      <c r="D579" s="5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5" t="s">
        <v>66</v>
      </c>
      <c r="L579" s="5" t="s">
        <v>46</v>
      </c>
      <c r="M579" s="5" t="s">
        <v>46</v>
      </c>
      <c r="N579" s="5" t="s">
        <v>65</v>
      </c>
      <c r="O579" s="5" t="s">
        <v>46</v>
      </c>
      <c r="P579" s="5" t="s">
        <v>46</v>
      </c>
      <c r="Q579" s="5" t="s">
        <v>46</v>
      </c>
      <c r="R579" s="5" t="s">
        <v>46</v>
      </c>
      <c r="S579" s="5" t="s">
        <v>46</v>
      </c>
      <c r="T579" s="5" t="s">
        <v>46</v>
      </c>
      <c r="U579" s="5" t="s">
        <v>46</v>
      </c>
      <c r="V579" s="5" t="n">
        <v>2</v>
      </c>
      <c r="X579" s="5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3" t="s">
        <v>1052</v>
      </c>
      <c r="B580" s="4"/>
      <c r="C580" s="3" t="s">
        <v>1053</v>
      </c>
      <c r="D580" s="5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5" t="s">
        <v>67</v>
      </c>
      <c r="L580" s="5" t="s">
        <v>46</v>
      </c>
      <c r="M580" s="5" t="s">
        <v>46</v>
      </c>
      <c r="N580" s="5" t="s">
        <v>65</v>
      </c>
      <c r="O580" s="5" t="s">
        <v>46</v>
      </c>
      <c r="P580" s="5" t="s">
        <v>46</v>
      </c>
      <c r="Q580" s="5" t="s">
        <v>46</v>
      </c>
      <c r="R580" s="5" t="s">
        <v>46</v>
      </c>
      <c r="S580" s="5" t="s">
        <v>46</v>
      </c>
      <c r="T580" s="5" t="s">
        <v>46</v>
      </c>
      <c r="U580" s="5" t="s">
        <v>46</v>
      </c>
      <c r="V580" s="5" t="n">
        <v>3</v>
      </c>
      <c r="X580" s="5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3" t="s">
        <v>1052</v>
      </c>
      <c r="B581" s="4"/>
      <c r="C581" s="3" t="s">
        <v>1053</v>
      </c>
      <c r="D581" s="5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5" t="s">
        <v>221</v>
      </c>
      <c r="L581" s="5" t="s">
        <v>46</v>
      </c>
      <c r="M581" s="5" t="s">
        <v>46</v>
      </c>
      <c r="N581" s="5" t="s">
        <v>65</v>
      </c>
      <c r="O581" s="5" t="s">
        <v>46</v>
      </c>
      <c r="P581" s="5" t="s">
        <v>46</v>
      </c>
      <c r="Q581" s="5" t="s">
        <v>46</v>
      </c>
      <c r="R581" s="5" t="s">
        <v>46</v>
      </c>
      <c r="S581" s="5" t="s">
        <v>46</v>
      </c>
      <c r="T581" s="5" t="s">
        <v>46</v>
      </c>
      <c r="U581" s="5" t="s">
        <v>46</v>
      </c>
      <c r="V581" s="5" t="n">
        <v>4</v>
      </c>
      <c r="X581" s="5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3" t="s">
        <v>1052</v>
      </c>
      <c r="B582" s="4"/>
      <c r="C582" s="3" t="s">
        <v>1053</v>
      </c>
      <c r="D582" s="5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5" t="s">
        <v>463</v>
      </c>
      <c r="L582" s="5" t="s">
        <v>69</v>
      </c>
      <c r="M582" s="5" t="s">
        <v>46</v>
      </c>
      <c r="N582" s="5" t="s">
        <v>465</v>
      </c>
      <c r="O582" s="5" t="s">
        <v>81</v>
      </c>
      <c r="P582" s="5" t="s">
        <v>81</v>
      </c>
      <c r="Q582" s="5" t="s">
        <v>81</v>
      </c>
      <c r="R582" s="5" t="s">
        <v>81</v>
      </c>
      <c r="S582" s="5" t="s">
        <v>46</v>
      </c>
      <c r="T582" s="5" t="s">
        <v>81</v>
      </c>
      <c r="U582" s="5" t="s">
        <v>46</v>
      </c>
      <c r="V582" s="5" t="n">
        <v>1</v>
      </c>
      <c r="X582" s="5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3" t="s">
        <v>1052</v>
      </c>
      <c r="B583" s="4"/>
      <c r="C583" s="3" t="s">
        <v>1053</v>
      </c>
      <c r="D583" s="5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5" t="s">
        <v>158</v>
      </c>
      <c r="K583" s="5" t="s">
        <v>468</v>
      </c>
      <c r="L583" s="5" t="s">
        <v>69</v>
      </c>
      <c r="M583" s="5" t="s">
        <v>46</v>
      </c>
      <c r="N583" s="5" t="s">
        <v>465</v>
      </c>
      <c r="O583" s="5" t="s">
        <v>81</v>
      </c>
      <c r="P583" s="5" t="s">
        <v>81</v>
      </c>
      <c r="Q583" s="5" t="s">
        <v>81</v>
      </c>
      <c r="R583" s="5" t="s">
        <v>81</v>
      </c>
      <c r="S583" s="5" t="s">
        <v>46</v>
      </c>
      <c r="T583" s="5" t="s">
        <v>81</v>
      </c>
      <c r="U583" s="5" t="s">
        <v>46</v>
      </c>
      <c r="V583" s="5" t="n">
        <v>2</v>
      </c>
      <c r="W583" s="5"/>
      <c r="X583" s="5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3" t="s">
        <v>1052</v>
      </c>
      <c r="B584" s="4"/>
      <c r="C584" s="3" t="s">
        <v>1053</v>
      </c>
      <c r="D584" s="5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5" t="s">
        <v>158</v>
      </c>
      <c r="K584" s="5" t="s">
        <v>472</v>
      </c>
      <c r="L584" s="5" t="s">
        <v>69</v>
      </c>
      <c r="M584" s="5" t="s">
        <v>46</v>
      </c>
      <c r="N584" s="5" t="s">
        <v>465</v>
      </c>
      <c r="O584" s="5" t="s">
        <v>81</v>
      </c>
      <c r="P584" s="5" t="s">
        <v>81</v>
      </c>
      <c r="Q584" s="5" t="s">
        <v>81</v>
      </c>
      <c r="R584" s="5" t="s">
        <v>81</v>
      </c>
      <c r="S584" s="5" t="s">
        <v>46</v>
      </c>
      <c r="T584" s="5" t="s">
        <v>81</v>
      </c>
      <c r="U584" s="5" t="s">
        <v>46</v>
      </c>
      <c r="V584" s="5" t="n">
        <v>3</v>
      </c>
      <c r="W584" s="5"/>
      <c r="X584" s="5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3" t="s">
        <v>1052</v>
      </c>
      <c r="B585" s="4"/>
      <c r="C585" s="3" t="s">
        <v>1053</v>
      </c>
      <c r="D585" s="5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5" t="s">
        <v>158</v>
      </c>
      <c r="K585" s="5" t="s">
        <v>476</v>
      </c>
      <c r="L585" s="5" t="s">
        <v>69</v>
      </c>
      <c r="M585" s="5" t="s">
        <v>46</v>
      </c>
      <c r="N585" s="5" t="s">
        <v>465</v>
      </c>
      <c r="O585" s="5" t="s">
        <v>81</v>
      </c>
      <c r="P585" s="5" t="s">
        <v>81</v>
      </c>
      <c r="Q585" s="5" t="s">
        <v>81</v>
      </c>
      <c r="R585" s="5" t="s">
        <v>81</v>
      </c>
      <c r="S585" s="5" t="s">
        <v>46</v>
      </c>
      <c r="T585" s="5" t="s">
        <v>81</v>
      </c>
      <c r="U585" s="5" t="s">
        <v>46</v>
      </c>
      <c r="V585" s="5" t="n">
        <v>4</v>
      </c>
      <c r="W585" s="5"/>
      <c r="X585" s="5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3" t="s">
        <v>1052</v>
      </c>
      <c r="B586" s="4"/>
      <c r="C586" s="3" t="s">
        <v>1053</v>
      </c>
      <c r="D586" s="5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5" t="s">
        <v>158</v>
      </c>
      <c r="K586" s="5" t="s">
        <v>348</v>
      </c>
      <c r="L586" s="5" t="s">
        <v>69</v>
      </c>
      <c r="M586" s="5" t="s">
        <v>46</v>
      </c>
      <c r="N586" s="5" t="s">
        <v>70</v>
      </c>
      <c r="O586" s="5" t="s">
        <v>46</v>
      </c>
      <c r="P586" s="5" t="s">
        <v>71</v>
      </c>
      <c r="Q586" s="5" t="s">
        <v>71</v>
      </c>
      <c r="R586" s="5" t="s">
        <v>72</v>
      </c>
      <c r="S586" s="5" t="s">
        <v>73</v>
      </c>
      <c r="T586" s="5" t="s">
        <v>46</v>
      </c>
      <c r="U586" s="5" t="n">
        <v>1000</v>
      </c>
      <c r="V586" s="5" t="n">
        <v>1</v>
      </c>
      <c r="W586" s="5"/>
      <c r="X586" s="5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3" t="s">
        <v>1052</v>
      </c>
      <c r="B587" s="4"/>
      <c r="C587" s="3" t="s">
        <v>1053</v>
      </c>
      <c r="D587" s="5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5" t="s">
        <v>349</v>
      </c>
      <c r="L587" s="5" t="s">
        <v>69</v>
      </c>
      <c r="M587" s="5" t="s">
        <v>46</v>
      </c>
      <c r="N587" s="5" t="s">
        <v>70</v>
      </c>
      <c r="O587" s="5" t="s">
        <v>46</v>
      </c>
      <c r="P587" s="5" t="s">
        <v>71</v>
      </c>
      <c r="Q587" s="5" t="s">
        <v>71</v>
      </c>
      <c r="R587" s="5" t="s">
        <v>72</v>
      </c>
      <c r="S587" s="5" t="s">
        <v>73</v>
      </c>
      <c r="T587" s="5" t="s">
        <v>46</v>
      </c>
      <c r="U587" s="5" t="n">
        <v>1000</v>
      </c>
      <c r="V587" s="5" t="n">
        <v>2</v>
      </c>
      <c r="X587" s="5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3" t="s">
        <v>1052</v>
      </c>
      <c r="B588" s="4"/>
      <c r="C588" s="3" t="s">
        <v>1053</v>
      </c>
      <c r="D588" s="5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5" t="s">
        <v>350</v>
      </c>
      <c r="L588" s="5" t="s">
        <v>69</v>
      </c>
      <c r="M588" s="5" t="s">
        <v>46</v>
      </c>
      <c r="N588" s="5" t="s">
        <v>70</v>
      </c>
      <c r="O588" s="5" t="s">
        <v>46</v>
      </c>
      <c r="P588" s="5" t="s">
        <v>71</v>
      </c>
      <c r="Q588" s="5" t="s">
        <v>71</v>
      </c>
      <c r="R588" s="5" t="s">
        <v>72</v>
      </c>
      <c r="S588" s="5" t="s">
        <v>73</v>
      </c>
      <c r="T588" s="5" t="s">
        <v>46</v>
      </c>
      <c r="U588" s="5" t="n">
        <v>1000</v>
      </c>
      <c r="V588" s="5" t="n">
        <v>3</v>
      </c>
      <c r="X588" s="5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3" t="s">
        <v>1052</v>
      </c>
      <c r="B589" s="4"/>
      <c r="C589" s="3" t="s">
        <v>1053</v>
      </c>
      <c r="D589" s="5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5" t="s">
        <v>351</v>
      </c>
      <c r="L589" s="5" t="s">
        <v>69</v>
      </c>
      <c r="M589" s="5" t="s">
        <v>46</v>
      </c>
      <c r="N589" s="5" t="s">
        <v>70</v>
      </c>
      <c r="O589" s="5" t="s">
        <v>46</v>
      </c>
      <c r="P589" s="5" t="s">
        <v>71</v>
      </c>
      <c r="Q589" s="5" t="s">
        <v>71</v>
      </c>
      <c r="R589" s="5" t="s">
        <v>72</v>
      </c>
      <c r="S589" s="5" t="s">
        <v>73</v>
      </c>
      <c r="T589" s="5" t="s">
        <v>46</v>
      </c>
      <c r="U589" s="5" t="n">
        <v>1000</v>
      </c>
      <c r="V589" s="5" t="n">
        <v>4</v>
      </c>
      <c r="X589" s="5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3" t="s">
        <v>1052</v>
      </c>
      <c r="B590" s="4"/>
      <c r="C590" s="3" t="s">
        <v>1053</v>
      </c>
      <c r="D590" s="5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5" t="s">
        <v>1070</v>
      </c>
      <c r="L590" s="5" t="s">
        <v>69</v>
      </c>
      <c r="M590" s="5" t="s">
        <v>46</v>
      </c>
      <c r="N590" s="5" t="s">
        <v>404</v>
      </c>
      <c r="O590" s="5" t="s">
        <v>42</v>
      </c>
      <c r="P590" s="5" t="s">
        <v>1056</v>
      </c>
      <c r="Q590" s="5" t="s">
        <v>46</v>
      </c>
      <c r="R590" s="5" t="s">
        <v>44</v>
      </c>
      <c r="S590" s="5" t="s">
        <v>46</v>
      </c>
      <c r="T590" s="5" t="s">
        <v>406</v>
      </c>
      <c r="U590" s="5" t="s">
        <v>46</v>
      </c>
      <c r="V590" s="5" t="n">
        <v>1</v>
      </c>
      <c r="W590" s="1" t="s">
        <v>407</v>
      </c>
      <c r="X590" s="5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3" t="s">
        <v>1052</v>
      </c>
      <c r="B591" s="4"/>
      <c r="C591" s="3" t="s">
        <v>1053</v>
      </c>
      <c r="D591" s="5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5" t="s">
        <v>1075</v>
      </c>
      <c r="L591" s="5" t="s">
        <v>69</v>
      </c>
      <c r="M591" s="5" t="s">
        <v>46</v>
      </c>
      <c r="N591" s="5" t="s">
        <v>404</v>
      </c>
      <c r="O591" s="5" t="s">
        <v>665</v>
      </c>
      <c r="P591" s="5" t="s">
        <v>1056</v>
      </c>
      <c r="Q591" s="5" t="s">
        <v>46</v>
      </c>
      <c r="R591" s="5" t="s">
        <v>44</v>
      </c>
      <c r="S591" s="5" t="s">
        <v>46</v>
      </c>
      <c r="T591" s="5" t="s">
        <v>419</v>
      </c>
      <c r="U591" s="5" t="s">
        <v>46</v>
      </c>
      <c r="V591" s="5" t="n">
        <v>1</v>
      </c>
      <c r="W591" s="1" t="s">
        <v>442</v>
      </c>
      <c r="X591" s="5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3" t="s">
        <v>1052</v>
      </c>
      <c r="B592" s="4"/>
      <c r="C592" s="3" t="s">
        <v>1053</v>
      </c>
      <c r="D592" s="5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5" t="s">
        <v>158</v>
      </c>
      <c r="K592" s="5" t="s">
        <v>1080</v>
      </c>
      <c r="L592" s="5" t="s">
        <v>69</v>
      </c>
      <c r="M592" s="5" t="s">
        <v>46</v>
      </c>
      <c r="N592" s="5" t="s">
        <v>404</v>
      </c>
      <c r="O592" s="5" t="s">
        <v>42</v>
      </c>
      <c r="P592" s="5" t="s">
        <v>1056</v>
      </c>
      <c r="Q592" s="5" t="s">
        <v>46</v>
      </c>
      <c r="R592" s="5" t="s">
        <v>72</v>
      </c>
      <c r="S592" s="5" t="s">
        <v>46</v>
      </c>
      <c r="T592" s="5" t="s">
        <v>406</v>
      </c>
      <c r="U592" s="5" t="s">
        <v>46</v>
      </c>
      <c r="V592" s="5" t="n">
        <v>1</v>
      </c>
      <c r="W592" s="5" t="s">
        <v>425</v>
      </c>
      <c r="X592" s="5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3" t="s">
        <v>1052</v>
      </c>
      <c r="B593" s="4"/>
      <c r="C593" s="3" t="s">
        <v>1053</v>
      </c>
      <c r="D593" s="5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5" t="s">
        <v>158</v>
      </c>
      <c r="K593" s="5" t="s">
        <v>1085</v>
      </c>
      <c r="L593" s="5" t="s">
        <v>69</v>
      </c>
      <c r="M593" s="5" t="s">
        <v>46</v>
      </c>
      <c r="N593" s="5" t="s">
        <v>404</v>
      </c>
      <c r="O593" s="5" t="s">
        <v>42</v>
      </c>
      <c r="P593" s="5" t="s">
        <v>1056</v>
      </c>
      <c r="Q593" s="5" t="s">
        <v>46</v>
      </c>
      <c r="R593" s="5" t="s">
        <v>44</v>
      </c>
      <c r="S593" s="5" t="s">
        <v>46</v>
      </c>
      <c r="T593" s="5" t="s">
        <v>406</v>
      </c>
      <c r="U593" s="5" t="s">
        <v>46</v>
      </c>
      <c r="V593" s="5" t="n">
        <v>1</v>
      </c>
      <c r="W593" s="5" t="s">
        <v>448</v>
      </c>
      <c r="X593" s="5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3" t="s">
        <v>1052</v>
      </c>
      <c r="B594" s="4"/>
      <c r="C594" s="3" t="s">
        <v>1053</v>
      </c>
      <c r="D594" s="5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5" t="s">
        <v>166</v>
      </c>
      <c r="K594" s="5" t="s">
        <v>1090</v>
      </c>
      <c r="L594" s="5" t="s">
        <v>69</v>
      </c>
      <c r="M594" s="5" t="s">
        <v>46</v>
      </c>
      <c r="N594" s="5" t="s">
        <v>404</v>
      </c>
      <c r="O594" s="5" t="s">
        <v>665</v>
      </c>
      <c r="P594" s="5" t="s">
        <v>1056</v>
      </c>
      <c r="Q594" s="5" t="s">
        <v>46</v>
      </c>
      <c r="R594" s="5" t="s">
        <v>72</v>
      </c>
      <c r="S594" s="5" t="s">
        <v>46</v>
      </c>
      <c r="T594" s="5" t="s">
        <v>419</v>
      </c>
      <c r="U594" s="5" t="s">
        <v>46</v>
      </c>
      <c r="V594" s="5" t="n">
        <v>1</v>
      </c>
      <c r="W594" s="5" t="s">
        <v>520</v>
      </c>
      <c r="X594" s="5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3" t="s">
        <v>1052</v>
      </c>
      <c r="B595" s="4"/>
      <c r="C595" s="3" t="s">
        <v>1053</v>
      </c>
      <c r="D595" s="5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5" t="s">
        <v>64</v>
      </c>
      <c r="L595" s="5" t="s">
        <v>46</v>
      </c>
      <c r="M595" s="5" t="s">
        <v>46</v>
      </c>
      <c r="N595" s="5" t="s">
        <v>65</v>
      </c>
      <c r="O595" s="5" t="s">
        <v>46</v>
      </c>
      <c r="P595" s="5" t="s">
        <v>46</v>
      </c>
      <c r="Q595" s="5" t="s">
        <v>46</v>
      </c>
      <c r="R595" s="5" t="s">
        <v>46</v>
      </c>
      <c r="S595" s="5" t="s">
        <v>46</v>
      </c>
      <c r="T595" s="5" t="s">
        <v>46</v>
      </c>
      <c r="U595" s="5" t="s">
        <v>46</v>
      </c>
      <c r="V595" s="5" t="n">
        <v>1</v>
      </c>
      <c r="X595" s="5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3" t="s">
        <v>1052</v>
      </c>
      <c r="B596" s="4"/>
      <c r="C596" s="3" t="s">
        <v>1053</v>
      </c>
      <c r="D596" s="5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5" t="s">
        <v>66</v>
      </c>
      <c r="L596" s="5" t="s">
        <v>46</v>
      </c>
      <c r="M596" s="5" t="s">
        <v>46</v>
      </c>
      <c r="N596" s="5" t="s">
        <v>65</v>
      </c>
      <c r="O596" s="5" t="s">
        <v>46</v>
      </c>
      <c r="P596" s="5" t="s">
        <v>46</v>
      </c>
      <c r="Q596" s="5" t="s">
        <v>46</v>
      </c>
      <c r="R596" s="5" t="s">
        <v>46</v>
      </c>
      <c r="S596" s="5" t="s">
        <v>46</v>
      </c>
      <c r="T596" s="5" t="s">
        <v>46</v>
      </c>
      <c r="U596" s="5" t="s">
        <v>46</v>
      </c>
      <c r="V596" s="5" t="n">
        <v>2</v>
      </c>
      <c r="X596" s="5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3" t="s">
        <v>1052</v>
      </c>
      <c r="B597" s="4"/>
      <c r="C597" s="3" t="s">
        <v>1053</v>
      </c>
      <c r="D597" s="5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5" t="s">
        <v>67</v>
      </c>
      <c r="L597" s="5" t="s">
        <v>46</v>
      </c>
      <c r="M597" s="5" t="s">
        <v>46</v>
      </c>
      <c r="N597" s="5" t="s">
        <v>65</v>
      </c>
      <c r="O597" s="5" t="s">
        <v>46</v>
      </c>
      <c r="P597" s="5" t="s">
        <v>46</v>
      </c>
      <c r="Q597" s="5" t="s">
        <v>46</v>
      </c>
      <c r="R597" s="5" t="s">
        <v>46</v>
      </c>
      <c r="S597" s="5" t="s">
        <v>46</v>
      </c>
      <c r="T597" s="5" t="s">
        <v>46</v>
      </c>
      <c r="U597" s="5" t="s">
        <v>46</v>
      </c>
      <c r="V597" s="5" t="n">
        <v>3</v>
      </c>
      <c r="X597" s="5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3" t="s">
        <v>1052</v>
      </c>
      <c r="B598" s="4"/>
      <c r="C598" s="3" t="s">
        <v>1053</v>
      </c>
      <c r="D598" s="5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5" t="s">
        <v>221</v>
      </c>
      <c r="L598" s="5" t="s">
        <v>46</v>
      </c>
      <c r="M598" s="5" t="s">
        <v>46</v>
      </c>
      <c r="N598" s="5" t="s">
        <v>65</v>
      </c>
      <c r="O598" s="5" t="s">
        <v>46</v>
      </c>
      <c r="P598" s="5" t="s">
        <v>46</v>
      </c>
      <c r="Q598" s="5" t="s">
        <v>46</v>
      </c>
      <c r="R598" s="5" t="s">
        <v>46</v>
      </c>
      <c r="S598" s="5" t="s">
        <v>46</v>
      </c>
      <c r="T598" s="5" t="s">
        <v>46</v>
      </c>
      <c r="U598" s="5" t="s">
        <v>46</v>
      </c>
      <c r="V598" s="5" t="n">
        <v>4</v>
      </c>
      <c r="X598" s="5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3" t="s">
        <v>1052</v>
      </c>
      <c r="B599" s="4"/>
      <c r="C599" s="3" t="s">
        <v>1053</v>
      </c>
      <c r="D599" s="5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5" t="s">
        <v>463</v>
      </c>
      <c r="L599" s="5" t="s">
        <v>69</v>
      </c>
      <c r="M599" s="5" t="s">
        <v>46</v>
      </c>
      <c r="N599" s="5" t="s">
        <v>465</v>
      </c>
      <c r="O599" s="5" t="s">
        <v>81</v>
      </c>
      <c r="P599" s="5" t="s">
        <v>81</v>
      </c>
      <c r="Q599" s="5" t="s">
        <v>81</v>
      </c>
      <c r="R599" s="5" t="s">
        <v>81</v>
      </c>
      <c r="S599" s="5" t="s">
        <v>46</v>
      </c>
      <c r="T599" s="5" t="s">
        <v>81</v>
      </c>
      <c r="U599" s="5" t="s">
        <v>46</v>
      </c>
      <c r="V599" s="5" t="n">
        <v>1</v>
      </c>
      <c r="X599" s="5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3" t="s">
        <v>1052</v>
      </c>
      <c r="B600" s="4"/>
      <c r="C600" s="3" t="s">
        <v>1053</v>
      </c>
      <c r="D600" s="5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5" t="s">
        <v>468</v>
      </c>
      <c r="L600" s="5" t="s">
        <v>69</v>
      </c>
      <c r="M600" s="5" t="s">
        <v>46</v>
      </c>
      <c r="N600" s="5" t="s">
        <v>465</v>
      </c>
      <c r="O600" s="5" t="s">
        <v>81</v>
      </c>
      <c r="P600" s="5" t="s">
        <v>81</v>
      </c>
      <c r="Q600" s="5" t="s">
        <v>81</v>
      </c>
      <c r="R600" s="5" t="s">
        <v>81</v>
      </c>
      <c r="S600" s="5" t="s">
        <v>46</v>
      </c>
      <c r="T600" s="5" t="s">
        <v>81</v>
      </c>
      <c r="U600" s="5" t="s">
        <v>46</v>
      </c>
      <c r="V600" s="5" t="n">
        <v>2</v>
      </c>
      <c r="X600" s="5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3" t="s">
        <v>1052</v>
      </c>
      <c r="B601" s="4"/>
      <c r="C601" s="3" t="s">
        <v>1053</v>
      </c>
      <c r="D601" s="5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5" t="s">
        <v>472</v>
      </c>
      <c r="L601" s="5" t="s">
        <v>69</v>
      </c>
      <c r="M601" s="5" t="s">
        <v>46</v>
      </c>
      <c r="N601" s="5" t="s">
        <v>465</v>
      </c>
      <c r="O601" s="5" t="s">
        <v>81</v>
      </c>
      <c r="P601" s="5" t="s">
        <v>81</v>
      </c>
      <c r="Q601" s="5" t="s">
        <v>81</v>
      </c>
      <c r="R601" s="5" t="s">
        <v>81</v>
      </c>
      <c r="S601" s="5" t="s">
        <v>46</v>
      </c>
      <c r="T601" s="5" t="s">
        <v>81</v>
      </c>
      <c r="U601" s="5" t="s">
        <v>46</v>
      </c>
      <c r="V601" s="5" t="n">
        <v>3</v>
      </c>
      <c r="X601" s="5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3" t="s">
        <v>1052</v>
      </c>
      <c r="B602" s="4"/>
      <c r="C602" s="3" t="s">
        <v>1053</v>
      </c>
      <c r="D602" s="5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5" t="s">
        <v>476</v>
      </c>
      <c r="L602" s="5" t="s">
        <v>69</v>
      </c>
      <c r="M602" s="5" t="s">
        <v>46</v>
      </c>
      <c r="N602" s="5" t="s">
        <v>465</v>
      </c>
      <c r="O602" s="5" t="s">
        <v>81</v>
      </c>
      <c r="P602" s="5" t="s">
        <v>81</v>
      </c>
      <c r="Q602" s="5" t="s">
        <v>81</v>
      </c>
      <c r="R602" s="5" t="s">
        <v>81</v>
      </c>
      <c r="S602" s="5" t="s">
        <v>46</v>
      </c>
      <c r="T602" s="5" t="s">
        <v>81</v>
      </c>
      <c r="U602" s="5" t="s">
        <v>46</v>
      </c>
      <c r="V602" s="5" t="n">
        <v>4</v>
      </c>
      <c r="X602" s="5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3" t="s">
        <v>1052</v>
      </c>
      <c r="B603" s="4"/>
      <c r="C603" s="3" t="s">
        <v>1053</v>
      </c>
      <c r="D603" s="5" t="s">
        <v>19</v>
      </c>
      <c r="E603" s="5" t="s">
        <v>492</v>
      </c>
      <c r="F603" s="5" t="s">
        <v>493</v>
      </c>
      <c r="G603" s="5" t="s">
        <v>492</v>
      </c>
      <c r="H603" s="6" t="s">
        <v>348</v>
      </c>
      <c r="I603" s="5" t="s">
        <v>554</v>
      </c>
      <c r="J603" s="1" t="s">
        <v>158</v>
      </c>
      <c r="K603" s="5" t="s">
        <v>348</v>
      </c>
      <c r="L603" s="5" t="s">
        <v>69</v>
      </c>
      <c r="M603" s="5" t="s">
        <v>46</v>
      </c>
      <c r="N603" s="5" t="s">
        <v>70</v>
      </c>
      <c r="O603" s="5" t="s">
        <v>46</v>
      </c>
      <c r="P603" s="5" t="s">
        <v>71</v>
      </c>
      <c r="Q603" s="5" t="s">
        <v>71</v>
      </c>
      <c r="R603" s="5" t="s">
        <v>72</v>
      </c>
      <c r="S603" s="5" t="s">
        <v>73</v>
      </c>
      <c r="T603" s="5" t="s">
        <v>46</v>
      </c>
      <c r="U603" s="5" t="n">
        <v>1000</v>
      </c>
      <c r="V603" s="5" t="n">
        <v>1</v>
      </c>
      <c r="X603" s="5" t="s">
        <v>408</v>
      </c>
      <c r="Y603" s="5" t="n">
        <v>5500</v>
      </c>
      <c r="Z603" s="5" t="s">
        <v>498</v>
      </c>
      <c r="AA603" s="5" t="s">
        <v>499</v>
      </c>
      <c r="AB603" s="5" t="s">
        <v>500</v>
      </c>
      <c r="AC603" s="5" t="s">
        <v>501</v>
      </c>
      <c r="AD603" s="1" t="s">
        <v>502</v>
      </c>
      <c r="AE603" s="5" t="s">
        <v>555</v>
      </c>
      <c r="AF603" s="5" t="s">
        <v>556</v>
      </c>
    </row>
    <row r="604" customFormat="false" ht="14.9" hidden="false" customHeight="false" outlineLevel="0" collapsed="false">
      <c r="A604" s="3" t="s">
        <v>1052</v>
      </c>
      <c r="B604" s="4"/>
      <c r="C604" s="3" t="s">
        <v>1053</v>
      </c>
      <c r="D604" s="5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5" t="s">
        <v>158</v>
      </c>
      <c r="K604" s="5" t="s">
        <v>349</v>
      </c>
      <c r="L604" s="5" t="s">
        <v>69</v>
      </c>
      <c r="M604" s="5" t="s">
        <v>46</v>
      </c>
      <c r="N604" s="5" t="s">
        <v>70</v>
      </c>
      <c r="O604" s="5" t="s">
        <v>46</v>
      </c>
      <c r="P604" s="5" t="s">
        <v>71</v>
      </c>
      <c r="Q604" s="5" t="s">
        <v>71</v>
      </c>
      <c r="R604" s="5" t="s">
        <v>72</v>
      </c>
      <c r="S604" s="5" t="s">
        <v>73</v>
      </c>
      <c r="T604" s="5" t="s">
        <v>46</v>
      </c>
      <c r="U604" s="5" t="n">
        <v>1000</v>
      </c>
      <c r="V604" s="5" t="n">
        <v>2</v>
      </c>
      <c r="W604" s="5"/>
      <c r="X604" s="5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3" t="s">
        <v>1052</v>
      </c>
      <c r="B605" s="4"/>
      <c r="C605" s="3" t="s">
        <v>1053</v>
      </c>
      <c r="D605" s="5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5" t="s">
        <v>350</v>
      </c>
      <c r="L605" s="5" t="s">
        <v>69</v>
      </c>
      <c r="M605" s="5" t="s">
        <v>46</v>
      </c>
      <c r="N605" s="5" t="s">
        <v>70</v>
      </c>
      <c r="O605" s="5" t="s">
        <v>46</v>
      </c>
      <c r="P605" s="5" t="s">
        <v>71</v>
      </c>
      <c r="Q605" s="5" t="s">
        <v>71</v>
      </c>
      <c r="R605" s="5" t="s">
        <v>72</v>
      </c>
      <c r="S605" s="5" t="s">
        <v>73</v>
      </c>
      <c r="T605" s="5" t="s">
        <v>46</v>
      </c>
      <c r="U605" s="5" t="n">
        <v>1000</v>
      </c>
      <c r="V605" s="5" t="n">
        <v>3</v>
      </c>
      <c r="X605" s="5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3" t="s">
        <v>1052</v>
      </c>
      <c r="B606" s="4"/>
      <c r="C606" s="3" t="s">
        <v>1053</v>
      </c>
      <c r="D606" s="5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5" t="s">
        <v>351</v>
      </c>
      <c r="L606" s="5" t="s">
        <v>69</v>
      </c>
      <c r="M606" s="5" t="s">
        <v>46</v>
      </c>
      <c r="N606" s="5" t="s">
        <v>70</v>
      </c>
      <c r="O606" s="5" t="s">
        <v>46</v>
      </c>
      <c r="P606" s="5" t="s">
        <v>71</v>
      </c>
      <c r="Q606" s="5" t="s">
        <v>71</v>
      </c>
      <c r="R606" s="5" t="s">
        <v>72</v>
      </c>
      <c r="S606" s="5" t="s">
        <v>73</v>
      </c>
      <c r="T606" s="5" t="s">
        <v>46</v>
      </c>
      <c r="U606" s="5" t="n">
        <v>1000</v>
      </c>
      <c r="V606" s="5" t="n">
        <v>4</v>
      </c>
      <c r="X606" s="5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3" t="s">
        <v>1052</v>
      </c>
      <c r="B607" s="4"/>
      <c r="C607" s="3" t="s">
        <v>1053</v>
      </c>
      <c r="D607" s="5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5" t="s">
        <v>158</v>
      </c>
      <c r="K607" s="5" t="s">
        <v>1095</v>
      </c>
      <c r="L607" s="5" t="s">
        <v>69</v>
      </c>
      <c r="M607" s="5" t="s">
        <v>46</v>
      </c>
      <c r="N607" s="5" t="s">
        <v>404</v>
      </c>
      <c r="O607" s="5" t="s">
        <v>42</v>
      </c>
      <c r="P607" s="5" t="s">
        <v>1056</v>
      </c>
      <c r="Q607" s="5" t="s">
        <v>46</v>
      </c>
      <c r="R607" s="5" t="s">
        <v>72</v>
      </c>
      <c r="S607" s="5" t="s">
        <v>46</v>
      </c>
      <c r="T607" s="5" t="s">
        <v>406</v>
      </c>
      <c r="U607" s="5" t="s">
        <v>46</v>
      </c>
      <c r="V607" s="5" t="n">
        <v>1</v>
      </c>
      <c r="W607" s="5" t="s">
        <v>497</v>
      </c>
      <c r="X607" s="5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3" t="s">
        <v>1052</v>
      </c>
      <c r="B608" s="4"/>
      <c r="C608" s="3" t="s">
        <v>1053</v>
      </c>
      <c r="D608" s="5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5" t="s">
        <v>166</v>
      </c>
      <c r="K608" s="28" t="s">
        <v>1100</v>
      </c>
      <c r="L608" s="5" t="s">
        <v>69</v>
      </c>
      <c r="M608" s="5" t="s">
        <v>46</v>
      </c>
      <c r="N608" s="5" t="s">
        <v>404</v>
      </c>
      <c r="O608" s="5" t="s">
        <v>42</v>
      </c>
      <c r="P608" s="5" t="s">
        <v>1056</v>
      </c>
      <c r="Q608" s="5" t="s">
        <v>46</v>
      </c>
      <c r="R608" s="5" t="s">
        <v>44</v>
      </c>
      <c r="S608" s="5" t="s">
        <v>46</v>
      </c>
      <c r="T608" s="5" t="s">
        <v>419</v>
      </c>
      <c r="U608" s="5" t="s">
        <v>46</v>
      </c>
      <c r="V608" s="5" t="n">
        <v>1</v>
      </c>
      <c r="W608" s="29" t="s">
        <v>527</v>
      </c>
      <c r="X608" s="5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3" t="s">
        <v>1052</v>
      </c>
      <c r="B609" s="4"/>
      <c r="C609" s="3" t="s">
        <v>1053</v>
      </c>
      <c r="D609" s="5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5" t="s">
        <v>158</v>
      </c>
      <c r="K609" s="28" t="s">
        <v>1105</v>
      </c>
      <c r="L609" s="5" t="s">
        <v>69</v>
      </c>
      <c r="M609" s="5" t="s">
        <v>46</v>
      </c>
      <c r="N609" s="5" t="s">
        <v>404</v>
      </c>
      <c r="O609" s="5" t="s">
        <v>54</v>
      </c>
      <c r="P609" s="5" t="s">
        <v>1056</v>
      </c>
      <c r="Q609" s="5" t="s">
        <v>46</v>
      </c>
      <c r="R609" s="5" t="s">
        <v>72</v>
      </c>
      <c r="S609" s="5" t="s">
        <v>46</v>
      </c>
      <c r="T609" s="5" t="s">
        <v>406</v>
      </c>
      <c r="U609" s="5" t="s">
        <v>46</v>
      </c>
      <c r="V609" s="5" t="n">
        <v>1</v>
      </c>
      <c r="W609" s="5" t="s">
        <v>508</v>
      </c>
      <c r="X609" s="5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3" t="s">
        <v>1052</v>
      </c>
      <c r="B610" s="4"/>
      <c r="C610" s="3" t="s">
        <v>1053</v>
      </c>
      <c r="D610" s="5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5" t="s">
        <v>158</v>
      </c>
      <c r="K610" s="28" t="s">
        <v>1110</v>
      </c>
      <c r="L610" s="5" t="s">
        <v>69</v>
      </c>
      <c r="M610" s="5" t="s">
        <v>46</v>
      </c>
      <c r="N610" s="5" t="s">
        <v>404</v>
      </c>
      <c r="O610" s="5" t="s">
        <v>54</v>
      </c>
      <c r="P610" s="5" t="s">
        <v>1056</v>
      </c>
      <c r="Q610" s="5" t="s">
        <v>46</v>
      </c>
      <c r="R610" s="5" t="s">
        <v>44</v>
      </c>
      <c r="S610" s="5" t="s">
        <v>46</v>
      </c>
      <c r="T610" s="5" t="s">
        <v>406</v>
      </c>
      <c r="U610" s="5" t="s">
        <v>46</v>
      </c>
      <c r="V610" s="5" t="n">
        <v>1</v>
      </c>
      <c r="W610" s="5" t="s">
        <v>514</v>
      </c>
      <c r="X610" s="5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3" t="s">
        <v>1052</v>
      </c>
      <c r="B611" s="4"/>
      <c r="C611" s="3" t="s">
        <v>1053</v>
      </c>
      <c r="D611" s="5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5" t="s">
        <v>158</v>
      </c>
      <c r="K611" s="28" t="s">
        <v>1115</v>
      </c>
      <c r="L611" s="5" t="s">
        <v>69</v>
      </c>
      <c r="M611" s="5" t="s">
        <v>46</v>
      </c>
      <c r="N611" s="5" t="s">
        <v>404</v>
      </c>
      <c r="O611" s="5" t="s">
        <v>54</v>
      </c>
      <c r="P611" s="5" t="s">
        <v>1056</v>
      </c>
      <c r="Q611" s="5" t="s">
        <v>46</v>
      </c>
      <c r="R611" s="5" t="s">
        <v>44</v>
      </c>
      <c r="S611" s="5" t="s">
        <v>46</v>
      </c>
      <c r="T611" s="5" t="s">
        <v>406</v>
      </c>
      <c r="U611" s="5" t="s">
        <v>46</v>
      </c>
      <c r="V611" s="5" t="n">
        <v>1</v>
      </c>
      <c r="W611" s="29" t="s">
        <v>571</v>
      </c>
      <c r="X611" s="5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3" t="s">
        <v>1052</v>
      </c>
      <c r="B612" s="4"/>
      <c r="C612" s="3" t="s">
        <v>1053</v>
      </c>
      <c r="D612" s="5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5" t="s">
        <v>1120</v>
      </c>
      <c r="L612" s="5" t="s">
        <v>69</v>
      </c>
      <c r="M612" s="5" t="s">
        <v>46</v>
      </c>
      <c r="N612" s="5" t="s">
        <v>404</v>
      </c>
      <c r="O612" s="5" t="s">
        <v>42</v>
      </c>
      <c r="P612" s="5" t="s">
        <v>1056</v>
      </c>
      <c r="Q612" s="5" t="s">
        <v>46</v>
      </c>
      <c r="R612" s="5" t="s">
        <v>44</v>
      </c>
      <c r="S612" s="5" t="s">
        <v>46</v>
      </c>
      <c r="T612" s="5" t="s">
        <v>419</v>
      </c>
      <c r="U612" s="5" t="s">
        <v>46</v>
      </c>
      <c r="V612" s="5" t="n">
        <v>1</v>
      </c>
      <c r="W612" s="1" t="s">
        <v>640</v>
      </c>
      <c r="X612" s="5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3" t="s">
        <v>1052</v>
      </c>
      <c r="B613" s="4"/>
      <c r="C613" s="3" t="s">
        <v>1053</v>
      </c>
      <c r="D613" s="5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1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5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5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3" t="s">
        <v>1052</v>
      </c>
      <c r="B614" s="4"/>
      <c r="C614" s="3" t="s">
        <v>1053</v>
      </c>
      <c r="D614" s="5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1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5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5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3" t="s">
        <v>1052</v>
      </c>
      <c r="B615" s="4"/>
      <c r="C615" s="3" t="s">
        <v>1053</v>
      </c>
      <c r="D615" s="5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1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5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5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3" t="s">
        <v>1052</v>
      </c>
      <c r="B616" s="4"/>
      <c r="C616" s="3" t="s">
        <v>1053</v>
      </c>
      <c r="D616" s="5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1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5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5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3" t="s">
        <v>1052</v>
      </c>
      <c r="B617" s="4"/>
      <c r="C617" s="3" t="s">
        <v>1053</v>
      </c>
      <c r="D617" s="5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1" t="s">
        <v>46</v>
      </c>
      <c r="N617" s="5" t="s">
        <v>465</v>
      </c>
      <c r="O617" s="1" t="s">
        <v>81</v>
      </c>
      <c r="P617" s="1" t="s">
        <v>81</v>
      </c>
      <c r="Q617" s="1" t="s">
        <v>81</v>
      </c>
      <c r="R617" s="5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5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3" t="s">
        <v>1052</v>
      </c>
      <c r="B618" s="4"/>
      <c r="C618" s="3" t="s">
        <v>1053</v>
      </c>
      <c r="D618" s="5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1" t="s">
        <v>46</v>
      </c>
      <c r="N618" s="5" t="s">
        <v>465</v>
      </c>
      <c r="O618" s="1" t="s">
        <v>81</v>
      </c>
      <c r="P618" s="1" t="s">
        <v>81</v>
      </c>
      <c r="Q618" s="1" t="s">
        <v>81</v>
      </c>
      <c r="R618" s="5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5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3" t="s">
        <v>1052</v>
      </c>
      <c r="B619" s="4"/>
      <c r="C619" s="3" t="s">
        <v>1053</v>
      </c>
      <c r="D619" s="5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1" t="s">
        <v>46</v>
      </c>
      <c r="N619" s="5" t="s">
        <v>465</v>
      </c>
      <c r="O619" s="1" t="s">
        <v>81</v>
      </c>
      <c r="P619" s="1" t="s">
        <v>81</v>
      </c>
      <c r="Q619" s="1" t="s">
        <v>81</v>
      </c>
      <c r="R619" s="5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5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3" t="s">
        <v>1052</v>
      </c>
      <c r="B620" s="4"/>
      <c r="C620" s="3" t="s">
        <v>1053</v>
      </c>
      <c r="D620" s="5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1" t="s">
        <v>46</v>
      </c>
      <c r="N620" s="5" t="s">
        <v>465</v>
      </c>
      <c r="O620" s="1" t="s">
        <v>81</v>
      </c>
      <c r="P620" s="1" t="s">
        <v>81</v>
      </c>
      <c r="Q620" s="1" t="s">
        <v>81</v>
      </c>
      <c r="R620" s="5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5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3" t="s">
        <v>1052</v>
      </c>
      <c r="B621" s="4"/>
      <c r="C621" s="3" t="s">
        <v>1053</v>
      </c>
      <c r="D621" s="5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1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5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5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3" t="s">
        <v>1052</v>
      </c>
      <c r="B622" s="4"/>
      <c r="C622" s="3" t="s">
        <v>1053</v>
      </c>
      <c r="D622" s="5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1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5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5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3" t="s">
        <v>1052</v>
      </c>
      <c r="B623" s="4"/>
      <c r="C623" s="3" t="s">
        <v>1053</v>
      </c>
      <c r="D623" s="5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1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5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5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3" t="s">
        <v>1052</v>
      </c>
      <c r="B624" s="4"/>
      <c r="C624" s="3" t="s">
        <v>1053</v>
      </c>
      <c r="D624" s="5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1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5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5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3" t="s">
        <v>1052</v>
      </c>
      <c r="B625" s="4"/>
      <c r="C625" s="3" t="s">
        <v>1053</v>
      </c>
      <c r="D625" s="5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5" t="s">
        <v>1124</v>
      </c>
      <c r="L625" s="5" t="s">
        <v>69</v>
      </c>
      <c r="M625" s="1" t="s">
        <v>46</v>
      </c>
      <c r="N625" s="5" t="s">
        <v>404</v>
      </c>
      <c r="O625" s="5" t="s">
        <v>54</v>
      </c>
      <c r="P625" s="5" t="s">
        <v>1056</v>
      </c>
      <c r="Q625" s="5" t="s">
        <v>46</v>
      </c>
      <c r="R625" s="5" t="s">
        <v>72</v>
      </c>
      <c r="S625" s="5" t="s">
        <v>46</v>
      </c>
      <c r="T625" s="5" t="s">
        <v>406</v>
      </c>
      <c r="U625" s="5" t="s">
        <v>46</v>
      </c>
      <c r="V625" s="5" t="n">
        <v>1</v>
      </c>
      <c r="W625" s="1" t="s">
        <v>582</v>
      </c>
      <c r="X625" s="5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3" t="s">
        <v>1052</v>
      </c>
      <c r="B626" s="4"/>
      <c r="C626" s="3" t="s">
        <v>1053</v>
      </c>
      <c r="D626" s="5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5" t="s">
        <v>1128</v>
      </c>
      <c r="L626" s="5" t="s">
        <v>69</v>
      </c>
      <c r="M626" s="1" t="s">
        <v>46</v>
      </c>
      <c r="N626" s="5" t="s">
        <v>404</v>
      </c>
      <c r="O626" s="5" t="s">
        <v>42</v>
      </c>
      <c r="P626" s="5" t="s">
        <v>1056</v>
      </c>
      <c r="Q626" s="5" t="s">
        <v>46</v>
      </c>
      <c r="R626" s="5" t="s">
        <v>44</v>
      </c>
      <c r="S626" s="5" t="s">
        <v>46</v>
      </c>
      <c r="T626" s="5" t="s">
        <v>419</v>
      </c>
      <c r="U626" s="5" t="s">
        <v>46</v>
      </c>
      <c r="V626" s="5" t="n">
        <v>1</v>
      </c>
      <c r="W626" s="1" t="s">
        <v>655</v>
      </c>
      <c r="X626" s="5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3" t="s">
        <v>1052</v>
      </c>
      <c r="B627" s="4"/>
      <c r="C627" s="3" t="s">
        <v>1053</v>
      </c>
      <c r="D627" s="5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5" t="s">
        <v>1132</v>
      </c>
      <c r="L627" s="5" t="s">
        <v>69</v>
      </c>
      <c r="M627" s="1" t="s">
        <v>46</v>
      </c>
      <c r="N627" s="5" t="s">
        <v>404</v>
      </c>
      <c r="O627" s="5" t="s">
        <v>430</v>
      </c>
      <c r="P627" s="5" t="s">
        <v>1056</v>
      </c>
      <c r="Q627" s="5" t="s">
        <v>46</v>
      </c>
      <c r="R627" s="5" t="s">
        <v>44</v>
      </c>
      <c r="S627" s="5" t="s">
        <v>46</v>
      </c>
      <c r="T627" s="5" t="s">
        <v>419</v>
      </c>
      <c r="U627" s="5" t="s">
        <v>46</v>
      </c>
      <c r="V627" s="5" t="n">
        <v>1</v>
      </c>
      <c r="W627" s="1" t="s">
        <v>666</v>
      </c>
      <c r="X627" s="5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3" t="s">
        <v>1052</v>
      </c>
      <c r="B628" s="4"/>
      <c r="C628" s="3" t="s">
        <v>1053</v>
      </c>
      <c r="D628" s="5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5" t="s">
        <v>1136</v>
      </c>
      <c r="L628" s="5" t="s">
        <v>69</v>
      </c>
      <c r="M628" s="1" t="s">
        <v>46</v>
      </c>
      <c r="N628" s="5" t="s">
        <v>404</v>
      </c>
      <c r="O628" s="5" t="s">
        <v>526</v>
      </c>
      <c r="P628" s="5" t="s">
        <v>1056</v>
      </c>
      <c r="Q628" s="5" t="s">
        <v>46</v>
      </c>
      <c r="R628" s="5" t="s">
        <v>72</v>
      </c>
      <c r="S628" s="5" t="s">
        <v>46</v>
      </c>
      <c r="T628" s="5" t="s">
        <v>419</v>
      </c>
      <c r="U628" s="5" t="s">
        <v>46</v>
      </c>
      <c r="V628" s="5" t="n">
        <v>1</v>
      </c>
      <c r="W628" s="1" t="s">
        <v>779</v>
      </c>
      <c r="X628" s="5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3" t="s">
        <v>1052</v>
      </c>
      <c r="B629" s="4"/>
      <c r="C629" s="3" t="s">
        <v>1053</v>
      </c>
      <c r="D629" s="5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5" t="s">
        <v>1140</v>
      </c>
      <c r="L629" s="5" t="s">
        <v>69</v>
      </c>
      <c r="M629" s="1" t="s">
        <v>46</v>
      </c>
      <c r="N629" s="5" t="s">
        <v>404</v>
      </c>
      <c r="O629" s="5" t="s">
        <v>54</v>
      </c>
      <c r="P629" s="5" t="s">
        <v>1056</v>
      </c>
      <c r="Q629" s="5" t="s">
        <v>46</v>
      </c>
      <c r="R629" s="5" t="s">
        <v>44</v>
      </c>
      <c r="S629" s="5" t="s">
        <v>46</v>
      </c>
      <c r="T629" s="5" t="s">
        <v>406</v>
      </c>
      <c r="U629" s="5" t="s">
        <v>46</v>
      </c>
      <c r="V629" s="5" t="n">
        <v>1</v>
      </c>
      <c r="W629" s="1" t="s">
        <v>588</v>
      </c>
      <c r="X629" s="5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3" t="s">
        <v>1052</v>
      </c>
      <c r="B630" s="4"/>
      <c r="C630" s="3" t="s">
        <v>1053</v>
      </c>
      <c r="D630" s="5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5" t="s">
        <v>1144</v>
      </c>
      <c r="L630" s="5" t="s">
        <v>69</v>
      </c>
      <c r="M630" s="1" t="s">
        <v>46</v>
      </c>
      <c r="N630" s="5" t="s">
        <v>404</v>
      </c>
      <c r="O630" s="5" t="s">
        <v>42</v>
      </c>
      <c r="P630" s="5" t="s">
        <v>1056</v>
      </c>
      <c r="Q630" s="5" t="s">
        <v>46</v>
      </c>
      <c r="R630" s="5" t="s">
        <v>44</v>
      </c>
      <c r="S630" s="5" t="s">
        <v>46</v>
      </c>
      <c r="T630" s="5" t="s">
        <v>406</v>
      </c>
      <c r="U630" s="5" t="s">
        <v>46</v>
      </c>
      <c r="V630" s="5" t="n">
        <v>1</v>
      </c>
      <c r="W630" s="1" t="s">
        <v>594</v>
      </c>
      <c r="X630" s="5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3" t="s">
        <v>1052</v>
      </c>
      <c r="B631" s="4"/>
      <c r="C631" s="3" t="s">
        <v>1053</v>
      </c>
      <c r="D631" s="5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5" t="s">
        <v>1148</v>
      </c>
      <c r="L631" s="5" t="s">
        <v>69</v>
      </c>
      <c r="M631" s="1" t="s">
        <v>46</v>
      </c>
      <c r="N631" s="5" t="s">
        <v>404</v>
      </c>
      <c r="O631" s="5" t="s">
        <v>54</v>
      </c>
      <c r="P631" s="5" t="s">
        <v>1056</v>
      </c>
      <c r="Q631" s="5" t="s">
        <v>46</v>
      </c>
      <c r="R631" s="5" t="s">
        <v>44</v>
      </c>
      <c r="S631" s="5" t="s">
        <v>46</v>
      </c>
      <c r="T631" s="5" t="s">
        <v>406</v>
      </c>
      <c r="U631" s="5" t="s">
        <v>46</v>
      </c>
      <c r="V631" s="5" t="n">
        <v>1</v>
      </c>
      <c r="W631" s="1" t="s">
        <v>650</v>
      </c>
      <c r="X631" s="5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3" t="s">
        <v>1052</v>
      </c>
      <c r="B632" s="4"/>
      <c r="C632" s="3" t="s">
        <v>1053</v>
      </c>
      <c r="D632" s="5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5" t="s">
        <v>1152</v>
      </c>
      <c r="L632" s="5" t="s">
        <v>69</v>
      </c>
      <c r="M632" s="1" t="s">
        <v>46</v>
      </c>
      <c r="N632" s="5" t="s">
        <v>404</v>
      </c>
      <c r="O632" s="5" t="s">
        <v>42</v>
      </c>
      <c r="P632" s="5" t="s">
        <v>1056</v>
      </c>
      <c r="Q632" s="5" t="s">
        <v>46</v>
      </c>
      <c r="R632" s="5" t="s">
        <v>72</v>
      </c>
      <c r="S632" s="5" t="s">
        <v>46</v>
      </c>
      <c r="T632" s="5" t="s">
        <v>406</v>
      </c>
      <c r="U632" s="5" t="s">
        <v>46</v>
      </c>
      <c r="V632" s="5" t="n">
        <v>1</v>
      </c>
      <c r="W632" s="1" t="s">
        <v>660</v>
      </c>
      <c r="X632" s="5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3" t="s">
        <v>1052</v>
      </c>
      <c r="B633" s="4"/>
      <c r="C633" s="3" t="s">
        <v>1053</v>
      </c>
      <c r="D633" s="5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1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5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5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3" t="s">
        <v>1052</v>
      </c>
      <c r="B634" s="4"/>
      <c r="C634" s="3" t="s">
        <v>1053</v>
      </c>
      <c r="D634" s="5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1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5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5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3" t="s">
        <v>1052</v>
      </c>
      <c r="B635" s="4"/>
      <c r="C635" s="3" t="s">
        <v>1053</v>
      </c>
      <c r="D635" s="5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1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5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5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3" t="s">
        <v>1052</v>
      </c>
      <c r="B636" s="4"/>
      <c r="C636" s="3" t="s">
        <v>1053</v>
      </c>
      <c r="D636" s="5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1" t="s">
        <v>46</v>
      </c>
      <c r="N636" s="5" t="s">
        <v>65</v>
      </c>
      <c r="O636" s="1" t="s">
        <v>46</v>
      </c>
      <c r="P636" s="1" t="s">
        <v>46</v>
      </c>
      <c r="Q636" s="1" t="s">
        <v>46</v>
      </c>
      <c r="R636" s="5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5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3" t="s">
        <v>1052</v>
      </c>
      <c r="B637" s="4"/>
      <c r="C637" s="3" t="s">
        <v>1053</v>
      </c>
      <c r="D637" s="5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1" t="s">
        <v>46</v>
      </c>
      <c r="N637" s="5" t="s">
        <v>465</v>
      </c>
      <c r="O637" s="1" t="s">
        <v>81</v>
      </c>
      <c r="P637" s="1" t="s">
        <v>81</v>
      </c>
      <c r="Q637" s="1" t="s">
        <v>81</v>
      </c>
      <c r="R637" s="5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5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3" t="s">
        <v>1052</v>
      </c>
      <c r="B638" s="4"/>
      <c r="C638" s="3" t="s">
        <v>1053</v>
      </c>
      <c r="D638" s="5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1" t="s">
        <v>46</v>
      </c>
      <c r="N638" s="5" t="s">
        <v>465</v>
      </c>
      <c r="O638" s="1" t="s">
        <v>81</v>
      </c>
      <c r="P638" s="1" t="s">
        <v>81</v>
      </c>
      <c r="Q638" s="1" t="s">
        <v>81</v>
      </c>
      <c r="R638" s="5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5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3" t="s">
        <v>1052</v>
      </c>
      <c r="B639" s="4"/>
      <c r="C639" s="3" t="s">
        <v>1053</v>
      </c>
      <c r="D639" s="5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1" t="s">
        <v>46</v>
      </c>
      <c r="N639" s="5" t="s">
        <v>465</v>
      </c>
      <c r="O639" s="1" t="s">
        <v>81</v>
      </c>
      <c r="P639" s="1" t="s">
        <v>81</v>
      </c>
      <c r="Q639" s="1" t="s">
        <v>81</v>
      </c>
      <c r="R639" s="5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5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3" t="s">
        <v>1052</v>
      </c>
      <c r="B640" s="4"/>
      <c r="C640" s="3" t="s">
        <v>1053</v>
      </c>
      <c r="D640" s="5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1" t="s">
        <v>46</v>
      </c>
      <c r="N640" s="5" t="s">
        <v>465</v>
      </c>
      <c r="O640" s="1" t="s">
        <v>81</v>
      </c>
      <c r="P640" s="1" t="s">
        <v>81</v>
      </c>
      <c r="Q640" s="1" t="s">
        <v>81</v>
      </c>
      <c r="R640" s="5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5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3" t="s">
        <v>1052</v>
      </c>
      <c r="B641" s="4"/>
      <c r="C641" s="3" t="s">
        <v>1053</v>
      </c>
      <c r="D641" s="5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1" t="s">
        <v>46</v>
      </c>
      <c r="N641" s="5" t="s">
        <v>70</v>
      </c>
      <c r="O641" s="1" t="s">
        <v>46</v>
      </c>
      <c r="P641" s="1" t="s">
        <v>71</v>
      </c>
      <c r="Q641" s="1" t="s">
        <v>71</v>
      </c>
      <c r="R641" s="5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5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3" t="s">
        <v>1052</v>
      </c>
      <c r="B642" s="4"/>
      <c r="C642" s="3" t="s">
        <v>1053</v>
      </c>
      <c r="D642" s="5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1" t="s">
        <v>46</v>
      </c>
      <c r="N642" s="5" t="s">
        <v>70</v>
      </c>
      <c r="O642" s="1" t="s">
        <v>46</v>
      </c>
      <c r="P642" s="1" t="s">
        <v>71</v>
      </c>
      <c r="Q642" s="1" t="s">
        <v>71</v>
      </c>
      <c r="R642" s="5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5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3" t="s">
        <v>1052</v>
      </c>
      <c r="B643" s="4"/>
      <c r="C643" s="3" t="s">
        <v>1053</v>
      </c>
      <c r="D643" s="5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1" t="s">
        <v>46</v>
      </c>
      <c r="N643" s="5" t="s">
        <v>70</v>
      </c>
      <c r="O643" s="1" t="s">
        <v>46</v>
      </c>
      <c r="P643" s="1" t="s">
        <v>71</v>
      </c>
      <c r="Q643" s="1" t="s">
        <v>71</v>
      </c>
      <c r="R643" s="5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5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3" t="s">
        <v>1052</v>
      </c>
      <c r="B644" s="4"/>
      <c r="C644" s="3" t="s">
        <v>1053</v>
      </c>
      <c r="D644" s="5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1" t="s">
        <v>46</v>
      </c>
      <c r="N644" s="5" t="s">
        <v>70</v>
      </c>
      <c r="O644" s="1" t="s">
        <v>46</v>
      </c>
      <c r="P644" s="1" t="s">
        <v>71</v>
      </c>
      <c r="Q644" s="1" t="s">
        <v>71</v>
      </c>
      <c r="R644" s="5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5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3" t="s">
        <v>1052</v>
      </c>
      <c r="B645" s="4"/>
      <c r="C645" s="3" t="s">
        <v>1053</v>
      </c>
      <c r="D645" s="5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5" t="s">
        <v>1156</v>
      </c>
      <c r="L645" s="5" t="s">
        <v>69</v>
      </c>
      <c r="M645" s="1" t="s">
        <v>46</v>
      </c>
      <c r="N645" s="5" t="s">
        <v>404</v>
      </c>
      <c r="O645" s="5" t="s">
        <v>418</v>
      </c>
      <c r="P645" s="5" t="s">
        <v>1056</v>
      </c>
      <c r="Q645" s="5" t="s">
        <v>46</v>
      </c>
      <c r="R645" s="5" t="s">
        <v>72</v>
      </c>
      <c r="S645" s="5" t="s">
        <v>46</v>
      </c>
      <c r="T645" s="5" t="s">
        <v>419</v>
      </c>
      <c r="U645" s="5" t="s">
        <v>46</v>
      </c>
      <c r="V645" s="5" t="n">
        <v>1</v>
      </c>
      <c r="W645" s="1" t="s">
        <v>846</v>
      </c>
      <c r="X645" s="5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3" t="s">
        <v>1052</v>
      </c>
      <c r="B646" s="4"/>
      <c r="C646" s="3" t="s">
        <v>1053</v>
      </c>
      <c r="D646" s="5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5" t="s">
        <v>1160</v>
      </c>
      <c r="L646" s="5" t="s">
        <v>69</v>
      </c>
      <c r="M646" s="1" t="s">
        <v>46</v>
      </c>
      <c r="N646" s="5" t="s">
        <v>404</v>
      </c>
      <c r="O646" s="5" t="s">
        <v>54</v>
      </c>
      <c r="P646" s="5" t="s">
        <v>1056</v>
      </c>
      <c r="Q646" s="5" t="s">
        <v>46</v>
      </c>
      <c r="R646" s="5" t="s">
        <v>72</v>
      </c>
      <c r="S646" s="5" t="s">
        <v>46</v>
      </c>
      <c r="T646" s="5" t="s">
        <v>406</v>
      </c>
      <c r="U646" s="5" t="s">
        <v>46</v>
      </c>
      <c r="V646" s="5" t="n">
        <v>1</v>
      </c>
      <c r="W646" s="1" t="s">
        <v>709</v>
      </c>
      <c r="X646" s="5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3" t="s">
        <v>1052</v>
      </c>
      <c r="B647" s="4"/>
      <c r="C647" s="3" t="s">
        <v>1053</v>
      </c>
      <c r="D647" s="5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5" t="s">
        <v>1164</v>
      </c>
      <c r="L647" s="5" t="s">
        <v>69</v>
      </c>
      <c r="M647" s="1" t="s">
        <v>46</v>
      </c>
      <c r="N647" s="5" t="s">
        <v>404</v>
      </c>
      <c r="O647" s="5" t="s">
        <v>54</v>
      </c>
      <c r="P647" s="5" t="s">
        <v>1056</v>
      </c>
      <c r="Q647" s="5" t="s">
        <v>46</v>
      </c>
      <c r="R647" s="5" t="s">
        <v>72</v>
      </c>
      <c r="S647" s="5" t="s">
        <v>46</v>
      </c>
      <c r="T647" s="5" t="s">
        <v>406</v>
      </c>
      <c r="U647" s="5" t="s">
        <v>46</v>
      </c>
      <c r="V647" s="5" t="n">
        <v>1</v>
      </c>
      <c r="W647" s="1" t="s">
        <v>719</v>
      </c>
      <c r="X647" s="5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3" t="s">
        <v>1052</v>
      </c>
      <c r="B648" s="4"/>
      <c r="C648" s="3" t="s">
        <v>1053</v>
      </c>
      <c r="D648" s="5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1" t="s">
        <v>46</v>
      </c>
      <c r="N648" s="5" t="s">
        <v>65</v>
      </c>
      <c r="O648" s="1" t="s">
        <v>46</v>
      </c>
      <c r="P648" s="1" t="s">
        <v>46</v>
      </c>
      <c r="Q648" s="1" t="s">
        <v>46</v>
      </c>
      <c r="R648" s="5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5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3" t="s">
        <v>1052</v>
      </c>
      <c r="B649" s="4"/>
      <c r="C649" s="3" t="s">
        <v>1053</v>
      </c>
      <c r="D649" s="5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1" t="s">
        <v>46</v>
      </c>
      <c r="N649" s="5" t="s">
        <v>65</v>
      </c>
      <c r="O649" s="1" t="s">
        <v>46</v>
      </c>
      <c r="P649" s="1" t="s">
        <v>46</v>
      </c>
      <c r="Q649" s="1" t="s">
        <v>46</v>
      </c>
      <c r="R649" s="5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5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3" t="s">
        <v>1052</v>
      </c>
      <c r="B650" s="4"/>
      <c r="C650" s="3" t="s">
        <v>1053</v>
      </c>
      <c r="D650" s="5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1" t="s">
        <v>46</v>
      </c>
      <c r="N650" s="5" t="s">
        <v>65</v>
      </c>
      <c r="O650" s="1" t="s">
        <v>46</v>
      </c>
      <c r="P650" s="1" t="s">
        <v>46</v>
      </c>
      <c r="Q650" s="1" t="s">
        <v>46</v>
      </c>
      <c r="R650" s="5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5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3" t="s">
        <v>1052</v>
      </c>
      <c r="B651" s="4"/>
      <c r="C651" s="3" t="s">
        <v>1053</v>
      </c>
      <c r="D651" s="5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1" t="s">
        <v>46</v>
      </c>
      <c r="N651" s="5" t="s">
        <v>65</v>
      </c>
      <c r="O651" s="1" t="s">
        <v>46</v>
      </c>
      <c r="P651" s="1" t="s">
        <v>46</v>
      </c>
      <c r="Q651" s="1" t="s">
        <v>46</v>
      </c>
      <c r="R651" s="5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5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3" t="s">
        <v>1052</v>
      </c>
      <c r="B652" s="4"/>
      <c r="C652" s="3" t="s">
        <v>1053</v>
      </c>
      <c r="D652" s="5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1" t="s">
        <v>46</v>
      </c>
      <c r="N652" s="5" t="s">
        <v>465</v>
      </c>
      <c r="O652" s="1" t="s">
        <v>81</v>
      </c>
      <c r="P652" s="1" t="s">
        <v>81</v>
      </c>
      <c r="Q652" s="1" t="s">
        <v>81</v>
      </c>
      <c r="R652" s="5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5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3" t="s">
        <v>1052</v>
      </c>
      <c r="B653" s="4"/>
      <c r="C653" s="3" t="s">
        <v>1053</v>
      </c>
      <c r="D653" s="5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1" t="s">
        <v>46</v>
      </c>
      <c r="N653" s="5" t="s">
        <v>465</v>
      </c>
      <c r="O653" s="1" t="s">
        <v>81</v>
      </c>
      <c r="P653" s="1" t="s">
        <v>81</v>
      </c>
      <c r="Q653" s="1" t="s">
        <v>81</v>
      </c>
      <c r="R653" s="5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5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3" t="s">
        <v>1052</v>
      </c>
      <c r="B654" s="4"/>
      <c r="C654" s="3" t="s">
        <v>1053</v>
      </c>
      <c r="D654" s="5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1" t="s">
        <v>46</v>
      </c>
      <c r="N654" s="5" t="s">
        <v>465</v>
      </c>
      <c r="O654" s="1" t="s">
        <v>81</v>
      </c>
      <c r="P654" s="1" t="s">
        <v>81</v>
      </c>
      <c r="Q654" s="1" t="s">
        <v>81</v>
      </c>
      <c r="R654" s="5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5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3" t="s">
        <v>1052</v>
      </c>
      <c r="B655" s="4"/>
      <c r="C655" s="3" t="s">
        <v>1053</v>
      </c>
      <c r="D655" s="5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1" t="s">
        <v>46</v>
      </c>
      <c r="N655" s="5" t="s">
        <v>465</v>
      </c>
      <c r="O655" s="1" t="s">
        <v>81</v>
      </c>
      <c r="P655" s="1" t="s">
        <v>81</v>
      </c>
      <c r="Q655" s="1" t="s">
        <v>81</v>
      </c>
      <c r="R655" s="5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5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3" t="s">
        <v>1052</v>
      </c>
      <c r="B656" s="4"/>
      <c r="C656" s="3" t="s">
        <v>1053</v>
      </c>
      <c r="D656" s="5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1" t="s">
        <v>46</v>
      </c>
      <c r="N656" s="5" t="s">
        <v>70</v>
      </c>
      <c r="O656" s="1" t="s">
        <v>46</v>
      </c>
      <c r="P656" s="1" t="s">
        <v>71</v>
      </c>
      <c r="Q656" s="1" t="s">
        <v>71</v>
      </c>
      <c r="R656" s="5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5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3" t="s">
        <v>1052</v>
      </c>
      <c r="B657" s="4"/>
      <c r="C657" s="3" t="s">
        <v>1053</v>
      </c>
      <c r="D657" s="5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1" t="s">
        <v>46</v>
      </c>
      <c r="N657" s="5" t="s">
        <v>70</v>
      </c>
      <c r="O657" s="1" t="s">
        <v>46</v>
      </c>
      <c r="P657" s="1" t="s">
        <v>71</v>
      </c>
      <c r="Q657" s="1" t="s">
        <v>71</v>
      </c>
      <c r="R657" s="5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5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3" t="s">
        <v>1052</v>
      </c>
      <c r="B658" s="4"/>
      <c r="C658" s="3" t="s">
        <v>1053</v>
      </c>
      <c r="D658" s="5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1" t="s">
        <v>46</v>
      </c>
      <c r="N658" s="5" t="s">
        <v>70</v>
      </c>
      <c r="O658" s="1" t="s">
        <v>46</v>
      </c>
      <c r="P658" s="1" t="s">
        <v>71</v>
      </c>
      <c r="Q658" s="1" t="s">
        <v>71</v>
      </c>
      <c r="R658" s="5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5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3" t="s">
        <v>1052</v>
      </c>
      <c r="B659" s="4"/>
      <c r="C659" s="3" t="s">
        <v>1053</v>
      </c>
      <c r="D659" s="5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1" t="s">
        <v>46</v>
      </c>
      <c r="N659" s="5" t="s">
        <v>70</v>
      </c>
      <c r="O659" s="1" t="s">
        <v>46</v>
      </c>
      <c r="P659" s="1" t="s">
        <v>71</v>
      </c>
      <c r="Q659" s="1" t="s">
        <v>71</v>
      </c>
      <c r="R659" s="5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5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3" t="s">
        <v>1052</v>
      </c>
      <c r="B660" s="4"/>
      <c r="C660" s="3" t="s">
        <v>1053</v>
      </c>
      <c r="D660" s="5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5" t="s">
        <v>1169</v>
      </c>
      <c r="L660" s="5" t="s">
        <v>69</v>
      </c>
      <c r="M660" s="1" t="s">
        <v>46</v>
      </c>
      <c r="N660" s="5" t="s">
        <v>404</v>
      </c>
      <c r="O660" s="5" t="s">
        <v>42</v>
      </c>
      <c r="P660" s="5" t="s">
        <v>1056</v>
      </c>
      <c r="Q660" s="5" t="s">
        <v>46</v>
      </c>
      <c r="R660" s="5" t="s">
        <v>72</v>
      </c>
      <c r="S660" s="5" t="s">
        <v>46</v>
      </c>
      <c r="T660" s="5" t="s">
        <v>406</v>
      </c>
      <c r="U660" s="5" t="s">
        <v>46</v>
      </c>
      <c r="V660" s="5" t="n">
        <v>1</v>
      </c>
      <c r="W660" s="1" t="s">
        <v>762</v>
      </c>
      <c r="X660" s="5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3" t="s">
        <v>1052</v>
      </c>
      <c r="B661" s="4"/>
      <c r="C661" s="3" t="s">
        <v>1053</v>
      </c>
      <c r="D661" s="5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5" t="s">
        <v>1174</v>
      </c>
      <c r="L661" s="5" t="s">
        <v>69</v>
      </c>
      <c r="M661" s="1" t="s">
        <v>46</v>
      </c>
      <c r="N661" s="5" t="s">
        <v>404</v>
      </c>
      <c r="O661" s="5" t="s">
        <v>42</v>
      </c>
      <c r="P661" s="5" t="s">
        <v>1056</v>
      </c>
      <c r="Q661" s="5" t="s">
        <v>46</v>
      </c>
      <c r="R661" s="5" t="s">
        <v>44</v>
      </c>
      <c r="S661" s="5" t="s">
        <v>46</v>
      </c>
      <c r="T661" s="5" t="s">
        <v>406</v>
      </c>
      <c r="U661" s="5" t="s">
        <v>46</v>
      </c>
      <c r="V661" s="5" t="n">
        <v>1</v>
      </c>
      <c r="W661" s="1" t="s">
        <v>785</v>
      </c>
      <c r="X661" s="5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3" t="s">
        <v>1052</v>
      </c>
      <c r="B662" s="4"/>
      <c r="C662" s="3" t="s">
        <v>1053</v>
      </c>
      <c r="D662" s="5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5" t="s">
        <v>1179</v>
      </c>
      <c r="L662" s="5" t="s">
        <v>69</v>
      </c>
      <c r="M662" s="1" t="s">
        <v>46</v>
      </c>
      <c r="N662" s="5" t="s">
        <v>404</v>
      </c>
      <c r="O662" s="5" t="s">
        <v>42</v>
      </c>
      <c r="P662" s="5" t="s">
        <v>1056</v>
      </c>
      <c r="Q662" s="5" t="s">
        <v>46</v>
      </c>
      <c r="R662" s="5" t="s">
        <v>44</v>
      </c>
      <c r="S662" s="5" t="s">
        <v>46</v>
      </c>
      <c r="T662" s="5" t="s">
        <v>406</v>
      </c>
      <c r="U662" s="5" t="s">
        <v>46</v>
      </c>
      <c r="V662" s="5" t="n">
        <v>1</v>
      </c>
      <c r="W662" s="1" t="s">
        <v>829</v>
      </c>
      <c r="X662" s="5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3" t="s">
        <v>1052</v>
      </c>
      <c r="B663" s="4"/>
      <c r="C663" s="3" t="s">
        <v>1053</v>
      </c>
      <c r="D663" s="5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1" t="s">
        <v>46</v>
      </c>
      <c r="N663" s="5" t="s">
        <v>65</v>
      </c>
      <c r="O663" s="1" t="s">
        <v>46</v>
      </c>
      <c r="P663" s="1" t="s">
        <v>46</v>
      </c>
      <c r="Q663" s="1" t="s">
        <v>46</v>
      </c>
      <c r="R663" s="5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5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3" t="s">
        <v>1052</v>
      </c>
      <c r="B664" s="4"/>
      <c r="C664" s="3" t="s">
        <v>1053</v>
      </c>
      <c r="D664" s="5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1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5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5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3" t="s">
        <v>1052</v>
      </c>
      <c r="B665" s="4"/>
      <c r="C665" s="3" t="s">
        <v>1053</v>
      </c>
      <c r="D665" s="5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1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5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5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3" t="s">
        <v>1052</v>
      </c>
      <c r="B666" s="4"/>
      <c r="C666" s="3" t="s">
        <v>1053</v>
      </c>
      <c r="D666" s="5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1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5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5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3" t="s">
        <v>1052</v>
      </c>
      <c r="B667" s="4"/>
      <c r="C667" s="3" t="s">
        <v>1053</v>
      </c>
      <c r="D667" s="5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1" t="s">
        <v>46</v>
      </c>
      <c r="N667" s="5" t="s">
        <v>465</v>
      </c>
      <c r="O667" s="1" t="s">
        <v>81</v>
      </c>
      <c r="P667" s="1" t="s">
        <v>81</v>
      </c>
      <c r="Q667" s="1" t="s">
        <v>81</v>
      </c>
      <c r="R667" s="5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5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3" t="s">
        <v>1052</v>
      </c>
      <c r="B668" s="4"/>
      <c r="C668" s="3" t="s">
        <v>1053</v>
      </c>
      <c r="D668" s="5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1" t="s">
        <v>46</v>
      </c>
      <c r="N668" s="5" t="s">
        <v>465</v>
      </c>
      <c r="O668" s="1" t="s">
        <v>81</v>
      </c>
      <c r="P668" s="1" t="s">
        <v>81</v>
      </c>
      <c r="Q668" s="1" t="s">
        <v>81</v>
      </c>
      <c r="R668" s="5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5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3" t="s">
        <v>1052</v>
      </c>
      <c r="B669" s="4"/>
      <c r="C669" s="3" t="s">
        <v>1053</v>
      </c>
      <c r="D669" s="5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1" t="s">
        <v>46</v>
      </c>
      <c r="N669" s="5" t="s">
        <v>465</v>
      </c>
      <c r="O669" s="1" t="s">
        <v>81</v>
      </c>
      <c r="P669" s="1" t="s">
        <v>81</v>
      </c>
      <c r="Q669" s="1" t="s">
        <v>81</v>
      </c>
      <c r="R669" s="5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5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3" t="s">
        <v>1052</v>
      </c>
      <c r="B670" s="4"/>
      <c r="C670" s="3" t="s">
        <v>1053</v>
      </c>
      <c r="D670" s="5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1" t="s">
        <v>46</v>
      </c>
      <c r="N670" s="5" t="s">
        <v>465</v>
      </c>
      <c r="O670" s="1" t="s">
        <v>81</v>
      </c>
      <c r="P670" s="1" t="s">
        <v>81</v>
      </c>
      <c r="Q670" s="1" t="s">
        <v>81</v>
      </c>
      <c r="R670" s="5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5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3" t="s">
        <v>1052</v>
      </c>
      <c r="B671" s="4"/>
      <c r="C671" s="3" t="s">
        <v>1053</v>
      </c>
      <c r="D671" s="5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1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5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5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3" t="s">
        <v>1052</v>
      </c>
      <c r="B672" s="4"/>
      <c r="C672" s="3" t="s">
        <v>1053</v>
      </c>
      <c r="D672" s="5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1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5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5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3" t="s">
        <v>1052</v>
      </c>
      <c r="B673" s="4"/>
      <c r="C673" s="3" t="s">
        <v>1053</v>
      </c>
      <c r="D673" s="5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1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5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5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3" t="s">
        <v>1052</v>
      </c>
      <c r="B674" s="4"/>
      <c r="C674" s="3" t="s">
        <v>1053</v>
      </c>
      <c r="D674" s="5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1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5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5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3" t="s">
        <v>1052</v>
      </c>
      <c r="B675" s="4"/>
      <c r="C675" s="3" t="s">
        <v>1053</v>
      </c>
      <c r="D675" s="5" t="s">
        <v>19</v>
      </c>
      <c r="E675" s="5" t="s">
        <v>824</v>
      </c>
      <c r="F675" s="5" t="s">
        <v>825</v>
      </c>
      <c r="G675" s="5" t="s">
        <v>401</v>
      </c>
      <c r="H675" s="6" t="s">
        <v>1182</v>
      </c>
      <c r="I675" s="5" t="s">
        <v>1183</v>
      </c>
      <c r="J675" s="1" t="s">
        <v>166</v>
      </c>
      <c r="K675" s="5" t="s">
        <v>1184</v>
      </c>
      <c r="L675" s="5" t="s">
        <v>69</v>
      </c>
      <c r="M675" s="1" t="s">
        <v>46</v>
      </c>
      <c r="N675" s="5" t="s">
        <v>404</v>
      </c>
      <c r="O675" s="5" t="s">
        <v>42</v>
      </c>
      <c r="P675" s="5" t="s">
        <v>1056</v>
      </c>
      <c r="Q675" s="5" t="s">
        <v>46</v>
      </c>
      <c r="R675" s="5" t="s">
        <v>72</v>
      </c>
      <c r="S675" s="5" t="s">
        <v>46</v>
      </c>
      <c r="T675" s="5" t="s">
        <v>419</v>
      </c>
      <c r="U675" s="5" t="s">
        <v>46</v>
      </c>
      <c r="V675" s="5" t="n">
        <v>1</v>
      </c>
      <c r="W675" s="1" t="s">
        <v>858</v>
      </c>
      <c r="X675" s="5" t="s">
        <v>408</v>
      </c>
      <c r="Y675" s="5" t="n">
        <v>5500</v>
      </c>
      <c r="Z675" s="5" t="s">
        <v>830</v>
      </c>
      <c r="AA675" s="5" t="s">
        <v>831</v>
      </c>
      <c r="AB675" s="5" t="s">
        <v>832</v>
      </c>
      <c r="AC675" s="5" t="s">
        <v>833</v>
      </c>
      <c r="AD675" s="1" t="s">
        <v>834</v>
      </c>
      <c r="AE675" s="5" t="s">
        <v>1185</v>
      </c>
      <c r="AF675" s="5" t="s">
        <v>1186</v>
      </c>
    </row>
    <row r="676" customFormat="false" ht="15" hidden="false" customHeight="false" outlineLevel="0" collapsed="false">
      <c r="A676" s="3" t="s">
        <v>1052</v>
      </c>
      <c r="B676" s="4"/>
      <c r="C676" s="3" t="s">
        <v>1053</v>
      </c>
      <c r="D676" s="5" t="s">
        <v>19</v>
      </c>
      <c r="E676" s="5" t="s">
        <v>824</v>
      </c>
      <c r="F676" s="6" t="s">
        <v>825</v>
      </c>
      <c r="G676" s="5" t="s">
        <v>401</v>
      </c>
      <c r="H676" s="14" t="s">
        <v>1187</v>
      </c>
      <c r="I676" s="5" t="str">
        <f aca="false">CONCATENATE(E676, "_",H676)</f>
        <v>NLA_2022_020_223</v>
      </c>
      <c r="J676" s="5" t="s">
        <v>158</v>
      </c>
      <c r="K676" s="5" t="s">
        <v>1188</v>
      </c>
      <c r="L676" s="5" t="s">
        <v>69</v>
      </c>
      <c r="M676" s="1" t="s">
        <v>46</v>
      </c>
      <c r="N676" s="5" t="s">
        <v>404</v>
      </c>
      <c r="O676" s="5" t="s">
        <v>54</v>
      </c>
      <c r="P676" s="5" t="s">
        <v>1056</v>
      </c>
      <c r="Q676" s="5" t="s">
        <v>46</v>
      </c>
      <c r="R676" s="5" t="s">
        <v>44</v>
      </c>
      <c r="S676" s="5" t="s">
        <v>46</v>
      </c>
      <c r="T676" s="5" t="s">
        <v>406</v>
      </c>
      <c r="U676" s="5" t="s">
        <v>46</v>
      </c>
      <c r="V676" s="5" t="n">
        <v>1</v>
      </c>
      <c r="W676" s="5" t="s">
        <v>599</v>
      </c>
      <c r="X676" s="5" t="s">
        <v>408</v>
      </c>
      <c r="Y676" s="5" t="n">
        <v>5500</v>
      </c>
      <c r="Z676" s="5" t="s">
        <v>830</v>
      </c>
      <c r="AA676" s="5" t="s">
        <v>831</v>
      </c>
      <c r="AB676" s="13" t="str">
        <f aca="true" t="array" ref="AB676:AB676">LEFT(AA676,LOOKUP(2^15,FIND(".",AA676,ROW(INDIRECT("1:"&amp;LEN(AA676)))))-1)</f>
        <v>NB_2022_047 - 12102022 - 1</v>
      </c>
      <c r="AC676" s="5" t="s">
        <v>833</v>
      </c>
      <c r="AD676" s="13" t="str">
        <f aca="true" t="array" ref="AD676:AD676">LEFT(AC676,LOOKUP(2^15,FIND(".",AC676,ROW(INDIRECT("1:"&amp;LEN(AC676)))))-1)</f>
        <v>NB_2022_047 - 12102022 - 2</v>
      </c>
      <c r="AE676" s="5" t="str">
        <f aca="false">CONCATENATE(AB676, "-",H676, ".mzML")</f>
        <v>NB_2022_047 - 12102022 - 1-223.mzML</v>
      </c>
      <c r="AF676" s="5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3" t="s">
        <v>1052</v>
      </c>
      <c r="B677" s="4"/>
      <c r="C677" s="3" t="s">
        <v>1053</v>
      </c>
      <c r="D677" s="5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5" t="s">
        <v>166</v>
      </c>
      <c r="K677" s="28" t="s">
        <v>1191</v>
      </c>
      <c r="L677" s="5" t="s">
        <v>69</v>
      </c>
      <c r="M677" s="1" t="s">
        <v>46</v>
      </c>
      <c r="N677" s="5" t="s">
        <v>404</v>
      </c>
      <c r="O677" s="5" t="s">
        <v>42</v>
      </c>
      <c r="P677" s="5" t="s">
        <v>1056</v>
      </c>
      <c r="Q677" s="5" t="s">
        <v>46</v>
      </c>
      <c r="R677" s="5" t="s">
        <v>44</v>
      </c>
      <c r="S677" s="5" t="s">
        <v>46</v>
      </c>
      <c r="T677" s="5" t="s">
        <v>419</v>
      </c>
      <c r="U677" s="5" t="s">
        <v>46</v>
      </c>
      <c r="V677" s="5" t="n">
        <v>1</v>
      </c>
      <c r="W677" s="5" t="s">
        <v>773</v>
      </c>
      <c r="X677" s="5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3" t="s">
        <v>1052</v>
      </c>
      <c r="B678" s="4"/>
      <c r="C678" s="3" t="s">
        <v>1053</v>
      </c>
      <c r="D678" s="5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5" t="s">
        <v>1196</v>
      </c>
      <c r="L678" s="5" t="s">
        <v>69</v>
      </c>
      <c r="M678" s="1" t="s">
        <v>46</v>
      </c>
      <c r="N678" s="5" t="s">
        <v>404</v>
      </c>
      <c r="O678" s="5" t="s">
        <v>42</v>
      </c>
      <c r="P678" s="5" t="s">
        <v>1056</v>
      </c>
      <c r="Q678" s="5" t="s">
        <v>46</v>
      </c>
      <c r="R678" s="5" t="s">
        <v>44</v>
      </c>
      <c r="S678" s="5" t="s">
        <v>46</v>
      </c>
      <c r="T678" s="5" t="s">
        <v>406</v>
      </c>
      <c r="U678" s="5" t="s">
        <v>46</v>
      </c>
      <c r="V678" s="5" t="n">
        <v>1</v>
      </c>
      <c r="W678" s="1" t="s">
        <v>840</v>
      </c>
      <c r="X678" s="5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3" t="s">
        <v>1052</v>
      </c>
      <c r="B679" s="4"/>
      <c r="C679" s="3" t="s">
        <v>1053</v>
      </c>
      <c r="D679" s="5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5" t="s">
        <v>1201</v>
      </c>
      <c r="L679" s="5" t="s">
        <v>69</v>
      </c>
      <c r="M679" s="1" t="s">
        <v>46</v>
      </c>
      <c r="N679" s="5" t="s">
        <v>404</v>
      </c>
      <c r="O679" s="5" t="s">
        <v>42</v>
      </c>
      <c r="P679" s="5" t="s">
        <v>1056</v>
      </c>
      <c r="Q679" s="5" t="s">
        <v>46</v>
      </c>
      <c r="R679" s="5" t="s">
        <v>72</v>
      </c>
      <c r="S679" s="5" t="s">
        <v>46</v>
      </c>
      <c r="T679" s="5" t="s">
        <v>406</v>
      </c>
      <c r="U679" s="5" t="s">
        <v>46</v>
      </c>
      <c r="V679" s="5" t="n">
        <v>1</v>
      </c>
      <c r="W679" s="1" t="s">
        <v>852</v>
      </c>
      <c r="X679" s="5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3" t="s">
        <v>1052</v>
      </c>
      <c r="B680" s="4"/>
      <c r="C680" s="3" t="s">
        <v>1053</v>
      </c>
      <c r="D680" s="5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1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5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5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3" t="s">
        <v>1052</v>
      </c>
      <c r="B681" s="4"/>
      <c r="C681" s="3" t="s">
        <v>1053</v>
      </c>
      <c r="D681" s="5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1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5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5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3" t="s">
        <v>1052</v>
      </c>
      <c r="B682" s="4"/>
      <c r="C682" s="3" t="s">
        <v>1053</v>
      </c>
      <c r="D682" s="5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1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5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5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3" t="s">
        <v>1052</v>
      </c>
      <c r="B683" s="4"/>
      <c r="C683" s="3" t="s">
        <v>1053</v>
      </c>
      <c r="D683" s="5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1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5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5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3" t="s">
        <v>1052</v>
      </c>
      <c r="B684" s="4"/>
      <c r="C684" s="3" t="s">
        <v>1053</v>
      </c>
      <c r="D684" s="5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1" t="s">
        <v>46</v>
      </c>
      <c r="N684" s="5" t="s">
        <v>465</v>
      </c>
      <c r="O684" s="1" t="s">
        <v>81</v>
      </c>
      <c r="P684" s="1" t="s">
        <v>81</v>
      </c>
      <c r="Q684" s="1" t="s">
        <v>81</v>
      </c>
      <c r="R684" s="5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5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3" t="s">
        <v>1052</v>
      </c>
      <c r="B685" s="4"/>
      <c r="C685" s="3" t="s">
        <v>1053</v>
      </c>
      <c r="D685" s="5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1" t="s">
        <v>46</v>
      </c>
      <c r="N685" s="5" t="s">
        <v>465</v>
      </c>
      <c r="O685" s="1" t="s">
        <v>81</v>
      </c>
      <c r="P685" s="1" t="s">
        <v>81</v>
      </c>
      <c r="Q685" s="1" t="s">
        <v>81</v>
      </c>
      <c r="R685" s="5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5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3" t="s">
        <v>1052</v>
      </c>
      <c r="B686" s="4"/>
      <c r="C686" s="3" t="s">
        <v>1053</v>
      </c>
      <c r="D686" s="5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1" t="s">
        <v>46</v>
      </c>
      <c r="N686" s="5" t="s">
        <v>465</v>
      </c>
      <c r="O686" s="1" t="s">
        <v>81</v>
      </c>
      <c r="P686" s="1" t="s">
        <v>81</v>
      </c>
      <c r="Q686" s="1" t="s">
        <v>81</v>
      </c>
      <c r="R686" s="5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5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3" t="s">
        <v>1052</v>
      </c>
      <c r="B687" s="4"/>
      <c r="C687" s="3" t="s">
        <v>1053</v>
      </c>
      <c r="D687" s="5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1" t="s">
        <v>46</v>
      </c>
      <c r="N687" s="5" t="s">
        <v>465</v>
      </c>
      <c r="O687" s="1" t="s">
        <v>81</v>
      </c>
      <c r="P687" s="1" t="s">
        <v>81</v>
      </c>
      <c r="Q687" s="1" t="s">
        <v>81</v>
      </c>
      <c r="R687" s="5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5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3" t="s">
        <v>1052</v>
      </c>
      <c r="B688" s="4"/>
      <c r="C688" s="3" t="s">
        <v>1053</v>
      </c>
      <c r="D688" s="5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1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5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5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3" t="s">
        <v>1052</v>
      </c>
      <c r="B689" s="4"/>
      <c r="C689" s="3" t="s">
        <v>1053</v>
      </c>
      <c r="D689" s="5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1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5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5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3" t="s">
        <v>1052</v>
      </c>
      <c r="B690" s="4"/>
      <c r="C690" s="3" t="s">
        <v>1053</v>
      </c>
      <c r="D690" s="5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1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5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5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3" t="s">
        <v>1052</v>
      </c>
      <c r="B691" s="4"/>
      <c r="C691" s="3" t="s">
        <v>1053</v>
      </c>
      <c r="D691" s="5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1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5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5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0" t="s">
        <v>1204</v>
      </c>
      <c r="B692" s="31"/>
      <c r="C692" s="3" t="s">
        <v>1205</v>
      </c>
      <c r="D692" s="5" t="s">
        <v>15</v>
      </c>
      <c r="E692" s="5" t="s">
        <v>399</v>
      </c>
      <c r="F692" s="6" t="s">
        <v>400</v>
      </c>
      <c r="G692" s="5" t="s">
        <v>401</v>
      </c>
      <c r="H692" s="14" t="s">
        <v>142</v>
      </c>
      <c r="I692" s="5" t="str">
        <f aca="false">CONCATENATE(E692, "_",H692)</f>
        <v>NLA_2022_014_008</v>
      </c>
      <c r="J692" s="1" t="s">
        <v>166</v>
      </c>
      <c r="K692" s="5" t="s">
        <v>417</v>
      </c>
      <c r="L692" s="5" t="s">
        <v>69</v>
      </c>
      <c r="M692" s="1" t="s">
        <v>46</v>
      </c>
      <c r="N692" s="5" t="s">
        <v>404</v>
      </c>
      <c r="O692" s="5" t="s">
        <v>418</v>
      </c>
      <c r="P692" s="5" t="s">
        <v>405</v>
      </c>
      <c r="Q692" s="5" t="s">
        <v>46</v>
      </c>
      <c r="R692" s="5" t="s">
        <v>72</v>
      </c>
      <c r="S692" s="5" t="s">
        <v>46</v>
      </c>
      <c r="T692" s="5" t="s">
        <v>419</v>
      </c>
      <c r="U692" s="5" t="s">
        <v>46</v>
      </c>
      <c r="V692" s="5" t="n">
        <v>1</v>
      </c>
      <c r="W692" s="1" t="s">
        <v>420</v>
      </c>
      <c r="X692" s="5" t="s">
        <v>408</v>
      </c>
      <c r="Y692" s="5" t="n">
        <v>5500</v>
      </c>
      <c r="Z692" s="5" t="s">
        <v>409</v>
      </c>
      <c r="AA692" s="5" t="s">
        <v>410</v>
      </c>
      <c r="AB692" s="13" t="str">
        <f aca="true" t="array" ref="AB692:AB692">LEFT(AA692,LOOKUP(2^15,FIND(".",AA692,ROW(INDIRECT("1:"&amp;LEN(AA692)))))-1)</f>
        <v>NB_2022_047 - 04102022 - 1</v>
      </c>
      <c r="AC692" s="5" t="s">
        <v>412</v>
      </c>
      <c r="AD692" s="13" t="str">
        <f aca="true" t="array" ref="AD692:AD692">LEFT(AC692,LOOKUP(2^15,FIND(".",AC692,ROW(INDIRECT("1:"&amp;LEN(AC692)))))-1)</f>
        <v>NB_2022_047 - 04102022 - 2</v>
      </c>
      <c r="AE692" s="5" t="str">
        <f aca="false">CONCATENATE(AB692, "-",H692, ".mzML")</f>
        <v>NB_2022_047 - 04102022 - 1-008.mzML</v>
      </c>
      <c r="AF692" s="5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0" t="s">
        <v>1204</v>
      </c>
      <c r="B693" s="31"/>
      <c r="C693" s="3" t="s">
        <v>1205</v>
      </c>
      <c r="D693" s="5" t="s">
        <v>15</v>
      </c>
      <c r="E693" s="5" t="s">
        <v>399</v>
      </c>
      <c r="F693" s="6" t="s">
        <v>400</v>
      </c>
      <c r="G693" s="5" t="s">
        <v>401</v>
      </c>
      <c r="H693" s="14" t="s">
        <v>56</v>
      </c>
      <c r="I693" s="5" t="str">
        <f aca="false">CONCATENATE(E693, "_",H693)</f>
        <v>NLA_2022_014_013</v>
      </c>
      <c r="J693" s="5" t="s">
        <v>166</v>
      </c>
      <c r="K693" s="28" t="s">
        <v>1055</v>
      </c>
      <c r="L693" s="5" t="s">
        <v>69</v>
      </c>
      <c r="M693" s="1" t="s">
        <v>46</v>
      </c>
      <c r="N693" s="5" t="s">
        <v>404</v>
      </c>
      <c r="O693" s="5" t="s">
        <v>42</v>
      </c>
      <c r="P693" s="5" t="s">
        <v>1056</v>
      </c>
      <c r="Q693" s="5" t="s">
        <v>46</v>
      </c>
      <c r="R693" s="5" t="s">
        <v>44</v>
      </c>
      <c r="S693" s="5" t="s">
        <v>46</v>
      </c>
      <c r="T693" s="5" t="s">
        <v>419</v>
      </c>
      <c r="U693" s="5" t="s">
        <v>46</v>
      </c>
      <c r="V693" s="5" t="n">
        <v>1</v>
      </c>
      <c r="W693" s="5" t="s">
        <v>420</v>
      </c>
      <c r="X693" s="5" t="s">
        <v>408</v>
      </c>
      <c r="Y693" s="1" t="n">
        <v>5500</v>
      </c>
      <c r="Z693" s="5" t="s">
        <v>409</v>
      </c>
      <c r="AA693" s="5" t="s">
        <v>410</v>
      </c>
      <c r="AB693" s="13" t="str">
        <f aca="true" t="array" ref="AB693:AB693">LEFT(AA693,LOOKUP(2^15,FIND(".",AA693,ROW(INDIRECT("1:"&amp;LEN(AA693)))))-1)</f>
        <v>NB_2022_047 - 04102022 - 1</v>
      </c>
      <c r="AC693" s="5" t="s">
        <v>412</v>
      </c>
      <c r="AD693" s="13" t="str">
        <f aca="true" t="array" ref="AD693:AD693">LEFT(AC693,LOOKUP(2^15,FIND(".",AC693,ROW(INDIRECT("1:"&amp;LEN(AC693)))))-1)</f>
        <v>NB_2022_047 - 04102022 - 2</v>
      </c>
      <c r="AE693" s="5" t="str">
        <f aca="false">CONCATENATE(AB693, "-",H693, ".mzML")</f>
        <v>NB_2022_047 - 04102022 - 1-013.mzML</v>
      </c>
      <c r="AF693" s="5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0" t="s">
        <v>1204</v>
      </c>
      <c r="B694" s="31"/>
      <c r="C694" s="3" t="s">
        <v>1205</v>
      </c>
      <c r="D694" s="5" t="s">
        <v>15</v>
      </c>
      <c r="E694" s="5" t="s">
        <v>399</v>
      </c>
      <c r="F694" s="6" t="s">
        <v>400</v>
      </c>
      <c r="G694" s="5" t="s">
        <v>401</v>
      </c>
      <c r="H694" s="14" t="s">
        <v>58</v>
      </c>
      <c r="I694" s="5" t="str">
        <f aca="false">CONCATENATE(E694, "_",H694)</f>
        <v>NLA_2022_014_014</v>
      </c>
      <c r="J694" s="5" t="s">
        <v>166</v>
      </c>
      <c r="K694" s="28" t="s">
        <v>1060</v>
      </c>
      <c r="L694" s="5" t="s">
        <v>69</v>
      </c>
      <c r="M694" s="1" t="s">
        <v>46</v>
      </c>
      <c r="N694" s="5" t="s">
        <v>404</v>
      </c>
      <c r="O694" s="5" t="s">
        <v>42</v>
      </c>
      <c r="P694" s="5" t="s">
        <v>1056</v>
      </c>
      <c r="Q694" s="5" t="s">
        <v>46</v>
      </c>
      <c r="R694" s="5" t="s">
        <v>72</v>
      </c>
      <c r="S694" s="5" t="s">
        <v>46</v>
      </c>
      <c r="T694" s="5" t="s">
        <v>419</v>
      </c>
      <c r="U694" s="5" t="s">
        <v>46</v>
      </c>
      <c r="V694" s="5" t="n">
        <v>1</v>
      </c>
      <c r="W694" s="5" t="s">
        <v>431</v>
      </c>
      <c r="X694" s="5" t="s">
        <v>408</v>
      </c>
      <c r="Y694" s="1" t="n">
        <v>5500</v>
      </c>
      <c r="Z694" s="5" t="s">
        <v>409</v>
      </c>
      <c r="AA694" s="5" t="s">
        <v>410</v>
      </c>
      <c r="AB694" s="13" t="str">
        <f aca="true" t="array" ref="AB694:AB694">LEFT(AA694,LOOKUP(2^15,FIND(".",AA694,ROW(INDIRECT("1:"&amp;LEN(AA694)))))-1)</f>
        <v>NB_2022_047 - 04102022 - 1</v>
      </c>
      <c r="AC694" s="5" t="s">
        <v>412</v>
      </c>
      <c r="AD694" s="13" t="str">
        <f aca="true" t="array" ref="AD694:AD694">LEFT(AC694,LOOKUP(2^15,FIND(".",AC694,ROW(INDIRECT("1:"&amp;LEN(AC694)))))-1)</f>
        <v>NB_2022_047 - 04102022 - 2</v>
      </c>
      <c r="AE694" s="5" t="str">
        <f aca="false">CONCATENATE(AB694, "-",H694, ".mzML")</f>
        <v>NB_2022_047 - 04102022 - 1-014.mzML</v>
      </c>
      <c r="AF694" s="5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0" t="s">
        <v>1204</v>
      </c>
      <c r="B695" s="31"/>
      <c r="C695" s="3" t="s">
        <v>1205</v>
      </c>
      <c r="D695" s="5" t="s">
        <v>15</v>
      </c>
      <c r="E695" s="5" t="s">
        <v>399</v>
      </c>
      <c r="F695" s="6" t="s">
        <v>400</v>
      </c>
      <c r="G695" s="5" t="s">
        <v>401</v>
      </c>
      <c r="H695" s="14" t="s">
        <v>172</v>
      </c>
      <c r="I695" s="5" t="str">
        <f aca="false">CONCATENATE(E695, "_",H695)</f>
        <v>NLA_2022_014_015</v>
      </c>
      <c r="J695" s="1" t="s">
        <v>166</v>
      </c>
      <c r="K695" s="5" t="s">
        <v>429</v>
      </c>
      <c r="L695" s="5" t="s">
        <v>69</v>
      </c>
      <c r="M695" s="1" t="s">
        <v>46</v>
      </c>
      <c r="N695" s="5" t="s">
        <v>404</v>
      </c>
      <c r="O695" s="5" t="s">
        <v>430</v>
      </c>
      <c r="P695" s="5" t="s">
        <v>405</v>
      </c>
      <c r="Q695" s="5" t="s">
        <v>46</v>
      </c>
      <c r="R695" s="5" t="s">
        <v>44</v>
      </c>
      <c r="S695" s="5" t="s">
        <v>46</v>
      </c>
      <c r="T695" s="5" t="s">
        <v>419</v>
      </c>
      <c r="U695" s="5" t="s">
        <v>46</v>
      </c>
      <c r="V695" s="5" t="n">
        <v>1</v>
      </c>
      <c r="W695" s="1" t="s">
        <v>431</v>
      </c>
      <c r="X695" s="5" t="s">
        <v>408</v>
      </c>
      <c r="Y695" s="5" t="n">
        <v>5500</v>
      </c>
      <c r="Z695" s="5" t="s">
        <v>409</v>
      </c>
      <c r="AA695" s="5" t="s">
        <v>410</v>
      </c>
      <c r="AB695" s="13" t="str">
        <f aca="true" t="array" ref="AB695:AB695">LEFT(AA695,LOOKUP(2^15,FIND(".",AA695,ROW(INDIRECT("1:"&amp;LEN(AA695)))))-1)</f>
        <v>NB_2022_047 - 04102022 - 1</v>
      </c>
      <c r="AC695" s="5" t="s">
        <v>412</v>
      </c>
      <c r="AD695" s="13" t="str">
        <f aca="true" t="array" ref="AD695:AD695">LEFT(AC695,LOOKUP(2^15,FIND(".",AC695,ROW(INDIRECT("1:"&amp;LEN(AC695)))))-1)</f>
        <v>NB_2022_047 - 04102022 - 2</v>
      </c>
      <c r="AE695" s="5" t="str">
        <f aca="false">CONCATENATE(AB695, "-",H695, ".mzML")</f>
        <v>NB_2022_047 - 04102022 - 1-015.mzML</v>
      </c>
      <c r="AF695" s="5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0" t="s">
        <v>1204</v>
      </c>
      <c r="B696" s="31"/>
      <c r="C696" s="3" t="s">
        <v>1205</v>
      </c>
      <c r="D696" s="5" t="s">
        <v>15</v>
      </c>
      <c r="E696" s="5" t="s">
        <v>399</v>
      </c>
      <c r="F696" s="6" t="s">
        <v>400</v>
      </c>
      <c r="G696" s="5" t="s">
        <v>401</v>
      </c>
      <c r="H696" s="14" t="s">
        <v>288</v>
      </c>
      <c r="I696" s="5" t="str">
        <f aca="false">CONCATENATE(E696, "_",H696)</f>
        <v>NLA_2022_014_022</v>
      </c>
      <c r="J696" s="1" t="s">
        <v>166</v>
      </c>
      <c r="K696" s="5" t="s">
        <v>435</v>
      </c>
      <c r="L696" s="5" t="s">
        <v>69</v>
      </c>
      <c r="M696" s="1" t="s">
        <v>46</v>
      </c>
      <c r="N696" s="5" t="s">
        <v>404</v>
      </c>
      <c r="O696" s="5" t="s">
        <v>418</v>
      </c>
      <c r="P696" s="5" t="s">
        <v>405</v>
      </c>
      <c r="Q696" s="5" t="s">
        <v>46</v>
      </c>
      <c r="R696" s="5" t="s">
        <v>72</v>
      </c>
      <c r="S696" s="5" t="s">
        <v>46</v>
      </c>
      <c r="T696" s="5" t="s">
        <v>419</v>
      </c>
      <c r="U696" s="5" t="s">
        <v>46</v>
      </c>
      <c r="V696" s="5" t="n">
        <v>1</v>
      </c>
      <c r="W696" s="1" t="s">
        <v>436</v>
      </c>
      <c r="X696" s="5" t="s">
        <v>408</v>
      </c>
      <c r="Y696" s="5" t="n">
        <v>5500</v>
      </c>
      <c r="Z696" s="5" t="s">
        <v>409</v>
      </c>
      <c r="AA696" s="5" t="s">
        <v>410</v>
      </c>
      <c r="AB696" s="13" t="str">
        <f aca="true" t="array" ref="AB696:AB696">LEFT(AA696,LOOKUP(2^15,FIND(".",AA696,ROW(INDIRECT("1:"&amp;LEN(AA696)))))-1)</f>
        <v>NB_2022_047 - 04102022 - 1</v>
      </c>
      <c r="AC696" s="5" t="s">
        <v>412</v>
      </c>
      <c r="AD696" s="13" t="str">
        <f aca="true" t="array" ref="AD696:AD696">LEFT(AC696,LOOKUP(2^15,FIND(".",AC696,ROW(INDIRECT("1:"&amp;LEN(AC696)))))-1)</f>
        <v>NB_2022_047 - 04102022 - 2</v>
      </c>
      <c r="AE696" s="5" t="str">
        <f aca="false">CONCATENATE(AB696, "-",H696, ".mzML")</f>
        <v>NB_2022_047 - 04102022 - 1-022.mzML</v>
      </c>
      <c r="AF696" s="5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0" t="s">
        <v>1204</v>
      </c>
      <c r="B697" s="31"/>
      <c r="C697" s="3" t="s">
        <v>1205</v>
      </c>
      <c r="D697" s="5" t="s">
        <v>15</v>
      </c>
      <c r="E697" s="5" t="s">
        <v>399</v>
      </c>
      <c r="F697" s="6" t="s">
        <v>400</v>
      </c>
      <c r="G697" s="5" t="s">
        <v>401</v>
      </c>
      <c r="H697" s="14" t="s">
        <v>237</v>
      </c>
      <c r="I697" s="5" t="str">
        <f aca="false">CONCATENATE(E697, "_",H697)</f>
        <v>NLA_2022_014_024</v>
      </c>
      <c r="J697" s="1" t="s">
        <v>166</v>
      </c>
      <c r="K697" s="5" t="s">
        <v>913</v>
      </c>
      <c r="L697" s="5" t="s">
        <v>69</v>
      </c>
      <c r="M697" s="1" t="s">
        <v>46</v>
      </c>
      <c r="N697" s="5" t="s">
        <v>404</v>
      </c>
      <c r="O697" s="5" t="s">
        <v>42</v>
      </c>
      <c r="P697" s="5" t="s">
        <v>901</v>
      </c>
      <c r="Q697" s="5" t="s">
        <v>46</v>
      </c>
      <c r="R697" s="5" t="s">
        <v>72</v>
      </c>
      <c r="S697" s="5" t="s">
        <v>46</v>
      </c>
      <c r="T697" s="5" t="s">
        <v>419</v>
      </c>
      <c r="U697" s="5" t="s">
        <v>46</v>
      </c>
      <c r="V697" s="5" t="n">
        <v>1</v>
      </c>
      <c r="W697" s="1" t="s">
        <v>420</v>
      </c>
      <c r="X697" s="5" t="s">
        <v>408</v>
      </c>
      <c r="Y697" s="5" t="n">
        <v>5500</v>
      </c>
      <c r="Z697" s="5" t="s">
        <v>409</v>
      </c>
      <c r="AA697" s="5" t="s">
        <v>410</v>
      </c>
      <c r="AB697" s="13" t="str">
        <f aca="true" t="array" ref="AB697:AB697">LEFT(AA697,LOOKUP(2^15,FIND(".",AA697,ROW(INDIRECT("1:"&amp;LEN(AA697)))))-1)</f>
        <v>NB_2022_047 - 04102022 - 1</v>
      </c>
      <c r="AC697" s="5" t="s">
        <v>412</v>
      </c>
      <c r="AD697" s="13" t="str">
        <f aca="true" t="array" ref="AD697:AD697">LEFT(AC697,LOOKUP(2^15,FIND(".",AC697,ROW(INDIRECT("1:"&amp;LEN(AC697)))))-1)</f>
        <v>NB_2022_047 - 04102022 - 2</v>
      </c>
      <c r="AE697" s="5" t="str">
        <f aca="false">CONCATENATE(AB697, "-",H697, ".mzML")</f>
        <v>NB_2022_047 - 04102022 - 1-024.mzML</v>
      </c>
      <c r="AF697" s="5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0" t="s">
        <v>1204</v>
      </c>
      <c r="B698" s="31"/>
      <c r="C698" s="3" t="s">
        <v>1205</v>
      </c>
      <c r="D698" s="5" t="s">
        <v>15</v>
      </c>
      <c r="E698" s="5" t="s">
        <v>399</v>
      </c>
      <c r="F698" s="6" t="s">
        <v>400</v>
      </c>
      <c r="G698" s="5" t="s">
        <v>401</v>
      </c>
      <c r="H698" s="14" t="s">
        <v>439</v>
      </c>
      <c r="I698" s="5" t="str">
        <f aca="false">CONCATENATE(E698, "_",H698)</f>
        <v>NLA_2022_014_029</v>
      </c>
      <c r="J698" s="1" t="s">
        <v>166</v>
      </c>
      <c r="K698" s="5" t="s">
        <v>441</v>
      </c>
      <c r="L698" s="5" t="s">
        <v>69</v>
      </c>
      <c r="M698" s="1" t="s">
        <v>46</v>
      </c>
      <c r="N698" s="5" t="s">
        <v>404</v>
      </c>
      <c r="O698" s="5" t="s">
        <v>42</v>
      </c>
      <c r="P698" s="5" t="s">
        <v>405</v>
      </c>
      <c r="Q698" s="5" t="s">
        <v>46</v>
      </c>
      <c r="R698" s="5" t="s">
        <v>72</v>
      </c>
      <c r="S698" s="5" t="s">
        <v>46</v>
      </c>
      <c r="T698" s="5" t="s">
        <v>419</v>
      </c>
      <c r="U698" s="5" t="s">
        <v>46</v>
      </c>
      <c r="V698" s="5" t="n">
        <v>1</v>
      </c>
      <c r="W698" s="1" t="s">
        <v>442</v>
      </c>
      <c r="X698" s="5" t="s">
        <v>408</v>
      </c>
      <c r="Y698" s="5" t="n">
        <v>5500</v>
      </c>
      <c r="Z698" s="5" t="s">
        <v>409</v>
      </c>
      <c r="AA698" s="5" t="s">
        <v>410</v>
      </c>
      <c r="AB698" s="13" t="str">
        <f aca="true" t="array" ref="AB698:AB698">LEFT(AA698,LOOKUP(2^15,FIND(".",AA698,ROW(INDIRECT("1:"&amp;LEN(AA698)))))-1)</f>
        <v>NB_2022_047 - 04102022 - 1</v>
      </c>
      <c r="AC698" s="5" t="s">
        <v>412</v>
      </c>
      <c r="AD698" s="13" t="str">
        <f aca="true" t="array" ref="AD698:AD698">LEFT(AC698,LOOKUP(2^15,FIND(".",AC698,ROW(INDIRECT("1:"&amp;LEN(AC698)))))-1)</f>
        <v>NB_2022_047 - 04102022 - 2</v>
      </c>
      <c r="AE698" s="5" t="str">
        <f aca="false">CONCATENATE(AB698, "-",H698, ".mzML")</f>
        <v>NB_2022_047 - 04102022 - 1-029.mzML</v>
      </c>
      <c r="AF698" s="5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0" t="s">
        <v>1204</v>
      </c>
      <c r="B699" s="31"/>
      <c r="C699" s="3" t="s">
        <v>1205</v>
      </c>
      <c r="D699" s="5" t="s">
        <v>15</v>
      </c>
      <c r="E699" s="5" t="s">
        <v>399</v>
      </c>
      <c r="F699" s="6" t="s">
        <v>400</v>
      </c>
      <c r="G699" s="5" t="s">
        <v>401</v>
      </c>
      <c r="H699" s="14" t="s">
        <v>385</v>
      </c>
      <c r="I699" s="5" t="str">
        <f aca="false">CONCATENATE(E699, "_",H699)</f>
        <v>NLA_2022_014_030</v>
      </c>
      <c r="J699" s="1" t="s">
        <v>166</v>
      </c>
      <c r="K699" s="5" t="s">
        <v>917</v>
      </c>
      <c r="L699" s="5" t="s">
        <v>69</v>
      </c>
      <c r="M699" s="1" t="s">
        <v>46</v>
      </c>
      <c r="N699" s="5" t="s">
        <v>404</v>
      </c>
      <c r="O699" s="5" t="s">
        <v>418</v>
      </c>
      <c r="P699" s="5" t="s">
        <v>901</v>
      </c>
      <c r="Q699" s="5" t="s">
        <v>46</v>
      </c>
      <c r="R699" s="5" t="s">
        <v>72</v>
      </c>
      <c r="S699" s="5" t="s">
        <v>46</v>
      </c>
      <c r="T699" s="5" t="s">
        <v>419</v>
      </c>
      <c r="U699" s="5" t="s">
        <v>46</v>
      </c>
      <c r="V699" s="5" t="n">
        <v>1</v>
      </c>
      <c r="W699" s="1" t="s">
        <v>431</v>
      </c>
      <c r="X699" s="5" t="s">
        <v>408</v>
      </c>
      <c r="Y699" s="5" t="n">
        <v>5500</v>
      </c>
      <c r="Z699" s="5" t="s">
        <v>409</v>
      </c>
      <c r="AA699" s="5" t="s">
        <v>410</v>
      </c>
      <c r="AB699" s="13" t="str">
        <f aca="true" t="array" ref="AB699:AB699">LEFT(AA699,LOOKUP(2^15,FIND(".",AA699,ROW(INDIRECT("1:"&amp;LEN(AA699)))))-1)</f>
        <v>NB_2022_047 - 04102022 - 1</v>
      </c>
      <c r="AC699" s="5" t="s">
        <v>412</v>
      </c>
      <c r="AD699" s="13" t="str">
        <f aca="true" t="array" ref="AD699:AD699">LEFT(AC699,LOOKUP(2^15,FIND(".",AC699,ROW(INDIRECT("1:"&amp;LEN(AC699)))))-1)</f>
        <v>NB_2022_047 - 04102022 - 2</v>
      </c>
      <c r="AE699" s="5" t="str">
        <f aca="false">CONCATENATE(AB699, "-",H699, ".mzML")</f>
        <v>NB_2022_047 - 04102022 - 1-030.mzML</v>
      </c>
      <c r="AF699" s="5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0" t="s">
        <v>1204</v>
      </c>
      <c r="B700" s="31"/>
      <c r="C700" s="3" t="s">
        <v>1205</v>
      </c>
      <c r="D700" s="5" t="s">
        <v>15</v>
      </c>
      <c r="E700" s="5" t="s">
        <v>399</v>
      </c>
      <c r="F700" s="6" t="s">
        <v>400</v>
      </c>
      <c r="G700" s="5" t="s">
        <v>401</v>
      </c>
      <c r="H700" s="14" t="s">
        <v>1063</v>
      </c>
      <c r="I700" s="5" t="str">
        <f aca="false">CONCATENATE(E700, "_",H700)</f>
        <v>NLA_2022_014_033</v>
      </c>
      <c r="J700" s="5" t="s">
        <v>166</v>
      </c>
      <c r="K700" s="28" t="s">
        <v>1065</v>
      </c>
      <c r="L700" s="5" t="s">
        <v>69</v>
      </c>
      <c r="M700" s="1" t="s">
        <v>46</v>
      </c>
      <c r="N700" s="5" t="s">
        <v>404</v>
      </c>
      <c r="O700" s="5" t="s">
        <v>418</v>
      </c>
      <c r="P700" s="5" t="s">
        <v>1056</v>
      </c>
      <c r="Q700" s="5" t="s">
        <v>46</v>
      </c>
      <c r="R700" s="5" t="s">
        <v>72</v>
      </c>
      <c r="S700" s="5" t="s">
        <v>46</v>
      </c>
      <c r="T700" s="5" t="s">
        <v>419</v>
      </c>
      <c r="U700" s="5" t="s">
        <v>46</v>
      </c>
      <c r="V700" s="5" t="n">
        <v>1</v>
      </c>
      <c r="W700" s="5" t="s">
        <v>436</v>
      </c>
      <c r="X700" s="5" t="s">
        <v>408</v>
      </c>
      <c r="Y700" s="1" t="n">
        <v>5500</v>
      </c>
      <c r="Z700" s="5" t="s">
        <v>409</v>
      </c>
      <c r="AA700" s="5" t="s">
        <v>410</v>
      </c>
      <c r="AB700" s="13" t="str">
        <f aca="true" t="array" ref="AB700:AB700">LEFT(AA700,LOOKUP(2^15,FIND(".",AA700,ROW(INDIRECT("1:"&amp;LEN(AA700)))))-1)</f>
        <v>NB_2022_047 - 04102022 - 1</v>
      </c>
      <c r="AC700" s="5" t="s">
        <v>412</v>
      </c>
      <c r="AD700" s="13" t="str">
        <f aca="true" t="array" ref="AD700:AD700">LEFT(AC700,LOOKUP(2^15,FIND(".",AC700,ROW(INDIRECT("1:"&amp;LEN(AC700)))))-1)</f>
        <v>NB_2022_047 - 04102022 - 2</v>
      </c>
      <c r="AE700" s="5" t="str">
        <f aca="false">CONCATENATE(AB700, "-",H700, ".mzML")</f>
        <v>NB_2022_047 - 04102022 - 1-033.mzML</v>
      </c>
      <c r="AF700" s="5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0" t="s">
        <v>1204</v>
      </c>
      <c r="B701" s="31"/>
      <c r="C701" s="3" t="s">
        <v>1205</v>
      </c>
      <c r="D701" s="5" t="s">
        <v>15</v>
      </c>
      <c r="E701" s="5" t="s">
        <v>399</v>
      </c>
      <c r="F701" s="6" t="s">
        <v>400</v>
      </c>
      <c r="G701" s="5" t="s">
        <v>401</v>
      </c>
      <c r="H701" s="14" t="s">
        <v>920</v>
      </c>
      <c r="I701" s="5" t="str">
        <f aca="false">CONCATENATE(E701, "_",H701)</f>
        <v>NLA_2022_014_034</v>
      </c>
      <c r="J701" s="1" t="s">
        <v>166</v>
      </c>
      <c r="K701" s="5" t="s">
        <v>922</v>
      </c>
      <c r="L701" s="5" t="s">
        <v>69</v>
      </c>
      <c r="M701" s="1" t="s">
        <v>46</v>
      </c>
      <c r="N701" s="5" t="s">
        <v>404</v>
      </c>
      <c r="O701" s="5" t="s">
        <v>42</v>
      </c>
      <c r="P701" s="5" t="s">
        <v>901</v>
      </c>
      <c r="Q701" s="5" t="s">
        <v>46</v>
      </c>
      <c r="R701" s="5" t="s">
        <v>44</v>
      </c>
      <c r="S701" s="5" t="s">
        <v>46</v>
      </c>
      <c r="T701" s="5" t="s">
        <v>419</v>
      </c>
      <c r="U701" s="5" t="s">
        <v>46</v>
      </c>
      <c r="V701" s="5" t="n">
        <v>1</v>
      </c>
      <c r="W701" s="1" t="s">
        <v>436</v>
      </c>
      <c r="X701" s="5" t="s">
        <v>408</v>
      </c>
      <c r="Y701" s="5" t="n">
        <v>5500</v>
      </c>
      <c r="Z701" s="5" t="s">
        <v>409</v>
      </c>
      <c r="AA701" s="5" t="s">
        <v>410</v>
      </c>
      <c r="AB701" s="13" t="str">
        <f aca="true" t="array" ref="AB701:AB701">LEFT(AA701,LOOKUP(2^15,FIND(".",AA701,ROW(INDIRECT("1:"&amp;LEN(AA701)))))-1)</f>
        <v>NB_2022_047 - 04102022 - 1</v>
      </c>
      <c r="AC701" s="5" t="s">
        <v>412</v>
      </c>
      <c r="AD701" s="13" t="str">
        <f aca="true" t="array" ref="AD701:AD701">LEFT(AC701,LOOKUP(2^15,FIND(".",AC701,ROW(INDIRECT("1:"&amp;LEN(AC701)))))-1)</f>
        <v>NB_2022_047 - 04102022 - 2</v>
      </c>
      <c r="AE701" s="5" t="str">
        <f aca="false">CONCATENATE(AB701, "-",H701, ".mzML")</f>
        <v>NB_2022_047 - 04102022 - 1-034.mzML</v>
      </c>
      <c r="AF701" s="5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0" t="s">
        <v>1204</v>
      </c>
      <c r="B702" s="31"/>
      <c r="C702" s="3" t="s">
        <v>1205</v>
      </c>
      <c r="D702" s="5" t="s">
        <v>13</v>
      </c>
      <c r="E702" s="5" t="s">
        <v>399</v>
      </c>
      <c r="F702" s="5" t="s">
        <v>400</v>
      </c>
      <c r="G702" s="5" t="s">
        <v>399</v>
      </c>
      <c r="H702" s="6" t="s">
        <v>64</v>
      </c>
      <c r="I702" s="5" t="s">
        <v>451</v>
      </c>
      <c r="J702" s="1" t="s">
        <v>158</v>
      </c>
      <c r="K702" s="5" t="s">
        <v>64</v>
      </c>
      <c r="L702" s="5" t="s">
        <v>46</v>
      </c>
      <c r="M702" s="5" t="s">
        <v>46</v>
      </c>
      <c r="N702" s="5" t="s">
        <v>65</v>
      </c>
      <c r="O702" s="5" t="s">
        <v>46</v>
      </c>
      <c r="P702" s="5" t="s">
        <v>46</v>
      </c>
      <c r="Q702" s="5" t="s">
        <v>46</v>
      </c>
      <c r="R702" s="5" t="s">
        <v>46</v>
      </c>
      <c r="S702" s="5" t="s">
        <v>46</v>
      </c>
      <c r="T702" s="5" t="s">
        <v>46</v>
      </c>
      <c r="U702" s="5" t="s">
        <v>46</v>
      </c>
      <c r="V702" s="5" t="n">
        <v>1</v>
      </c>
      <c r="X702" s="5" t="s">
        <v>46</v>
      </c>
      <c r="Y702" s="5" t="n">
        <v>5500</v>
      </c>
      <c r="Z702" s="5" t="s">
        <v>409</v>
      </c>
      <c r="AA702" s="5" t="s">
        <v>410</v>
      </c>
      <c r="AB702" s="1" t="s">
        <v>411</v>
      </c>
      <c r="AC702" s="5" t="s">
        <v>412</v>
      </c>
      <c r="AD702" s="1" t="s">
        <v>413</v>
      </c>
      <c r="AE702" s="5" t="s">
        <v>452</v>
      </c>
      <c r="AF702" s="5" t="s">
        <v>453</v>
      </c>
    </row>
    <row r="703" customFormat="false" ht="14.9" hidden="false" customHeight="false" outlineLevel="0" collapsed="false">
      <c r="A703" s="30" t="s">
        <v>1204</v>
      </c>
      <c r="B703" s="31"/>
      <c r="C703" s="3" t="s">
        <v>1205</v>
      </c>
      <c r="D703" s="5" t="s">
        <v>13</v>
      </c>
      <c r="E703" s="5" t="s">
        <v>399</v>
      </c>
      <c r="F703" s="5" t="s">
        <v>400</v>
      </c>
      <c r="G703" s="5" t="s">
        <v>399</v>
      </c>
      <c r="H703" s="6" t="s">
        <v>66</v>
      </c>
      <c r="I703" s="5" t="s">
        <v>454</v>
      </c>
      <c r="J703" s="1" t="s">
        <v>158</v>
      </c>
      <c r="K703" s="5" t="s">
        <v>66</v>
      </c>
      <c r="L703" s="5" t="s">
        <v>46</v>
      </c>
      <c r="M703" s="5" t="s">
        <v>46</v>
      </c>
      <c r="N703" s="5" t="s">
        <v>65</v>
      </c>
      <c r="O703" s="5" t="s">
        <v>46</v>
      </c>
      <c r="P703" s="5" t="s">
        <v>46</v>
      </c>
      <c r="Q703" s="5" t="s">
        <v>46</v>
      </c>
      <c r="R703" s="5" t="s">
        <v>46</v>
      </c>
      <c r="S703" s="5" t="s">
        <v>46</v>
      </c>
      <c r="T703" s="5" t="s">
        <v>46</v>
      </c>
      <c r="U703" s="5" t="s">
        <v>46</v>
      </c>
      <c r="V703" s="5" t="n">
        <v>2</v>
      </c>
      <c r="X703" s="5" t="s">
        <v>46</v>
      </c>
      <c r="Y703" s="5" t="n">
        <v>5500</v>
      </c>
      <c r="Z703" s="5" t="s">
        <v>409</v>
      </c>
      <c r="AA703" s="5" t="s">
        <v>410</v>
      </c>
      <c r="AB703" s="1" t="s">
        <v>411</v>
      </c>
      <c r="AC703" s="5" t="s">
        <v>412</v>
      </c>
      <c r="AD703" s="1" t="s">
        <v>413</v>
      </c>
      <c r="AE703" s="5" t="s">
        <v>455</v>
      </c>
      <c r="AF703" s="5" t="s">
        <v>456</v>
      </c>
    </row>
    <row r="704" customFormat="false" ht="14.9" hidden="false" customHeight="false" outlineLevel="0" collapsed="false">
      <c r="A704" s="30" t="s">
        <v>1204</v>
      </c>
      <c r="B704" s="31"/>
      <c r="C704" s="3" t="s">
        <v>1205</v>
      </c>
      <c r="D704" s="5" t="s">
        <v>13</v>
      </c>
      <c r="E704" s="5" t="s">
        <v>399</v>
      </c>
      <c r="F704" s="5" t="s">
        <v>400</v>
      </c>
      <c r="G704" s="5" t="s">
        <v>399</v>
      </c>
      <c r="H704" s="6" t="s">
        <v>67</v>
      </c>
      <c r="I704" s="5" t="s">
        <v>457</v>
      </c>
      <c r="J704" s="1" t="s">
        <v>158</v>
      </c>
      <c r="K704" s="5" t="s">
        <v>67</v>
      </c>
      <c r="L704" s="5" t="s">
        <v>46</v>
      </c>
      <c r="M704" s="5" t="s">
        <v>46</v>
      </c>
      <c r="N704" s="5" t="s">
        <v>65</v>
      </c>
      <c r="O704" s="5" t="s">
        <v>46</v>
      </c>
      <c r="P704" s="5" t="s">
        <v>46</v>
      </c>
      <c r="Q704" s="5" t="s">
        <v>46</v>
      </c>
      <c r="R704" s="5" t="s">
        <v>46</v>
      </c>
      <c r="S704" s="5" t="s">
        <v>46</v>
      </c>
      <c r="T704" s="5" t="s">
        <v>46</v>
      </c>
      <c r="U704" s="5" t="s">
        <v>46</v>
      </c>
      <c r="V704" s="5" t="n">
        <v>3</v>
      </c>
      <c r="X704" s="5" t="s">
        <v>46</v>
      </c>
      <c r="Y704" s="5" t="n">
        <v>5500</v>
      </c>
      <c r="Z704" s="5" t="s">
        <v>409</v>
      </c>
      <c r="AA704" s="5" t="s">
        <v>410</v>
      </c>
      <c r="AB704" s="1" t="s">
        <v>411</v>
      </c>
      <c r="AC704" s="5" t="s">
        <v>412</v>
      </c>
      <c r="AD704" s="1" t="s">
        <v>413</v>
      </c>
      <c r="AE704" s="5" t="s">
        <v>458</v>
      </c>
      <c r="AF704" s="5" t="s">
        <v>459</v>
      </c>
    </row>
    <row r="705" customFormat="false" ht="14.9" hidden="false" customHeight="false" outlineLevel="0" collapsed="false">
      <c r="A705" s="30" t="s">
        <v>1204</v>
      </c>
      <c r="B705" s="31"/>
      <c r="C705" s="3" t="s">
        <v>1205</v>
      </c>
      <c r="D705" s="5" t="s">
        <v>13</v>
      </c>
      <c r="E705" s="5" t="s">
        <v>399</v>
      </c>
      <c r="F705" s="5" t="s">
        <v>400</v>
      </c>
      <c r="G705" s="5" t="s">
        <v>399</v>
      </c>
      <c r="H705" s="6" t="s">
        <v>221</v>
      </c>
      <c r="I705" s="5" t="s">
        <v>460</v>
      </c>
      <c r="J705" s="1" t="s">
        <v>158</v>
      </c>
      <c r="K705" s="5" t="s">
        <v>221</v>
      </c>
      <c r="L705" s="5" t="s">
        <v>46</v>
      </c>
      <c r="M705" s="5" t="s">
        <v>46</v>
      </c>
      <c r="N705" s="5" t="s">
        <v>65</v>
      </c>
      <c r="O705" s="5" t="s">
        <v>46</v>
      </c>
      <c r="P705" s="5" t="s">
        <v>46</v>
      </c>
      <c r="Q705" s="5" t="s">
        <v>46</v>
      </c>
      <c r="R705" s="5" t="s">
        <v>46</v>
      </c>
      <c r="S705" s="5" t="s">
        <v>46</v>
      </c>
      <c r="T705" s="5" t="s">
        <v>46</v>
      </c>
      <c r="U705" s="5" t="s">
        <v>46</v>
      </c>
      <c r="V705" s="5" t="n">
        <v>4</v>
      </c>
      <c r="X705" s="5" t="s">
        <v>46</v>
      </c>
      <c r="Y705" s="5" t="n">
        <v>5500</v>
      </c>
      <c r="Z705" s="5" t="s">
        <v>409</v>
      </c>
      <c r="AA705" s="5" t="s">
        <v>410</v>
      </c>
      <c r="AB705" s="1" t="s">
        <v>411</v>
      </c>
      <c r="AC705" s="5" t="s">
        <v>412</v>
      </c>
      <c r="AD705" s="1" t="s">
        <v>413</v>
      </c>
      <c r="AE705" s="5" t="s">
        <v>461</v>
      </c>
      <c r="AF705" s="5" t="s">
        <v>462</v>
      </c>
    </row>
    <row r="706" customFormat="false" ht="14.9" hidden="false" customHeight="false" outlineLevel="0" collapsed="false">
      <c r="A706" s="30" t="s">
        <v>1204</v>
      </c>
      <c r="B706" s="31"/>
      <c r="C706" s="3" t="s">
        <v>1205</v>
      </c>
      <c r="D706" s="5" t="s">
        <v>13</v>
      </c>
      <c r="E706" s="5" t="s">
        <v>399</v>
      </c>
      <c r="F706" s="5" t="s">
        <v>400</v>
      </c>
      <c r="G706" s="5" t="s">
        <v>399</v>
      </c>
      <c r="H706" s="6" t="s">
        <v>463</v>
      </c>
      <c r="I706" s="5" t="s">
        <v>464</v>
      </c>
      <c r="J706" s="1" t="s">
        <v>158</v>
      </c>
      <c r="K706" s="5" t="s">
        <v>463</v>
      </c>
      <c r="L706" s="5" t="s">
        <v>69</v>
      </c>
      <c r="M706" s="1" t="s">
        <v>46</v>
      </c>
      <c r="N706" s="5" t="s">
        <v>465</v>
      </c>
      <c r="O706" s="5" t="s">
        <v>81</v>
      </c>
      <c r="P706" s="5" t="s">
        <v>81</v>
      </c>
      <c r="Q706" s="5" t="s">
        <v>81</v>
      </c>
      <c r="R706" s="5" t="s">
        <v>81</v>
      </c>
      <c r="S706" s="5" t="s">
        <v>46</v>
      </c>
      <c r="T706" s="5" t="s">
        <v>81</v>
      </c>
      <c r="U706" s="5" t="s">
        <v>46</v>
      </c>
      <c r="V706" s="5" t="n">
        <v>1</v>
      </c>
      <c r="X706" s="5" t="s">
        <v>408</v>
      </c>
      <c r="Y706" s="5" t="n">
        <v>5500</v>
      </c>
      <c r="Z706" s="5" t="s">
        <v>409</v>
      </c>
      <c r="AA706" s="5" t="s">
        <v>410</v>
      </c>
      <c r="AB706" s="1" t="s">
        <v>411</v>
      </c>
      <c r="AC706" s="5" t="s">
        <v>412</v>
      </c>
      <c r="AD706" s="1" t="s">
        <v>413</v>
      </c>
      <c r="AE706" s="5" t="s">
        <v>466</v>
      </c>
      <c r="AF706" s="5" t="s">
        <v>467</v>
      </c>
    </row>
    <row r="707" customFormat="false" ht="14.9" hidden="false" customHeight="false" outlineLevel="0" collapsed="false">
      <c r="A707" s="30" t="s">
        <v>1204</v>
      </c>
      <c r="B707" s="31"/>
      <c r="C707" s="3" t="s">
        <v>1205</v>
      </c>
      <c r="D707" s="5" t="s">
        <v>13</v>
      </c>
      <c r="E707" s="5" t="s">
        <v>399</v>
      </c>
      <c r="F707" s="5" t="s">
        <v>400</v>
      </c>
      <c r="G707" s="5" t="s">
        <v>399</v>
      </c>
      <c r="H707" s="6" t="s">
        <v>468</v>
      </c>
      <c r="I707" s="5" t="s">
        <v>469</v>
      </c>
      <c r="J707" s="1" t="s">
        <v>158</v>
      </c>
      <c r="K707" s="5" t="s">
        <v>468</v>
      </c>
      <c r="L707" s="5" t="s">
        <v>69</v>
      </c>
      <c r="M707" s="1" t="s">
        <v>46</v>
      </c>
      <c r="N707" s="5" t="s">
        <v>465</v>
      </c>
      <c r="O707" s="5" t="s">
        <v>81</v>
      </c>
      <c r="P707" s="5" t="s">
        <v>81</v>
      </c>
      <c r="Q707" s="5" t="s">
        <v>81</v>
      </c>
      <c r="R707" s="5" t="s">
        <v>81</v>
      </c>
      <c r="S707" s="5" t="s">
        <v>46</v>
      </c>
      <c r="T707" s="5" t="s">
        <v>81</v>
      </c>
      <c r="U707" s="5" t="s">
        <v>46</v>
      </c>
      <c r="V707" s="5" t="n">
        <v>2</v>
      </c>
      <c r="X707" s="5" t="s">
        <v>408</v>
      </c>
      <c r="Y707" s="5" t="n">
        <v>5500</v>
      </c>
      <c r="Z707" s="5" t="s">
        <v>409</v>
      </c>
      <c r="AA707" s="5" t="s">
        <v>410</v>
      </c>
      <c r="AB707" s="1" t="s">
        <v>411</v>
      </c>
      <c r="AC707" s="5" t="s">
        <v>412</v>
      </c>
      <c r="AD707" s="1" t="s">
        <v>413</v>
      </c>
      <c r="AE707" s="5" t="s">
        <v>470</v>
      </c>
      <c r="AF707" s="5" t="s">
        <v>471</v>
      </c>
    </row>
    <row r="708" customFormat="false" ht="14.9" hidden="false" customHeight="false" outlineLevel="0" collapsed="false">
      <c r="A708" s="30" t="s">
        <v>1204</v>
      </c>
      <c r="B708" s="31"/>
      <c r="C708" s="3" t="s">
        <v>1205</v>
      </c>
      <c r="D708" s="5" t="s">
        <v>13</v>
      </c>
      <c r="E708" s="5" t="s">
        <v>399</v>
      </c>
      <c r="F708" s="5" t="s">
        <v>400</v>
      </c>
      <c r="G708" s="5" t="s">
        <v>399</v>
      </c>
      <c r="H708" s="6" t="s">
        <v>472</v>
      </c>
      <c r="I708" s="5" t="s">
        <v>473</v>
      </c>
      <c r="J708" s="1" t="s">
        <v>158</v>
      </c>
      <c r="K708" s="5" t="s">
        <v>472</v>
      </c>
      <c r="L708" s="5" t="s">
        <v>69</v>
      </c>
      <c r="M708" s="1" t="s">
        <v>46</v>
      </c>
      <c r="N708" s="5" t="s">
        <v>465</v>
      </c>
      <c r="O708" s="5" t="s">
        <v>81</v>
      </c>
      <c r="P708" s="5" t="s">
        <v>81</v>
      </c>
      <c r="Q708" s="5" t="s">
        <v>81</v>
      </c>
      <c r="R708" s="5" t="s">
        <v>81</v>
      </c>
      <c r="S708" s="5" t="s">
        <v>46</v>
      </c>
      <c r="T708" s="5" t="s">
        <v>81</v>
      </c>
      <c r="U708" s="5" t="s">
        <v>46</v>
      </c>
      <c r="V708" s="5" t="n">
        <v>3</v>
      </c>
      <c r="X708" s="5" t="s">
        <v>408</v>
      </c>
      <c r="Y708" s="5" t="n">
        <v>5500</v>
      </c>
      <c r="Z708" s="5" t="s">
        <v>409</v>
      </c>
      <c r="AA708" s="5" t="s">
        <v>410</v>
      </c>
      <c r="AB708" s="1" t="s">
        <v>411</v>
      </c>
      <c r="AC708" s="5" t="s">
        <v>412</v>
      </c>
      <c r="AD708" s="1" t="s">
        <v>413</v>
      </c>
      <c r="AE708" s="5" t="s">
        <v>474</v>
      </c>
      <c r="AF708" s="5" t="s">
        <v>475</v>
      </c>
    </row>
    <row r="709" customFormat="false" ht="14.9" hidden="false" customHeight="false" outlineLevel="0" collapsed="false">
      <c r="A709" s="30" t="s">
        <v>1204</v>
      </c>
      <c r="B709" s="31"/>
      <c r="C709" s="3" t="s">
        <v>1205</v>
      </c>
      <c r="D709" s="5" t="s">
        <v>13</v>
      </c>
      <c r="E709" s="5" t="s">
        <v>399</v>
      </c>
      <c r="F709" s="5" t="s">
        <v>400</v>
      </c>
      <c r="G709" s="5" t="s">
        <v>399</v>
      </c>
      <c r="H709" s="6" t="s">
        <v>476</v>
      </c>
      <c r="I709" s="5" t="s">
        <v>477</v>
      </c>
      <c r="J709" s="1" t="s">
        <v>158</v>
      </c>
      <c r="K709" s="5" t="s">
        <v>476</v>
      </c>
      <c r="L709" s="5" t="s">
        <v>69</v>
      </c>
      <c r="M709" s="1" t="s">
        <v>46</v>
      </c>
      <c r="N709" s="5" t="s">
        <v>465</v>
      </c>
      <c r="O709" s="5" t="s">
        <v>81</v>
      </c>
      <c r="P709" s="5" t="s">
        <v>81</v>
      </c>
      <c r="Q709" s="5" t="s">
        <v>81</v>
      </c>
      <c r="R709" s="5" t="s">
        <v>81</v>
      </c>
      <c r="S709" s="5" t="s">
        <v>46</v>
      </c>
      <c r="T709" s="5" t="s">
        <v>81</v>
      </c>
      <c r="U709" s="5" t="s">
        <v>46</v>
      </c>
      <c r="V709" s="5" t="n">
        <v>4</v>
      </c>
      <c r="X709" s="5" t="s">
        <v>408</v>
      </c>
      <c r="Y709" s="5" t="n">
        <v>5500</v>
      </c>
      <c r="Z709" s="5" t="s">
        <v>409</v>
      </c>
      <c r="AA709" s="5" t="s">
        <v>410</v>
      </c>
      <c r="AB709" s="1" t="s">
        <v>411</v>
      </c>
      <c r="AC709" s="5" t="s">
        <v>412</v>
      </c>
      <c r="AD709" s="1" t="s">
        <v>413</v>
      </c>
      <c r="AE709" s="5" t="s">
        <v>478</v>
      </c>
      <c r="AF709" s="5" t="s">
        <v>479</v>
      </c>
    </row>
    <row r="710" customFormat="false" ht="14.9" hidden="false" customHeight="false" outlineLevel="0" collapsed="false">
      <c r="A710" s="30" t="s">
        <v>1204</v>
      </c>
      <c r="B710" s="31"/>
      <c r="C710" s="3" t="s">
        <v>1205</v>
      </c>
      <c r="D710" s="5" t="s">
        <v>13</v>
      </c>
      <c r="E710" s="5" t="s">
        <v>399</v>
      </c>
      <c r="F710" s="5" t="s">
        <v>400</v>
      </c>
      <c r="G710" s="5" t="s">
        <v>399</v>
      </c>
      <c r="H710" s="6" t="s">
        <v>348</v>
      </c>
      <c r="I710" s="5" t="s">
        <v>480</v>
      </c>
      <c r="J710" s="1" t="s">
        <v>158</v>
      </c>
      <c r="K710" s="5" t="s">
        <v>348</v>
      </c>
      <c r="L710" s="5" t="s">
        <v>69</v>
      </c>
      <c r="M710" s="1" t="s">
        <v>46</v>
      </c>
      <c r="N710" s="5" t="s">
        <v>70</v>
      </c>
      <c r="O710" s="5" t="s">
        <v>46</v>
      </c>
      <c r="P710" s="5" t="s">
        <v>71</v>
      </c>
      <c r="Q710" s="5" t="s">
        <v>71</v>
      </c>
      <c r="R710" s="5" t="s">
        <v>72</v>
      </c>
      <c r="S710" s="5" t="s">
        <v>73</v>
      </c>
      <c r="T710" s="5" t="s">
        <v>46</v>
      </c>
      <c r="U710" s="5" t="n">
        <v>1000</v>
      </c>
      <c r="V710" s="5" t="n">
        <v>1</v>
      </c>
      <c r="X710" s="5" t="s">
        <v>408</v>
      </c>
      <c r="Y710" s="5" t="n">
        <v>5500</v>
      </c>
      <c r="Z710" s="5" t="s">
        <v>409</v>
      </c>
      <c r="AA710" s="5" t="s">
        <v>410</v>
      </c>
      <c r="AB710" s="1" t="s">
        <v>411</v>
      </c>
      <c r="AC710" s="5" t="s">
        <v>412</v>
      </c>
      <c r="AD710" s="1" t="s">
        <v>413</v>
      </c>
      <c r="AE710" s="5" t="s">
        <v>481</v>
      </c>
      <c r="AF710" s="5" t="s">
        <v>482</v>
      </c>
    </row>
    <row r="711" customFormat="false" ht="14.9" hidden="false" customHeight="false" outlineLevel="0" collapsed="false">
      <c r="A711" s="30" t="s">
        <v>1204</v>
      </c>
      <c r="B711" s="31"/>
      <c r="C711" s="3" t="s">
        <v>1205</v>
      </c>
      <c r="D711" s="5" t="s">
        <v>13</v>
      </c>
      <c r="E711" s="5" t="s">
        <v>399</v>
      </c>
      <c r="F711" s="5" t="s">
        <v>400</v>
      </c>
      <c r="G711" s="5" t="s">
        <v>399</v>
      </c>
      <c r="H711" s="6" t="s">
        <v>349</v>
      </c>
      <c r="I711" s="5" t="s">
        <v>483</v>
      </c>
      <c r="J711" s="1" t="s">
        <v>158</v>
      </c>
      <c r="K711" s="5" t="s">
        <v>349</v>
      </c>
      <c r="L711" s="5" t="s">
        <v>69</v>
      </c>
      <c r="M711" s="1" t="s">
        <v>46</v>
      </c>
      <c r="N711" s="5" t="s">
        <v>70</v>
      </c>
      <c r="O711" s="5" t="s">
        <v>46</v>
      </c>
      <c r="P711" s="5" t="s">
        <v>71</v>
      </c>
      <c r="Q711" s="5" t="s">
        <v>71</v>
      </c>
      <c r="R711" s="5" t="s">
        <v>72</v>
      </c>
      <c r="S711" s="5" t="s">
        <v>73</v>
      </c>
      <c r="T711" s="5" t="s">
        <v>46</v>
      </c>
      <c r="U711" s="5" t="n">
        <v>1000</v>
      </c>
      <c r="V711" s="5" t="n">
        <v>2</v>
      </c>
      <c r="X711" s="5" t="s">
        <v>408</v>
      </c>
      <c r="Y711" s="5" t="n">
        <v>5500</v>
      </c>
      <c r="Z711" s="5" t="s">
        <v>409</v>
      </c>
      <c r="AA711" s="5" t="s">
        <v>410</v>
      </c>
      <c r="AB711" s="1" t="s">
        <v>411</v>
      </c>
      <c r="AC711" s="5" t="s">
        <v>412</v>
      </c>
      <c r="AD711" s="1" t="s">
        <v>413</v>
      </c>
      <c r="AE711" s="5" t="s">
        <v>484</v>
      </c>
      <c r="AF711" s="5" t="s">
        <v>485</v>
      </c>
    </row>
    <row r="712" customFormat="false" ht="14.9" hidden="false" customHeight="false" outlineLevel="0" collapsed="false">
      <c r="A712" s="30" t="s">
        <v>1204</v>
      </c>
      <c r="B712" s="31"/>
      <c r="C712" s="3" t="s">
        <v>1205</v>
      </c>
      <c r="D712" s="5" t="s">
        <v>13</v>
      </c>
      <c r="E712" s="5" t="s">
        <v>399</v>
      </c>
      <c r="F712" s="5" t="s">
        <v>400</v>
      </c>
      <c r="G712" s="5" t="s">
        <v>399</v>
      </c>
      <c r="H712" s="6" t="s">
        <v>350</v>
      </c>
      <c r="I712" s="5" t="s">
        <v>486</v>
      </c>
      <c r="J712" s="1" t="s">
        <v>158</v>
      </c>
      <c r="K712" s="5" t="s">
        <v>350</v>
      </c>
      <c r="L712" s="5" t="s">
        <v>69</v>
      </c>
      <c r="M712" s="1" t="s">
        <v>46</v>
      </c>
      <c r="N712" s="5" t="s">
        <v>70</v>
      </c>
      <c r="O712" s="5" t="s">
        <v>46</v>
      </c>
      <c r="P712" s="5" t="s">
        <v>71</v>
      </c>
      <c r="Q712" s="5" t="s">
        <v>71</v>
      </c>
      <c r="R712" s="5" t="s">
        <v>72</v>
      </c>
      <c r="S712" s="5" t="s">
        <v>73</v>
      </c>
      <c r="T712" s="5" t="s">
        <v>46</v>
      </c>
      <c r="U712" s="5" t="n">
        <v>1000</v>
      </c>
      <c r="V712" s="5" t="n">
        <v>3</v>
      </c>
      <c r="X712" s="5" t="s">
        <v>408</v>
      </c>
      <c r="Y712" s="5" t="n">
        <v>5500</v>
      </c>
      <c r="Z712" s="5" t="s">
        <v>409</v>
      </c>
      <c r="AA712" s="5" t="s">
        <v>410</v>
      </c>
      <c r="AB712" s="1" t="s">
        <v>411</v>
      </c>
      <c r="AC712" s="5" t="s">
        <v>412</v>
      </c>
      <c r="AD712" s="1" t="s">
        <v>413</v>
      </c>
      <c r="AE712" s="5" t="s">
        <v>487</v>
      </c>
      <c r="AF712" s="5" t="s">
        <v>488</v>
      </c>
    </row>
    <row r="713" customFormat="false" ht="14.9" hidden="false" customHeight="false" outlineLevel="0" collapsed="false">
      <c r="A713" s="30" t="s">
        <v>1204</v>
      </c>
      <c r="B713" s="31"/>
      <c r="C713" s="3" t="s">
        <v>1205</v>
      </c>
      <c r="D713" s="5" t="s">
        <v>13</v>
      </c>
      <c r="E713" s="5" t="s">
        <v>399</v>
      </c>
      <c r="F713" s="5" t="s">
        <v>400</v>
      </c>
      <c r="G713" s="5" t="s">
        <v>399</v>
      </c>
      <c r="H713" s="6" t="s">
        <v>351</v>
      </c>
      <c r="I713" s="5" t="s">
        <v>489</v>
      </c>
      <c r="J713" s="1" t="s">
        <v>158</v>
      </c>
      <c r="K713" s="5" t="s">
        <v>351</v>
      </c>
      <c r="L713" s="5" t="s">
        <v>69</v>
      </c>
      <c r="M713" s="1" t="s">
        <v>46</v>
      </c>
      <c r="N713" s="5" t="s">
        <v>70</v>
      </c>
      <c r="O713" s="5" t="s">
        <v>46</v>
      </c>
      <c r="P713" s="5" t="s">
        <v>71</v>
      </c>
      <c r="Q713" s="5" t="s">
        <v>71</v>
      </c>
      <c r="R713" s="5" t="s">
        <v>72</v>
      </c>
      <c r="S713" s="5" t="s">
        <v>73</v>
      </c>
      <c r="T713" s="5" t="s">
        <v>46</v>
      </c>
      <c r="U713" s="5" t="n">
        <v>1000</v>
      </c>
      <c r="V713" s="5" t="n">
        <v>4</v>
      </c>
      <c r="X713" s="5" t="s">
        <v>408</v>
      </c>
      <c r="Y713" s="5" t="n">
        <v>5500</v>
      </c>
      <c r="Z713" s="5" t="s">
        <v>409</v>
      </c>
      <c r="AA713" s="5" t="s">
        <v>410</v>
      </c>
      <c r="AB713" s="1" t="s">
        <v>411</v>
      </c>
      <c r="AC713" s="5" t="s">
        <v>412</v>
      </c>
      <c r="AD713" s="1" t="s">
        <v>413</v>
      </c>
      <c r="AE713" s="5" t="s">
        <v>490</v>
      </c>
      <c r="AF713" s="5" t="s">
        <v>491</v>
      </c>
    </row>
    <row r="714" customFormat="false" ht="15" hidden="false" customHeight="false" outlineLevel="0" collapsed="false">
      <c r="A714" s="30" t="s">
        <v>1204</v>
      </c>
      <c r="B714" s="31"/>
      <c r="C714" s="3" t="s">
        <v>1205</v>
      </c>
      <c r="D714" s="5" t="s">
        <v>15</v>
      </c>
      <c r="E714" s="5" t="s">
        <v>492</v>
      </c>
      <c r="F714" s="6" t="s">
        <v>493</v>
      </c>
      <c r="G714" s="5" t="s">
        <v>401</v>
      </c>
      <c r="H714" s="14" t="s">
        <v>940</v>
      </c>
      <c r="I714" s="5" t="str">
        <f aca="false">CONCATENATE(E714, "_",H714)</f>
        <v>NLA_2022_015_054</v>
      </c>
      <c r="J714" s="1" t="s">
        <v>166</v>
      </c>
      <c r="K714" s="5" t="s">
        <v>942</v>
      </c>
      <c r="L714" s="5" t="s">
        <v>69</v>
      </c>
      <c r="M714" s="1" t="s">
        <v>46</v>
      </c>
      <c r="N714" s="5" t="s">
        <v>404</v>
      </c>
      <c r="O714" s="5" t="s">
        <v>42</v>
      </c>
      <c r="P714" s="5" t="s">
        <v>901</v>
      </c>
      <c r="Q714" s="5" t="s">
        <v>46</v>
      </c>
      <c r="R714" s="5" t="s">
        <v>72</v>
      </c>
      <c r="S714" s="5" t="s">
        <v>46</v>
      </c>
      <c r="T714" s="5" t="s">
        <v>419</v>
      </c>
      <c r="U714" s="5" t="s">
        <v>46</v>
      </c>
      <c r="V714" s="5" t="n">
        <v>1</v>
      </c>
      <c r="W714" s="1" t="s">
        <v>442</v>
      </c>
      <c r="X714" s="5" t="s">
        <v>408</v>
      </c>
      <c r="Y714" s="5" t="n">
        <v>5500</v>
      </c>
      <c r="Z714" s="5" t="s">
        <v>498</v>
      </c>
      <c r="AA714" s="5" t="s">
        <v>499</v>
      </c>
      <c r="AB714" s="13" t="str">
        <f aca="true" t="array" ref="AB714:AB714">LEFT(AA714,LOOKUP(2^15,FIND(".",AA714,ROW(INDIRECT("1:"&amp;LEN(AA714)))))-1)</f>
        <v>NB_2022_047 - 05102022 - 1</v>
      </c>
      <c r="AC714" s="5" t="s">
        <v>501</v>
      </c>
      <c r="AD714" s="13" t="str">
        <f aca="true" t="array" ref="AD714:AD714">LEFT(AC714,LOOKUP(2^15,FIND(".",AC714,ROW(INDIRECT("1:"&amp;LEN(AC714)))))-1)</f>
        <v>NB_2022_047 - 05102022 - 2</v>
      </c>
      <c r="AE714" s="5" t="str">
        <f aca="false">CONCATENATE(AB714, "-",H714, ".mzML")</f>
        <v>NB_2022_047 - 05102022 - 1-054.mzML</v>
      </c>
      <c r="AF714" s="5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0" t="s">
        <v>1204</v>
      </c>
      <c r="B715" s="31"/>
      <c r="C715" s="3" t="s">
        <v>1205</v>
      </c>
      <c r="D715" s="5" t="s">
        <v>15</v>
      </c>
      <c r="E715" s="5" t="s">
        <v>492</v>
      </c>
      <c r="F715" s="6" t="s">
        <v>493</v>
      </c>
      <c r="G715" s="5" t="s">
        <v>401</v>
      </c>
      <c r="H715" s="14" t="s">
        <v>517</v>
      </c>
      <c r="I715" s="5" t="str">
        <f aca="false">CONCATENATE(E715, "_",H715)</f>
        <v>NLA_2022_015_056</v>
      </c>
      <c r="J715" s="1" t="s">
        <v>166</v>
      </c>
      <c r="K715" s="5" t="s">
        <v>519</v>
      </c>
      <c r="L715" s="5" t="s">
        <v>69</v>
      </c>
      <c r="M715" s="1" t="s">
        <v>46</v>
      </c>
      <c r="N715" s="5" t="s">
        <v>404</v>
      </c>
      <c r="O715" s="5" t="s">
        <v>42</v>
      </c>
      <c r="P715" s="5" t="s">
        <v>405</v>
      </c>
      <c r="Q715" s="5" t="s">
        <v>46</v>
      </c>
      <c r="R715" s="5" t="s">
        <v>44</v>
      </c>
      <c r="S715" s="5" t="s">
        <v>46</v>
      </c>
      <c r="T715" s="5" t="s">
        <v>419</v>
      </c>
      <c r="U715" s="5" t="s">
        <v>46</v>
      </c>
      <c r="V715" s="5" t="n">
        <v>1</v>
      </c>
      <c r="W715" s="1" t="s">
        <v>520</v>
      </c>
      <c r="X715" s="5" t="s">
        <v>408</v>
      </c>
      <c r="Y715" s="5" t="n">
        <v>5500</v>
      </c>
      <c r="Z715" s="5" t="s">
        <v>498</v>
      </c>
      <c r="AA715" s="5" t="s">
        <v>499</v>
      </c>
      <c r="AB715" s="13" t="str">
        <f aca="true" t="array" ref="AB715:AB715">LEFT(AA715,LOOKUP(2^15,FIND(".",AA715,ROW(INDIRECT("1:"&amp;LEN(AA715)))))-1)</f>
        <v>NB_2022_047 - 05102022 - 1</v>
      </c>
      <c r="AC715" s="5" t="s">
        <v>501</v>
      </c>
      <c r="AD715" s="13" t="str">
        <f aca="true" t="array" ref="AD715:AD715">LEFT(AC715,LOOKUP(2^15,FIND(".",AC715,ROW(INDIRECT("1:"&amp;LEN(AC715)))))-1)</f>
        <v>NB_2022_047 - 05102022 - 2</v>
      </c>
      <c r="AE715" s="5" t="str">
        <f aca="false">CONCATENATE(AB715, "-",H715, ".mzML")</f>
        <v>NB_2022_047 - 05102022 - 1-056.mzML</v>
      </c>
      <c r="AF715" s="5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0" t="s">
        <v>1204</v>
      </c>
      <c r="B716" s="31"/>
      <c r="C716" s="3" t="s">
        <v>1205</v>
      </c>
      <c r="D716" s="5" t="s">
        <v>15</v>
      </c>
      <c r="E716" s="5" t="s">
        <v>492</v>
      </c>
      <c r="F716" s="6" t="s">
        <v>493</v>
      </c>
      <c r="G716" s="5" t="s">
        <v>401</v>
      </c>
      <c r="H716" s="14" t="s">
        <v>1073</v>
      </c>
      <c r="I716" s="5" t="str">
        <f aca="false">CONCATENATE(E716, "_",H716)</f>
        <v>NLA_2022_015_062</v>
      </c>
      <c r="J716" s="5" t="s">
        <v>166</v>
      </c>
      <c r="K716" s="28" t="s">
        <v>1075</v>
      </c>
      <c r="L716" s="5" t="s">
        <v>69</v>
      </c>
      <c r="M716" s="1" t="s">
        <v>46</v>
      </c>
      <c r="N716" s="5" t="s">
        <v>404</v>
      </c>
      <c r="O716" s="5" t="s">
        <v>665</v>
      </c>
      <c r="P716" s="5" t="s">
        <v>1056</v>
      </c>
      <c r="Q716" s="5" t="s">
        <v>46</v>
      </c>
      <c r="R716" s="5" t="s">
        <v>44</v>
      </c>
      <c r="S716" s="5" t="s">
        <v>46</v>
      </c>
      <c r="T716" s="5" t="s">
        <v>419</v>
      </c>
      <c r="U716" s="5" t="s">
        <v>46</v>
      </c>
      <c r="V716" s="5" t="n">
        <v>1</v>
      </c>
      <c r="W716" s="5" t="s">
        <v>442</v>
      </c>
      <c r="X716" s="5" t="s">
        <v>408</v>
      </c>
      <c r="Y716" s="1" t="n">
        <v>5500</v>
      </c>
      <c r="Z716" s="5" t="s">
        <v>498</v>
      </c>
      <c r="AA716" s="5" t="s">
        <v>499</v>
      </c>
      <c r="AB716" s="13" t="str">
        <f aca="true" t="array" ref="AB716:AB716">LEFT(AA716,LOOKUP(2^15,FIND(".",AA716,ROW(INDIRECT("1:"&amp;LEN(AA716)))))-1)</f>
        <v>NB_2022_047 - 05102022 - 1</v>
      </c>
      <c r="AC716" s="5" t="s">
        <v>501</v>
      </c>
      <c r="AD716" s="13" t="str">
        <f aca="true" t="array" ref="AD716:AD716">LEFT(AC716,LOOKUP(2^15,FIND(".",AC716,ROW(INDIRECT("1:"&amp;LEN(AC716)))))-1)</f>
        <v>NB_2022_047 - 05102022 - 2</v>
      </c>
      <c r="AE716" s="5" t="str">
        <f aca="false">CONCATENATE(AB716, "-",H716, ".mzML")</f>
        <v>NB_2022_047 - 05102022 - 1-062.mzML</v>
      </c>
      <c r="AF716" s="5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0" t="s">
        <v>1204</v>
      </c>
      <c r="B717" s="31"/>
      <c r="C717" s="3" t="s">
        <v>1205</v>
      </c>
      <c r="D717" s="5" t="s">
        <v>15</v>
      </c>
      <c r="E717" s="5" t="s">
        <v>492</v>
      </c>
      <c r="F717" s="6" t="s">
        <v>493</v>
      </c>
      <c r="G717" s="5" t="s">
        <v>401</v>
      </c>
      <c r="H717" s="14" t="s">
        <v>523</v>
      </c>
      <c r="I717" s="5" t="str">
        <f aca="false">CONCATENATE(E717, "_",H717)</f>
        <v>NLA_2022_015_068</v>
      </c>
      <c r="J717" s="1" t="s">
        <v>166</v>
      </c>
      <c r="K717" s="5" t="s">
        <v>525</v>
      </c>
      <c r="L717" s="5" t="s">
        <v>69</v>
      </c>
      <c r="M717" s="1" t="s">
        <v>46</v>
      </c>
      <c r="N717" s="5" t="s">
        <v>404</v>
      </c>
      <c r="O717" s="5" t="s">
        <v>526</v>
      </c>
      <c r="P717" s="5" t="s">
        <v>405</v>
      </c>
      <c r="Q717" s="5" t="s">
        <v>46</v>
      </c>
      <c r="R717" s="5" t="s">
        <v>72</v>
      </c>
      <c r="S717" s="5" t="s">
        <v>46</v>
      </c>
      <c r="T717" s="5" t="s">
        <v>419</v>
      </c>
      <c r="U717" s="5" t="s">
        <v>46</v>
      </c>
      <c r="V717" s="5" t="n">
        <v>1</v>
      </c>
      <c r="W717" s="1" t="s">
        <v>527</v>
      </c>
      <c r="X717" s="5" t="s">
        <v>408</v>
      </c>
      <c r="Y717" s="5" t="n">
        <v>5500</v>
      </c>
      <c r="Z717" s="5" t="s">
        <v>498</v>
      </c>
      <c r="AA717" s="5" t="s">
        <v>499</v>
      </c>
      <c r="AB717" s="13" t="str">
        <f aca="true" t="array" ref="AB717:AB717">LEFT(AA717,LOOKUP(2^15,FIND(".",AA717,ROW(INDIRECT("1:"&amp;LEN(AA717)))))-1)</f>
        <v>NB_2022_047 - 05102022 - 1</v>
      </c>
      <c r="AC717" s="5" t="s">
        <v>501</v>
      </c>
      <c r="AD717" s="13" t="str">
        <f aca="true" t="array" ref="AD717:AD717">LEFT(AC717,LOOKUP(2^15,FIND(".",AC717,ROW(INDIRECT("1:"&amp;LEN(AC717)))))-1)</f>
        <v>NB_2022_047 - 05102022 - 2</v>
      </c>
      <c r="AE717" s="5" t="str">
        <f aca="false">CONCATENATE(AB717, "-",H717, ".mzML")</f>
        <v>NB_2022_047 - 05102022 - 1-068.mzML</v>
      </c>
      <c r="AF717" s="5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0" t="s">
        <v>1204</v>
      </c>
      <c r="B718" s="31"/>
      <c r="C718" s="3" t="s">
        <v>1205</v>
      </c>
      <c r="D718" s="5" t="s">
        <v>15</v>
      </c>
      <c r="E718" s="5" t="s">
        <v>492</v>
      </c>
      <c r="F718" s="6" t="s">
        <v>493</v>
      </c>
      <c r="G718" s="5" t="s">
        <v>401</v>
      </c>
      <c r="H718" s="14" t="s">
        <v>1088</v>
      </c>
      <c r="I718" s="5" t="str">
        <f aca="false">CONCATENATE(E718, "_",H718)</f>
        <v>NLA_2022_015_072</v>
      </c>
      <c r="J718" s="5" t="s">
        <v>166</v>
      </c>
      <c r="K718" s="28" t="s">
        <v>1090</v>
      </c>
      <c r="L718" s="5" t="s">
        <v>69</v>
      </c>
      <c r="M718" s="1" t="s">
        <v>46</v>
      </c>
      <c r="N718" s="5" t="s">
        <v>404</v>
      </c>
      <c r="O718" s="5" t="s">
        <v>665</v>
      </c>
      <c r="P718" s="5" t="s">
        <v>1056</v>
      </c>
      <c r="Q718" s="5" t="s">
        <v>46</v>
      </c>
      <c r="R718" s="5" t="s">
        <v>72</v>
      </c>
      <c r="S718" s="5" t="s">
        <v>46</v>
      </c>
      <c r="T718" s="5" t="s">
        <v>419</v>
      </c>
      <c r="U718" s="5" t="s">
        <v>46</v>
      </c>
      <c r="V718" s="5" t="n">
        <v>1</v>
      </c>
      <c r="W718" s="29" t="s">
        <v>520</v>
      </c>
      <c r="X718" s="5" t="s">
        <v>408</v>
      </c>
      <c r="Y718" s="1" t="n">
        <v>5500</v>
      </c>
      <c r="Z718" s="5" t="s">
        <v>498</v>
      </c>
      <c r="AA718" s="5" t="s">
        <v>499</v>
      </c>
      <c r="AB718" s="13" t="str">
        <f aca="true" t="array" ref="AB718:AB718">LEFT(AA718,LOOKUP(2^15,FIND(".",AA718,ROW(INDIRECT("1:"&amp;LEN(AA718)))))-1)</f>
        <v>NB_2022_047 - 05102022 - 1</v>
      </c>
      <c r="AC718" s="5" t="s">
        <v>501</v>
      </c>
      <c r="AD718" s="13" t="str">
        <f aca="true" t="array" ref="AD718:AD718">LEFT(AC718,LOOKUP(2^15,FIND(".",AC718,ROW(INDIRECT("1:"&amp;LEN(AC718)))))-1)</f>
        <v>NB_2022_047 - 05102022 - 2</v>
      </c>
      <c r="AE718" s="5" t="str">
        <f aca="false">CONCATENATE(AB718, "-",H718, ".mzML")</f>
        <v>NB_2022_047 - 05102022 - 1-072.mzML</v>
      </c>
      <c r="AF718" s="5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0" t="s">
        <v>1204</v>
      </c>
      <c r="B719" s="31"/>
      <c r="C719" s="3" t="s">
        <v>1205</v>
      </c>
      <c r="D719" s="5" t="s">
        <v>13</v>
      </c>
      <c r="E719" s="5" t="s">
        <v>492</v>
      </c>
      <c r="F719" s="5" t="s">
        <v>493</v>
      </c>
      <c r="G719" s="5" t="s">
        <v>492</v>
      </c>
      <c r="H719" s="6" t="s">
        <v>64</v>
      </c>
      <c r="I719" s="5" t="s">
        <v>530</v>
      </c>
      <c r="J719" s="5" t="s">
        <v>158</v>
      </c>
      <c r="K719" s="5" t="s">
        <v>64</v>
      </c>
      <c r="L719" s="5" t="s">
        <v>46</v>
      </c>
      <c r="M719" s="5" t="s">
        <v>46</v>
      </c>
      <c r="N719" s="5" t="s">
        <v>65</v>
      </c>
      <c r="O719" s="5" t="s">
        <v>46</v>
      </c>
      <c r="P719" s="5" t="s">
        <v>46</v>
      </c>
      <c r="Q719" s="5" t="s">
        <v>46</v>
      </c>
      <c r="R719" s="5" t="s">
        <v>46</v>
      </c>
      <c r="S719" s="5" t="s">
        <v>46</v>
      </c>
      <c r="T719" s="5" t="s">
        <v>46</v>
      </c>
      <c r="U719" s="5" t="s">
        <v>46</v>
      </c>
      <c r="V719" s="5" t="n">
        <v>1</v>
      </c>
      <c r="W719" s="5"/>
      <c r="X719" s="5" t="s">
        <v>46</v>
      </c>
      <c r="Y719" s="1" t="n">
        <v>5500</v>
      </c>
      <c r="Z719" s="5" t="s">
        <v>498</v>
      </c>
      <c r="AA719" s="5" t="s">
        <v>499</v>
      </c>
      <c r="AB719" s="1" t="s">
        <v>500</v>
      </c>
      <c r="AC719" s="5" t="s">
        <v>501</v>
      </c>
      <c r="AD719" s="1" t="s">
        <v>502</v>
      </c>
      <c r="AE719" s="5" t="s">
        <v>531</v>
      </c>
      <c r="AF719" s="5" t="s">
        <v>532</v>
      </c>
    </row>
    <row r="720" customFormat="false" ht="14.9" hidden="false" customHeight="false" outlineLevel="0" collapsed="false">
      <c r="A720" s="30" t="s">
        <v>1204</v>
      </c>
      <c r="B720" s="31"/>
      <c r="C720" s="3" t="s">
        <v>1205</v>
      </c>
      <c r="D720" s="5" t="s">
        <v>13</v>
      </c>
      <c r="E720" s="5" t="s">
        <v>492</v>
      </c>
      <c r="F720" s="5" t="s">
        <v>493</v>
      </c>
      <c r="G720" s="5" t="s">
        <v>492</v>
      </c>
      <c r="H720" s="6" t="s">
        <v>66</v>
      </c>
      <c r="I720" s="5" t="s">
        <v>533</v>
      </c>
      <c r="J720" s="5" t="s">
        <v>158</v>
      </c>
      <c r="K720" s="5" t="s">
        <v>66</v>
      </c>
      <c r="L720" s="5" t="s">
        <v>46</v>
      </c>
      <c r="M720" s="5" t="s">
        <v>46</v>
      </c>
      <c r="N720" s="5" t="s">
        <v>65</v>
      </c>
      <c r="O720" s="5" t="s">
        <v>46</v>
      </c>
      <c r="P720" s="5" t="s">
        <v>46</v>
      </c>
      <c r="Q720" s="5" t="s">
        <v>46</v>
      </c>
      <c r="R720" s="5" t="s">
        <v>46</v>
      </c>
      <c r="S720" s="5" t="s">
        <v>46</v>
      </c>
      <c r="T720" s="5" t="s">
        <v>46</v>
      </c>
      <c r="U720" s="5" t="s">
        <v>46</v>
      </c>
      <c r="V720" s="5" t="n">
        <v>2</v>
      </c>
      <c r="W720" s="5"/>
      <c r="X720" s="5" t="s">
        <v>46</v>
      </c>
      <c r="Y720" s="1" t="n">
        <v>5500</v>
      </c>
      <c r="Z720" s="5" t="s">
        <v>498</v>
      </c>
      <c r="AA720" s="5" t="s">
        <v>499</v>
      </c>
      <c r="AB720" s="1" t="s">
        <v>500</v>
      </c>
      <c r="AC720" s="5" t="s">
        <v>501</v>
      </c>
      <c r="AD720" s="1" t="s">
        <v>502</v>
      </c>
      <c r="AE720" s="5" t="s">
        <v>534</v>
      </c>
      <c r="AF720" s="5" t="s">
        <v>535</v>
      </c>
    </row>
    <row r="721" customFormat="false" ht="14.9" hidden="false" customHeight="false" outlineLevel="0" collapsed="false">
      <c r="A721" s="30" t="s">
        <v>1204</v>
      </c>
      <c r="B721" s="31"/>
      <c r="C721" s="3" t="s">
        <v>1205</v>
      </c>
      <c r="D721" s="5" t="s">
        <v>13</v>
      </c>
      <c r="E721" s="5" t="s">
        <v>492</v>
      </c>
      <c r="F721" s="5" t="s">
        <v>493</v>
      </c>
      <c r="G721" s="5" t="s">
        <v>492</v>
      </c>
      <c r="H721" s="6" t="s">
        <v>67</v>
      </c>
      <c r="I721" s="5" t="s">
        <v>536</v>
      </c>
      <c r="J721" s="5" t="s">
        <v>158</v>
      </c>
      <c r="K721" s="5" t="s">
        <v>67</v>
      </c>
      <c r="L721" s="5" t="s">
        <v>46</v>
      </c>
      <c r="M721" s="5" t="s">
        <v>46</v>
      </c>
      <c r="N721" s="5" t="s">
        <v>65</v>
      </c>
      <c r="O721" s="5" t="s">
        <v>46</v>
      </c>
      <c r="P721" s="5" t="s">
        <v>46</v>
      </c>
      <c r="Q721" s="5" t="s">
        <v>46</v>
      </c>
      <c r="R721" s="5" t="s">
        <v>46</v>
      </c>
      <c r="S721" s="5" t="s">
        <v>46</v>
      </c>
      <c r="T721" s="5" t="s">
        <v>46</v>
      </c>
      <c r="U721" s="5" t="s">
        <v>46</v>
      </c>
      <c r="V721" s="5" t="n">
        <v>3</v>
      </c>
      <c r="W721" s="5"/>
      <c r="X721" s="5" t="s">
        <v>46</v>
      </c>
      <c r="Y721" s="1" t="n">
        <v>5500</v>
      </c>
      <c r="Z721" s="5" t="s">
        <v>498</v>
      </c>
      <c r="AA721" s="5" t="s">
        <v>499</v>
      </c>
      <c r="AB721" s="1" t="s">
        <v>500</v>
      </c>
      <c r="AC721" s="5" t="s">
        <v>501</v>
      </c>
      <c r="AD721" s="1" t="s">
        <v>502</v>
      </c>
      <c r="AE721" s="5" t="s">
        <v>537</v>
      </c>
      <c r="AF721" s="5" t="s">
        <v>538</v>
      </c>
    </row>
    <row r="722" customFormat="false" ht="14.9" hidden="false" customHeight="false" outlineLevel="0" collapsed="false">
      <c r="A722" s="30" t="s">
        <v>1204</v>
      </c>
      <c r="B722" s="31"/>
      <c r="C722" s="3" t="s">
        <v>1205</v>
      </c>
      <c r="D722" s="5" t="s">
        <v>13</v>
      </c>
      <c r="E722" s="5" t="s">
        <v>492</v>
      </c>
      <c r="F722" s="5" t="s">
        <v>493</v>
      </c>
      <c r="G722" s="5" t="s">
        <v>492</v>
      </c>
      <c r="H722" s="6" t="s">
        <v>221</v>
      </c>
      <c r="I722" s="5" t="s">
        <v>539</v>
      </c>
      <c r="J722" s="5" t="s">
        <v>158</v>
      </c>
      <c r="K722" s="5" t="s">
        <v>221</v>
      </c>
      <c r="L722" s="5" t="s">
        <v>46</v>
      </c>
      <c r="M722" s="5" t="s">
        <v>46</v>
      </c>
      <c r="N722" s="5" t="s">
        <v>65</v>
      </c>
      <c r="O722" s="5" t="s">
        <v>46</v>
      </c>
      <c r="P722" s="5" t="s">
        <v>46</v>
      </c>
      <c r="Q722" s="5" t="s">
        <v>46</v>
      </c>
      <c r="R722" s="5" t="s">
        <v>46</v>
      </c>
      <c r="S722" s="5" t="s">
        <v>46</v>
      </c>
      <c r="T722" s="5" t="s">
        <v>46</v>
      </c>
      <c r="U722" s="5" t="s">
        <v>46</v>
      </c>
      <c r="V722" s="5" t="n">
        <v>4</v>
      </c>
      <c r="W722" s="5"/>
      <c r="X722" s="5" t="s">
        <v>46</v>
      </c>
      <c r="Y722" s="1" t="n">
        <v>5500</v>
      </c>
      <c r="Z722" s="5" t="s">
        <v>498</v>
      </c>
      <c r="AA722" s="5" t="s">
        <v>499</v>
      </c>
      <c r="AB722" s="1" t="s">
        <v>500</v>
      </c>
      <c r="AC722" s="5" t="s">
        <v>501</v>
      </c>
      <c r="AD722" s="1" t="s">
        <v>502</v>
      </c>
      <c r="AE722" s="5" t="s">
        <v>540</v>
      </c>
      <c r="AF722" s="5" t="s">
        <v>541</v>
      </c>
    </row>
    <row r="723" customFormat="false" ht="14.9" hidden="false" customHeight="false" outlineLevel="0" collapsed="false">
      <c r="A723" s="30" t="s">
        <v>1204</v>
      </c>
      <c r="B723" s="31"/>
      <c r="C723" s="3" t="s">
        <v>1205</v>
      </c>
      <c r="D723" s="5" t="s">
        <v>13</v>
      </c>
      <c r="E723" s="5" t="s">
        <v>492</v>
      </c>
      <c r="F723" s="5" t="s">
        <v>493</v>
      </c>
      <c r="G723" s="5" t="s">
        <v>492</v>
      </c>
      <c r="H723" s="6" t="s">
        <v>463</v>
      </c>
      <c r="I723" s="5" t="s">
        <v>542</v>
      </c>
      <c r="J723" s="5" t="s">
        <v>158</v>
      </c>
      <c r="K723" s="5" t="s">
        <v>463</v>
      </c>
      <c r="L723" s="5" t="s">
        <v>69</v>
      </c>
      <c r="M723" s="1" t="s">
        <v>46</v>
      </c>
      <c r="N723" s="5" t="s">
        <v>465</v>
      </c>
      <c r="O723" s="5" t="s">
        <v>81</v>
      </c>
      <c r="P723" s="5" t="s">
        <v>81</v>
      </c>
      <c r="Q723" s="5" t="s">
        <v>81</v>
      </c>
      <c r="R723" s="5" t="s">
        <v>81</v>
      </c>
      <c r="S723" s="5" t="s">
        <v>46</v>
      </c>
      <c r="T723" s="5" t="s">
        <v>81</v>
      </c>
      <c r="U723" s="5" t="s">
        <v>46</v>
      </c>
      <c r="V723" s="5" t="n">
        <v>1</v>
      </c>
      <c r="W723" s="5"/>
      <c r="X723" s="5" t="s">
        <v>408</v>
      </c>
      <c r="Y723" s="1" t="n">
        <v>5500</v>
      </c>
      <c r="Z723" s="5" t="s">
        <v>498</v>
      </c>
      <c r="AA723" s="5" t="s">
        <v>499</v>
      </c>
      <c r="AB723" s="1" t="s">
        <v>500</v>
      </c>
      <c r="AC723" s="5" t="s">
        <v>501</v>
      </c>
      <c r="AD723" s="1" t="s">
        <v>502</v>
      </c>
      <c r="AE723" s="5" t="s">
        <v>543</v>
      </c>
      <c r="AF723" s="5" t="s">
        <v>544</v>
      </c>
    </row>
    <row r="724" customFormat="false" ht="14.9" hidden="false" customHeight="false" outlineLevel="0" collapsed="false">
      <c r="A724" s="30" t="s">
        <v>1204</v>
      </c>
      <c r="B724" s="31"/>
      <c r="C724" s="3" t="s">
        <v>1205</v>
      </c>
      <c r="D724" s="5" t="s">
        <v>13</v>
      </c>
      <c r="E724" s="5" t="s">
        <v>492</v>
      </c>
      <c r="F724" s="5" t="s">
        <v>493</v>
      </c>
      <c r="G724" s="5" t="s">
        <v>492</v>
      </c>
      <c r="H724" s="6" t="s">
        <v>468</v>
      </c>
      <c r="I724" s="5" t="s">
        <v>545</v>
      </c>
      <c r="J724" s="5" t="s">
        <v>158</v>
      </c>
      <c r="K724" s="5" t="s">
        <v>468</v>
      </c>
      <c r="L724" s="5" t="s">
        <v>69</v>
      </c>
      <c r="M724" s="1" t="s">
        <v>46</v>
      </c>
      <c r="N724" s="5" t="s">
        <v>465</v>
      </c>
      <c r="O724" s="5" t="s">
        <v>81</v>
      </c>
      <c r="P724" s="5" t="s">
        <v>81</v>
      </c>
      <c r="Q724" s="5" t="s">
        <v>81</v>
      </c>
      <c r="R724" s="5" t="s">
        <v>81</v>
      </c>
      <c r="S724" s="5" t="s">
        <v>46</v>
      </c>
      <c r="T724" s="5" t="s">
        <v>81</v>
      </c>
      <c r="U724" s="5" t="s">
        <v>46</v>
      </c>
      <c r="V724" s="5" t="n">
        <v>2</v>
      </c>
      <c r="W724" s="5"/>
      <c r="X724" s="5" t="s">
        <v>408</v>
      </c>
      <c r="Y724" s="1" t="n">
        <v>5500</v>
      </c>
      <c r="Z724" s="5" t="s">
        <v>498</v>
      </c>
      <c r="AA724" s="5" t="s">
        <v>499</v>
      </c>
      <c r="AB724" s="1" t="s">
        <v>500</v>
      </c>
      <c r="AC724" s="5" t="s">
        <v>501</v>
      </c>
      <c r="AD724" s="1" t="s">
        <v>502</v>
      </c>
      <c r="AE724" s="5" t="s">
        <v>546</v>
      </c>
      <c r="AF724" s="5" t="s">
        <v>547</v>
      </c>
    </row>
    <row r="725" customFormat="false" ht="14.9" hidden="false" customHeight="false" outlineLevel="0" collapsed="false">
      <c r="A725" s="30" t="s">
        <v>1204</v>
      </c>
      <c r="B725" s="31"/>
      <c r="C725" s="3" t="s">
        <v>1205</v>
      </c>
      <c r="D725" s="5" t="s">
        <v>13</v>
      </c>
      <c r="E725" s="5" t="s">
        <v>492</v>
      </c>
      <c r="F725" s="5" t="s">
        <v>493</v>
      </c>
      <c r="G725" s="5" t="s">
        <v>492</v>
      </c>
      <c r="H725" s="6" t="s">
        <v>472</v>
      </c>
      <c r="I725" s="5" t="s">
        <v>548</v>
      </c>
      <c r="J725" s="5" t="s">
        <v>158</v>
      </c>
      <c r="K725" s="5" t="s">
        <v>472</v>
      </c>
      <c r="L725" s="5" t="s">
        <v>69</v>
      </c>
      <c r="M725" s="1" t="s">
        <v>46</v>
      </c>
      <c r="N725" s="5" t="s">
        <v>465</v>
      </c>
      <c r="O725" s="5" t="s">
        <v>81</v>
      </c>
      <c r="P725" s="5" t="s">
        <v>81</v>
      </c>
      <c r="Q725" s="5" t="s">
        <v>81</v>
      </c>
      <c r="R725" s="5" t="s">
        <v>81</v>
      </c>
      <c r="S725" s="5" t="s">
        <v>46</v>
      </c>
      <c r="T725" s="5" t="s">
        <v>81</v>
      </c>
      <c r="U725" s="5" t="s">
        <v>46</v>
      </c>
      <c r="V725" s="1" t="n">
        <v>3</v>
      </c>
      <c r="X725" s="5" t="s">
        <v>408</v>
      </c>
      <c r="Y725" s="1" t="n">
        <v>5500</v>
      </c>
      <c r="Z725" s="5" t="s">
        <v>498</v>
      </c>
      <c r="AA725" s="5" t="s">
        <v>499</v>
      </c>
      <c r="AB725" s="1" t="s">
        <v>500</v>
      </c>
      <c r="AC725" s="5" t="s">
        <v>501</v>
      </c>
      <c r="AD725" s="1" t="s">
        <v>502</v>
      </c>
      <c r="AE725" s="5" t="s">
        <v>549</v>
      </c>
      <c r="AF725" s="5" t="s">
        <v>550</v>
      </c>
    </row>
    <row r="726" customFormat="false" ht="14.9" hidden="false" customHeight="false" outlineLevel="0" collapsed="false">
      <c r="A726" s="30" t="s">
        <v>1204</v>
      </c>
      <c r="B726" s="31"/>
      <c r="C726" s="3" t="s">
        <v>1205</v>
      </c>
      <c r="D726" s="5" t="s">
        <v>13</v>
      </c>
      <c r="E726" s="5" t="s">
        <v>492</v>
      </c>
      <c r="F726" s="5" t="s">
        <v>493</v>
      </c>
      <c r="G726" s="5" t="s">
        <v>492</v>
      </c>
      <c r="H726" s="6" t="s">
        <v>476</v>
      </c>
      <c r="I726" s="5" t="s">
        <v>551</v>
      </c>
      <c r="J726" s="5" t="s">
        <v>158</v>
      </c>
      <c r="K726" s="5" t="s">
        <v>476</v>
      </c>
      <c r="L726" s="5" t="s">
        <v>69</v>
      </c>
      <c r="M726" s="1" t="s">
        <v>46</v>
      </c>
      <c r="N726" s="5" t="s">
        <v>465</v>
      </c>
      <c r="O726" s="5" t="s">
        <v>81</v>
      </c>
      <c r="P726" s="5" t="s">
        <v>81</v>
      </c>
      <c r="Q726" s="5" t="s">
        <v>81</v>
      </c>
      <c r="R726" s="5" t="s">
        <v>81</v>
      </c>
      <c r="S726" s="5" t="s">
        <v>46</v>
      </c>
      <c r="T726" s="5" t="s">
        <v>81</v>
      </c>
      <c r="U726" s="5" t="s">
        <v>46</v>
      </c>
      <c r="V726" s="1" t="n">
        <v>4</v>
      </c>
      <c r="X726" s="5" t="s">
        <v>408</v>
      </c>
      <c r="Y726" s="1" t="n">
        <v>5500</v>
      </c>
      <c r="Z726" s="5" t="s">
        <v>498</v>
      </c>
      <c r="AA726" s="5" t="s">
        <v>499</v>
      </c>
      <c r="AB726" s="1" t="s">
        <v>500</v>
      </c>
      <c r="AC726" s="5" t="s">
        <v>501</v>
      </c>
      <c r="AD726" s="1" t="s">
        <v>502</v>
      </c>
      <c r="AE726" s="5" t="s">
        <v>552</v>
      </c>
      <c r="AF726" s="5" t="s">
        <v>553</v>
      </c>
    </row>
    <row r="727" customFormat="false" ht="14.9" hidden="false" customHeight="false" outlineLevel="0" collapsed="false">
      <c r="A727" s="30" t="s">
        <v>1204</v>
      </c>
      <c r="B727" s="31"/>
      <c r="C727" s="3" t="s">
        <v>1205</v>
      </c>
      <c r="D727" s="5" t="s">
        <v>13</v>
      </c>
      <c r="E727" s="5" t="s">
        <v>492</v>
      </c>
      <c r="F727" s="5" t="s">
        <v>493</v>
      </c>
      <c r="G727" s="5" t="s">
        <v>492</v>
      </c>
      <c r="H727" s="6" t="s">
        <v>348</v>
      </c>
      <c r="I727" s="5" t="s">
        <v>554</v>
      </c>
      <c r="J727" s="5" t="s">
        <v>158</v>
      </c>
      <c r="K727" s="5" t="s">
        <v>348</v>
      </c>
      <c r="L727" s="5" t="s">
        <v>69</v>
      </c>
      <c r="M727" s="1" t="s">
        <v>46</v>
      </c>
      <c r="N727" s="5" t="s">
        <v>70</v>
      </c>
      <c r="O727" s="5" t="s">
        <v>46</v>
      </c>
      <c r="P727" s="5" t="s">
        <v>71</v>
      </c>
      <c r="Q727" s="5" t="s">
        <v>71</v>
      </c>
      <c r="R727" s="5" t="s">
        <v>72</v>
      </c>
      <c r="S727" s="5" t="s">
        <v>73</v>
      </c>
      <c r="T727" s="5" t="s">
        <v>46</v>
      </c>
      <c r="U727" s="5" t="n">
        <v>1000</v>
      </c>
      <c r="V727" s="1" t="n">
        <v>1</v>
      </c>
      <c r="X727" s="5" t="s">
        <v>408</v>
      </c>
      <c r="Y727" s="1" t="n">
        <v>5500</v>
      </c>
      <c r="Z727" s="5" t="s">
        <v>498</v>
      </c>
      <c r="AA727" s="5" t="s">
        <v>499</v>
      </c>
      <c r="AB727" s="1" t="s">
        <v>500</v>
      </c>
      <c r="AC727" s="5" t="s">
        <v>501</v>
      </c>
      <c r="AD727" s="1" t="s">
        <v>502</v>
      </c>
      <c r="AE727" s="5" t="s">
        <v>555</v>
      </c>
      <c r="AF727" s="5" t="s">
        <v>556</v>
      </c>
    </row>
    <row r="728" customFormat="false" ht="14.9" hidden="false" customHeight="false" outlineLevel="0" collapsed="false">
      <c r="A728" s="30" t="s">
        <v>1204</v>
      </c>
      <c r="B728" s="31"/>
      <c r="C728" s="3" t="s">
        <v>1205</v>
      </c>
      <c r="D728" s="5" t="s">
        <v>13</v>
      </c>
      <c r="E728" s="5" t="s">
        <v>492</v>
      </c>
      <c r="F728" s="5" t="s">
        <v>493</v>
      </c>
      <c r="G728" s="5" t="s">
        <v>492</v>
      </c>
      <c r="H728" s="6" t="s">
        <v>349</v>
      </c>
      <c r="I728" s="5" t="s">
        <v>557</v>
      </c>
      <c r="J728" s="5" t="s">
        <v>158</v>
      </c>
      <c r="K728" s="5" t="s">
        <v>349</v>
      </c>
      <c r="L728" s="5" t="s">
        <v>69</v>
      </c>
      <c r="M728" s="1" t="s">
        <v>46</v>
      </c>
      <c r="N728" s="5" t="s">
        <v>70</v>
      </c>
      <c r="O728" s="5" t="s">
        <v>46</v>
      </c>
      <c r="P728" s="5" t="s">
        <v>71</v>
      </c>
      <c r="Q728" s="5" t="s">
        <v>71</v>
      </c>
      <c r="R728" s="5" t="s">
        <v>72</v>
      </c>
      <c r="S728" s="5" t="s">
        <v>73</v>
      </c>
      <c r="T728" s="5" t="s">
        <v>46</v>
      </c>
      <c r="U728" s="5" t="n">
        <v>1000</v>
      </c>
      <c r="V728" s="1" t="n">
        <v>2</v>
      </c>
      <c r="X728" s="5" t="s">
        <v>408</v>
      </c>
      <c r="Y728" s="1" t="n">
        <v>5500</v>
      </c>
      <c r="Z728" s="5" t="s">
        <v>498</v>
      </c>
      <c r="AA728" s="5" t="s">
        <v>499</v>
      </c>
      <c r="AB728" s="1" t="s">
        <v>500</v>
      </c>
      <c r="AC728" s="5" t="s">
        <v>501</v>
      </c>
      <c r="AD728" s="1" t="s">
        <v>502</v>
      </c>
      <c r="AE728" s="5" t="s">
        <v>558</v>
      </c>
      <c r="AF728" s="5" t="s">
        <v>559</v>
      </c>
    </row>
    <row r="729" customFormat="false" ht="14.9" hidden="false" customHeight="false" outlineLevel="0" collapsed="false">
      <c r="A729" s="30" t="s">
        <v>1204</v>
      </c>
      <c r="B729" s="31"/>
      <c r="C729" s="3" t="s">
        <v>1205</v>
      </c>
      <c r="D729" s="5" t="s">
        <v>13</v>
      </c>
      <c r="E729" s="5" t="s">
        <v>492</v>
      </c>
      <c r="F729" s="5" t="s">
        <v>493</v>
      </c>
      <c r="G729" s="5" t="s">
        <v>492</v>
      </c>
      <c r="H729" s="6" t="s">
        <v>350</v>
      </c>
      <c r="I729" s="5" t="s">
        <v>560</v>
      </c>
      <c r="J729" s="5" t="s">
        <v>158</v>
      </c>
      <c r="K729" s="5" t="s">
        <v>350</v>
      </c>
      <c r="L729" s="5" t="s">
        <v>69</v>
      </c>
      <c r="M729" s="1" t="s">
        <v>46</v>
      </c>
      <c r="N729" s="5" t="s">
        <v>70</v>
      </c>
      <c r="O729" s="5" t="s">
        <v>46</v>
      </c>
      <c r="P729" s="5" t="s">
        <v>71</v>
      </c>
      <c r="Q729" s="5" t="s">
        <v>71</v>
      </c>
      <c r="R729" s="5" t="s">
        <v>72</v>
      </c>
      <c r="S729" s="5" t="s">
        <v>73</v>
      </c>
      <c r="T729" s="5" t="s">
        <v>46</v>
      </c>
      <c r="U729" s="5" t="n">
        <v>1000</v>
      </c>
      <c r="V729" s="5" t="n">
        <v>3</v>
      </c>
      <c r="W729" s="5"/>
      <c r="X729" s="5" t="s">
        <v>408</v>
      </c>
      <c r="Y729" s="5" t="n">
        <v>5500</v>
      </c>
      <c r="Z729" s="5" t="s">
        <v>498</v>
      </c>
      <c r="AA729" s="5" t="s">
        <v>499</v>
      </c>
      <c r="AB729" s="1" t="s">
        <v>500</v>
      </c>
      <c r="AC729" s="5" t="s">
        <v>501</v>
      </c>
      <c r="AD729" s="1" t="s">
        <v>502</v>
      </c>
      <c r="AE729" s="5" t="s">
        <v>561</v>
      </c>
      <c r="AF729" s="5" t="s">
        <v>562</v>
      </c>
    </row>
    <row r="730" customFormat="false" ht="14.9" hidden="false" customHeight="false" outlineLevel="0" collapsed="false">
      <c r="A730" s="30" t="s">
        <v>1204</v>
      </c>
      <c r="B730" s="31"/>
      <c r="C730" s="3" t="s">
        <v>1205</v>
      </c>
      <c r="D730" s="5" t="s">
        <v>13</v>
      </c>
      <c r="E730" s="5" t="s">
        <v>492</v>
      </c>
      <c r="F730" s="5" t="s">
        <v>493</v>
      </c>
      <c r="G730" s="5" t="s">
        <v>492</v>
      </c>
      <c r="H730" s="6" t="s">
        <v>351</v>
      </c>
      <c r="I730" s="5" t="s">
        <v>563</v>
      </c>
      <c r="J730" s="1" t="s">
        <v>158</v>
      </c>
      <c r="K730" s="5" t="s">
        <v>351</v>
      </c>
      <c r="L730" s="5" t="s">
        <v>69</v>
      </c>
      <c r="M730" s="1" t="s">
        <v>46</v>
      </c>
      <c r="N730" s="5" t="s">
        <v>70</v>
      </c>
      <c r="O730" s="5" t="s">
        <v>46</v>
      </c>
      <c r="P730" s="5" t="s">
        <v>71</v>
      </c>
      <c r="Q730" s="5" t="s">
        <v>71</v>
      </c>
      <c r="R730" s="5" t="s">
        <v>72</v>
      </c>
      <c r="S730" s="5" t="s">
        <v>73</v>
      </c>
      <c r="T730" s="5" t="s">
        <v>46</v>
      </c>
      <c r="U730" s="5" t="n">
        <v>1000</v>
      </c>
      <c r="V730" s="5" t="n">
        <v>4</v>
      </c>
      <c r="X730" s="5" t="s">
        <v>408</v>
      </c>
      <c r="Y730" s="5" t="n">
        <v>5500</v>
      </c>
      <c r="Z730" s="5" t="s">
        <v>498</v>
      </c>
      <c r="AA730" s="5" t="s">
        <v>499</v>
      </c>
      <c r="AB730" s="5" t="s">
        <v>500</v>
      </c>
      <c r="AC730" s="5" t="s">
        <v>501</v>
      </c>
      <c r="AD730" s="1" t="s">
        <v>502</v>
      </c>
      <c r="AE730" s="5" t="s">
        <v>564</v>
      </c>
      <c r="AF730" s="5" t="s">
        <v>565</v>
      </c>
    </row>
    <row r="731" customFormat="false" ht="15" hidden="false" customHeight="false" outlineLevel="0" collapsed="false">
      <c r="A731" s="30" t="s">
        <v>1204</v>
      </c>
      <c r="B731" s="31"/>
      <c r="C731" s="3" t="s">
        <v>1205</v>
      </c>
      <c r="D731" s="5" t="s">
        <v>15</v>
      </c>
      <c r="E731" s="5" t="s">
        <v>566</v>
      </c>
      <c r="F731" s="6" t="s">
        <v>567</v>
      </c>
      <c r="G731" s="5" t="s">
        <v>401</v>
      </c>
      <c r="H731" s="14" t="s">
        <v>958</v>
      </c>
      <c r="I731" s="5" t="str">
        <f aca="false">CONCATENATE(E731, "_",H731)</f>
        <v>NLA_2022_016_091</v>
      </c>
      <c r="J731" s="1" t="s">
        <v>166</v>
      </c>
      <c r="K731" s="5" t="s">
        <v>960</v>
      </c>
      <c r="L731" s="5" t="s">
        <v>69</v>
      </c>
      <c r="M731" s="1" t="s">
        <v>46</v>
      </c>
      <c r="N731" s="5" t="s">
        <v>404</v>
      </c>
      <c r="O731" s="5" t="s">
        <v>418</v>
      </c>
      <c r="P731" s="5" t="s">
        <v>901</v>
      </c>
      <c r="Q731" s="5" t="s">
        <v>46</v>
      </c>
      <c r="R731" s="5" t="s">
        <v>72</v>
      </c>
      <c r="S731" s="5" t="s">
        <v>46</v>
      </c>
      <c r="T731" s="5" t="s">
        <v>419</v>
      </c>
      <c r="U731" s="5" t="s">
        <v>46</v>
      </c>
      <c r="V731" s="5" t="n">
        <v>1</v>
      </c>
      <c r="W731" s="1" t="s">
        <v>520</v>
      </c>
      <c r="X731" s="5" t="s">
        <v>408</v>
      </c>
      <c r="Y731" s="5" t="n">
        <v>5500</v>
      </c>
      <c r="Z731" s="5" t="s">
        <v>572</v>
      </c>
      <c r="AA731" s="5" t="s">
        <v>573</v>
      </c>
      <c r="AB731" s="13" t="str">
        <f aca="true" t="array" ref="AB731:AB731">LEFT(AA731,LOOKUP(2^15,FIND(".",AA731,ROW(INDIRECT("1:"&amp;LEN(AA731)))))-1)</f>
        <v>NB_2022_047 - 06102022 - 1</v>
      </c>
      <c r="AC731" s="5" t="s">
        <v>575</v>
      </c>
      <c r="AD731" s="13" t="str">
        <f aca="true" t="array" ref="AD731:AD731">LEFT(AC731,LOOKUP(2^15,FIND(".",AC731,ROW(INDIRECT("1:"&amp;LEN(AC731)))))-1)</f>
        <v>NB_2022_047 - 06102022 - 2</v>
      </c>
      <c r="AE731" s="5" t="str">
        <f aca="false">CONCATENATE(AB731, "-",H731, ".mzML")</f>
        <v>NB_2022_047 - 06102022 - 1-091.mzML</v>
      </c>
      <c r="AF731" s="5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0" t="s">
        <v>1204</v>
      </c>
      <c r="B732" s="31"/>
      <c r="C732" s="3" t="s">
        <v>1205</v>
      </c>
      <c r="D732" s="5" t="s">
        <v>15</v>
      </c>
      <c r="E732" s="5" t="s">
        <v>566</v>
      </c>
      <c r="F732" s="6" t="s">
        <v>567</v>
      </c>
      <c r="G732" s="5" t="s">
        <v>401</v>
      </c>
      <c r="H732" s="14" t="s">
        <v>1098</v>
      </c>
      <c r="I732" s="5" t="str">
        <f aca="false">CONCATENATE(E732, "_",H732)</f>
        <v>NLA_2022_016_097</v>
      </c>
      <c r="J732" s="5" t="s">
        <v>166</v>
      </c>
      <c r="K732" s="28" t="s">
        <v>1100</v>
      </c>
      <c r="L732" s="5" t="s">
        <v>69</v>
      </c>
      <c r="M732" s="1" t="s">
        <v>46</v>
      </c>
      <c r="N732" s="5" t="s">
        <v>404</v>
      </c>
      <c r="O732" s="5" t="s">
        <v>42</v>
      </c>
      <c r="P732" s="5" t="s">
        <v>1056</v>
      </c>
      <c r="Q732" s="5" t="s">
        <v>46</v>
      </c>
      <c r="R732" s="5" t="s">
        <v>44</v>
      </c>
      <c r="S732" s="5" t="s">
        <v>46</v>
      </c>
      <c r="T732" s="5" t="s">
        <v>419</v>
      </c>
      <c r="U732" s="5" t="s">
        <v>46</v>
      </c>
      <c r="V732" s="5" t="n">
        <v>1</v>
      </c>
      <c r="W732" s="29" t="s">
        <v>527</v>
      </c>
      <c r="X732" s="5" t="s">
        <v>408</v>
      </c>
      <c r="Y732" s="1" t="n">
        <v>5500</v>
      </c>
      <c r="Z732" s="5" t="s">
        <v>572</v>
      </c>
      <c r="AA732" s="5" t="s">
        <v>573</v>
      </c>
      <c r="AB732" s="13" t="str">
        <f aca="true" t="array" ref="AB732:AB732">LEFT(AA732,LOOKUP(2^15,FIND(".",AA732,ROW(INDIRECT("1:"&amp;LEN(AA732)))))-1)</f>
        <v>NB_2022_047 - 06102022 - 1</v>
      </c>
      <c r="AC732" s="5" t="s">
        <v>575</v>
      </c>
      <c r="AD732" s="13" t="str">
        <f aca="true" t="array" ref="AD732:AD732">LEFT(AC732,LOOKUP(2^15,FIND(".",AC732,ROW(INDIRECT("1:"&amp;LEN(AC732)))))-1)</f>
        <v>NB_2022_047 - 06102022 - 2</v>
      </c>
      <c r="AE732" s="5" t="str">
        <f aca="false">CONCATENATE(AB732, "-",H732, ".mzML")</f>
        <v>NB_2022_047 - 06102022 - 1-097.mzML</v>
      </c>
      <c r="AF732" s="5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0" t="s">
        <v>1204</v>
      </c>
      <c r="B733" s="31"/>
      <c r="C733" s="3" t="s">
        <v>1205</v>
      </c>
      <c r="D733" s="5" t="s">
        <v>15</v>
      </c>
      <c r="E733" s="5" t="s">
        <v>566</v>
      </c>
      <c r="F733" s="6" t="s">
        <v>567</v>
      </c>
      <c r="G733" s="5" t="s">
        <v>401</v>
      </c>
      <c r="H733" s="14" t="s">
        <v>1118</v>
      </c>
      <c r="I733" s="5" t="str">
        <f aca="false">CONCATENATE(E733, "_",H733)</f>
        <v>NLA_2022_016_108</v>
      </c>
      <c r="J733" s="5" t="s">
        <v>166</v>
      </c>
      <c r="K733" s="28" t="s">
        <v>1120</v>
      </c>
      <c r="L733" s="5" t="s">
        <v>69</v>
      </c>
      <c r="M733" s="1" t="s">
        <v>46</v>
      </c>
      <c r="N733" s="5" t="s">
        <v>404</v>
      </c>
      <c r="O733" s="5" t="s">
        <v>42</v>
      </c>
      <c r="P733" s="5" t="s">
        <v>1056</v>
      </c>
      <c r="Q733" s="5" t="s">
        <v>46</v>
      </c>
      <c r="R733" s="5" t="s">
        <v>44</v>
      </c>
      <c r="S733" s="5" t="s">
        <v>46</v>
      </c>
      <c r="T733" s="5" t="s">
        <v>419</v>
      </c>
      <c r="U733" s="5" t="s">
        <v>46</v>
      </c>
      <c r="V733" s="5" t="n">
        <v>1</v>
      </c>
      <c r="W733" s="29" t="s">
        <v>640</v>
      </c>
      <c r="X733" s="5" t="s">
        <v>408</v>
      </c>
      <c r="Y733" s="1" t="n">
        <v>5500</v>
      </c>
      <c r="Z733" s="5" t="s">
        <v>572</v>
      </c>
      <c r="AA733" s="5" t="s">
        <v>573</v>
      </c>
      <c r="AB733" s="13" t="str">
        <f aca="true" t="array" ref="AB733:AB733">LEFT(AA733,LOOKUP(2^15,FIND(".",AA733,ROW(INDIRECT("1:"&amp;LEN(AA733)))))-1)</f>
        <v>NB_2022_047 - 06102022 - 1</v>
      </c>
      <c r="AC733" s="5" t="s">
        <v>575</v>
      </c>
      <c r="AD733" s="13" t="str">
        <f aca="true" t="array" ref="AD733:AD733">LEFT(AC733,LOOKUP(2^15,FIND(".",AC733,ROW(INDIRECT("1:"&amp;LEN(AC733)))))-1)</f>
        <v>NB_2022_047 - 06102022 - 2</v>
      </c>
      <c r="AE733" s="5" t="str">
        <f aca="false">CONCATENATE(AB733, "-",H733, ".mzML")</f>
        <v>NB_2022_047 - 06102022 - 1-108.mzML</v>
      </c>
      <c r="AF733" s="5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0" t="s">
        <v>1204</v>
      </c>
      <c r="B734" s="31"/>
      <c r="C734" s="3" t="s">
        <v>1205</v>
      </c>
      <c r="D734" s="5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1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5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5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0" t="s">
        <v>1204</v>
      </c>
      <c r="B735" s="31"/>
      <c r="C735" s="3" t="s">
        <v>1205</v>
      </c>
      <c r="D735" s="5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1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5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5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0" t="s">
        <v>1204</v>
      </c>
      <c r="B736" s="31"/>
      <c r="C736" s="3" t="s">
        <v>1205</v>
      </c>
      <c r="D736" s="5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1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5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5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0" t="s">
        <v>1204</v>
      </c>
      <c r="B737" s="31"/>
      <c r="C737" s="3" t="s">
        <v>1205</v>
      </c>
      <c r="D737" s="5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1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5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5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0" t="s">
        <v>1204</v>
      </c>
      <c r="B738" s="31"/>
      <c r="C738" s="3" t="s">
        <v>1205</v>
      </c>
      <c r="D738" s="5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1" t="s">
        <v>46</v>
      </c>
      <c r="N738" s="5" t="s">
        <v>465</v>
      </c>
      <c r="O738" s="1" t="s">
        <v>81</v>
      </c>
      <c r="P738" s="1" t="s">
        <v>81</v>
      </c>
      <c r="Q738" s="1" t="s">
        <v>81</v>
      </c>
      <c r="R738" s="5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5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0" t="s">
        <v>1204</v>
      </c>
      <c r="B739" s="31"/>
      <c r="C739" s="3" t="s">
        <v>1205</v>
      </c>
      <c r="D739" s="5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1" t="s">
        <v>46</v>
      </c>
      <c r="N739" s="5" t="s">
        <v>465</v>
      </c>
      <c r="O739" s="1" t="s">
        <v>81</v>
      </c>
      <c r="P739" s="1" t="s">
        <v>81</v>
      </c>
      <c r="Q739" s="1" t="s">
        <v>81</v>
      </c>
      <c r="R739" s="5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5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0" t="s">
        <v>1204</v>
      </c>
      <c r="B740" s="31"/>
      <c r="C740" s="3" t="s">
        <v>1205</v>
      </c>
      <c r="D740" s="5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1" t="s">
        <v>46</v>
      </c>
      <c r="N740" s="5" t="s">
        <v>465</v>
      </c>
      <c r="O740" s="1" t="s">
        <v>81</v>
      </c>
      <c r="P740" s="1" t="s">
        <v>81</v>
      </c>
      <c r="Q740" s="1" t="s">
        <v>81</v>
      </c>
      <c r="R740" s="5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5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0" t="s">
        <v>1204</v>
      </c>
      <c r="B741" s="31"/>
      <c r="C741" s="3" t="s">
        <v>1205</v>
      </c>
      <c r="D741" s="5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1" t="s">
        <v>46</v>
      </c>
      <c r="N741" s="5" t="s">
        <v>465</v>
      </c>
      <c r="O741" s="1" t="s">
        <v>81</v>
      </c>
      <c r="P741" s="1" t="s">
        <v>81</v>
      </c>
      <c r="Q741" s="1" t="s">
        <v>81</v>
      </c>
      <c r="R741" s="5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5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0" t="s">
        <v>1204</v>
      </c>
      <c r="B742" s="31"/>
      <c r="C742" s="3" t="s">
        <v>1205</v>
      </c>
      <c r="D742" s="5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1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5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5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0" t="s">
        <v>1204</v>
      </c>
      <c r="B743" s="31"/>
      <c r="C743" s="3" t="s">
        <v>1205</v>
      </c>
      <c r="D743" s="5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1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5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5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0" t="s">
        <v>1204</v>
      </c>
      <c r="B744" s="31"/>
      <c r="C744" s="3" t="s">
        <v>1205</v>
      </c>
      <c r="D744" s="5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1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5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5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0" t="s">
        <v>1204</v>
      </c>
      <c r="B745" s="31"/>
      <c r="C745" s="3" t="s">
        <v>1205</v>
      </c>
      <c r="D745" s="5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1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5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5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0" t="s">
        <v>1204</v>
      </c>
      <c r="B746" s="31"/>
      <c r="C746" s="3" t="s">
        <v>1205</v>
      </c>
      <c r="D746" s="5" t="s">
        <v>15</v>
      </c>
      <c r="E746" s="5" t="s">
        <v>636</v>
      </c>
      <c r="F746" s="6" t="s">
        <v>637</v>
      </c>
      <c r="G746" s="5" t="s">
        <v>401</v>
      </c>
      <c r="H746" s="14" t="s">
        <v>323</v>
      </c>
      <c r="I746" s="5" t="str">
        <f aca="false">CONCATENATE(E746, "_",H746)</f>
        <v>NLA_2022_017_113</v>
      </c>
      <c r="J746" s="1" t="s">
        <v>166</v>
      </c>
      <c r="K746" s="5" t="s">
        <v>639</v>
      </c>
      <c r="L746" s="5" t="s">
        <v>69</v>
      </c>
      <c r="M746" s="1" t="s">
        <v>46</v>
      </c>
      <c r="N746" s="5" t="s">
        <v>404</v>
      </c>
      <c r="O746" s="5" t="s">
        <v>42</v>
      </c>
      <c r="P746" s="5" t="s">
        <v>405</v>
      </c>
      <c r="Q746" s="5" t="s">
        <v>46</v>
      </c>
      <c r="R746" s="5" t="s">
        <v>44</v>
      </c>
      <c r="S746" s="5" t="s">
        <v>46</v>
      </c>
      <c r="T746" s="5" t="s">
        <v>419</v>
      </c>
      <c r="U746" s="5" t="s">
        <v>46</v>
      </c>
      <c r="V746" s="5" t="n">
        <v>1</v>
      </c>
      <c r="W746" s="1" t="s">
        <v>640</v>
      </c>
      <c r="X746" s="5" t="s">
        <v>408</v>
      </c>
      <c r="Y746" s="5" t="n">
        <v>5500</v>
      </c>
      <c r="Z746" s="5" t="s">
        <v>641</v>
      </c>
      <c r="AA746" s="5" t="s">
        <v>642</v>
      </c>
      <c r="AB746" s="13" t="str">
        <f aca="true" t="array" ref="AB746:AB746">LEFT(AA746,LOOKUP(2^15,FIND(".",AA746,ROW(INDIRECT("1:"&amp;LEN(AA746)))))-1)</f>
        <v>NB_2022_047 - 07102022 - 1</v>
      </c>
      <c r="AC746" s="5" t="s">
        <v>644</v>
      </c>
      <c r="AD746" s="13" t="str">
        <f aca="true" t="array" ref="AD746:AD746">LEFT(AC746,LOOKUP(2^15,FIND(".",AC746,ROW(INDIRECT("1:"&amp;LEN(AC746)))))-1)</f>
        <v>NB_2022_047 - 07102022 - 2</v>
      </c>
      <c r="AE746" s="5" t="str">
        <f aca="false">CONCATENATE(AB746, "-",H746, ".mzML")</f>
        <v>NB_2022_047 - 07102022 - 1-113.mzML</v>
      </c>
      <c r="AF746" s="5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0" t="s">
        <v>1204</v>
      </c>
      <c r="B747" s="31"/>
      <c r="C747" s="3" t="s">
        <v>1205</v>
      </c>
      <c r="D747" s="5" t="s">
        <v>15</v>
      </c>
      <c r="E747" s="5" t="s">
        <v>636</v>
      </c>
      <c r="F747" s="6" t="s">
        <v>637</v>
      </c>
      <c r="G747" s="5" t="s">
        <v>401</v>
      </c>
      <c r="H747" s="14" t="s">
        <v>333</v>
      </c>
      <c r="I747" s="5" t="str">
        <f aca="false">CONCATENATE(E747, "_",H747)</f>
        <v>NLA_2022_017_115</v>
      </c>
      <c r="J747" s="1" t="s">
        <v>166</v>
      </c>
      <c r="K747" s="5" t="s">
        <v>654</v>
      </c>
      <c r="L747" s="5" t="s">
        <v>69</v>
      </c>
      <c r="M747" s="1" t="s">
        <v>46</v>
      </c>
      <c r="N747" s="5" t="s">
        <v>404</v>
      </c>
      <c r="O747" s="5" t="s">
        <v>42</v>
      </c>
      <c r="P747" s="5" t="s">
        <v>405</v>
      </c>
      <c r="Q747" s="5" t="s">
        <v>46</v>
      </c>
      <c r="R747" s="5" t="s">
        <v>44</v>
      </c>
      <c r="S747" s="5" t="s">
        <v>46</v>
      </c>
      <c r="T747" s="5" t="s">
        <v>419</v>
      </c>
      <c r="U747" s="5" t="s">
        <v>46</v>
      </c>
      <c r="V747" s="5" t="n">
        <v>1</v>
      </c>
      <c r="W747" s="1" t="s">
        <v>655</v>
      </c>
      <c r="X747" s="5" t="s">
        <v>408</v>
      </c>
      <c r="Y747" s="5" t="n">
        <v>5500</v>
      </c>
      <c r="Z747" s="5" t="s">
        <v>641</v>
      </c>
      <c r="AA747" s="5" t="s">
        <v>642</v>
      </c>
      <c r="AB747" s="13" t="str">
        <f aca="true" t="array" ref="AB747:AB747">LEFT(AA747,LOOKUP(2^15,FIND(".",AA747,ROW(INDIRECT("1:"&amp;LEN(AA747)))))-1)</f>
        <v>NB_2022_047 - 07102022 - 1</v>
      </c>
      <c r="AC747" s="5" t="s">
        <v>644</v>
      </c>
      <c r="AD747" s="13" t="str">
        <f aca="true" t="array" ref="AD747:AD747">LEFT(AC747,LOOKUP(2^15,FIND(".",AC747,ROW(INDIRECT("1:"&amp;LEN(AC747)))))-1)</f>
        <v>NB_2022_047 - 07102022 - 2</v>
      </c>
      <c r="AE747" s="5" t="str">
        <f aca="false">CONCATENATE(AB747, "-",H747, ".mzML")</f>
        <v>NB_2022_047 - 07102022 - 1-115.mzML</v>
      </c>
      <c r="AF747" s="5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0" t="s">
        <v>1204</v>
      </c>
      <c r="B748" s="31"/>
      <c r="C748" s="3" t="s">
        <v>1205</v>
      </c>
      <c r="D748" s="5" t="s">
        <v>15</v>
      </c>
      <c r="E748" s="5" t="s">
        <v>636</v>
      </c>
      <c r="F748" s="6" t="s">
        <v>637</v>
      </c>
      <c r="G748" s="5" t="s">
        <v>401</v>
      </c>
      <c r="H748" s="14" t="s">
        <v>344</v>
      </c>
      <c r="I748" s="5" t="str">
        <f aca="false">CONCATENATE(E748, "_",H748)</f>
        <v>NLA_2022_017_125</v>
      </c>
      <c r="J748" s="5" t="s">
        <v>166</v>
      </c>
      <c r="K748" s="28" t="s">
        <v>1128</v>
      </c>
      <c r="L748" s="5" t="s">
        <v>69</v>
      </c>
      <c r="M748" s="1" t="s">
        <v>46</v>
      </c>
      <c r="N748" s="5" t="s">
        <v>404</v>
      </c>
      <c r="O748" s="5" t="s">
        <v>42</v>
      </c>
      <c r="P748" s="5" t="s">
        <v>1056</v>
      </c>
      <c r="Q748" s="5" t="s">
        <v>46</v>
      </c>
      <c r="R748" s="5" t="s">
        <v>44</v>
      </c>
      <c r="S748" s="5" t="s">
        <v>46</v>
      </c>
      <c r="T748" s="5" t="s">
        <v>419</v>
      </c>
      <c r="U748" s="5" t="s">
        <v>46</v>
      </c>
      <c r="V748" s="1" t="n">
        <v>1</v>
      </c>
      <c r="W748" s="29" t="s">
        <v>655</v>
      </c>
      <c r="X748" s="5" t="s">
        <v>408</v>
      </c>
      <c r="Y748" s="1" t="n">
        <v>5500</v>
      </c>
      <c r="Z748" s="5" t="s">
        <v>641</v>
      </c>
      <c r="AA748" s="5" t="s">
        <v>642</v>
      </c>
      <c r="AB748" s="13" t="str">
        <f aca="true" t="array" ref="AB748:AB748">LEFT(AA748,LOOKUP(2^15,FIND(".",AA748,ROW(INDIRECT("1:"&amp;LEN(AA748)))))-1)</f>
        <v>NB_2022_047 - 07102022 - 1</v>
      </c>
      <c r="AC748" s="5" t="s">
        <v>644</v>
      </c>
      <c r="AD748" s="13" t="str">
        <f aca="true" t="array" ref="AD748:AD748">LEFT(AC748,LOOKUP(2^15,FIND(".",AC748,ROW(INDIRECT("1:"&amp;LEN(AC748)))))-1)</f>
        <v>NB_2022_047 - 07102022 - 2</v>
      </c>
      <c r="AE748" s="5" t="str">
        <f aca="false">CONCATENATE(AB748, "-",H748, ".mzML")</f>
        <v>NB_2022_047 - 07102022 - 1-125.mzML</v>
      </c>
      <c r="AF748" s="5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0" t="s">
        <v>1204</v>
      </c>
      <c r="B749" s="31"/>
      <c r="C749" s="3" t="s">
        <v>1205</v>
      </c>
      <c r="D749" s="5" t="s">
        <v>15</v>
      </c>
      <c r="E749" s="5" t="s">
        <v>636</v>
      </c>
      <c r="F749" s="6" t="s">
        <v>637</v>
      </c>
      <c r="G749" s="5" t="s">
        <v>401</v>
      </c>
      <c r="H749" s="14" t="s">
        <v>345</v>
      </c>
      <c r="I749" s="5" t="str">
        <f aca="false">CONCATENATE(E749, "_",H749)</f>
        <v>NLA_2022_017_126</v>
      </c>
      <c r="J749" s="5" t="s">
        <v>166</v>
      </c>
      <c r="K749" s="28" t="s">
        <v>1132</v>
      </c>
      <c r="L749" s="5" t="s">
        <v>69</v>
      </c>
      <c r="M749" s="1" t="s">
        <v>46</v>
      </c>
      <c r="N749" s="5" t="s">
        <v>404</v>
      </c>
      <c r="O749" s="5" t="s">
        <v>430</v>
      </c>
      <c r="P749" s="5" t="s">
        <v>1056</v>
      </c>
      <c r="Q749" s="5" t="s">
        <v>46</v>
      </c>
      <c r="R749" s="5" t="s">
        <v>44</v>
      </c>
      <c r="S749" s="5" t="s">
        <v>46</v>
      </c>
      <c r="T749" s="5" t="s">
        <v>419</v>
      </c>
      <c r="U749" s="5" t="s">
        <v>46</v>
      </c>
      <c r="V749" s="1" t="n">
        <v>1</v>
      </c>
      <c r="W749" s="5" t="s">
        <v>666</v>
      </c>
      <c r="X749" s="5" t="s">
        <v>408</v>
      </c>
      <c r="Y749" s="1" t="n">
        <v>5500</v>
      </c>
      <c r="Z749" s="5" t="s">
        <v>641</v>
      </c>
      <c r="AA749" s="5" t="s">
        <v>642</v>
      </c>
      <c r="AB749" s="13" t="str">
        <f aca="true" t="array" ref="AB749:AB749">LEFT(AA749,LOOKUP(2^15,FIND(".",AA749,ROW(INDIRECT("1:"&amp;LEN(AA749)))))-1)</f>
        <v>NB_2022_047 - 07102022 - 1</v>
      </c>
      <c r="AC749" s="5" t="s">
        <v>644</v>
      </c>
      <c r="AD749" s="13" t="str">
        <f aca="true" t="array" ref="AD749:AD749">LEFT(AC749,LOOKUP(2^15,FIND(".",AC749,ROW(INDIRECT("1:"&amp;LEN(AC749)))))-1)</f>
        <v>NB_2022_047 - 07102022 - 2</v>
      </c>
      <c r="AE749" s="5" t="str">
        <f aca="false">CONCATENATE(AB749, "-",H749, ".mzML")</f>
        <v>NB_2022_047 - 07102022 - 1-126.mzML</v>
      </c>
      <c r="AF749" s="5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0" t="s">
        <v>1204</v>
      </c>
      <c r="B750" s="31"/>
      <c r="C750" s="3" t="s">
        <v>1205</v>
      </c>
      <c r="D750" s="5" t="s">
        <v>15</v>
      </c>
      <c r="E750" s="5" t="s">
        <v>636</v>
      </c>
      <c r="F750" s="6" t="s">
        <v>637</v>
      </c>
      <c r="G750" s="5" t="s">
        <v>401</v>
      </c>
      <c r="H750" s="14" t="s">
        <v>360</v>
      </c>
      <c r="I750" s="5" t="str">
        <f aca="false">CONCATENATE(E750, "_",H750)</f>
        <v>NLA_2022_017_131</v>
      </c>
      <c r="J750" s="5" t="s">
        <v>166</v>
      </c>
      <c r="K750" s="28" t="s">
        <v>1136</v>
      </c>
      <c r="L750" s="5" t="s">
        <v>69</v>
      </c>
      <c r="M750" s="1" t="s">
        <v>46</v>
      </c>
      <c r="N750" s="5" t="s">
        <v>404</v>
      </c>
      <c r="O750" s="5" t="s">
        <v>526</v>
      </c>
      <c r="P750" s="5" t="s">
        <v>1056</v>
      </c>
      <c r="Q750" s="5" t="s">
        <v>46</v>
      </c>
      <c r="R750" s="5" t="s">
        <v>72</v>
      </c>
      <c r="S750" s="5" t="s">
        <v>46</v>
      </c>
      <c r="T750" s="5" t="s">
        <v>419</v>
      </c>
      <c r="U750" s="5" t="s">
        <v>46</v>
      </c>
      <c r="V750" s="1" t="n">
        <v>1</v>
      </c>
      <c r="W750" s="5" t="s">
        <v>779</v>
      </c>
      <c r="X750" s="5" t="s">
        <v>408</v>
      </c>
      <c r="Y750" s="1" t="n">
        <v>5500</v>
      </c>
      <c r="Z750" s="5" t="s">
        <v>641</v>
      </c>
      <c r="AA750" s="5" t="s">
        <v>642</v>
      </c>
      <c r="AB750" s="13" t="str">
        <f aca="true" t="array" ref="AB750:AB750">LEFT(AA750,LOOKUP(2^15,FIND(".",AA750,ROW(INDIRECT("1:"&amp;LEN(AA750)))))-1)</f>
        <v>NB_2022_047 - 07102022 - 1</v>
      </c>
      <c r="AC750" s="5" t="s">
        <v>644</v>
      </c>
      <c r="AD750" s="13" t="str">
        <f aca="true" t="array" ref="AD750:AD750">LEFT(AC750,LOOKUP(2^15,FIND(".",AC750,ROW(INDIRECT("1:"&amp;LEN(AC750)))))-1)</f>
        <v>NB_2022_047 - 07102022 - 2</v>
      </c>
      <c r="AE750" s="5" t="str">
        <f aca="false">CONCATENATE(AB750, "-",H750, ".mzML")</f>
        <v>NB_2022_047 - 07102022 - 1-131.mzML</v>
      </c>
      <c r="AF750" s="5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0" t="s">
        <v>1204</v>
      </c>
      <c r="B751" s="31"/>
      <c r="C751" s="3" t="s">
        <v>1205</v>
      </c>
      <c r="D751" s="5" t="s">
        <v>15</v>
      </c>
      <c r="E751" s="5" t="s">
        <v>636</v>
      </c>
      <c r="F751" s="6" t="s">
        <v>637</v>
      </c>
      <c r="G751" s="5" t="s">
        <v>401</v>
      </c>
      <c r="H751" s="14" t="s">
        <v>363</v>
      </c>
      <c r="I751" s="5" t="str">
        <f aca="false">CONCATENATE(E751, "_",H751)</f>
        <v>NLA_2022_017_134</v>
      </c>
      <c r="J751" s="5" t="s">
        <v>166</v>
      </c>
      <c r="K751" s="5" t="s">
        <v>964</v>
      </c>
      <c r="L751" s="5" t="s">
        <v>69</v>
      </c>
      <c r="M751" s="1" t="s">
        <v>46</v>
      </c>
      <c r="N751" s="5" t="s">
        <v>404</v>
      </c>
      <c r="O751" s="5" t="s">
        <v>42</v>
      </c>
      <c r="P751" s="5" t="s">
        <v>901</v>
      </c>
      <c r="Q751" s="5" t="s">
        <v>46</v>
      </c>
      <c r="R751" s="5" t="s">
        <v>44</v>
      </c>
      <c r="S751" s="5" t="s">
        <v>46</v>
      </c>
      <c r="T751" s="5" t="s">
        <v>419</v>
      </c>
      <c r="U751" s="5" t="s">
        <v>46</v>
      </c>
      <c r="V751" s="5" t="n">
        <v>1</v>
      </c>
      <c r="W751" s="5" t="s">
        <v>527</v>
      </c>
      <c r="X751" s="5" t="s">
        <v>408</v>
      </c>
      <c r="Y751" s="5" t="n">
        <v>5500</v>
      </c>
      <c r="Z751" s="5" t="s">
        <v>641</v>
      </c>
      <c r="AA751" s="5" t="s">
        <v>642</v>
      </c>
      <c r="AB751" s="13" t="str">
        <f aca="true" t="array" ref="AB751:AB751">LEFT(AA751,LOOKUP(2^15,FIND(".",AA751,ROW(INDIRECT("1:"&amp;LEN(AA751)))))-1)</f>
        <v>NB_2022_047 - 07102022 - 1</v>
      </c>
      <c r="AC751" s="5" t="s">
        <v>644</v>
      </c>
      <c r="AD751" s="13" t="str">
        <f aca="true" t="array" ref="AD751:AD751">LEFT(AC751,LOOKUP(2^15,FIND(".",AC751,ROW(INDIRECT("1:"&amp;LEN(AC751)))))-1)</f>
        <v>NB_2022_047 - 07102022 - 2</v>
      </c>
      <c r="AE751" s="5" t="str">
        <f aca="false">CONCATENATE(AB751, "-",H751, ".mzML")</f>
        <v>NB_2022_047 - 07102022 - 1-134.mzML</v>
      </c>
      <c r="AF751" s="5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0" t="s">
        <v>1204</v>
      </c>
      <c r="B752" s="31"/>
      <c r="C752" s="3" t="s">
        <v>1205</v>
      </c>
      <c r="D752" s="5" t="s">
        <v>15</v>
      </c>
      <c r="E752" s="5" t="s">
        <v>636</v>
      </c>
      <c r="F752" s="6" t="s">
        <v>637</v>
      </c>
      <c r="G752" s="5" t="s">
        <v>401</v>
      </c>
      <c r="H752" s="14" t="s">
        <v>372</v>
      </c>
      <c r="I752" s="5" t="str">
        <f aca="false">CONCATENATE(E752, "_",H752)</f>
        <v>NLA_2022_017_143</v>
      </c>
      <c r="J752" s="5" t="s">
        <v>166</v>
      </c>
      <c r="K752" s="5" t="s">
        <v>664</v>
      </c>
      <c r="L752" s="5" t="s">
        <v>69</v>
      </c>
      <c r="M752" s="1" t="s">
        <v>46</v>
      </c>
      <c r="N752" s="5" t="s">
        <v>404</v>
      </c>
      <c r="O752" s="5" t="s">
        <v>665</v>
      </c>
      <c r="P752" s="5" t="s">
        <v>405</v>
      </c>
      <c r="Q752" s="5" t="s">
        <v>46</v>
      </c>
      <c r="R752" s="5" t="s">
        <v>44</v>
      </c>
      <c r="S752" s="5" t="s">
        <v>46</v>
      </c>
      <c r="T752" s="5" t="s">
        <v>419</v>
      </c>
      <c r="U752" s="5" t="s">
        <v>46</v>
      </c>
      <c r="V752" s="5" t="n">
        <v>1</v>
      </c>
      <c r="W752" s="5" t="s">
        <v>666</v>
      </c>
      <c r="X752" s="5" t="s">
        <v>408</v>
      </c>
      <c r="Y752" s="5" t="n">
        <v>5500</v>
      </c>
      <c r="Z752" s="5" t="s">
        <v>641</v>
      </c>
      <c r="AA752" s="5" t="s">
        <v>642</v>
      </c>
      <c r="AB752" s="13" t="str">
        <f aca="true" t="array" ref="AB752:AB752">LEFT(AA752,LOOKUP(2^15,FIND(".",AA752,ROW(INDIRECT("1:"&amp;LEN(AA752)))))-1)</f>
        <v>NB_2022_047 - 07102022 - 1</v>
      </c>
      <c r="AC752" s="5" t="s">
        <v>644</v>
      </c>
      <c r="AD752" s="13" t="str">
        <f aca="true" t="array" ref="AD752:AD752">LEFT(AC752,LOOKUP(2^15,FIND(".",AC752,ROW(INDIRECT("1:"&amp;LEN(AC752)))))-1)</f>
        <v>NB_2022_047 - 07102022 - 2</v>
      </c>
      <c r="AE752" s="5" t="str">
        <f aca="false">CONCATENATE(AB752, "-",H752, ".mzML")</f>
        <v>NB_2022_047 - 07102022 - 1-143.mzML</v>
      </c>
      <c r="AF752" s="5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0" t="s">
        <v>1204</v>
      </c>
      <c r="B753" s="31"/>
      <c r="C753" s="3" t="s">
        <v>1205</v>
      </c>
      <c r="D753" s="5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1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5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5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0" t="s">
        <v>1204</v>
      </c>
      <c r="B754" s="31"/>
      <c r="C754" s="3" t="s">
        <v>1205</v>
      </c>
      <c r="D754" s="5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1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5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5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0" t="s">
        <v>1204</v>
      </c>
      <c r="B755" s="31"/>
      <c r="C755" s="3" t="s">
        <v>1205</v>
      </c>
      <c r="D755" s="5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1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5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5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0" t="s">
        <v>1204</v>
      </c>
      <c r="B756" s="31"/>
      <c r="C756" s="3" t="s">
        <v>1205</v>
      </c>
      <c r="D756" s="5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1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5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5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0" t="s">
        <v>1204</v>
      </c>
      <c r="B757" s="31"/>
      <c r="C757" s="3" t="s">
        <v>1205</v>
      </c>
      <c r="D757" s="5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1" t="s">
        <v>46</v>
      </c>
      <c r="N757" s="5" t="s">
        <v>465</v>
      </c>
      <c r="O757" s="1" t="s">
        <v>81</v>
      </c>
      <c r="P757" s="1" t="s">
        <v>81</v>
      </c>
      <c r="Q757" s="1" t="s">
        <v>81</v>
      </c>
      <c r="R757" s="5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5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0" t="s">
        <v>1204</v>
      </c>
      <c r="B758" s="31"/>
      <c r="C758" s="3" t="s">
        <v>1205</v>
      </c>
      <c r="D758" s="5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1" t="s">
        <v>46</v>
      </c>
      <c r="N758" s="5" t="s">
        <v>465</v>
      </c>
      <c r="O758" s="1" t="s">
        <v>81</v>
      </c>
      <c r="P758" s="1" t="s">
        <v>81</v>
      </c>
      <c r="Q758" s="1" t="s">
        <v>81</v>
      </c>
      <c r="R758" s="5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5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0" t="s">
        <v>1204</v>
      </c>
      <c r="B759" s="31"/>
      <c r="C759" s="3" t="s">
        <v>1205</v>
      </c>
      <c r="D759" s="5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1" t="s">
        <v>46</v>
      </c>
      <c r="N759" s="5" t="s">
        <v>465</v>
      </c>
      <c r="O759" s="1" t="s">
        <v>81</v>
      </c>
      <c r="P759" s="1" t="s">
        <v>81</v>
      </c>
      <c r="Q759" s="1" t="s">
        <v>81</v>
      </c>
      <c r="R759" s="5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5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0" t="s">
        <v>1204</v>
      </c>
      <c r="B760" s="31"/>
      <c r="C760" s="3" t="s">
        <v>1205</v>
      </c>
      <c r="D760" s="5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1" t="s">
        <v>46</v>
      </c>
      <c r="N760" s="5" t="s">
        <v>465</v>
      </c>
      <c r="O760" s="1" t="s">
        <v>81</v>
      </c>
      <c r="P760" s="1" t="s">
        <v>81</v>
      </c>
      <c r="Q760" s="1" t="s">
        <v>81</v>
      </c>
      <c r="R760" s="5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5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0" t="s">
        <v>1204</v>
      </c>
      <c r="B761" s="31"/>
      <c r="C761" s="3" t="s">
        <v>1205</v>
      </c>
      <c r="D761" s="5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1" t="s">
        <v>46</v>
      </c>
      <c r="N761" s="5" t="s">
        <v>70</v>
      </c>
      <c r="O761" s="1" t="s">
        <v>46</v>
      </c>
      <c r="P761" s="1" t="s">
        <v>71</v>
      </c>
      <c r="Q761" s="1" t="s">
        <v>71</v>
      </c>
      <c r="R761" s="5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5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0" t="s">
        <v>1204</v>
      </c>
      <c r="B762" s="31"/>
      <c r="C762" s="3" t="s">
        <v>1205</v>
      </c>
      <c r="D762" s="5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1" t="s">
        <v>46</v>
      </c>
      <c r="N762" s="5" t="s">
        <v>70</v>
      </c>
      <c r="O762" s="1" t="s">
        <v>46</v>
      </c>
      <c r="P762" s="1" t="s">
        <v>71</v>
      </c>
      <c r="Q762" s="1" t="s">
        <v>71</v>
      </c>
      <c r="R762" s="5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5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0" t="s">
        <v>1204</v>
      </c>
      <c r="B763" s="31"/>
      <c r="C763" s="3" t="s">
        <v>1205</v>
      </c>
      <c r="D763" s="5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1" t="s">
        <v>46</v>
      </c>
      <c r="N763" s="5" t="s">
        <v>70</v>
      </c>
      <c r="O763" s="1" t="s">
        <v>46</v>
      </c>
      <c r="P763" s="1" t="s">
        <v>71</v>
      </c>
      <c r="Q763" s="1" t="s">
        <v>71</v>
      </c>
      <c r="R763" s="5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5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0" t="s">
        <v>1204</v>
      </c>
      <c r="B764" s="31"/>
      <c r="C764" s="3" t="s">
        <v>1205</v>
      </c>
      <c r="D764" s="5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1" t="s">
        <v>46</v>
      </c>
      <c r="N764" s="5" t="s">
        <v>70</v>
      </c>
      <c r="O764" s="1" t="s">
        <v>46</v>
      </c>
      <c r="P764" s="1" t="s">
        <v>71</v>
      </c>
      <c r="Q764" s="1" t="s">
        <v>71</v>
      </c>
      <c r="R764" s="5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5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0" t="s">
        <v>1204</v>
      </c>
      <c r="B765" s="31"/>
      <c r="C765" s="3" t="s">
        <v>1205</v>
      </c>
      <c r="D765" s="5" t="s">
        <v>15</v>
      </c>
      <c r="E765" s="5" t="s">
        <v>705</v>
      </c>
      <c r="F765" s="6" t="s">
        <v>706</v>
      </c>
      <c r="G765" s="5" t="s">
        <v>401</v>
      </c>
      <c r="H765" s="14" t="n">
        <v>148</v>
      </c>
      <c r="I765" s="5" t="str">
        <f aca="false">CONCATENATE(E765, "_",H765)</f>
        <v>NLA_2022_018_148</v>
      </c>
      <c r="J765" s="1" t="s">
        <v>166</v>
      </c>
      <c r="K765" s="5" t="s">
        <v>972</v>
      </c>
      <c r="L765" s="5" t="s">
        <v>69</v>
      </c>
      <c r="M765" s="1" t="s">
        <v>46</v>
      </c>
      <c r="N765" s="5" t="s">
        <v>404</v>
      </c>
      <c r="O765" s="5" t="s">
        <v>665</v>
      </c>
      <c r="P765" s="5" t="s">
        <v>901</v>
      </c>
      <c r="Q765" s="5" t="s">
        <v>46</v>
      </c>
      <c r="R765" s="5" t="s">
        <v>72</v>
      </c>
      <c r="S765" s="5" t="s">
        <v>46</v>
      </c>
      <c r="T765" s="5" t="s">
        <v>419</v>
      </c>
      <c r="U765" s="5" t="s">
        <v>46</v>
      </c>
      <c r="V765" s="5" t="n">
        <v>1</v>
      </c>
      <c r="W765" s="1" t="s">
        <v>640</v>
      </c>
      <c r="X765" s="5" t="s">
        <v>408</v>
      </c>
      <c r="Y765" s="5" t="n">
        <v>5500</v>
      </c>
      <c r="Z765" s="5" t="s">
        <v>710</v>
      </c>
      <c r="AA765" s="5" t="s">
        <v>711</v>
      </c>
      <c r="AB765" s="13" t="str">
        <f aca="true" t="array" ref="AB765:AB765">LEFT(AA765,LOOKUP(2^15,FIND(".",AA765,ROW(INDIRECT("1:"&amp;LEN(AA765)))))-1)</f>
        <v>NB_2022_047 - 10102022 - 1</v>
      </c>
      <c r="AC765" s="5" t="s">
        <v>713</v>
      </c>
      <c r="AD765" s="13" t="str">
        <f aca="true" t="array" ref="AD765:AD765">LEFT(AC765,LOOKUP(2^15,FIND(".",AC765,ROW(INDIRECT("1:"&amp;LEN(AC765)))))-1)</f>
        <v>NB_2022_047 - 10102022 - 2</v>
      </c>
      <c r="AE765" s="5" t="str">
        <f aca="false">CONCATENATE(AB765, "-",H765, ".mzML")</f>
        <v>NB_2022_047 - 10102022 - 1-148.mzML</v>
      </c>
      <c r="AF765" s="5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0" t="s">
        <v>1204</v>
      </c>
      <c r="B766" s="31"/>
      <c r="C766" s="3" t="s">
        <v>1205</v>
      </c>
      <c r="D766" s="5" t="s">
        <v>15</v>
      </c>
      <c r="E766" s="5" t="s">
        <v>705</v>
      </c>
      <c r="F766" s="6" t="s">
        <v>706</v>
      </c>
      <c r="G766" s="5" t="s">
        <v>401</v>
      </c>
      <c r="H766" s="14" t="n">
        <v>153</v>
      </c>
      <c r="I766" s="5" t="str">
        <f aca="false">CONCATENATE(E766, "_",H766)</f>
        <v>NLA_2022_018_153</v>
      </c>
      <c r="J766" s="5" t="s">
        <v>166</v>
      </c>
      <c r="K766" s="28" t="s">
        <v>1156</v>
      </c>
      <c r="L766" s="5" t="s">
        <v>69</v>
      </c>
      <c r="M766" s="1" t="s">
        <v>46</v>
      </c>
      <c r="N766" s="5" t="s">
        <v>404</v>
      </c>
      <c r="O766" s="5" t="s">
        <v>418</v>
      </c>
      <c r="P766" s="5" t="s">
        <v>1056</v>
      </c>
      <c r="Q766" s="5" t="s">
        <v>46</v>
      </c>
      <c r="R766" s="5" t="s">
        <v>72</v>
      </c>
      <c r="S766" s="5" t="s">
        <v>46</v>
      </c>
      <c r="T766" s="5" t="s">
        <v>419</v>
      </c>
      <c r="U766" s="5" t="s">
        <v>46</v>
      </c>
      <c r="V766" s="1" t="n">
        <v>1</v>
      </c>
      <c r="W766" s="5" t="s">
        <v>846</v>
      </c>
      <c r="X766" s="5" t="s">
        <v>408</v>
      </c>
      <c r="Y766" s="1" t="n">
        <v>5500</v>
      </c>
      <c r="Z766" s="5" t="s">
        <v>710</v>
      </c>
      <c r="AA766" s="5" t="s">
        <v>711</v>
      </c>
      <c r="AB766" s="13" t="str">
        <f aca="true" t="array" ref="AB766:AB766">LEFT(AA766,LOOKUP(2^15,FIND(".",AA766,ROW(INDIRECT("1:"&amp;LEN(AA766)))))-1)</f>
        <v>NB_2022_047 - 10102022 - 1</v>
      </c>
      <c r="AC766" s="5" t="s">
        <v>713</v>
      </c>
      <c r="AD766" s="13" t="str">
        <f aca="true" t="array" ref="AD766:AD766">LEFT(AC766,LOOKUP(2^15,FIND(".",AC766,ROW(INDIRECT("1:"&amp;LEN(AC766)))))-1)</f>
        <v>NB_2022_047 - 10102022 - 2</v>
      </c>
      <c r="AE766" s="5" t="str">
        <f aca="false">CONCATENATE(AB766, "-",H766, ".mzML")</f>
        <v>NB_2022_047 - 10102022 - 1-153.mzML</v>
      </c>
      <c r="AF766" s="5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0" t="s">
        <v>1204</v>
      </c>
      <c r="B767" s="31"/>
      <c r="C767" s="3" t="s">
        <v>1205</v>
      </c>
      <c r="D767" s="5" t="s">
        <v>15</v>
      </c>
      <c r="E767" s="5" t="s">
        <v>705</v>
      </c>
      <c r="F767" s="6" t="s">
        <v>706</v>
      </c>
      <c r="G767" s="5" t="s">
        <v>401</v>
      </c>
      <c r="H767" s="14" t="n">
        <v>164</v>
      </c>
      <c r="I767" s="5" t="str">
        <f aca="false">CONCATENATE(E767, "_",H767)</f>
        <v>NLA_2022_018_164</v>
      </c>
      <c r="J767" s="1" t="s">
        <v>166</v>
      </c>
      <c r="K767" s="5" t="s">
        <v>988</v>
      </c>
      <c r="L767" s="5" t="s">
        <v>69</v>
      </c>
      <c r="M767" s="1" t="s">
        <v>46</v>
      </c>
      <c r="N767" s="5" t="s">
        <v>404</v>
      </c>
      <c r="O767" s="5" t="s">
        <v>526</v>
      </c>
      <c r="P767" s="5" t="s">
        <v>901</v>
      </c>
      <c r="Q767" s="5" t="s">
        <v>46</v>
      </c>
      <c r="R767" s="5" t="s">
        <v>72</v>
      </c>
      <c r="S767" s="5" t="s">
        <v>46</v>
      </c>
      <c r="T767" s="5" t="s">
        <v>419</v>
      </c>
      <c r="U767" s="5" t="s">
        <v>46</v>
      </c>
      <c r="V767" s="5" t="n">
        <v>1</v>
      </c>
      <c r="W767" s="1" t="s">
        <v>655</v>
      </c>
      <c r="X767" s="5" t="s">
        <v>408</v>
      </c>
      <c r="Y767" s="5" t="n">
        <v>5500</v>
      </c>
      <c r="Z767" s="5" t="s">
        <v>710</v>
      </c>
      <c r="AA767" s="5" t="s">
        <v>711</v>
      </c>
      <c r="AB767" s="13" t="str">
        <f aca="true" t="array" ref="AB767:AB767">LEFT(AA767,LOOKUP(2^15,FIND(".",AA767,ROW(INDIRECT("1:"&amp;LEN(AA767)))))-1)</f>
        <v>NB_2022_047 - 10102022 - 1</v>
      </c>
      <c r="AC767" s="5" t="s">
        <v>713</v>
      </c>
      <c r="AD767" s="13" t="str">
        <f aca="true" t="array" ref="AD767:AD767">LEFT(AC767,LOOKUP(2^15,FIND(".",AC767,ROW(INDIRECT("1:"&amp;LEN(AC767)))))-1)</f>
        <v>NB_2022_047 - 10102022 - 2</v>
      </c>
      <c r="AE767" s="5" t="str">
        <f aca="false">CONCATENATE(AB767, "-",H767, ".mzML")</f>
        <v>NB_2022_047 - 10102022 - 1-164.mzML</v>
      </c>
      <c r="AF767" s="5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0" t="s">
        <v>1204</v>
      </c>
      <c r="B768" s="31"/>
      <c r="C768" s="3" t="s">
        <v>1205</v>
      </c>
      <c r="D768" s="5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1" t="s">
        <v>46</v>
      </c>
      <c r="N768" s="5" t="s">
        <v>65</v>
      </c>
      <c r="O768" s="1" t="s">
        <v>46</v>
      </c>
      <c r="P768" s="1" t="s">
        <v>46</v>
      </c>
      <c r="Q768" s="1" t="s">
        <v>46</v>
      </c>
      <c r="R768" s="5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5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0" t="s">
        <v>1204</v>
      </c>
      <c r="B769" s="31"/>
      <c r="C769" s="3" t="s">
        <v>1205</v>
      </c>
      <c r="D769" s="5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1" t="s">
        <v>46</v>
      </c>
      <c r="N769" s="5" t="s">
        <v>65</v>
      </c>
      <c r="O769" s="1" t="s">
        <v>46</v>
      </c>
      <c r="P769" s="1" t="s">
        <v>46</v>
      </c>
      <c r="Q769" s="1" t="s">
        <v>46</v>
      </c>
      <c r="R769" s="5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5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0" t="s">
        <v>1204</v>
      </c>
      <c r="B770" s="31"/>
      <c r="C770" s="3" t="s">
        <v>1205</v>
      </c>
      <c r="D770" s="5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1" t="s">
        <v>46</v>
      </c>
      <c r="N770" s="5" t="s">
        <v>65</v>
      </c>
      <c r="O770" s="1" t="s">
        <v>46</v>
      </c>
      <c r="P770" s="1" t="s">
        <v>46</v>
      </c>
      <c r="Q770" s="1" t="s">
        <v>46</v>
      </c>
      <c r="R770" s="5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5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0" t="s">
        <v>1204</v>
      </c>
      <c r="B771" s="31"/>
      <c r="C771" s="3" t="s">
        <v>1205</v>
      </c>
      <c r="D771" s="5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1" t="s">
        <v>46</v>
      </c>
      <c r="N771" s="5" t="s">
        <v>65</v>
      </c>
      <c r="O771" s="1" t="s">
        <v>46</v>
      </c>
      <c r="P771" s="1" t="s">
        <v>46</v>
      </c>
      <c r="Q771" s="1" t="s">
        <v>46</v>
      </c>
      <c r="R771" s="5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5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0" t="s">
        <v>1204</v>
      </c>
      <c r="B772" s="31"/>
      <c r="C772" s="3" t="s">
        <v>1205</v>
      </c>
      <c r="D772" s="5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1" t="s">
        <v>46</v>
      </c>
      <c r="N772" s="5" t="s">
        <v>465</v>
      </c>
      <c r="O772" s="1" t="s">
        <v>81</v>
      </c>
      <c r="P772" s="1" t="s">
        <v>81</v>
      </c>
      <c r="Q772" s="1" t="s">
        <v>81</v>
      </c>
      <c r="R772" s="5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5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0" t="s">
        <v>1204</v>
      </c>
      <c r="B773" s="31"/>
      <c r="C773" s="3" t="s">
        <v>1205</v>
      </c>
      <c r="D773" s="5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1" t="s">
        <v>46</v>
      </c>
      <c r="N773" s="5" t="s">
        <v>465</v>
      </c>
      <c r="O773" s="1" t="s">
        <v>81</v>
      </c>
      <c r="P773" s="1" t="s">
        <v>81</v>
      </c>
      <c r="Q773" s="1" t="s">
        <v>81</v>
      </c>
      <c r="R773" s="5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5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0" t="s">
        <v>1204</v>
      </c>
      <c r="B774" s="31"/>
      <c r="C774" s="3" t="s">
        <v>1205</v>
      </c>
      <c r="D774" s="5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1" t="s">
        <v>46</v>
      </c>
      <c r="N774" s="5" t="s">
        <v>465</v>
      </c>
      <c r="O774" s="1" t="s">
        <v>81</v>
      </c>
      <c r="P774" s="1" t="s">
        <v>81</v>
      </c>
      <c r="Q774" s="1" t="s">
        <v>81</v>
      </c>
      <c r="R774" s="5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5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0" t="s">
        <v>1204</v>
      </c>
      <c r="B775" s="31"/>
      <c r="C775" s="3" t="s">
        <v>1205</v>
      </c>
      <c r="D775" s="5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1" t="s">
        <v>46</v>
      </c>
      <c r="N775" s="5" t="s">
        <v>465</v>
      </c>
      <c r="O775" s="1" t="s">
        <v>81</v>
      </c>
      <c r="P775" s="1" t="s">
        <v>81</v>
      </c>
      <c r="Q775" s="1" t="s">
        <v>81</v>
      </c>
      <c r="R775" s="5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5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0" t="s">
        <v>1204</v>
      </c>
      <c r="B776" s="31"/>
      <c r="C776" s="3" t="s">
        <v>1205</v>
      </c>
      <c r="D776" s="5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1" t="s">
        <v>46</v>
      </c>
      <c r="N776" s="5" t="s">
        <v>70</v>
      </c>
      <c r="O776" s="1" t="s">
        <v>46</v>
      </c>
      <c r="P776" s="1" t="s">
        <v>71</v>
      </c>
      <c r="Q776" s="1" t="s">
        <v>71</v>
      </c>
      <c r="R776" s="5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5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0" t="s">
        <v>1204</v>
      </c>
      <c r="B777" s="31"/>
      <c r="C777" s="3" t="s">
        <v>1205</v>
      </c>
      <c r="D777" s="5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1" t="s">
        <v>46</v>
      </c>
      <c r="N777" s="5" t="s">
        <v>70</v>
      </c>
      <c r="O777" s="1" t="s">
        <v>46</v>
      </c>
      <c r="P777" s="1" t="s">
        <v>71</v>
      </c>
      <c r="Q777" s="1" t="s">
        <v>71</v>
      </c>
      <c r="R777" s="5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5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0" t="s">
        <v>1204</v>
      </c>
      <c r="B778" s="31"/>
      <c r="C778" s="3" t="s">
        <v>1205</v>
      </c>
      <c r="D778" s="5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1" t="s">
        <v>46</v>
      </c>
      <c r="N778" s="5" t="s">
        <v>70</v>
      </c>
      <c r="O778" s="1" t="s">
        <v>46</v>
      </c>
      <c r="P778" s="1" t="s">
        <v>71</v>
      </c>
      <c r="Q778" s="1" t="s">
        <v>71</v>
      </c>
      <c r="R778" s="5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5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0" t="s">
        <v>1204</v>
      </c>
      <c r="B779" s="31"/>
      <c r="C779" s="3" t="s">
        <v>1205</v>
      </c>
      <c r="D779" s="5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1" t="s">
        <v>46</v>
      </c>
      <c r="N779" s="5" t="s">
        <v>70</v>
      </c>
      <c r="O779" s="1" t="s">
        <v>46</v>
      </c>
      <c r="P779" s="1" t="s">
        <v>71</v>
      </c>
      <c r="Q779" s="1" t="s">
        <v>71</v>
      </c>
      <c r="R779" s="5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5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0" t="s">
        <v>1204</v>
      </c>
      <c r="B780" s="31"/>
      <c r="C780" s="3" t="s">
        <v>1205</v>
      </c>
      <c r="D780" s="5" t="s">
        <v>15</v>
      </c>
      <c r="E780" s="5" t="s">
        <v>758</v>
      </c>
      <c r="F780" s="6" t="s">
        <v>759</v>
      </c>
      <c r="G780" s="5" t="s">
        <v>401</v>
      </c>
      <c r="H780" s="14" t="s">
        <v>770</v>
      </c>
      <c r="I780" s="5" t="str">
        <f aca="false">CONCATENATE(E780, "_",H780)</f>
        <v>NLA_2022_019_191</v>
      </c>
      <c r="J780" s="5" t="s">
        <v>166</v>
      </c>
      <c r="K780" s="5" t="s">
        <v>772</v>
      </c>
      <c r="L780" s="5" t="s">
        <v>69</v>
      </c>
      <c r="M780" s="1" t="s">
        <v>46</v>
      </c>
      <c r="N780" s="5" t="s">
        <v>404</v>
      </c>
      <c r="O780" s="5" t="s">
        <v>42</v>
      </c>
      <c r="P780" s="5" t="s">
        <v>405</v>
      </c>
      <c r="Q780" s="5" t="s">
        <v>46</v>
      </c>
      <c r="R780" s="5" t="s">
        <v>44</v>
      </c>
      <c r="S780" s="5" t="s">
        <v>46</v>
      </c>
      <c r="T780" s="5" t="s">
        <v>419</v>
      </c>
      <c r="U780" s="5" t="s">
        <v>46</v>
      </c>
      <c r="V780" s="5" t="n">
        <v>1</v>
      </c>
      <c r="W780" s="5" t="s">
        <v>773</v>
      </c>
      <c r="X780" s="5" t="s">
        <v>408</v>
      </c>
      <c r="Y780" s="5" t="n">
        <v>5500</v>
      </c>
      <c r="Z780" s="5" t="s">
        <v>763</v>
      </c>
      <c r="AA780" s="5" t="s">
        <v>764</v>
      </c>
      <c r="AB780" s="13" t="str">
        <f aca="true" t="array" ref="AB780:AB780">LEFT(AA780,LOOKUP(2^15,FIND(".",AA780,ROW(INDIRECT("1:"&amp;LEN(AA780)))))-1)</f>
        <v>NB_2022_047 - 11102022 - 1</v>
      </c>
      <c r="AC780" s="5" t="s">
        <v>766</v>
      </c>
      <c r="AD780" s="13" t="str">
        <f aca="true" t="array" ref="AD780:AD780">LEFT(AC780,LOOKUP(2^15,FIND(".",AC780,ROW(INDIRECT("1:"&amp;LEN(AC780)))))-1)</f>
        <v>NB_2022_047 - 11102022 - 2</v>
      </c>
      <c r="AE780" s="5" t="str">
        <f aca="false">CONCATENATE(AB780, "-",H780, ".mzML")</f>
        <v>NB_2022_047 - 11102022 - 1-191.mzML</v>
      </c>
      <c r="AF780" s="5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0" t="s">
        <v>1204</v>
      </c>
      <c r="B781" s="31"/>
      <c r="C781" s="3" t="s">
        <v>1205</v>
      </c>
      <c r="D781" s="5" t="s">
        <v>15</v>
      </c>
      <c r="E781" s="5" t="s">
        <v>758</v>
      </c>
      <c r="F781" s="6" t="s">
        <v>759</v>
      </c>
      <c r="G781" s="5" t="s">
        <v>401</v>
      </c>
      <c r="H781" s="14" t="s">
        <v>1006</v>
      </c>
      <c r="I781" s="5" t="str">
        <f aca="false">CONCATENATE(E781, "_",H781)</f>
        <v>NLA_2022_019_192</v>
      </c>
      <c r="J781" s="5" t="s">
        <v>166</v>
      </c>
      <c r="K781" s="5" t="s">
        <v>1008</v>
      </c>
      <c r="L781" s="5" t="s">
        <v>69</v>
      </c>
      <c r="M781" s="1" t="s">
        <v>46</v>
      </c>
      <c r="N781" s="5" t="s">
        <v>404</v>
      </c>
      <c r="O781" s="5" t="s">
        <v>42</v>
      </c>
      <c r="P781" s="5" t="s">
        <v>901</v>
      </c>
      <c r="Q781" s="5" t="s">
        <v>46</v>
      </c>
      <c r="R781" s="5" t="s">
        <v>44</v>
      </c>
      <c r="S781" s="5" t="s">
        <v>46</v>
      </c>
      <c r="T781" s="5" t="s">
        <v>419</v>
      </c>
      <c r="U781" s="5" t="s">
        <v>46</v>
      </c>
      <c r="V781" s="5" t="n">
        <v>1</v>
      </c>
      <c r="W781" s="5" t="s">
        <v>666</v>
      </c>
      <c r="X781" s="5" t="s">
        <v>408</v>
      </c>
      <c r="Y781" s="5" t="n">
        <v>5500</v>
      </c>
      <c r="Z781" s="5" t="s">
        <v>763</v>
      </c>
      <c r="AA781" s="5" t="s">
        <v>764</v>
      </c>
      <c r="AB781" s="13" t="str">
        <f aca="true" t="array" ref="AB781:AB781">LEFT(AA781,LOOKUP(2^15,FIND(".",AA781,ROW(INDIRECT("1:"&amp;LEN(AA781)))))-1)</f>
        <v>NB_2022_047 - 11102022 - 1</v>
      </c>
      <c r="AC781" s="5" t="s">
        <v>766</v>
      </c>
      <c r="AD781" s="13" t="str">
        <f aca="true" t="array" ref="AD781:AD781">LEFT(AC781,LOOKUP(2^15,FIND(".",AC781,ROW(INDIRECT("1:"&amp;LEN(AC781)))))-1)</f>
        <v>NB_2022_047 - 11102022 - 2</v>
      </c>
      <c r="AE781" s="5" t="str">
        <f aca="false">CONCATENATE(AB781, "-",H781, ".mzML")</f>
        <v>NB_2022_047 - 11102022 - 1-192.mzML</v>
      </c>
      <c r="AF781" s="5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0" t="s">
        <v>1204</v>
      </c>
      <c r="B782" s="31"/>
      <c r="C782" s="3" t="s">
        <v>1205</v>
      </c>
      <c r="D782" s="5" t="s">
        <v>15</v>
      </c>
      <c r="E782" s="5" t="s">
        <v>758</v>
      </c>
      <c r="F782" s="6" t="s">
        <v>759</v>
      </c>
      <c r="G782" s="5" t="s">
        <v>401</v>
      </c>
      <c r="H782" s="14" t="s">
        <v>776</v>
      </c>
      <c r="I782" s="5" t="str">
        <f aca="false">CONCATENATE(E782, "_",H782)</f>
        <v>NLA_2022_019_203</v>
      </c>
      <c r="J782" s="5" t="s">
        <v>166</v>
      </c>
      <c r="K782" s="5" t="s">
        <v>778</v>
      </c>
      <c r="L782" s="5" t="s">
        <v>69</v>
      </c>
      <c r="M782" s="1" t="s">
        <v>46</v>
      </c>
      <c r="N782" s="5" t="s">
        <v>404</v>
      </c>
      <c r="O782" s="5" t="s">
        <v>42</v>
      </c>
      <c r="P782" s="5" t="s">
        <v>405</v>
      </c>
      <c r="Q782" s="5" t="s">
        <v>46</v>
      </c>
      <c r="R782" s="5" t="s">
        <v>72</v>
      </c>
      <c r="S782" s="5" t="s">
        <v>46</v>
      </c>
      <c r="T782" s="5" t="s">
        <v>419</v>
      </c>
      <c r="U782" s="5" t="s">
        <v>46</v>
      </c>
      <c r="V782" s="5" t="n">
        <v>1</v>
      </c>
      <c r="W782" s="5" t="s">
        <v>779</v>
      </c>
      <c r="X782" s="5" t="s">
        <v>408</v>
      </c>
      <c r="Y782" s="5" t="n">
        <v>5500</v>
      </c>
      <c r="Z782" s="5" t="s">
        <v>763</v>
      </c>
      <c r="AA782" s="5" t="s">
        <v>764</v>
      </c>
      <c r="AB782" s="13" t="str">
        <f aca="true" t="array" ref="AB782:AB782">LEFT(AA782,LOOKUP(2^15,FIND(".",AA782,ROW(INDIRECT("1:"&amp;LEN(AA782)))))-1)</f>
        <v>NB_2022_047 - 11102022 - 1</v>
      </c>
      <c r="AC782" s="5" t="s">
        <v>766</v>
      </c>
      <c r="AD782" s="13" t="str">
        <f aca="true" t="array" ref="AD782:AD782">LEFT(AC782,LOOKUP(2^15,FIND(".",AC782,ROW(INDIRECT("1:"&amp;LEN(AC782)))))-1)</f>
        <v>NB_2022_047 - 11102022 - 2</v>
      </c>
      <c r="AE782" s="5" t="str">
        <f aca="false">CONCATENATE(AB782, "-",H782, ".mzML")</f>
        <v>NB_2022_047 - 11102022 - 1-203.mzML</v>
      </c>
      <c r="AF782" s="5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0" t="s">
        <v>1204</v>
      </c>
      <c r="B783" s="31"/>
      <c r="C783" s="3" t="s">
        <v>1205</v>
      </c>
      <c r="D783" s="5" t="s">
        <v>15</v>
      </c>
      <c r="E783" s="5" t="s">
        <v>758</v>
      </c>
      <c r="F783" s="6" t="s">
        <v>759</v>
      </c>
      <c r="G783" s="5" t="s">
        <v>401</v>
      </c>
      <c r="H783" s="14" t="s">
        <v>1016</v>
      </c>
      <c r="I783" s="5" t="str">
        <f aca="false">CONCATENATE(E783, "_",H783)</f>
        <v>NLA_2022_019_213</v>
      </c>
      <c r="J783" s="5" t="s">
        <v>166</v>
      </c>
      <c r="K783" s="5" t="s">
        <v>1018</v>
      </c>
      <c r="L783" s="5" t="s">
        <v>69</v>
      </c>
      <c r="M783" s="1" t="s">
        <v>46</v>
      </c>
      <c r="N783" s="5" t="s">
        <v>404</v>
      </c>
      <c r="O783" s="5" t="s">
        <v>665</v>
      </c>
      <c r="P783" s="5" t="s">
        <v>901</v>
      </c>
      <c r="Q783" s="5" t="s">
        <v>46</v>
      </c>
      <c r="R783" s="5" t="s">
        <v>44</v>
      </c>
      <c r="S783" s="5" t="s">
        <v>46</v>
      </c>
      <c r="T783" s="5" t="s">
        <v>419</v>
      </c>
      <c r="U783" s="5" t="s">
        <v>46</v>
      </c>
      <c r="V783" s="5" t="n">
        <v>1</v>
      </c>
      <c r="W783" s="5" t="s">
        <v>779</v>
      </c>
      <c r="X783" s="5" t="s">
        <v>408</v>
      </c>
      <c r="Y783" s="5" t="n">
        <v>5500</v>
      </c>
      <c r="Z783" s="5" t="s">
        <v>763</v>
      </c>
      <c r="AA783" s="5" t="s">
        <v>764</v>
      </c>
      <c r="AB783" s="13" t="str">
        <f aca="true" t="array" ref="AB783:AB783">LEFT(AA783,LOOKUP(2^15,FIND(".",AA783,ROW(INDIRECT("1:"&amp;LEN(AA783)))))-1)</f>
        <v>NB_2022_047 - 11102022 - 1</v>
      </c>
      <c r="AC783" s="5" t="s">
        <v>766</v>
      </c>
      <c r="AD783" s="13" t="str">
        <f aca="true" t="array" ref="AD783:AD783">LEFT(AC783,LOOKUP(2^15,FIND(".",AC783,ROW(INDIRECT("1:"&amp;LEN(AC783)))))-1)</f>
        <v>NB_2022_047 - 11102022 - 2</v>
      </c>
      <c r="AE783" s="5" t="str">
        <f aca="false">CONCATENATE(AB783, "-",H783, ".mzML")</f>
        <v>NB_2022_047 - 11102022 - 1-213.mzML</v>
      </c>
      <c r="AF783" s="5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0" t="s">
        <v>1204</v>
      </c>
      <c r="B784" s="31"/>
      <c r="C784" s="3" t="s">
        <v>1205</v>
      </c>
      <c r="D784" s="5" t="s">
        <v>15</v>
      </c>
      <c r="E784" s="5" t="s">
        <v>758</v>
      </c>
      <c r="F784" s="6" t="s">
        <v>759</v>
      </c>
      <c r="G784" s="5" t="s">
        <v>401</v>
      </c>
      <c r="H784" s="14" t="s">
        <v>1021</v>
      </c>
      <c r="I784" s="5" t="str">
        <f aca="false">CONCATENATE(E784, "_",H784)</f>
        <v>NLA_2022_019_216</v>
      </c>
      <c r="J784" s="5" t="s">
        <v>166</v>
      </c>
      <c r="K784" s="5" t="s">
        <v>1023</v>
      </c>
      <c r="L784" s="5" t="s">
        <v>69</v>
      </c>
      <c r="M784" s="1" t="s">
        <v>46</v>
      </c>
      <c r="N784" s="5" t="s">
        <v>404</v>
      </c>
      <c r="O784" s="5" t="s">
        <v>42</v>
      </c>
      <c r="P784" s="5" t="s">
        <v>901</v>
      </c>
      <c r="Q784" s="5" t="s">
        <v>46</v>
      </c>
      <c r="R784" s="5" t="s">
        <v>44</v>
      </c>
      <c r="S784" s="5" t="s">
        <v>46</v>
      </c>
      <c r="T784" s="5" t="s">
        <v>419</v>
      </c>
      <c r="U784" s="5" t="s">
        <v>46</v>
      </c>
      <c r="V784" s="5" t="n">
        <v>1</v>
      </c>
      <c r="W784" s="5" t="s">
        <v>846</v>
      </c>
      <c r="X784" s="5" t="s">
        <v>408</v>
      </c>
      <c r="Y784" s="5" t="n">
        <v>5500</v>
      </c>
      <c r="Z784" s="5" t="s">
        <v>763</v>
      </c>
      <c r="AA784" s="5" t="s">
        <v>764</v>
      </c>
      <c r="AB784" s="13" t="str">
        <f aca="true" t="array" ref="AB784:AB784">LEFT(AA784,LOOKUP(2^15,FIND(".",AA784,ROW(INDIRECT("1:"&amp;LEN(AA784)))))-1)</f>
        <v>NB_2022_047 - 11102022 - 1</v>
      </c>
      <c r="AC784" s="5" t="s">
        <v>766</v>
      </c>
      <c r="AD784" s="13" t="str">
        <f aca="true" t="array" ref="AD784:AD784">LEFT(AC784,LOOKUP(2^15,FIND(".",AC784,ROW(INDIRECT("1:"&amp;LEN(AC784)))))-1)</f>
        <v>NB_2022_047 - 11102022 - 2</v>
      </c>
      <c r="AE784" s="5" t="str">
        <f aca="false">CONCATENATE(AB784, "-",H784, ".mzML")</f>
        <v>NB_2022_047 - 11102022 - 1-216.mzML</v>
      </c>
      <c r="AF784" s="5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0" t="s">
        <v>1204</v>
      </c>
      <c r="B785" s="31"/>
      <c r="C785" s="3" t="s">
        <v>1205</v>
      </c>
      <c r="D785" s="5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1" t="s">
        <v>46</v>
      </c>
      <c r="N785" s="5" t="s">
        <v>65</v>
      </c>
      <c r="O785" s="1" t="s">
        <v>46</v>
      </c>
      <c r="P785" s="1" t="s">
        <v>46</v>
      </c>
      <c r="Q785" s="1" t="s">
        <v>46</v>
      </c>
      <c r="R785" s="5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5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0" t="s">
        <v>1204</v>
      </c>
      <c r="B786" s="31"/>
      <c r="C786" s="3" t="s">
        <v>1205</v>
      </c>
      <c r="D786" s="5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1" t="s">
        <v>46</v>
      </c>
      <c r="N786" s="5" t="s">
        <v>65</v>
      </c>
      <c r="O786" s="1" t="s">
        <v>46</v>
      </c>
      <c r="P786" s="1" t="s">
        <v>46</v>
      </c>
      <c r="Q786" s="1" t="s">
        <v>46</v>
      </c>
      <c r="R786" s="5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5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0" t="s">
        <v>1204</v>
      </c>
      <c r="B787" s="31"/>
      <c r="C787" s="3" t="s">
        <v>1205</v>
      </c>
      <c r="D787" s="5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1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5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5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0" t="s">
        <v>1204</v>
      </c>
      <c r="B788" s="31"/>
      <c r="C788" s="3" t="s">
        <v>1205</v>
      </c>
      <c r="D788" s="5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1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5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5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0" t="s">
        <v>1204</v>
      </c>
      <c r="B789" s="31"/>
      <c r="C789" s="3" t="s">
        <v>1205</v>
      </c>
      <c r="D789" s="5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1" t="s">
        <v>46</v>
      </c>
      <c r="N789" s="5" t="s">
        <v>465</v>
      </c>
      <c r="O789" s="1" t="s">
        <v>81</v>
      </c>
      <c r="P789" s="1" t="s">
        <v>81</v>
      </c>
      <c r="Q789" s="1" t="s">
        <v>81</v>
      </c>
      <c r="R789" s="5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5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0" t="s">
        <v>1204</v>
      </c>
      <c r="B790" s="31"/>
      <c r="C790" s="3" t="s">
        <v>1205</v>
      </c>
      <c r="D790" s="5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1" t="s">
        <v>46</v>
      </c>
      <c r="N790" s="5" t="s">
        <v>465</v>
      </c>
      <c r="O790" s="1" t="s">
        <v>81</v>
      </c>
      <c r="P790" s="1" t="s">
        <v>81</v>
      </c>
      <c r="Q790" s="1" t="s">
        <v>81</v>
      </c>
      <c r="R790" s="5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5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0" t="s">
        <v>1204</v>
      </c>
      <c r="B791" s="31"/>
      <c r="C791" s="3" t="s">
        <v>1205</v>
      </c>
      <c r="D791" s="5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1" t="s">
        <v>46</v>
      </c>
      <c r="N791" s="5" t="s">
        <v>465</v>
      </c>
      <c r="O791" s="1" t="s">
        <v>81</v>
      </c>
      <c r="P791" s="1" t="s">
        <v>81</v>
      </c>
      <c r="Q791" s="1" t="s">
        <v>81</v>
      </c>
      <c r="R791" s="5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5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0" t="s">
        <v>1204</v>
      </c>
      <c r="B792" s="31"/>
      <c r="C792" s="3" t="s">
        <v>1205</v>
      </c>
      <c r="D792" s="5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1" t="s">
        <v>46</v>
      </c>
      <c r="N792" s="5" t="s">
        <v>465</v>
      </c>
      <c r="O792" s="1" t="s">
        <v>81</v>
      </c>
      <c r="P792" s="1" t="s">
        <v>81</v>
      </c>
      <c r="Q792" s="1" t="s">
        <v>81</v>
      </c>
      <c r="R792" s="5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5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0" t="s">
        <v>1204</v>
      </c>
      <c r="B793" s="31"/>
      <c r="C793" s="3" t="s">
        <v>1205</v>
      </c>
      <c r="D793" s="5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1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5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5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0" t="s">
        <v>1204</v>
      </c>
      <c r="B794" s="31"/>
      <c r="C794" s="3" t="s">
        <v>1205</v>
      </c>
      <c r="D794" s="5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1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5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5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0" t="s">
        <v>1204</v>
      </c>
      <c r="B795" s="31"/>
      <c r="C795" s="3" t="s">
        <v>1205</v>
      </c>
      <c r="D795" s="5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1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5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5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0" t="s">
        <v>1204</v>
      </c>
      <c r="B796" s="31"/>
      <c r="C796" s="3" t="s">
        <v>1205</v>
      </c>
      <c r="D796" s="5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1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5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5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0" t="s">
        <v>1204</v>
      </c>
      <c r="B797" s="31"/>
      <c r="C797" s="3" t="s">
        <v>1205</v>
      </c>
      <c r="D797" s="5" t="s">
        <v>15</v>
      </c>
      <c r="E797" s="5" t="s">
        <v>824</v>
      </c>
      <c r="F797" s="6" t="s">
        <v>825</v>
      </c>
      <c r="G797" s="5" t="s">
        <v>401</v>
      </c>
      <c r="H797" s="14" t="s">
        <v>1182</v>
      </c>
      <c r="I797" s="5" t="str">
        <f aca="false">CONCATENATE(E797, "_",H797)</f>
        <v>NLA_2022_020_218</v>
      </c>
      <c r="J797" s="5" t="s">
        <v>166</v>
      </c>
      <c r="K797" s="5" t="s">
        <v>1184</v>
      </c>
      <c r="L797" s="5" t="s">
        <v>69</v>
      </c>
      <c r="M797" s="1" t="s">
        <v>46</v>
      </c>
      <c r="N797" s="5" t="s">
        <v>404</v>
      </c>
      <c r="O797" s="5" t="s">
        <v>42</v>
      </c>
      <c r="P797" s="5" t="s">
        <v>1056</v>
      </c>
      <c r="Q797" s="5" t="s">
        <v>46</v>
      </c>
      <c r="R797" s="5" t="s">
        <v>72</v>
      </c>
      <c r="S797" s="5" t="s">
        <v>46</v>
      </c>
      <c r="T797" s="5" t="s">
        <v>419</v>
      </c>
      <c r="U797" s="5" t="s">
        <v>46</v>
      </c>
      <c r="V797" s="5" t="n">
        <v>1</v>
      </c>
      <c r="W797" s="5" t="s">
        <v>858</v>
      </c>
      <c r="X797" s="5" t="s">
        <v>408</v>
      </c>
      <c r="Y797" s="5" t="n">
        <v>5500</v>
      </c>
      <c r="Z797" s="5" t="s">
        <v>830</v>
      </c>
      <c r="AA797" s="5" t="s">
        <v>831</v>
      </c>
      <c r="AB797" s="13" t="str">
        <f aca="true" t="array" ref="AB797:AB797">LEFT(AA797,LOOKUP(2^15,FIND(".",AA797,ROW(INDIRECT("1:"&amp;LEN(AA797)))))-1)</f>
        <v>NB_2022_047 - 12102022 - 1</v>
      </c>
      <c r="AC797" s="5" t="s">
        <v>833</v>
      </c>
      <c r="AD797" s="13" t="str">
        <f aca="true" t="array" ref="AD797:AD797">LEFT(AC797,LOOKUP(2^15,FIND(".",AC797,ROW(INDIRECT("1:"&amp;LEN(AC797)))))-1)</f>
        <v>NB_2022_047 - 12102022 - 2</v>
      </c>
      <c r="AE797" s="5" t="str">
        <f aca="false">CONCATENATE(AB797, "-",H797, ".mzML")</f>
        <v>NB_2022_047 - 12102022 - 1-218.mzML</v>
      </c>
      <c r="AF797" s="5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0" t="s">
        <v>1204</v>
      </c>
      <c r="B798" s="31"/>
      <c r="C798" s="3" t="s">
        <v>1205</v>
      </c>
      <c r="D798" s="5" t="s">
        <v>15</v>
      </c>
      <c r="E798" s="5" t="s">
        <v>824</v>
      </c>
      <c r="F798" s="6" t="s">
        <v>825</v>
      </c>
      <c r="G798" s="5" t="s">
        <v>401</v>
      </c>
      <c r="H798" s="14" t="s">
        <v>1189</v>
      </c>
      <c r="I798" s="5" t="str">
        <f aca="false">CONCATENATE(E798, "_",H798)</f>
        <v>NLA_2022_020_224</v>
      </c>
      <c r="J798" s="5" t="s">
        <v>166</v>
      </c>
      <c r="K798" s="28" t="s">
        <v>1191</v>
      </c>
      <c r="L798" s="5" t="s">
        <v>69</v>
      </c>
      <c r="M798" s="1" t="s">
        <v>46</v>
      </c>
      <c r="N798" s="5" t="s">
        <v>404</v>
      </c>
      <c r="O798" s="5" t="s">
        <v>42</v>
      </c>
      <c r="P798" s="5" t="s">
        <v>1056</v>
      </c>
      <c r="Q798" s="5" t="s">
        <v>46</v>
      </c>
      <c r="R798" s="5" t="s">
        <v>44</v>
      </c>
      <c r="S798" s="5" t="s">
        <v>46</v>
      </c>
      <c r="T798" s="5" t="s">
        <v>419</v>
      </c>
      <c r="U798" s="5" t="s">
        <v>46</v>
      </c>
      <c r="V798" s="5" t="n">
        <v>1</v>
      </c>
      <c r="W798" s="5" t="s">
        <v>773</v>
      </c>
      <c r="X798" s="5" t="s">
        <v>408</v>
      </c>
      <c r="Y798" s="5" t="n">
        <v>5500</v>
      </c>
      <c r="Z798" s="5" t="s">
        <v>830</v>
      </c>
      <c r="AA798" s="5" t="s">
        <v>831</v>
      </c>
      <c r="AB798" s="13" t="str">
        <f aca="true" t="array" ref="AB798:AB798">LEFT(AA798,LOOKUP(2^15,FIND(".",AA798,ROW(INDIRECT("1:"&amp;LEN(AA798)))))-1)</f>
        <v>NB_2022_047 - 12102022 - 1</v>
      </c>
      <c r="AC798" s="5" t="s">
        <v>833</v>
      </c>
      <c r="AD798" s="13" t="str">
        <f aca="true" t="array" ref="AD798:AD798">LEFT(AC798,LOOKUP(2^15,FIND(".",AC798,ROW(INDIRECT("1:"&amp;LEN(AC798)))))-1)</f>
        <v>NB_2022_047 - 12102022 - 2</v>
      </c>
      <c r="AE798" s="5" t="str">
        <f aca="false">CONCATENATE(AB798, "-",H798, ".mzML")</f>
        <v>NB_2022_047 - 12102022 - 1-224.mzML</v>
      </c>
      <c r="AF798" s="5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0" t="s">
        <v>1204</v>
      </c>
      <c r="B799" s="31"/>
      <c r="C799" s="3" t="s">
        <v>1205</v>
      </c>
      <c r="D799" s="5" t="s">
        <v>15</v>
      </c>
      <c r="E799" s="5" t="s">
        <v>824</v>
      </c>
      <c r="F799" s="6" t="s">
        <v>825</v>
      </c>
      <c r="G799" s="5" t="s">
        <v>401</v>
      </c>
      <c r="H799" s="14" t="s">
        <v>843</v>
      </c>
      <c r="I799" s="5" t="str">
        <f aca="false">CONCATENATE(E799, "_",H799)</f>
        <v>NLA_2022_020_230</v>
      </c>
      <c r="J799" s="5" t="s">
        <v>166</v>
      </c>
      <c r="K799" s="5" t="s">
        <v>845</v>
      </c>
      <c r="L799" s="5" t="s">
        <v>69</v>
      </c>
      <c r="M799" s="1" t="s">
        <v>46</v>
      </c>
      <c r="N799" s="5" t="s">
        <v>404</v>
      </c>
      <c r="O799" s="5" t="s">
        <v>42</v>
      </c>
      <c r="P799" s="5" t="s">
        <v>405</v>
      </c>
      <c r="Q799" s="5" t="s">
        <v>46</v>
      </c>
      <c r="R799" s="5" t="s">
        <v>44</v>
      </c>
      <c r="S799" s="5" t="s">
        <v>46</v>
      </c>
      <c r="T799" s="5" t="s">
        <v>419</v>
      </c>
      <c r="U799" s="5" t="s">
        <v>46</v>
      </c>
      <c r="V799" s="5" t="n">
        <v>1</v>
      </c>
      <c r="W799" s="5" t="s">
        <v>846</v>
      </c>
      <c r="X799" s="5" t="s">
        <v>408</v>
      </c>
      <c r="Y799" s="5" t="n">
        <v>5500</v>
      </c>
      <c r="Z799" s="5" t="s">
        <v>830</v>
      </c>
      <c r="AA799" s="5" t="s">
        <v>831</v>
      </c>
      <c r="AB799" s="13" t="str">
        <f aca="true" t="array" ref="AB799:AB799">LEFT(AA799,LOOKUP(2^15,FIND(".",AA799,ROW(INDIRECT("1:"&amp;LEN(AA799)))))-1)</f>
        <v>NB_2022_047 - 12102022 - 1</v>
      </c>
      <c r="AC799" s="5" t="s">
        <v>833</v>
      </c>
      <c r="AD799" s="13" t="str">
        <f aca="true" t="array" ref="AD799:AD799">LEFT(AC799,LOOKUP(2^15,FIND(".",AC799,ROW(INDIRECT("1:"&amp;LEN(AC799)))))-1)</f>
        <v>NB_2022_047 - 12102022 - 2</v>
      </c>
      <c r="AE799" s="5" t="str">
        <f aca="false">CONCATENATE(AB799, "-",H799, ".mzML")</f>
        <v>NB_2022_047 - 12102022 - 1-230.mzML</v>
      </c>
      <c r="AF799" s="5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0" t="s">
        <v>1204</v>
      </c>
      <c r="B800" s="31"/>
      <c r="C800" s="3" t="s">
        <v>1205</v>
      </c>
      <c r="D800" s="5" t="s">
        <v>15</v>
      </c>
      <c r="E800" s="5" t="s">
        <v>824</v>
      </c>
      <c r="F800" s="6" t="s">
        <v>825</v>
      </c>
      <c r="G800" s="5" t="s">
        <v>401</v>
      </c>
      <c r="H800" s="14" t="s">
        <v>1036</v>
      </c>
      <c r="I800" s="5" t="str">
        <f aca="false">CONCATENATE(E800, "_",H800)</f>
        <v>NLA_2022_020_233</v>
      </c>
      <c r="J800" s="5" t="s">
        <v>166</v>
      </c>
      <c r="K800" s="5" t="s">
        <v>1038</v>
      </c>
      <c r="L800" s="5" t="s">
        <v>69</v>
      </c>
      <c r="M800" s="1" t="s">
        <v>46</v>
      </c>
      <c r="N800" s="5" t="s">
        <v>404</v>
      </c>
      <c r="O800" s="5" t="s">
        <v>42</v>
      </c>
      <c r="P800" s="5" t="s">
        <v>901</v>
      </c>
      <c r="Q800" s="5" t="s">
        <v>46</v>
      </c>
      <c r="R800" s="5" t="s">
        <v>44</v>
      </c>
      <c r="S800" s="5" t="s">
        <v>46</v>
      </c>
      <c r="T800" s="5" t="s">
        <v>419</v>
      </c>
      <c r="U800" s="5" t="s">
        <v>46</v>
      </c>
      <c r="V800" s="5" t="n">
        <v>1</v>
      </c>
      <c r="W800" s="5" t="s">
        <v>1039</v>
      </c>
      <c r="X800" s="5" t="s">
        <v>408</v>
      </c>
      <c r="Y800" s="5" t="n">
        <v>5500</v>
      </c>
      <c r="Z800" s="5" t="s">
        <v>830</v>
      </c>
      <c r="AA800" s="5" t="s">
        <v>831</v>
      </c>
      <c r="AB800" s="13" t="str">
        <f aca="true" t="array" ref="AB800:AB800">LEFT(AA800,LOOKUP(2^15,FIND(".",AA800,ROW(INDIRECT("1:"&amp;LEN(AA800)))))-1)</f>
        <v>NB_2022_047 - 12102022 - 1</v>
      </c>
      <c r="AC800" s="5" t="s">
        <v>833</v>
      </c>
      <c r="AD800" s="13" t="str">
        <f aca="true" t="array" ref="AD800:AD800">LEFT(AC800,LOOKUP(2^15,FIND(".",AC800,ROW(INDIRECT("1:"&amp;LEN(AC800)))))-1)</f>
        <v>NB_2022_047 - 12102022 - 2</v>
      </c>
      <c r="AE800" s="5" t="str">
        <f aca="false">CONCATENATE(AB800, "-",H800, ".mzML")</f>
        <v>NB_2022_047 - 12102022 - 1-233.mzML</v>
      </c>
      <c r="AF800" s="5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0" t="s">
        <v>1204</v>
      </c>
      <c r="B801" s="31"/>
      <c r="C801" s="3" t="s">
        <v>1205</v>
      </c>
      <c r="D801" s="5" t="s">
        <v>15</v>
      </c>
      <c r="E801" s="5" t="s">
        <v>824</v>
      </c>
      <c r="F801" s="6" t="s">
        <v>825</v>
      </c>
      <c r="G801" s="5" t="s">
        <v>401</v>
      </c>
      <c r="H801" s="14" t="s">
        <v>1042</v>
      </c>
      <c r="I801" s="5" t="str">
        <f aca="false">CONCATENATE(E801, "_",H801)</f>
        <v>NLA_2022_020_237</v>
      </c>
      <c r="J801" s="5" t="s">
        <v>166</v>
      </c>
      <c r="K801" s="5" t="s">
        <v>1044</v>
      </c>
      <c r="L801" s="5" t="s">
        <v>69</v>
      </c>
      <c r="M801" s="1" t="s">
        <v>46</v>
      </c>
      <c r="N801" s="5" t="s">
        <v>404</v>
      </c>
      <c r="O801" s="5" t="s">
        <v>430</v>
      </c>
      <c r="P801" s="5" t="s">
        <v>901</v>
      </c>
      <c r="Q801" s="5" t="s">
        <v>46</v>
      </c>
      <c r="R801" s="5" t="s">
        <v>44</v>
      </c>
      <c r="S801" s="5" t="s">
        <v>46</v>
      </c>
      <c r="T801" s="5" t="s">
        <v>419</v>
      </c>
      <c r="U801" s="5" t="s">
        <v>46</v>
      </c>
      <c r="V801" s="5" t="n">
        <v>1</v>
      </c>
      <c r="W801" s="5" t="s">
        <v>858</v>
      </c>
      <c r="X801" s="5" t="s">
        <v>408</v>
      </c>
      <c r="Y801" s="5" t="n">
        <v>5500</v>
      </c>
      <c r="Z801" s="5" t="s">
        <v>830</v>
      </c>
      <c r="AA801" s="5" t="s">
        <v>831</v>
      </c>
      <c r="AB801" s="13" t="str">
        <f aca="true" t="array" ref="AB801:AB801">LEFT(AA801,LOOKUP(2^15,FIND(".",AA801,ROW(INDIRECT("1:"&amp;LEN(AA801)))))-1)</f>
        <v>NB_2022_047 - 12102022 - 1</v>
      </c>
      <c r="AC801" s="5" t="s">
        <v>833</v>
      </c>
      <c r="AD801" s="13" t="str">
        <f aca="true" t="array" ref="AD801:AD801">LEFT(AC801,LOOKUP(2^15,FIND(".",AC801,ROW(INDIRECT("1:"&amp;LEN(AC801)))))-1)</f>
        <v>NB_2022_047 - 12102022 - 2</v>
      </c>
      <c r="AE801" s="5" t="str">
        <f aca="false">CONCATENATE(AB801, "-",H801, ".mzML")</f>
        <v>NB_2022_047 - 12102022 - 1-237.mzML</v>
      </c>
      <c r="AF801" s="5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0" t="s">
        <v>1204</v>
      </c>
      <c r="B802" s="31"/>
      <c r="C802" s="3" t="s">
        <v>1205</v>
      </c>
      <c r="D802" s="5" t="s">
        <v>15</v>
      </c>
      <c r="E802" s="5" t="s">
        <v>824</v>
      </c>
      <c r="F802" s="6" t="s">
        <v>825</v>
      </c>
      <c r="G802" s="5" t="s">
        <v>401</v>
      </c>
      <c r="H802" s="14" t="s">
        <v>855</v>
      </c>
      <c r="I802" s="5" t="str">
        <f aca="false">CONCATENATE(E802, "_",H802)</f>
        <v>NLA_2022_020_241</v>
      </c>
      <c r="J802" s="1" t="s">
        <v>166</v>
      </c>
      <c r="K802" s="5" t="s">
        <v>857</v>
      </c>
      <c r="L802" s="5" t="s">
        <v>69</v>
      </c>
      <c r="M802" s="1" t="s">
        <v>46</v>
      </c>
      <c r="N802" s="5" t="s">
        <v>404</v>
      </c>
      <c r="O802" s="5" t="s">
        <v>665</v>
      </c>
      <c r="P802" s="5" t="s">
        <v>405</v>
      </c>
      <c r="Q802" s="5" t="s">
        <v>46</v>
      </c>
      <c r="R802" s="5" t="s">
        <v>72</v>
      </c>
      <c r="S802" s="5" t="s">
        <v>46</v>
      </c>
      <c r="T802" s="5" t="s">
        <v>419</v>
      </c>
      <c r="U802" s="5" t="s">
        <v>46</v>
      </c>
      <c r="V802" s="5" t="n">
        <v>1</v>
      </c>
      <c r="W802" s="1" t="s">
        <v>858</v>
      </c>
      <c r="X802" s="5" t="s">
        <v>408</v>
      </c>
      <c r="Y802" s="5" t="n">
        <v>5500</v>
      </c>
      <c r="Z802" s="5" t="s">
        <v>830</v>
      </c>
      <c r="AA802" s="5" t="s">
        <v>831</v>
      </c>
      <c r="AB802" s="13" t="str">
        <f aca="true" t="array" ref="AB802:AB802">LEFT(AA802,LOOKUP(2^15,FIND(".",AA802,ROW(INDIRECT("1:"&amp;LEN(AA802)))))-1)</f>
        <v>NB_2022_047 - 12102022 - 1</v>
      </c>
      <c r="AC802" s="5" t="s">
        <v>833</v>
      </c>
      <c r="AD802" s="13" t="str">
        <f aca="true" t="array" ref="AD802:AD802">LEFT(AC802,LOOKUP(2^15,FIND(".",AC802,ROW(INDIRECT("1:"&amp;LEN(AC802)))))-1)</f>
        <v>NB_2022_047 - 12102022 - 2</v>
      </c>
      <c r="AE802" s="5" t="str">
        <f aca="false">CONCATENATE(AB802, "-",H802, ".mzML")</f>
        <v>NB_2022_047 - 12102022 - 1-241.mzML</v>
      </c>
      <c r="AF802" s="5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0" t="s">
        <v>1204</v>
      </c>
      <c r="B803" s="31"/>
      <c r="C803" s="3" t="s">
        <v>1205</v>
      </c>
      <c r="D803" s="5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1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5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5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0" t="s">
        <v>1204</v>
      </c>
      <c r="B804" s="31"/>
      <c r="C804" s="3" t="s">
        <v>1205</v>
      </c>
      <c r="D804" s="5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1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5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5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0" t="s">
        <v>1204</v>
      </c>
      <c r="B805" s="31"/>
      <c r="C805" s="3" t="s">
        <v>1205</v>
      </c>
      <c r="D805" s="5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1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5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5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0" t="s">
        <v>1204</v>
      </c>
      <c r="B806" s="31"/>
      <c r="C806" s="3" t="s">
        <v>1205</v>
      </c>
      <c r="D806" s="5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1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5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5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0" t="s">
        <v>1204</v>
      </c>
      <c r="B807" s="31"/>
      <c r="C807" s="3" t="s">
        <v>1205</v>
      </c>
      <c r="D807" s="5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1" t="s">
        <v>46</v>
      </c>
      <c r="N807" s="5" t="s">
        <v>465</v>
      </c>
      <c r="O807" s="1" t="s">
        <v>81</v>
      </c>
      <c r="P807" s="1" t="s">
        <v>81</v>
      </c>
      <c r="Q807" s="1" t="s">
        <v>81</v>
      </c>
      <c r="R807" s="5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5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0" t="s">
        <v>1204</v>
      </c>
      <c r="B808" s="31"/>
      <c r="C808" s="3" t="s">
        <v>1205</v>
      </c>
      <c r="D808" s="5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1" t="s">
        <v>46</v>
      </c>
      <c r="N808" s="5" t="s">
        <v>465</v>
      </c>
      <c r="O808" s="1" t="s">
        <v>81</v>
      </c>
      <c r="P808" s="1" t="s">
        <v>81</v>
      </c>
      <c r="Q808" s="1" t="s">
        <v>81</v>
      </c>
      <c r="R808" s="5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5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0" t="s">
        <v>1204</v>
      </c>
      <c r="B809" s="31"/>
      <c r="C809" s="3" t="s">
        <v>1205</v>
      </c>
      <c r="D809" s="5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1" t="s">
        <v>46</v>
      </c>
      <c r="N809" s="5" t="s">
        <v>465</v>
      </c>
      <c r="O809" s="1" t="s">
        <v>81</v>
      </c>
      <c r="P809" s="1" t="s">
        <v>81</v>
      </c>
      <c r="Q809" s="1" t="s">
        <v>81</v>
      </c>
      <c r="R809" s="5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5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0" t="s">
        <v>1204</v>
      </c>
      <c r="B810" s="31"/>
      <c r="C810" s="3" t="s">
        <v>1205</v>
      </c>
      <c r="D810" s="5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1" t="s">
        <v>46</v>
      </c>
      <c r="N810" s="5" t="s">
        <v>465</v>
      </c>
      <c r="O810" s="1" t="s">
        <v>81</v>
      </c>
      <c r="P810" s="1" t="s">
        <v>81</v>
      </c>
      <c r="Q810" s="1" t="s">
        <v>81</v>
      </c>
      <c r="R810" s="5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5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0" t="s">
        <v>1204</v>
      </c>
      <c r="B811" s="31"/>
      <c r="C811" s="3" t="s">
        <v>1205</v>
      </c>
      <c r="D811" s="5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1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5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5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0" t="s">
        <v>1204</v>
      </c>
      <c r="B812" s="31"/>
      <c r="C812" s="3" t="s">
        <v>1205</v>
      </c>
      <c r="D812" s="5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1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5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5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0" t="s">
        <v>1204</v>
      </c>
      <c r="B813" s="31"/>
      <c r="C813" s="3" t="s">
        <v>1205</v>
      </c>
      <c r="D813" s="5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1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5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5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0" t="s">
        <v>1204</v>
      </c>
      <c r="B814" s="31"/>
      <c r="C814" s="3" t="s">
        <v>1205</v>
      </c>
      <c r="D814" s="5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1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5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5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0" t="s">
        <v>1206</v>
      </c>
      <c r="B815" s="31"/>
      <c r="C815" s="3" t="s">
        <v>1207</v>
      </c>
      <c r="D815" s="5" t="s">
        <v>14</v>
      </c>
      <c r="E815" s="5" t="s">
        <v>186</v>
      </c>
      <c r="F815" s="6" t="s">
        <v>187</v>
      </c>
      <c r="G815" s="5" t="s">
        <v>1208</v>
      </c>
      <c r="H815" s="24" t="s">
        <v>1209</v>
      </c>
      <c r="I815" s="5" t="str">
        <f aca="false">CONCATENATE(E815, "_",H815)</f>
        <v>NLA_2022_001_006-1</v>
      </c>
      <c r="J815" s="5" t="s">
        <v>38</v>
      </c>
      <c r="K815" s="5" t="s">
        <v>1210</v>
      </c>
      <c r="L815" s="8" t="s">
        <v>69</v>
      </c>
      <c r="M815" s="6" t="s">
        <v>1211</v>
      </c>
      <c r="N815" s="5" t="s">
        <v>246</v>
      </c>
      <c r="O815" s="32" t="s">
        <v>1212</v>
      </c>
      <c r="P815" s="5" t="s">
        <v>1213</v>
      </c>
      <c r="Q815" s="5" t="s">
        <v>1214</v>
      </c>
      <c r="R815" s="5" t="s">
        <v>72</v>
      </c>
      <c r="S815" s="5" t="s">
        <v>73</v>
      </c>
      <c r="U815" s="5" t="n">
        <v>1500</v>
      </c>
      <c r="V815" s="1" t="n">
        <v>1</v>
      </c>
      <c r="W815" s="5"/>
      <c r="X815" s="8" t="s">
        <v>1215</v>
      </c>
      <c r="Y815" s="1" t="n">
        <v>5500</v>
      </c>
      <c r="Z815" s="5" t="s">
        <v>194</v>
      </c>
      <c r="AA815" s="5" t="s">
        <v>195</v>
      </c>
      <c r="AB815" s="13" t="str">
        <f aca="true" t="array" ref="AB815:AB815">LEFT(AA815,LOOKUP(2^15,FIND(".",AA815,ROW(INDIRECT("1:"&amp;LEN(AA815)))))-1)</f>
        <v>NB_2022_006+007+010 - 25022022 - 1</v>
      </c>
      <c r="AC815" s="5" t="s">
        <v>196</v>
      </c>
      <c r="AD815" s="13" t="str">
        <f aca="true" t="array" ref="AD815:AD815">LEFT(AC815,LOOKUP(2^15,FIND(".",AC815,ROW(INDIRECT("1:"&amp;LEN(AC815)))))-1)</f>
        <v>NB_2022_006+007+010 - 25022022 - 2</v>
      </c>
      <c r="AE815" s="5" t="str">
        <f aca="false">CONCATENATE(AB815, "-",H815, ".mzML")</f>
        <v>NB_2022_006+007+010 - 25022022 - 1-006-1.mzML</v>
      </c>
      <c r="AF815" s="5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0" t="s">
        <v>1206</v>
      </c>
      <c r="B816" s="31"/>
      <c r="C816" s="3" t="s">
        <v>1207</v>
      </c>
      <c r="D816" s="5" t="s">
        <v>14</v>
      </c>
      <c r="E816" s="5" t="s">
        <v>186</v>
      </c>
      <c r="F816" s="6" t="s">
        <v>187</v>
      </c>
      <c r="G816" s="5" t="s">
        <v>1208</v>
      </c>
      <c r="H816" s="24" t="s">
        <v>1216</v>
      </c>
      <c r="I816" s="5" t="str">
        <f aca="false">CONCATENATE(E816, "_",H816)</f>
        <v>NLA_2022_001_006-2</v>
      </c>
      <c r="J816" s="5" t="s">
        <v>38</v>
      </c>
      <c r="K816" s="5" t="s">
        <v>1210</v>
      </c>
      <c r="L816" s="8" t="s">
        <v>69</v>
      </c>
      <c r="M816" s="6" t="s">
        <v>1211</v>
      </c>
      <c r="N816" s="5" t="s">
        <v>246</v>
      </c>
      <c r="O816" s="32" t="s">
        <v>1212</v>
      </c>
      <c r="P816" s="5" t="s">
        <v>1213</v>
      </c>
      <c r="Q816" s="5" t="s">
        <v>1214</v>
      </c>
      <c r="R816" s="5" t="s">
        <v>72</v>
      </c>
      <c r="S816" s="5" t="s">
        <v>73</v>
      </c>
      <c r="U816" s="5" t="n">
        <v>1500</v>
      </c>
      <c r="V816" s="1" t="n">
        <v>2</v>
      </c>
      <c r="W816" s="5"/>
      <c r="X816" s="8" t="s">
        <v>1215</v>
      </c>
      <c r="Y816" s="1" t="n">
        <v>5500</v>
      </c>
      <c r="Z816" s="5" t="s">
        <v>194</v>
      </c>
      <c r="AA816" s="5" t="s">
        <v>195</v>
      </c>
      <c r="AB816" s="13" t="str">
        <f aca="true" t="array" ref="AB816:AB816">LEFT(AA816,LOOKUP(2^15,FIND(".",AA816,ROW(INDIRECT("1:"&amp;LEN(AA816)))))-1)</f>
        <v>NB_2022_006+007+010 - 25022022 - 1</v>
      </c>
      <c r="AC816" s="5" t="s">
        <v>196</v>
      </c>
      <c r="AD816" s="13" t="str">
        <f aca="true" t="array" ref="AD816:AD816">LEFT(AC816,LOOKUP(2^15,FIND(".",AC816,ROW(INDIRECT("1:"&amp;LEN(AC816)))))-1)</f>
        <v>NB_2022_006+007+010 - 25022022 - 2</v>
      </c>
      <c r="AE816" s="5" t="str">
        <f aca="false">CONCATENATE(AB816, "-",H816, ".mzML")</f>
        <v>NB_2022_006+007+010 - 25022022 - 1-006-2.mzML</v>
      </c>
      <c r="AF816" s="5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0" t="s">
        <v>1206</v>
      </c>
      <c r="B817" s="31"/>
      <c r="C817" s="3" t="s">
        <v>1207</v>
      </c>
      <c r="D817" s="5" t="s">
        <v>14</v>
      </c>
      <c r="E817" s="5" t="s">
        <v>186</v>
      </c>
      <c r="F817" s="6" t="s">
        <v>187</v>
      </c>
      <c r="G817" s="5" t="s">
        <v>1208</v>
      </c>
      <c r="H817" s="24" t="s">
        <v>1217</v>
      </c>
      <c r="I817" s="5" t="str">
        <f aca="false">CONCATENATE(E817, "_",H817)</f>
        <v>NLA_2022_001_006-3</v>
      </c>
      <c r="J817" s="5" t="s">
        <v>38</v>
      </c>
      <c r="K817" s="5" t="s">
        <v>1210</v>
      </c>
      <c r="L817" s="8" t="s">
        <v>69</v>
      </c>
      <c r="M817" s="6" t="s">
        <v>1211</v>
      </c>
      <c r="N817" s="5" t="s">
        <v>246</v>
      </c>
      <c r="O817" s="32" t="s">
        <v>1212</v>
      </c>
      <c r="P817" s="5" t="s">
        <v>1213</v>
      </c>
      <c r="Q817" s="5" t="s">
        <v>1214</v>
      </c>
      <c r="R817" s="5" t="s">
        <v>72</v>
      </c>
      <c r="S817" s="5" t="s">
        <v>73</v>
      </c>
      <c r="U817" s="5" t="n">
        <v>1500</v>
      </c>
      <c r="V817" s="1" t="n">
        <v>3</v>
      </c>
      <c r="W817" s="5"/>
      <c r="X817" s="8" t="s">
        <v>1215</v>
      </c>
      <c r="Y817" s="1" t="n">
        <v>5500</v>
      </c>
      <c r="Z817" s="5" t="s">
        <v>194</v>
      </c>
      <c r="AA817" s="5" t="s">
        <v>195</v>
      </c>
      <c r="AB817" s="13" t="str">
        <f aca="true" t="array" ref="AB817:AB817">LEFT(AA817,LOOKUP(2^15,FIND(".",AA817,ROW(INDIRECT("1:"&amp;LEN(AA817)))))-1)</f>
        <v>NB_2022_006+007+010 - 25022022 - 1</v>
      </c>
      <c r="AC817" s="5" t="s">
        <v>196</v>
      </c>
      <c r="AD817" s="13" t="str">
        <f aca="true" t="array" ref="AD817:AD817">LEFT(AC817,LOOKUP(2^15,FIND(".",AC817,ROW(INDIRECT("1:"&amp;LEN(AC817)))))-1)</f>
        <v>NB_2022_006+007+010 - 25022022 - 2</v>
      </c>
      <c r="AE817" s="5" t="str">
        <f aca="false">CONCATENATE(AB817, "-",H817, ".mzML")</f>
        <v>NB_2022_006+007+010 - 25022022 - 1-006-3.mzML</v>
      </c>
      <c r="AF817" s="5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0" t="s">
        <v>1206</v>
      </c>
      <c r="B818" s="31"/>
      <c r="C818" s="3" t="s">
        <v>1207</v>
      </c>
      <c r="D818" s="5" t="s">
        <v>14</v>
      </c>
      <c r="E818" s="5" t="s">
        <v>186</v>
      </c>
      <c r="F818" s="6" t="s">
        <v>187</v>
      </c>
      <c r="G818" s="5" t="s">
        <v>1208</v>
      </c>
      <c r="H818" s="24" t="s">
        <v>1218</v>
      </c>
      <c r="I818" s="5" t="str">
        <f aca="false">CONCATENATE(E818, "_",H818)</f>
        <v>NLA_2022_001_006-4</v>
      </c>
      <c r="J818" s="5" t="s">
        <v>52</v>
      </c>
      <c r="K818" s="5" t="s">
        <v>1219</v>
      </c>
      <c r="L818" s="8" t="s">
        <v>69</v>
      </c>
      <c r="M818" s="6" t="s">
        <v>1211</v>
      </c>
      <c r="N818" s="5" t="s">
        <v>246</v>
      </c>
      <c r="O818" s="32" t="s">
        <v>1220</v>
      </c>
      <c r="P818" s="5" t="s">
        <v>1213</v>
      </c>
      <c r="Q818" s="5" t="s">
        <v>1213</v>
      </c>
      <c r="R818" s="5" t="s">
        <v>72</v>
      </c>
      <c r="S818" s="5" t="s">
        <v>73</v>
      </c>
      <c r="U818" s="5" t="n">
        <v>1500</v>
      </c>
      <c r="V818" s="1" t="n">
        <v>1</v>
      </c>
      <c r="W818" s="5"/>
      <c r="X818" s="8" t="s">
        <v>1215</v>
      </c>
      <c r="Y818" s="1" t="n">
        <v>5500</v>
      </c>
      <c r="Z818" s="5" t="s">
        <v>194</v>
      </c>
      <c r="AA818" s="5" t="s">
        <v>195</v>
      </c>
      <c r="AB818" s="13" t="str">
        <f aca="true" t="array" ref="AB818:AB818">LEFT(AA818,LOOKUP(2^15,FIND(".",AA818,ROW(INDIRECT("1:"&amp;LEN(AA818)))))-1)</f>
        <v>NB_2022_006+007+010 - 25022022 - 1</v>
      </c>
      <c r="AC818" s="5" t="s">
        <v>196</v>
      </c>
      <c r="AD818" s="13" t="str">
        <f aca="true" t="array" ref="AD818:AD818">LEFT(AC818,LOOKUP(2^15,FIND(".",AC818,ROW(INDIRECT("1:"&amp;LEN(AC818)))))-1)</f>
        <v>NB_2022_006+007+010 - 25022022 - 2</v>
      </c>
      <c r="AE818" s="5" t="str">
        <f aca="false">CONCATENATE(AB818, "-",H818, ".mzML")</f>
        <v>NB_2022_006+007+010 - 25022022 - 1-006-4.mzML</v>
      </c>
      <c r="AF818" s="5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0" t="s">
        <v>1206</v>
      </c>
      <c r="B819" s="31"/>
      <c r="C819" s="3" t="s">
        <v>1207</v>
      </c>
      <c r="D819" s="5" t="s">
        <v>14</v>
      </c>
      <c r="E819" s="5" t="s">
        <v>186</v>
      </c>
      <c r="F819" s="6" t="s">
        <v>187</v>
      </c>
      <c r="G819" s="5" t="s">
        <v>1208</v>
      </c>
      <c r="H819" s="24" t="s">
        <v>1221</v>
      </c>
      <c r="I819" s="5" t="str">
        <f aca="false">CONCATENATE(E819, "_",H819)</f>
        <v>NLA_2022_001_006-5</v>
      </c>
      <c r="J819" s="5" t="s">
        <v>52</v>
      </c>
      <c r="K819" s="5" t="s">
        <v>1219</v>
      </c>
      <c r="L819" s="8" t="s">
        <v>69</v>
      </c>
      <c r="M819" s="6" t="s">
        <v>1211</v>
      </c>
      <c r="N819" s="5" t="s">
        <v>246</v>
      </c>
      <c r="O819" s="32" t="s">
        <v>1220</v>
      </c>
      <c r="P819" s="5" t="s">
        <v>1213</v>
      </c>
      <c r="Q819" s="5" t="s">
        <v>1213</v>
      </c>
      <c r="R819" s="5" t="s">
        <v>72</v>
      </c>
      <c r="S819" s="5" t="s">
        <v>73</v>
      </c>
      <c r="U819" s="5" t="n">
        <v>1500</v>
      </c>
      <c r="V819" s="1" t="n">
        <v>2</v>
      </c>
      <c r="W819" s="5"/>
      <c r="X819" s="8" t="s">
        <v>1215</v>
      </c>
      <c r="Y819" s="1" t="n">
        <v>5500</v>
      </c>
      <c r="Z819" s="5" t="s">
        <v>194</v>
      </c>
      <c r="AA819" s="5" t="s">
        <v>195</v>
      </c>
      <c r="AB819" s="13" t="str">
        <f aca="true" t="array" ref="AB819:AB819">LEFT(AA819,LOOKUP(2^15,FIND(".",AA819,ROW(INDIRECT("1:"&amp;LEN(AA819)))))-1)</f>
        <v>NB_2022_006+007+010 - 25022022 - 1</v>
      </c>
      <c r="AC819" s="5" t="s">
        <v>196</v>
      </c>
      <c r="AD819" s="13" t="str">
        <f aca="true" t="array" ref="AD819:AD819">LEFT(AC819,LOOKUP(2^15,FIND(".",AC819,ROW(INDIRECT("1:"&amp;LEN(AC819)))))-1)</f>
        <v>NB_2022_006+007+010 - 25022022 - 2</v>
      </c>
      <c r="AE819" s="5" t="str">
        <f aca="false">CONCATENATE(AB819, "-",H819, ".mzML")</f>
        <v>NB_2022_006+007+010 - 25022022 - 1-006-5.mzML</v>
      </c>
      <c r="AF819" s="5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0" t="s">
        <v>1206</v>
      </c>
      <c r="B820" s="31"/>
      <c r="C820" s="3" t="s">
        <v>1207</v>
      </c>
      <c r="D820" s="5" t="s">
        <v>14</v>
      </c>
      <c r="E820" s="5" t="s">
        <v>186</v>
      </c>
      <c r="F820" s="6" t="s">
        <v>187</v>
      </c>
      <c r="G820" s="5" t="s">
        <v>1208</v>
      </c>
      <c r="H820" s="24" t="s">
        <v>1222</v>
      </c>
      <c r="I820" s="5" t="str">
        <f aca="false">CONCATENATE(E820, "_",H820)</f>
        <v>NLA_2022_001_006-6</v>
      </c>
      <c r="J820" s="5" t="s">
        <v>52</v>
      </c>
      <c r="K820" s="5" t="s">
        <v>1219</v>
      </c>
      <c r="L820" s="8" t="s">
        <v>69</v>
      </c>
      <c r="M820" s="6" t="s">
        <v>1211</v>
      </c>
      <c r="N820" s="5" t="s">
        <v>246</v>
      </c>
      <c r="O820" s="32" t="s">
        <v>1220</v>
      </c>
      <c r="P820" s="5" t="s">
        <v>1213</v>
      </c>
      <c r="Q820" s="5" t="s">
        <v>1213</v>
      </c>
      <c r="R820" s="5" t="s">
        <v>72</v>
      </c>
      <c r="S820" s="5" t="s">
        <v>73</v>
      </c>
      <c r="U820" s="5" t="n">
        <v>1500</v>
      </c>
      <c r="V820" s="1" t="n">
        <v>3</v>
      </c>
      <c r="W820" s="5"/>
      <c r="X820" s="8" t="s">
        <v>1215</v>
      </c>
      <c r="Y820" s="1" t="n">
        <v>5500</v>
      </c>
      <c r="Z820" s="5" t="s">
        <v>194</v>
      </c>
      <c r="AA820" s="5" t="s">
        <v>195</v>
      </c>
      <c r="AB820" s="13" t="str">
        <f aca="true" t="array" ref="AB820:AB820">LEFT(AA820,LOOKUP(2^15,FIND(".",AA820,ROW(INDIRECT("1:"&amp;LEN(AA820)))))-1)</f>
        <v>NB_2022_006+007+010 - 25022022 - 1</v>
      </c>
      <c r="AC820" s="5" t="s">
        <v>196</v>
      </c>
      <c r="AD820" s="13" t="str">
        <f aca="true" t="array" ref="AD820:AD820">LEFT(AC820,LOOKUP(2^15,FIND(".",AC820,ROW(INDIRECT("1:"&amp;LEN(AC820)))))-1)</f>
        <v>NB_2022_006+007+010 - 25022022 - 2</v>
      </c>
      <c r="AE820" s="5" t="str">
        <f aca="false">CONCATENATE(AB820, "-",H820, ".mzML")</f>
        <v>NB_2022_006+007+010 - 25022022 - 1-006-6.mzML</v>
      </c>
      <c r="AF820" s="5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0" t="s">
        <v>1206</v>
      </c>
      <c r="B821" s="31"/>
      <c r="C821" s="3" t="s">
        <v>1207</v>
      </c>
      <c r="D821" s="5" t="s">
        <v>14</v>
      </c>
      <c r="E821" s="5" t="s">
        <v>186</v>
      </c>
      <c r="F821" s="6" t="s">
        <v>187</v>
      </c>
      <c r="G821" s="5" t="s">
        <v>203</v>
      </c>
      <c r="H821" s="19" t="s">
        <v>64</v>
      </c>
      <c r="I821" s="5" t="str">
        <f aca="false">CONCATENATE(E821, "_",H821)</f>
        <v>NLA_2022_001_Blank_1</v>
      </c>
      <c r="J821" s="5" t="s">
        <v>52</v>
      </c>
      <c r="K821" s="5" t="s">
        <v>64</v>
      </c>
      <c r="L821" s="8" t="s">
        <v>46</v>
      </c>
      <c r="M821" s="6" t="s">
        <v>46</v>
      </c>
      <c r="N821" s="5" t="s">
        <v>65</v>
      </c>
      <c r="O821" s="5" t="s">
        <v>46</v>
      </c>
      <c r="P821" s="5" t="s">
        <v>46</v>
      </c>
      <c r="Q821" s="5" t="s">
        <v>46</v>
      </c>
      <c r="R821" s="5" t="s">
        <v>46</v>
      </c>
      <c r="S821" s="5" t="s">
        <v>46</v>
      </c>
      <c r="T821" s="5" t="s">
        <v>46</v>
      </c>
      <c r="U821" s="5" t="s">
        <v>46</v>
      </c>
      <c r="V821" s="1" t="n">
        <v>1</v>
      </c>
      <c r="W821" s="5"/>
      <c r="X821" s="5" t="s">
        <v>46</v>
      </c>
      <c r="Y821" s="5" t="n">
        <v>5500</v>
      </c>
      <c r="Z821" s="5" t="s">
        <v>194</v>
      </c>
      <c r="AA821" s="5" t="s">
        <v>195</v>
      </c>
      <c r="AB821" s="13" t="str">
        <f aca="true" t="array" ref="AB821:AB821">LEFT(AA821,LOOKUP(2^15,FIND(".",AA821,ROW(INDIRECT("1:"&amp;LEN(AA821)))))-1)</f>
        <v>NB_2022_006+007+010 - 25022022 - 1</v>
      </c>
      <c r="AC821" s="5" t="s">
        <v>196</v>
      </c>
      <c r="AD821" s="13" t="str">
        <f aca="true" t="array" ref="AD821:AD821">LEFT(AC821,LOOKUP(2^15,FIND(".",AC821,ROW(INDIRECT("1:"&amp;LEN(AC821)))))-1)</f>
        <v>NB_2022_006+007+010 - 25022022 - 2</v>
      </c>
      <c r="AE821" s="5" t="str">
        <f aca="false">CONCATENATE(AB821, "-",H821, ".mzML")</f>
        <v>NB_2022_006+007+010 - 25022022 - 1-Blank_1.mzML</v>
      </c>
      <c r="AF821" s="5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0" t="s">
        <v>1206</v>
      </c>
      <c r="B822" s="31"/>
      <c r="C822" s="3" t="s">
        <v>1207</v>
      </c>
      <c r="D822" s="5" t="s">
        <v>14</v>
      </c>
      <c r="E822" s="5" t="s">
        <v>186</v>
      </c>
      <c r="F822" s="6" t="s">
        <v>187</v>
      </c>
      <c r="G822" s="5" t="s">
        <v>203</v>
      </c>
      <c r="H822" s="19" t="s">
        <v>66</v>
      </c>
      <c r="I822" s="5" t="str">
        <f aca="false">CONCATENATE(E822, "_",H822)</f>
        <v>NLA_2022_001_Blank_2</v>
      </c>
      <c r="J822" s="5" t="s">
        <v>52</v>
      </c>
      <c r="K822" s="5" t="s">
        <v>66</v>
      </c>
      <c r="L822" s="8" t="s">
        <v>46</v>
      </c>
      <c r="M822" s="6" t="s">
        <v>46</v>
      </c>
      <c r="N822" s="5" t="s">
        <v>65</v>
      </c>
      <c r="O822" s="5" t="s">
        <v>46</v>
      </c>
      <c r="P822" s="5" t="s">
        <v>46</v>
      </c>
      <c r="Q822" s="5" t="s">
        <v>46</v>
      </c>
      <c r="R822" s="5" t="s">
        <v>46</v>
      </c>
      <c r="S822" s="5" t="s">
        <v>46</v>
      </c>
      <c r="T822" s="5" t="s">
        <v>46</v>
      </c>
      <c r="U822" s="5" t="s">
        <v>46</v>
      </c>
      <c r="V822" s="1" t="n">
        <v>2</v>
      </c>
      <c r="W822" s="5"/>
      <c r="X822" s="5" t="s">
        <v>46</v>
      </c>
      <c r="Y822" s="5" t="n">
        <v>5500</v>
      </c>
      <c r="Z822" s="5" t="s">
        <v>194</v>
      </c>
      <c r="AA822" s="5" t="s">
        <v>195</v>
      </c>
      <c r="AB822" s="13" t="str">
        <f aca="true" t="array" ref="AB822:AB822">LEFT(AA822,LOOKUP(2^15,FIND(".",AA822,ROW(INDIRECT("1:"&amp;LEN(AA822)))))-1)</f>
        <v>NB_2022_006+007+010 - 25022022 - 1</v>
      </c>
      <c r="AC822" s="5" t="s">
        <v>196</v>
      </c>
      <c r="AD822" s="13" t="str">
        <f aca="true" t="array" ref="AD822:AD822">LEFT(AC822,LOOKUP(2^15,FIND(".",AC822,ROW(INDIRECT("1:"&amp;LEN(AC822)))))-1)</f>
        <v>NB_2022_006+007+010 - 25022022 - 2</v>
      </c>
      <c r="AE822" s="5" t="str">
        <f aca="false">CONCATENATE(AB822, "-",H822, ".mzML")</f>
        <v>NB_2022_006+007+010 - 25022022 - 1-Blank_2.mzML</v>
      </c>
      <c r="AF822" s="5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0" t="s">
        <v>1206</v>
      </c>
      <c r="B823" s="31"/>
      <c r="C823" s="3" t="s">
        <v>1207</v>
      </c>
      <c r="D823" s="5" t="s">
        <v>14</v>
      </c>
      <c r="E823" s="5" t="s">
        <v>186</v>
      </c>
      <c r="F823" s="6" t="s">
        <v>187</v>
      </c>
      <c r="G823" s="5" t="s">
        <v>203</v>
      </c>
      <c r="H823" s="19" t="s">
        <v>67</v>
      </c>
      <c r="I823" s="5" t="str">
        <f aca="false">CONCATENATE(E823, "_",H823)</f>
        <v>NLA_2022_001_Blank_3</v>
      </c>
      <c r="J823" s="5" t="s">
        <v>52</v>
      </c>
      <c r="K823" s="5" t="s">
        <v>67</v>
      </c>
      <c r="L823" s="8" t="s">
        <v>46</v>
      </c>
      <c r="M823" s="6" t="s">
        <v>46</v>
      </c>
      <c r="N823" s="5" t="s">
        <v>65</v>
      </c>
      <c r="O823" s="5" t="s">
        <v>46</v>
      </c>
      <c r="P823" s="5" t="s">
        <v>46</v>
      </c>
      <c r="Q823" s="5" t="s">
        <v>46</v>
      </c>
      <c r="R823" s="5" t="s">
        <v>46</v>
      </c>
      <c r="S823" s="5" t="s">
        <v>46</v>
      </c>
      <c r="T823" s="5" t="s">
        <v>46</v>
      </c>
      <c r="U823" s="5" t="s">
        <v>46</v>
      </c>
      <c r="V823" s="1" t="n">
        <v>3</v>
      </c>
      <c r="W823" s="5"/>
      <c r="X823" s="5" t="s">
        <v>46</v>
      </c>
      <c r="Y823" s="5" t="n">
        <v>5500</v>
      </c>
      <c r="Z823" s="5" t="s">
        <v>194</v>
      </c>
      <c r="AA823" s="5" t="s">
        <v>195</v>
      </c>
      <c r="AB823" s="13" t="str">
        <f aca="true" t="array" ref="AB823:AB823">LEFT(AA823,LOOKUP(2^15,FIND(".",AA823,ROW(INDIRECT("1:"&amp;LEN(AA823)))))-1)</f>
        <v>NB_2022_006+007+010 - 25022022 - 1</v>
      </c>
      <c r="AC823" s="5" t="s">
        <v>196</v>
      </c>
      <c r="AD823" s="13" t="str">
        <f aca="true" t="array" ref="AD823:AD823">LEFT(AC823,LOOKUP(2^15,FIND(".",AC823,ROW(INDIRECT("1:"&amp;LEN(AC823)))))-1)</f>
        <v>NB_2022_006+007+010 - 25022022 - 2</v>
      </c>
      <c r="AE823" s="5" t="str">
        <f aca="false">CONCATENATE(AB823, "-",H823, ".mzML")</f>
        <v>NB_2022_006+007+010 - 25022022 - 1-Blank_3.mzML</v>
      </c>
      <c r="AF823" s="5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0" t="s">
        <v>1206</v>
      </c>
      <c r="B824" s="31"/>
      <c r="C824" s="3" t="s">
        <v>1207</v>
      </c>
      <c r="D824" s="5" t="s">
        <v>14</v>
      </c>
      <c r="E824" s="5" t="s">
        <v>186</v>
      </c>
      <c r="F824" s="6" t="s">
        <v>187</v>
      </c>
      <c r="G824" s="5" t="s">
        <v>203</v>
      </c>
      <c r="H824" s="19" t="s">
        <v>68</v>
      </c>
      <c r="I824" s="5" t="str">
        <f aca="false">CONCATENATE(E824, "_",H824)</f>
        <v>NLA_2022_001_QC_C_1</v>
      </c>
      <c r="J824" s="5" t="s">
        <v>52</v>
      </c>
      <c r="K824" s="5" t="s">
        <v>68</v>
      </c>
      <c r="L824" s="8" t="s">
        <v>69</v>
      </c>
      <c r="M824" s="1" t="s">
        <v>46</v>
      </c>
      <c r="N824" s="5" t="s">
        <v>70</v>
      </c>
      <c r="O824" s="5" t="s">
        <v>46</v>
      </c>
      <c r="P824" s="5" t="s">
        <v>71</v>
      </c>
      <c r="Q824" s="5" t="s">
        <v>71</v>
      </c>
      <c r="R824" s="5" t="s">
        <v>72</v>
      </c>
      <c r="S824" s="5" t="s">
        <v>73</v>
      </c>
      <c r="T824" s="5" t="s">
        <v>46</v>
      </c>
      <c r="U824" s="5" t="n">
        <v>1000</v>
      </c>
      <c r="V824" s="1" t="n">
        <v>1</v>
      </c>
      <c r="W824" s="5"/>
      <c r="X824" s="5" t="s">
        <v>74</v>
      </c>
      <c r="Y824" s="1" t="n">
        <v>5500</v>
      </c>
      <c r="Z824" s="5" t="s">
        <v>194</v>
      </c>
      <c r="AA824" s="5" t="s">
        <v>195</v>
      </c>
      <c r="AB824" s="13" t="str">
        <f aca="true" t="array" ref="AB824:AB824">LEFT(AA824,LOOKUP(2^15,FIND(".",AA824,ROW(INDIRECT("1:"&amp;LEN(AA824)))))-1)</f>
        <v>NB_2022_006+007+010 - 25022022 - 1</v>
      </c>
      <c r="AC824" s="5" t="s">
        <v>196</v>
      </c>
      <c r="AD824" s="13" t="str">
        <f aca="true" t="array" ref="AD824:AD824">LEFT(AC824,LOOKUP(2^15,FIND(".",AC824,ROW(INDIRECT("1:"&amp;LEN(AC824)))))-1)</f>
        <v>NB_2022_006+007+010 - 25022022 - 2</v>
      </c>
      <c r="AE824" s="5" t="str">
        <f aca="false">CONCATENATE(AB824, "-",H824, ".mzML")</f>
        <v>NB_2022_006+007+010 - 25022022 - 1-QC_C_1.mzML</v>
      </c>
      <c r="AF824" s="5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0" t="s">
        <v>1206</v>
      </c>
      <c r="B825" s="31"/>
      <c r="C825" s="3" t="s">
        <v>1207</v>
      </c>
      <c r="D825" s="5" t="s">
        <v>14</v>
      </c>
      <c r="E825" s="5" t="s">
        <v>186</v>
      </c>
      <c r="F825" s="6" t="s">
        <v>187</v>
      </c>
      <c r="G825" s="5" t="s">
        <v>203</v>
      </c>
      <c r="H825" s="19" t="s">
        <v>75</v>
      </c>
      <c r="I825" s="5" t="str">
        <f aca="false">CONCATENATE(E825, "_",H825)</f>
        <v>NLA_2022_001_QC_C_2</v>
      </c>
      <c r="J825" s="5" t="s">
        <v>52</v>
      </c>
      <c r="K825" s="5" t="s">
        <v>75</v>
      </c>
      <c r="L825" s="8" t="s">
        <v>69</v>
      </c>
      <c r="M825" s="1" t="s">
        <v>46</v>
      </c>
      <c r="N825" s="5" t="s">
        <v>70</v>
      </c>
      <c r="O825" s="5" t="s">
        <v>46</v>
      </c>
      <c r="P825" s="5" t="s">
        <v>71</v>
      </c>
      <c r="Q825" s="5" t="s">
        <v>71</v>
      </c>
      <c r="R825" s="5" t="s">
        <v>72</v>
      </c>
      <c r="S825" s="5" t="s">
        <v>73</v>
      </c>
      <c r="T825" s="5" t="s">
        <v>46</v>
      </c>
      <c r="U825" s="5" t="n">
        <v>1000</v>
      </c>
      <c r="V825" s="1" t="n">
        <v>2</v>
      </c>
      <c r="W825" s="5"/>
      <c r="X825" s="5" t="s">
        <v>74</v>
      </c>
      <c r="Y825" s="1" t="n">
        <v>5500</v>
      </c>
      <c r="Z825" s="5" t="s">
        <v>194</v>
      </c>
      <c r="AA825" s="5" t="s">
        <v>195</v>
      </c>
      <c r="AB825" s="13" t="str">
        <f aca="true" t="array" ref="AB825:AB825">LEFT(AA825,LOOKUP(2^15,FIND(".",AA825,ROW(INDIRECT("1:"&amp;LEN(AA825)))))-1)</f>
        <v>NB_2022_006+007+010 - 25022022 - 1</v>
      </c>
      <c r="AC825" s="5" t="s">
        <v>196</v>
      </c>
      <c r="AD825" s="13" t="str">
        <f aca="true" t="array" ref="AD825:AD825">LEFT(AC825,LOOKUP(2^15,FIND(".",AC825,ROW(INDIRECT("1:"&amp;LEN(AC825)))))-1)</f>
        <v>NB_2022_006+007+010 - 25022022 - 2</v>
      </c>
      <c r="AE825" s="5" t="str">
        <f aca="false">CONCATENATE(AB825, "-",H825, ".mzML")</f>
        <v>NB_2022_006+007+010 - 25022022 - 1-QC_C_2.mzML</v>
      </c>
      <c r="AF825" s="5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0" t="s">
        <v>1206</v>
      </c>
      <c r="B826" s="31"/>
      <c r="C826" s="3" t="s">
        <v>1207</v>
      </c>
      <c r="D826" s="5" t="s">
        <v>14</v>
      </c>
      <c r="E826" s="5" t="s">
        <v>186</v>
      </c>
      <c r="F826" s="6" t="s">
        <v>187</v>
      </c>
      <c r="G826" s="5" t="s">
        <v>203</v>
      </c>
      <c r="H826" s="19" t="s">
        <v>76</v>
      </c>
      <c r="I826" s="5" t="str">
        <f aca="false">CONCATENATE(E826, "_",H826)</f>
        <v>NLA_2022_001_QC_C_3</v>
      </c>
      <c r="J826" s="5" t="s">
        <v>52</v>
      </c>
      <c r="K826" s="5" t="s">
        <v>76</v>
      </c>
      <c r="L826" s="8" t="s">
        <v>69</v>
      </c>
      <c r="M826" s="1" t="s">
        <v>46</v>
      </c>
      <c r="N826" s="5" t="s">
        <v>70</v>
      </c>
      <c r="O826" s="5" t="s">
        <v>46</v>
      </c>
      <c r="P826" s="5" t="s">
        <v>71</v>
      </c>
      <c r="Q826" s="5" t="s">
        <v>71</v>
      </c>
      <c r="R826" s="5" t="s">
        <v>72</v>
      </c>
      <c r="S826" s="5" t="s">
        <v>73</v>
      </c>
      <c r="T826" s="5" t="s">
        <v>46</v>
      </c>
      <c r="U826" s="5" t="n">
        <v>1000</v>
      </c>
      <c r="V826" s="1" t="n">
        <v>3</v>
      </c>
      <c r="W826" s="5"/>
      <c r="X826" s="5" t="s">
        <v>74</v>
      </c>
      <c r="Y826" s="1" t="n">
        <v>5500</v>
      </c>
      <c r="Z826" s="5" t="s">
        <v>194</v>
      </c>
      <c r="AA826" s="5" t="s">
        <v>195</v>
      </c>
      <c r="AB826" s="13" t="str">
        <f aca="true" t="array" ref="AB826:AB826">LEFT(AA826,LOOKUP(2^15,FIND(".",AA826,ROW(INDIRECT("1:"&amp;LEN(AA826)))))-1)</f>
        <v>NB_2022_006+007+010 - 25022022 - 1</v>
      </c>
      <c r="AC826" s="5" t="s">
        <v>196</v>
      </c>
      <c r="AD826" s="13" t="str">
        <f aca="true" t="array" ref="AD826:AD826">LEFT(AC826,LOOKUP(2^15,FIND(".",AC826,ROW(INDIRECT("1:"&amp;LEN(AC826)))))-1)</f>
        <v>NB_2022_006+007+010 - 25022022 - 2</v>
      </c>
      <c r="AE826" s="5" t="str">
        <f aca="false">CONCATENATE(AB826, "-",H826, ".mzML")</f>
        <v>NB_2022_006+007+010 - 25022022 - 1-QC_C_3.mzML</v>
      </c>
      <c r="AF826" s="5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0" t="s">
        <v>1206</v>
      </c>
      <c r="B827" s="31"/>
      <c r="C827" s="3" t="s">
        <v>1207</v>
      </c>
      <c r="D827" s="5" t="s">
        <v>14</v>
      </c>
      <c r="E827" s="5" t="s">
        <v>186</v>
      </c>
      <c r="F827" s="6" t="s">
        <v>187</v>
      </c>
      <c r="G827" s="5" t="s">
        <v>203</v>
      </c>
      <c r="H827" s="19" t="s">
        <v>77</v>
      </c>
      <c r="I827" s="5" t="str">
        <f aca="false">CONCATENATE(E827, "_",H827)</f>
        <v>NLA_2022_001_QC_P_1</v>
      </c>
      <c r="J827" s="5" t="s">
        <v>52</v>
      </c>
      <c r="K827" s="5" t="s">
        <v>77</v>
      </c>
      <c r="L827" s="8" t="s">
        <v>69</v>
      </c>
      <c r="M827" s="6" t="s">
        <v>46</v>
      </c>
      <c r="N827" s="5" t="s">
        <v>78</v>
      </c>
      <c r="O827" s="5" t="s">
        <v>46</v>
      </c>
      <c r="P827" s="5" t="s">
        <v>79</v>
      </c>
      <c r="Q827" s="5" t="s">
        <v>80</v>
      </c>
      <c r="R827" s="5" t="s">
        <v>81</v>
      </c>
      <c r="S827" s="5" t="s">
        <v>46</v>
      </c>
      <c r="T827" s="5" t="s">
        <v>46</v>
      </c>
      <c r="U827" s="5" t="s">
        <v>82</v>
      </c>
      <c r="V827" s="1" t="n">
        <v>1</v>
      </c>
      <c r="W827" s="5"/>
      <c r="X827" s="5" t="s">
        <v>83</v>
      </c>
      <c r="Y827" s="5" t="n">
        <v>5500</v>
      </c>
      <c r="Z827" s="5" t="s">
        <v>194</v>
      </c>
      <c r="AA827" s="5" t="s">
        <v>195</v>
      </c>
      <c r="AB827" s="13" t="str">
        <f aca="true" t="array" ref="AB827:AB827">LEFT(AA827,LOOKUP(2^15,FIND(".",AA827,ROW(INDIRECT("1:"&amp;LEN(AA827)))))-1)</f>
        <v>NB_2022_006+007+010 - 25022022 - 1</v>
      </c>
      <c r="AC827" s="5" t="s">
        <v>196</v>
      </c>
      <c r="AD827" s="13" t="str">
        <f aca="true" t="array" ref="AD827:AD827">LEFT(AC827,LOOKUP(2^15,FIND(".",AC827,ROW(INDIRECT("1:"&amp;LEN(AC827)))))-1)</f>
        <v>NB_2022_006+007+010 - 25022022 - 2</v>
      </c>
      <c r="AE827" s="5" t="str">
        <f aca="false">CONCATENATE(AB827, "-",H827, ".mzML")</f>
        <v>NB_2022_006+007+010 - 25022022 - 1-QC_P_1.mzML</v>
      </c>
      <c r="AF827" s="5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0" t="s">
        <v>1206</v>
      </c>
      <c r="B828" s="31"/>
      <c r="C828" s="3" t="s">
        <v>1207</v>
      </c>
      <c r="D828" s="5" t="s">
        <v>14</v>
      </c>
      <c r="E828" s="5" t="s">
        <v>186</v>
      </c>
      <c r="F828" s="6" t="s">
        <v>187</v>
      </c>
      <c r="G828" s="5" t="s">
        <v>203</v>
      </c>
      <c r="H828" s="19" t="s">
        <v>84</v>
      </c>
      <c r="I828" s="5" t="str">
        <f aca="false">CONCATENATE(E828, "_",H828)</f>
        <v>NLA_2022_001_QC_P_2</v>
      </c>
      <c r="J828" s="5" t="s">
        <v>52</v>
      </c>
      <c r="K828" s="5" t="s">
        <v>84</v>
      </c>
      <c r="L828" s="8" t="s">
        <v>69</v>
      </c>
      <c r="M828" s="6" t="s">
        <v>46</v>
      </c>
      <c r="N828" s="5" t="s">
        <v>78</v>
      </c>
      <c r="O828" s="5" t="s">
        <v>46</v>
      </c>
      <c r="P828" s="5" t="s">
        <v>79</v>
      </c>
      <c r="Q828" s="5" t="s">
        <v>80</v>
      </c>
      <c r="R828" s="5" t="s">
        <v>81</v>
      </c>
      <c r="S828" s="5" t="s">
        <v>46</v>
      </c>
      <c r="T828" s="5" t="s">
        <v>46</v>
      </c>
      <c r="U828" s="5" t="s">
        <v>82</v>
      </c>
      <c r="V828" s="1" t="n">
        <v>2</v>
      </c>
      <c r="W828" s="5"/>
      <c r="X828" s="5" t="s">
        <v>83</v>
      </c>
      <c r="Y828" s="5" t="n">
        <v>5500</v>
      </c>
      <c r="Z828" s="5" t="s">
        <v>194</v>
      </c>
      <c r="AA828" s="5" t="s">
        <v>195</v>
      </c>
      <c r="AB828" s="13" t="str">
        <f aca="true" t="array" ref="AB828:AB828">LEFT(AA828,LOOKUP(2^15,FIND(".",AA828,ROW(INDIRECT("1:"&amp;LEN(AA828)))))-1)</f>
        <v>NB_2022_006+007+010 - 25022022 - 1</v>
      </c>
      <c r="AC828" s="5" t="s">
        <v>196</v>
      </c>
      <c r="AD828" s="13" t="str">
        <f aca="true" t="array" ref="AD828:AD828">LEFT(AC828,LOOKUP(2^15,FIND(".",AC828,ROW(INDIRECT("1:"&amp;LEN(AC828)))))-1)</f>
        <v>NB_2022_006+007+010 - 25022022 - 2</v>
      </c>
      <c r="AE828" s="5" t="str">
        <f aca="false">CONCATENATE(AB828, "-",H828, ".mzML")</f>
        <v>NB_2022_006+007+010 - 25022022 - 1-QC_P_2.mzML</v>
      </c>
      <c r="AF828" s="5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0" t="s">
        <v>1206</v>
      </c>
      <c r="B829" s="31"/>
      <c r="C829" s="3" t="s">
        <v>1207</v>
      </c>
      <c r="D829" s="5" t="s">
        <v>14</v>
      </c>
      <c r="E829" s="5" t="s">
        <v>186</v>
      </c>
      <c r="F829" s="6" t="s">
        <v>187</v>
      </c>
      <c r="G829" s="5" t="s">
        <v>203</v>
      </c>
      <c r="H829" s="19" t="s">
        <v>85</v>
      </c>
      <c r="I829" s="5" t="str">
        <f aca="false">CONCATENATE(E829, "_",H829)</f>
        <v>NLA_2022_001_QC_P_3</v>
      </c>
      <c r="J829" s="5" t="s">
        <v>52</v>
      </c>
      <c r="K829" s="5" t="s">
        <v>85</v>
      </c>
      <c r="L829" s="8" t="s">
        <v>69</v>
      </c>
      <c r="M829" s="6" t="s">
        <v>46</v>
      </c>
      <c r="N829" s="5" t="s">
        <v>78</v>
      </c>
      <c r="O829" s="5" t="s">
        <v>46</v>
      </c>
      <c r="P829" s="5" t="s">
        <v>79</v>
      </c>
      <c r="Q829" s="5" t="s">
        <v>80</v>
      </c>
      <c r="R829" s="5" t="s">
        <v>81</v>
      </c>
      <c r="S829" s="5" t="s">
        <v>46</v>
      </c>
      <c r="T829" s="5" t="s">
        <v>46</v>
      </c>
      <c r="U829" s="5" t="s">
        <v>82</v>
      </c>
      <c r="V829" s="1" t="n">
        <v>3</v>
      </c>
      <c r="W829" s="5"/>
      <c r="X829" s="5" t="s">
        <v>83</v>
      </c>
      <c r="Y829" s="5" t="n">
        <v>5500</v>
      </c>
      <c r="Z829" s="5" t="s">
        <v>194</v>
      </c>
      <c r="AA829" s="5" t="s">
        <v>195</v>
      </c>
      <c r="AB829" s="13" t="str">
        <f aca="true" t="array" ref="AB829:AB829">LEFT(AA829,LOOKUP(2^15,FIND(".",AA829,ROW(INDIRECT("1:"&amp;LEN(AA829)))))-1)</f>
        <v>NB_2022_006+007+010 - 25022022 - 1</v>
      </c>
      <c r="AC829" s="5" t="s">
        <v>196</v>
      </c>
      <c r="AD829" s="13" t="str">
        <f aca="true" t="array" ref="AD829:AD829">LEFT(AC829,LOOKUP(2^15,FIND(".",AC829,ROW(INDIRECT("1:"&amp;LEN(AC829)))))-1)</f>
        <v>NB_2022_006+007+010 - 25022022 - 2</v>
      </c>
      <c r="AE829" s="5" t="str">
        <f aca="false">CONCATENATE(AB829, "-",H829, ".mzML")</f>
        <v>NB_2022_006+007+010 - 25022022 - 1-QC_P_3.mzML</v>
      </c>
      <c r="AF829" s="5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0" t="s">
        <v>1223</v>
      </c>
      <c r="B830" s="31"/>
      <c r="C830" s="3" t="s">
        <v>1224</v>
      </c>
      <c r="D830" s="5" t="s">
        <v>14</v>
      </c>
      <c r="E830" s="5" t="s">
        <v>1225</v>
      </c>
      <c r="F830" s="6" t="s">
        <v>1226</v>
      </c>
      <c r="G830" s="5" t="s">
        <v>1227</v>
      </c>
      <c r="H830" s="24" t="s">
        <v>227</v>
      </c>
      <c r="I830" s="5" t="str">
        <f aca="false">CONCATENATE(E830, "_",H830)</f>
        <v>NLA_2022_006_019</v>
      </c>
      <c r="J830" s="5" t="s">
        <v>38</v>
      </c>
      <c r="K830" s="5" t="s">
        <v>1228</v>
      </c>
      <c r="L830" s="8" t="s">
        <v>69</v>
      </c>
      <c r="M830" s="6" t="s">
        <v>1229</v>
      </c>
      <c r="N830" s="5" t="s">
        <v>246</v>
      </c>
      <c r="O830" s="32" t="s">
        <v>1212</v>
      </c>
      <c r="P830" s="33" t="s">
        <v>1213</v>
      </c>
      <c r="Q830" s="33" t="s">
        <v>1214</v>
      </c>
      <c r="R830" s="5" t="s">
        <v>72</v>
      </c>
      <c r="S830" s="5"/>
      <c r="T830" s="5"/>
      <c r="U830" s="1" t="n">
        <v>1500</v>
      </c>
      <c r="V830" s="1" t="n">
        <v>1</v>
      </c>
      <c r="W830" s="5"/>
      <c r="X830" s="8" t="s">
        <v>1215</v>
      </c>
      <c r="Y830" s="1" t="n">
        <v>5500</v>
      </c>
      <c r="Z830" s="5" t="s">
        <v>1230</v>
      </c>
      <c r="AA830" s="5" t="s">
        <v>1231</v>
      </c>
      <c r="AB830" s="13" t="str">
        <f aca="true" t="array" ref="AB830:AB830">LEFT(AA830,LOOKUP(2^15,FIND(".",AA830,ROW(INDIRECT("1:"&amp;LEN(AA830)))))-1)</f>
        <v>NB_2022_025 - 13072022 - 1</v>
      </c>
      <c r="AC830" s="5" t="s">
        <v>1232</v>
      </c>
      <c r="AD830" s="13" t="str">
        <f aca="true" t="array" ref="AD830:AD830">LEFT(AC830,LOOKUP(2^15,FIND(".",AC830,ROW(INDIRECT("1:"&amp;LEN(AC830)))))-1)</f>
        <v>NB_2022_025 - 13072022 - 2</v>
      </c>
      <c r="AE830" s="5" t="str">
        <f aca="false">CONCATENATE(AB830, "-",H830, ".mzML")</f>
        <v>NB_2022_025 - 13072022 - 1-019.mzML</v>
      </c>
      <c r="AF830" s="5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0" t="s">
        <v>1223</v>
      </c>
      <c r="B831" s="31"/>
      <c r="C831" s="3" t="s">
        <v>1224</v>
      </c>
      <c r="D831" s="5" t="s">
        <v>14</v>
      </c>
      <c r="E831" s="5" t="s">
        <v>1225</v>
      </c>
      <c r="F831" s="6" t="s">
        <v>1226</v>
      </c>
      <c r="G831" s="5" t="s">
        <v>1227</v>
      </c>
      <c r="H831" s="24" t="s">
        <v>230</v>
      </c>
      <c r="I831" s="5" t="str">
        <f aca="false">CONCATENATE(E831, "_",H831)</f>
        <v>NLA_2022_006_020</v>
      </c>
      <c r="J831" s="5" t="s">
        <v>38</v>
      </c>
      <c r="K831" s="5" t="s">
        <v>1228</v>
      </c>
      <c r="L831" s="8" t="s">
        <v>69</v>
      </c>
      <c r="M831" s="6" t="s">
        <v>1229</v>
      </c>
      <c r="N831" s="5" t="s">
        <v>246</v>
      </c>
      <c r="O831" s="32" t="s">
        <v>1212</v>
      </c>
      <c r="P831" s="33" t="s">
        <v>1213</v>
      </c>
      <c r="Q831" s="33" t="s">
        <v>1214</v>
      </c>
      <c r="R831" s="5" t="s">
        <v>72</v>
      </c>
      <c r="S831" s="5"/>
      <c r="T831" s="5"/>
      <c r="U831" s="1" t="n">
        <v>1500</v>
      </c>
      <c r="V831" s="1" t="n">
        <v>2</v>
      </c>
      <c r="W831" s="5"/>
      <c r="X831" s="8" t="s">
        <v>1215</v>
      </c>
      <c r="Y831" s="1" t="n">
        <v>5500</v>
      </c>
      <c r="Z831" s="5" t="s">
        <v>1230</v>
      </c>
      <c r="AA831" s="5" t="s">
        <v>1231</v>
      </c>
      <c r="AB831" s="13" t="str">
        <f aca="true" t="array" ref="AB831:AB831">LEFT(AA831,LOOKUP(2^15,FIND(".",AA831,ROW(INDIRECT("1:"&amp;LEN(AA831)))))-1)</f>
        <v>NB_2022_025 - 13072022 - 1</v>
      </c>
      <c r="AC831" s="5" t="s">
        <v>1232</v>
      </c>
      <c r="AD831" s="13" t="str">
        <f aca="true" t="array" ref="AD831:AD831">LEFT(AC831,LOOKUP(2^15,FIND(".",AC831,ROW(INDIRECT("1:"&amp;LEN(AC831)))))-1)</f>
        <v>NB_2022_025 - 13072022 - 2</v>
      </c>
      <c r="AE831" s="5" t="str">
        <f aca="false">CONCATENATE(AB831, "-",H831, ".mzML")</f>
        <v>NB_2022_025 - 13072022 - 1-020.mzML</v>
      </c>
      <c r="AF831" s="5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0" t="s">
        <v>1223</v>
      </c>
      <c r="B832" s="31"/>
      <c r="C832" s="3" t="s">
        <v>1224</v>
      </c>
      <c r="D832" s="5" t="s">
        <v>14</v>
      </c>
      <c r="E832" s="5" t="s">
        <v>1225</v>
      </c>
      <c r="F832" s="6" t="s">
        <v>1226</v>
      </c>
      <c r="G832" s="5" t="s">
        <v>1227</v>
      </c>
      <c r="H832" s="24" t="s">
        <v>62</v>
      </c>
      <c r="I832" s="5" t="str">
        <f aca="false">CONCATENATE(E832, "_",H832)</f>
        <v>NLA_2022_006_021</v>
      </c>
      <c r="J832" s="5" t="s">
        <v>38</v>
      </c>
      <c r="K832" s="5" t="s">
        <v>1228</v>
      </c>
      <c r="L832" s="8" t="s">
        <v>69</v>
      </c>
      <c r="M832" s="6" t="s">
        <v>1229</v>
      </c>
      <c r="N832" s="5" t="s">
        <v>246</v>
      </c>
      <c r="O832" s="32" t="s">
        <v>1212</v>
      </c>
      <c r="P832" s="33" t="s">
        <v>1213</v>
      </c>
      <c r="Q832" s="33" t="s">
        <v>1214</v>
      </c>
      <c r="R832" s="5" t="s">
        <v>72</v>
      </c>
      <c r="S832" s="5"/>
      <c r="T832" s="5"/>
      <c r="U832" s="1" t="n">
        <v>1500</v>
      </c>
      <c r="V832" s="1" t="n">
        <v>3</v>
      </c>
      <c r="W832" s="5"/>
      <c r="X832" s="8" t="s">
        <v>1215</v>
      </c>
      <c r="Y832" s="1" t="n">
        <v>5500</v>
      </c>
      <c r="Z832" s="5" t="s">
        <v>1230</v>
      </c>
      <c r="AA832" s="5" t="s">
        <v>1231</v>
      </c>
      <c r="AB832" s="13" t="str">
        <f aca="true" t="array" ref="AB832:AB832">LEFT(AA832,LOOKUP(2^15,FIND(".",AA832,ROW(INDIRECT("1:"&amp;LEN(AA832)))))-1)</f>
        <v>NB_2022_025 - 13072022 - 1</v>
      </c>
      <c r="AC832" s="5" t="s">
        <v>1232</v>
      </c>
      <c r="AD832" s="13" t="str">
        <f aca="true" t="array" ref="AD832:AD832">LEFT(AC832,LOOKUP(2^15,FIND(".",AC832,ROW(INDIRECT("1:"&amp;LEN(AC832)))))-1)</f>
        <v>NB_2022_025 - 13072022 - 2</v>
      </c>
      <c r="AE832" s="5" t="str">
        <f aca="false">CONCATENATE(AB832, "-",H832, ".mzML")</f>
        <v>NB_2022_025 - 13072022 - 1-021.mzML</v>
      </c>
      <c r="AF832" s="5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0" t="s">
        <v>1223</v>
      </c>
      <c r="B833" s="31"/>
      <c r="C833" s="3" t="s">
        <v>1224</v>
      </c>
      <c r="D833" s="5" t="s">
        <v>14</v>
      </c>
      <c r="E833" s="5" t="s">
        <v>1225</v>
      </c>
      <c r="F833" s="6" t="s">
        <v>1226</v>
      </c>
      <c r="G833" s="5" t="s">
        <v>1227</v>
      </c>
      <c r="H833" s="24" t="s">
        <v>288</v>
      </c>
      <c r="I833" s="5" t="str">
        <f aca="false">CONCATENATE(E833, "_",H833)</f>
        <v>NLA_2022_006_022</v>
      </c>
      <c r="J833" s="5" t="s">
        <v>52</v>
      </c>
      <c r="K833" s="5" t="s">
        <v>1233</v>
      </c>
      <c r="L833" s="8" t="s">
        <v>69</v>
      </c>
      <c r="M833" s="6" t="s">
        <v>1229</v>
      </c>
      <c r="N833" s="5" t="s">
        <v>246</v>
      </c>
      <c r="O833" s="32" t="s">
        <v>1220</v>
      </c>
      <c r="P833" s="33" t="s">
        <v>1213</v>
      </c>
      <c r="Q833" s="33" t="s">
        <v>1213</v>
      </c>
      <c r="R833" s="5" t="s">
        <v>72</v>
      </c>
      <c r="S833" s="5"/>
      <c r="T833" s="5"/>
      <c r="U833" s="1" t="n">
        <v>1500</v>
      </c>
      <c r="V833" s="1" t="n">
        <v>1</v>
      </c>
      <c r="W833" s="5"/>
      <c r="X833" s="8" t="s">
        <v>1215</v>
      </c>
      <c r="Y833" s="1" t="n">
        <v>5500</v>
      </c>
      <c r="Z833" s="5" t="s">
        <v>1230</v>
      </c>
      <c r="AA833" s="5" t="s">
        <v>1231</v>
      </c>
      <c r="AB833" s="13" t="str">
        <f aca="true" t="array" ref="AB833:AB833">LEFT(AA833,LOOKUP(2^15,FIND(".",AA833,ROW(INDIRECT("1:"&amp;LEN(AA833)))))-1)</f>
        <v>NB_2022_025 - 13072022 - 1</v>
      </c>
      <c r="AC833" s="5" t="s">
        <v>1232</v>
      </c>
      <c r="AD833" s="13" t="str">
        <f aca="true" t="array" ref="AD833:AD833">LEFT(AC833,LOOKUP(2^15,FIND(".",AC833,ROW(INDIRECT("1:"&amp;LEN(AC833)))))-1)</f>
        <v>NB_2022_025 - 13072022 - 2</v>
      </c>
      <c r="AE833" s="5" t="str">
        <f aca="false">CONCATENATE(AB833, "-",H833, ".mzML")</f>
        <v>NB_2022_025 - 13072022 - 1-022.mzML</v>
      </c>
      <c r="AF833" s="5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0" t="s">
        <v>1223</v>
      </c>
      <c r="B834" s="31"/>
      <c r="C834" s="3" t="s">
        <v>1224</v>
      </c>
      <c r="D834" s="5" t="s">
        <v>14</v>
      </c>
      <c r="E834" s="5" t="s">
        <v>1225</v>
      </c>
      <c r="F834" s="6" t="s">
        <v>1226</v>
      </c>
      <c r="G834" s="5" t="s">
        <v>1227</v>
      </c>
      <c r="H834" s="24" t="s">
        <v>235</v>
      </c>
      <c r="I834" s="5" t="str">
        <f aca="false">CONCATENATE(E834, "_",H834)</f>
        <v>NLA_2022_006_023</v>
      </c>
      <c r="J834" s="5" t="s">
        <v>52</v>
      </c>
      <c r="K834" s="5" t="s">
        <v>1233</v>
      </c>
      <c r="L834" s="8" t="s">
        <v>69</v>
      </c>
      <c r="M834" s="6" t="s">
        <v>1229</v>
      </c>
      <c r="N834" s="5" t="s">
        <v>246</v>
      </c>
      <c r="O834" s="32" t="s">
        <v>1220</v>
      </c>
      <c r="P834" s="33" t="s">
        <v>1213</v>
      </c>
      <c r="Q834" s="33" t="s">
        <v>1213</v>
      </c>
      <c r="R834" s="5" t="s">
        <v>72</v>
      </c>
      <c r="S834" s="5"/>
      <c r="T834" s="5"/>
      <c r="U834" s="1" t="n">
        <v>1500</v>
      </c>
      <c r="V834" s="1" t="n">
        <v>2</v>
      </c>
      <c r="W834" s="5"/>
      <c r="X834" s="8" t="s">
        <v>1215</v>
      </c>
      <c r="Y834" s="1" t="n">
        <v>5500</v>
      </c>
      <c r="Z834" s="5" t="s">
        <v>1230</v>
      </c>
      <c r="AA834" s="5" t="s">
        <v>1231</v>
      </c>
      <c r="AB834" s="13" t="str">
        <f aca="true" t="array" ref="AB834:AB834">LEFT(AA834,LOOKUP(2^15,FIND(".",AA834,ROW(INDIRECT("1:"&amp;LEN(AA834)))))-1)</f>
        <v>NB_2022_025 - 13072022 - 1</v>
      </c>
      <c r="AC834" s="5" t="s">
        <v>1232</v>
      </c>
      <c r="AD834" s="13" t="str">
        <f aca="true" t="array" ref="AD834:AD834">LEFT(AC834,LOOKUP(2^15,FIND(".",AC834,ROW(INDIRECT("1:"&amp;LEN(AC834)))))-1)</f>
        <v>NB_2022_025 - 13072022 - 2</v>
      </c>
      <c r="AE834" s="5" t="str">
        <f aca="false">CONCATENATE(AB834, "-",H834, ".mzML")</f>
        <v>NB_2022_025 - 13072022 - 1-023.mzML</v>
      </c>
      <c r="AF834" s="5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0" t="s">
        <v>1223</v>
      </c>
      <c r="B835" s="31"/>
      <c r="C835" s="3" t="s">
        <v>1224</v>
      </c>
      <c r="D835" s="5" t="s">
        <v>14</v>
      </c>
      <c r="E835" s="5" t="s">
        <v>1225</v>
      </c>
      <c r="F835" s="6" t="s">
        <v>1226</v>
      </c>
      <c r="G835" s="5" t="s">
        <v>1227</v>
      </c>
      <c r="H835" s="24" t="s">
        <v>237</v>
      </c>
      <c r="I835" s="5" t="str">
        <f aca="false">CONCATENATE(E835, "_",H835)</f>
        <v>NLA_2022_006_024</v>
      </c>
      <c r="J835" s="5" t="s">
        <v>52</v>
      </c>
      <c r="K835" s="5" t="s">
        <v>1233</v>
      </c>
      <c r="L835" s="8" t="s">
        <v>69</v>
      </c>
      <c r="M835" s="6" t="s">
        <v>1229</v>
      </c>
      <c r="N835" s="5" t="s">
        <v>246</v>
      </c>
      <c r="O835" s="32" t="s">
        <v>1220</v>
      </c>
      <c r="P835" s="33" t="s">
        <v>1213</v>
      </c>
      <c r="Q835" s="33" t="s">
        <v>1213</v>
      </c>
      <c r="R835" s="5" t="s">
        <v>72</v>
      </c>
      <c r="S835" s="5"/>
      <c r="T835" s="5"/>
      <c r="U835" s="1" t="n">
        <v>1500</v>
      </c>
      <c r="V835" s="1" t="n">
        <v>3</v>
      </c>
      <c r="W835" s="5"/>
      <c r="X835" s="8" t="s">
        <v>1215</v>
      </c>
      <c r="Y835" s="1" t="n">
        <v>5500</v>
      </c>
      <c r="Z835" s="5" t="s">
        <v>1230</v>
      </c>
      <c r="AA835" s="5" t="s">
        <v>1231</v>
      </c>
      <c r="AB835" s="13" t="str">
        <f aca="true" t="array" ref="AB835:AB835">LEFT(AA835,LOOKUP(2^15,FIND(".",AA835,ROW(INDIRECT("1:"&amp;LEN(AA835)))))-1)</f>
        <v>NB_2022_025 - 13072022 - 1</v>
      </c>
      <c r="AC835" s="5" t="s">
        <v>1232</v>
      </c>
      <c r="AD835" s="13" t="str">
        <f aca="true" t="array" ref="AD835:AD835">LEFT(AC835,LOOKUP(2^15,FIND(".",AC835,ROW(INDIRECT("1:"&amp;LEN(AC835)))))-1)</f>
        <v>NB_2022_025 - 13072022 - 2</v>
      </c>
      <c r="AE835" s="5" t="str">
        <f aca="false">CONCATENATE(AB835, "-",H835, ".mzML")</f>
        <v>NB_2022_025 - 13072022 - 1-024.mzML</v>
      </c>
      <c r="AF835" s="5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0" t="s">
        <v>1223</v>
      </c>
      <c r="B836" s="31"/>
      <c r="C836" s="3" t="s">
        <v>1224</v>
      </c>
      <c r="D836" s="5" t="s">
        <v>14</v>
      </c>
      <c r="E836" s="5" t="s">
        <v>1225</v>
      </c>
      <c r="F836" s="6" t="s">
        <v>1226</v>
      </c>
      <c r="G836" s="5" t="s">
        <v>1225</v>
      </c>
      <c r="H836" s="24" t="s">
        <v>64</v>
      </c>
      <c r="I836" s="5" t="str">
        <f aca="false">CONCATENATE(E836, "_",H836)</f>
        <v>NLA_2022_006_Blank_1</v>
      </c>
      <c r="J836" s="5" t="s">
        <v>52</v>
      </c>
      <c r="K836" s="5" t="s">
        <v>280</v>
      </c>
      <c r="L836" s="8" t="s">
        <v>46</v>
      </c>
      <c r="M836" s="6" t="s">
        <v>46</v>
      </c>
      <c r="N836" s="5" t="s">
        <v>65</v>
      </c>
      <c r="O836" s="5" t="s">
        <v>46</v>
      </c>
      <c r="P836" s="5" t="s">
        <v>46</v>
      </c>
      <c r="Q836" s="5" t="s">
        <v>46</v>
      </c>
      <c r="R836" s="5" t="s">
        <v>46</v>
      </c>
      <c r="S836" s="5" t="s">
        <v>46</v>
      </c>
      <c r="T836" s="5" t="s">
        <v>46</v>
      </c>
      <c r="U836" s="5" t="s">
        <v>46</v>
      </c>
      <c r="V836" s="1" t="n">
        <v>1</v>
      </c>
      <c r="W836" s="5"/>
      <c r="X836" s="5" t="s">
        <v>46</v>
      </c>
      <c r="Y836" s="1" t="n">
        <v>5500</v>
      </c>
      <c r="Z836" s="5" t="s">
        <v>1230</v>
      </c>
      <c r="AA836" s="5" t="s">
        <v>1231</v>
      </c>
      <c r="AB836" s="13" t="str">
        <f aca="true" t="array" ref="AB836:AB836">LEFT(AA836,LOOKUP(2^15,FIND(".",AA836,ROW(INDIRECT("1:"&amp;LEN(AA836)))))-1)</f>
        <v>NB_2022_025 - 13072022 - 1</v>
      </c>
      <c r="AC836" s="5" t="s">
        <v>1232</v>
      </c>
      <c r="AD836" s="13" t="str">
        <f aca="true" t="array" ref="AD836:AD836">LEFT(AC836,LOOKUP(2^15,FIND(".",AC836,ROW(INDIRECT("1:"&amp;LEN(AC836)))))-1)</f>
        <v>NB_2022_025 - 13072022 - 2</v>
      </c>
      <c r="AE836" s="5" t="str">
        <f aca="false">CONCATENATE(AB836, "-",H836, ".mzML")</f>
        <v>NB_2022_025 - 13072022 - 1-Blank_1.mzML</v>
      </c>
      <c r="AF836" s="5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0" t="s">
        <v>1223</v>
      </c>
      <c r="B837" s="31"/>
      <c r="C837" s="3" t="s">
        <v>1224</v>
      </c>
      <c r="D837" s="5" t="s">
        <v>14</v>
      </c>
      <c r="E837" s="5" t="s">
        <v>1225</v>
      </c>
      <c r="F837" s="6" t="s">
        <v>1226</v>
      </c>
      <c r="G837" s="5" t="s">
        <v>1225</v>
      </c>
      <c r="H837" s="24" t="s">
        <v>66</v>
      </c>
      <c r="I837" s="5" t="str">
        <f aca="false">CONCATENATE(E837, "_",H837)</f>
        <v>NLA_2022_006_Blank_2</v>
      </c>
      <c r="J837" s="5" t="s">
        <v>52</v>
      </c>
      <c r="K837" s="5" t="s">
        <v>280</v>
      </c>
      <c r="L837" s="8" t="s">
        <v>46</v>
      </c>
      <c r="M837" s="6" t="s">
        <v>46</v>
      </c>
      <c r="N837" s="5" t="s">
        <v>65</v>
      </c>
      <c r="O837" s="5" t="s">
        <v>46</v>
      </c>
      <c r="P837" s="5" t="s">
        <v>46</v>
      </c>
      <c r="Q837" s="5" t="s">
        <v>46</v>
      </c>
      <c r="R837" s="5" t="s">
        <v>46</v>
      </c>
      <c r="S837" s="5" t="s">
        <v>46</v>
      </c>
      <c r="T837" s="5" t="s">
        <v>46</v>
      </c>
      <c r="U837" s="5" t="s">
        <v>46</v>
      </c>
      <c r="V837" s="1" t="n">
        <v>2</v>
      </c>
      <c r="W837" s="5"/>
      <c r="X837" s="5" t="s">
        <v>46</v>
      </c>
      <c r="Y837" s="1" t="n">
        <v>5500</v>
      </c>
      <c r="Z837" s="5" t="s">
        <v>1230</v>
      </c>
      <c r="AA837" s="5" t="s">
        <v>1231</v>
      </c>
      <c r="AB837" s="13" t="str">
        <f aca="true" t="array" ref="AB837:AB837">LEFT(AA837,LOOKUP(2^15,FIND(".",AA837,ROW(INDIRECT("1:"&amp;LEN(AA837)))))-1)</f>
        <v>NB_2022_025 - 13072022 - 1</v>
      </c>
      <c r="AC837" s="5" t="s">
        <v>1232</v>
      </c>
      <c r="AD837" s="13" t="str">
        <f aca="true" t="array" ref="AD837:AD837">LEFT(AC837,LOOKUP(2^15,FIND(".",AC837,ROW(INDIRECT("1:"&amp;LEN(AC837)))))-1)</f>
        <v>NB_2022_025 - 13072022 - 2</v>
      </c>
      <c r="AE837" s="5" t="str">
        <f aca="false">CONCATENATE(AB837, "-",H837, ".mzML")</f>
        <v>NB_2022_025 - 13072022 - 1-Blank_2.mzML</v>
      </c>
      <c r="AF837" s="5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0" t="s">
        <v>1223</v>
      </c>
      <c r="B838" s="31"/>
      <c r="C838" s="3" t="s">
        <v>1224</v>
      </c>
      <c r="D838" s="5" t="s">
        <v>14</v>
      </c>
      <c r="E838" s="5" t="s">
        <v>1225</v>
      </c>
      <c r="F838" s="6" t="s">
        <v>1226</v>
      </c>
      <c r="G838" s="5" t="s">
        <v>1225</v>
      </c>
      <c r="H838" s="24" t="s">
        <v>67</v>
      </c>
      <c r="I838" s="5" t="str">
        <f aca="false">CONCATENATE(E838, "_",H838)</f>
        <v>NLA_2022_006_Blank_3</v>
      </c>
      <c r="J838" s="5" t="s">
        <v>52</v>
      </c>
      <c r="K838" s="5" t="s">
        <v>280</v>
      </c>
      <c r="L838" s="8" t="s">
        <v>46</v>
      </c>
      <c r="M838" s="6" t="s">
        <v>46</v>
      </c>
      <c r="N838" s="5" t="s">
        <v>65</v>
      </c>
      <c r="O838" s="5" t="s">
        <v>46</v>
      </c>
      <c r="P838" s="5" t="s">
        <v>46</v>
      </c>
      <c r="Q838" s="5" t="s">
        <v>46</v>
      </c>
      <c r="R838" s="5" t="s">
        <v>46</v>
      </c>
      <c r="S838" s="5" t="s">
        <v>46</v>
      </c>
      <c r="T838" s="5" t="s">
        <v>46</v>
      </c>
      <c r="U838" s="5" t="s">
        <v>46</v>
      </c>
      <c r="V838" s="1" t="n">
        <v>3</v>
      </c>
      <c r="W838" s="5"/>
      <c r="X838" s="5" t="s">
        <v>46</v>
      </c>
      <c r="Y838" s="1" t="n">
        <v>5500</v>
      </c>
      <c r="Z838" s="5" t="s">
        <v>1230</v>
      </c>
      <c r="AA838" s="5" t="s">
        <v>1231</v>
      </c>
      <c r="AB838" s="13" t="str">
        <f aca="true" t="array" ref="AB838:AB838">LEFT(AA838,LOOKUP(2^15,FIND(".",AA838,ROW(INDIRECT("1:"&amp;LEN(AA838)))))-1)</f>
        <v>NB_2022_025 - 13072022 - 1</v>
      </c>
      <c r="AC838" s="5" t="s">
        <v>1232</v>
      </c>
      <c r="AD838" s="13" t="str">
        <f aca="true" t="array" ref="AD838:AD838">LEFT(AC838,LOOKUP(2^15,FIND(".",AC838,ROW(INDIRECT("1:"&amp;LEN(AC838)))))-1)</f>
        <v>NB_2022_025 - 13072022 - 2</v>
      </c>
      <c r="AE838" s="5" t="str">
        <f aca="false">CONCATENATE(AB838, "-",H838, ".mzML")</f>
        <v>NB_2022_025 - 13072022 - 1-Blank_3.mzML</v>
      </c>
      <c r="AF838" s="5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0" t="s">
        <v>1223</v>
      </c>
      <c r="B839" s="31"/>
      <c r="C839" s="3" t="s">
        <v>1224</v>
      </c>
      <c r="D839" s="5" t="s">
        <v>14</v>
      </c>
      <c r="E839" s="5" t="s">
        <v>1225</v>
      </c>
      <c r="F839" s="6" t="s">
        <v>1226</v>
      </c>
      <c r="G839" s="5" t="s">
        <v>1225</v>
      </c>
      <c r="H839" s="24" t="s">
        <v>221</v>
      </c>
      <c r="I839" s="5" t="str">
        <f aca="false">CONCATENATE(E839, "_",H839)</f>
        <v>NLA_2022_006_Blank_4</v>
      </c>
      <c r="J839" s="5" t="s">
        <v>52</v>
      </c>
      <c r="K839" s="5" t="s">
        <v>280</v>
      </c>
      <c r="L839" s="8" t="s">
        <v>46</v>
      </c>
      <c r="M839" s="6" t="s">
        <v>46</v>
      </c>
      <c r="N839" s="5" t="s">
        <v>65</v>
      </c>
      <c r="O839" s="5" t="s">
        <v>46</v>
      </c>
      <c r="P839" s="5" t="s">
        <v>46</v>
      </c>
      <c r="Q839" s="5" t="s">
        <v>46</v>
      </c>
      <c r="R839" s="5" t="s">
        <v>46</v>
      </c>
      <c r="S839" s="5" t="s">
        <v>46</v>
      </c>
      <c r="T839" s="5" t="s">
        <v>46</v>
      </c>
      <c r="U839" s="5" t="s">
        <v>46</v>
      </c>
      <c r="V839" s="1" t="n">
        <v>4</v>
      </c>
      <c r="W839" s="5"/>
      <c r="X839" s="5" t="s">
        <v>46</v>
      </c>
      <c r="Y839" s="1" t="n">
        <v>5500</v>
      </c>
      <c r="Z839" s="5" t="s">
        <v>1230</v>
      </c>
      <c r="AA839" s="5" t="s">
        <v>1231</v>
      </c>
      <c r="AB839" s="13" t="str">
        <f aca="true" t="array" ref="AB839:AB839">LEFT(AA839,LOOKUP(2^15,FIND(".",AA839,ROW(INDIRECT("1:"&amp;LEN(AA839)))))-1)</f>
        <v>NB_2022_025 - 13072022 - 1</v>
      </c>
      <c r="AC839" s="5" t="s">
        <v>1232</v>
      </c>
      <c r="AD839" s="13" t="str">
        <f aca="true" t="array" ref="AD839:AD839">LEFT(AC839,LOOKUP(2^15,FIND(".",AC839,ROW(INDIRECT("1:"&amp;LEN(AC839)))))-1)</f>
        <v>NB_2022_025 - 13072022 - 2</v>
      </c>
      <c r="AE839" s="5" t="str">
        <f aca="false">CONCATENATE(AB839, "-",H839, ".mzML")</f>
        <v>NB_2022_025 - 13072022 - 1-Blank_4.mzML</v>
      </c>
      <c r="AF839" s="5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0" t="s">
        <v>1223</v>
      </c>
      <c r="B840" s="31"/>
      <c r="C840" s="3" t="s">
        <v>1224</v>
      </c>
      <c r="D840" s="5" t="s">
        <v>14</v>
      </c>
      <c r="E840" s="5" t="s">
        <v>1225</v>
      </c>
      <c r="F840" s="6" t="s">
        <v>1226</v>
      </c>
      <c r="G840" s="5" t="s">
        <v>1225</v>
      </c>
      <c r="H840" s="24" t="s">
        <v>68</v>
      </c>
      <c r="I840" s="5" t="str">
        <f aca="false">CONCATENATE(E840, "_",H840)</f>
        <v>NLA_2022_006_QC_C_1</v>
      </c>
      <c r="J840" s="5" t="s">
        <v>52</v>
      </c>
      <c r="K840" s="5" t="s">
        <v>1234</v>
      </c>
      <c r="L840" s="8" t="s">
        <v>69</v>
      </c>
      <c r="M840" s="1" t="s">
        <v>46</v>
      </c>
      <c r="N840" s="5" t="s">
        <v>70</v>
      </c>
      <c r="O840" s="5" t="s">
        <v>46</v>
      </c>
      <c r="P840" s="5" t="s">
        <v>71</v>
      </c>
      <c r="Q840" s="5" t="s">
        <v>71</v>
      </c>
      <c r="R840" s="5" t="s">
        <v>72</v>
      </c>
      <c r="S840" s="5" t="s">
        <v>73</v>
      </c>
      <c r="T840" s="5" t="s">
        <v>46</v>
      </c>
      <c r="U840" s="5" t="n">
        <v>1000</v>
      </c>
      <c r="V840" s="1" t="n">
        <v>1</v>
      </c>
      <c r="W840" s="5"/>
      <c r="X840" s="5" t="s">
        <v>74</v>
      </c>
      <c r="Y840" s="5" t="n">
        <v>5500</v>
      </c>
      <c r="Z840" s="5" t="s">
        <v>1230</v>
      </c>
      <c r="AA840" s="5" t="s">
        <v>1231</v>
      </c>
      <c r="AB840" s="13" t="str">
        <f aca="true" t="array" ref="AB840:AB840">LEFT(AA840,LOOKUP(2^15,FIND(".",AA840,ROW(INDIRECT("1:"&amp;LEN(AA840)))))-1)</f>
        <v>NB_2022_025 - 13072022 - 1</v>
      </c>
      <c r="AC840" s="5" t="s">
        <v>1232</v>
      </c>
      <c r="AD840" s="13" t="str">
        <f aca="true" t="array" ref="AD840:AD840">LEFT(AC840,LOOKUP(2^15,FIND(".",AC840,ROW(INDIRECT("1:"&amp;LEN(AC840)))))-1)</f>
        <v>NB_2022_025 - 13072022 - 2</v>
      </c>
      <c r="AE840" s="5" t="str">
        <f aca="false">CONCATENATE(AB840, "-",H840, ".mzML")</f>
        <v>NB_2022_025 - 13072022 - 1-QC_C_1.mzML</v>
      </c>
      <c r="AF840" s="5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0" t="s">
        <v>1223</v>
      </c>
      <c r="B841" s="31"/>
      <c r="C841" s="3" t="s">
        <v>1224</v>
      </c>
      <c r="D841" s="5" t="s">
        <v>14</v>
      </c>
      <c r="E841" s="5" t="s">
        <v>1225</v>
      </c>
      <c r="F841" s="6" t="s">
        <v>1226</v>
      </c>
      <c r="G841" s="5" t="s">
        <v>1225</v>
      </c>
      <c r="H841" s="24" t="s">
        <v>75</v>
      </c>
      <c r="I841" s="5" t="str">
        <f aca="false">CONCATENATE(E841, "_",H841)</f>
        <v>NLA_2022_006_QC_C_2</v>
      </c>
      <c r="J841" s="5" t="s">
        <v>52</v>
      </c>
      <c r="K841" s="5" t="s">
        <v>1234</v>
      </c>
      <c r="L841" s="8" t="s">
        <v>69</v>
      </c>
      <c r="M841" s="1" t="s">
        <v>46</v>
      </c>
      <c r="N841" s="5" t="s">
        <v>70</v>
      </c>
      <c r="O841" s="5" t="s">
        <v>46</v>
      </c>
      <c r="P841" s="5" t="s">
        <v>71</v>
      </c>
      <c r="Q841" s="5" t="s">
        <v>71</v>
      </c>
      <c r="R841" s="5" t="s">
        <v>72</v>
      </c>
      <c r="S841" s="5" t="s">
        <v>73</v>
      </c>
      <c r="T841" s="5" t="s">
        <v>46</v>
      </c>
      <c r="U841" s="5" t="n">
        <v>1000</v>
      </c>
      <c r="V841" s="1" t="n">
        <v>2</v>
      </c>
      <c r="W841" s="5"/>
      <c r="X841" s="5" t="s">
        <v>74</v>
      </c>
      <c r="Y841" s="5" t="n">
        <v>5500</v>
      </c>
      <c r="Z841" s="5" t="s">
        <v>1230</v>
      </c>
      <c r="AA841" s="5" t="s">
        <v>1231</v>
      </c>
      <c r="AB841" s="13" t="str">
        <f aca="true" t="array" ref="AB841:AB841">LEFT(AA841,LOOKUP(2^15,FIND(".",AA841,ROW(INDIRECT("1:"&amp;LEN(AA841)))))-1)</f>
        <v>NB_2022_025 - 13072022 - 1</v>
      </c>
      <c r="AC841" s="5" t="s">
        <v>1232</v>
      </c>
      <c r="AD841" s="13" t="str">
        <f aca="true" t="array" ref="AD841:AD841">LEFT(AC841,LOOKUP(2^15,FIND(".",AC841,ROW(INDIRECT("1:"&amp;LEN(AC841)))))-1)</f>
        <v>NB_2022_025 - 13072022 - 2</v>
      </c>
      <c r="AE841" s="5" t="str">
        <f aca="false">CONCATENATE(AB841, "-",H841, ".mzML")</f>
        <v>NB_2022_025 - 13072022 - 1-QC_C_2.mzML</v>
      </c>
      <c r="AF841" s="5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0" t="s">
        <v>1223</v>
      </c>
      <c r="B842" s="31"/>
      <c r="C842" s="3" t="s">
        <v>1224</v>
      </c>
      <c r="D842" s="5" t="s">
        <v>14</v>
      </c>
      <c r="E842" s="5" t="s">
        <v>1225</v>
      </c>
      <c r="F842" s="6" t="s">
        <v>1226</v>
      </c>
      <c r="G842" s="5" t="s">
        <v>1225</v>
      </c>
      <c r="H842" s="24" t="s">
        <v>76</v>
      </c>
      <c r="I842" s="5" t="str">
        <f aca="false">CONCATENATE(E842, "_",H842)</f>
        <v>NLA_2022_006_QC_C_3</v>
      </c>
      <c r="J842" s="5" t="s">
        <v>52</v>
      </c>
      <c r="K842" s="5" t="s">
        <v>1234</v>
      </c>
      <c r="L842" s="8" t="s">
        <v>69</v>
      </c>
      <c r="M842" s="1" t="s">
        <v>46</v>
      </c>
      <c r="N842" s="5" t="s">
        <v>70</v>
      </c>
      <c r="O842" s="5" t="s">
        <v>46</v>
      </c>
      <c r="P842" s="5" t="s">
        <v>71</v>
      </c>
      <c r="Q842" s="5" t="s">
        <v>71</v>
      </c>
      <c r="R842" s="5" t="s">
        <v>72</v>
      </c>
      <c r="S842" s="5" t="s">
        <v>73</v>
      </c>
      <c r="T842" s="5" t="s">
        <v>46</v>
      </c>
      <c r="U842" s="5" t="n">
        <v>1000</v>
      </c>
      <c r="V842" s="1" t="n">
        <v>3</v>
      </c>
      <c r="W842" s="5"/>
      <c r="X842" s="5" t="s">
        <v>74</v>
      </c>
      <c r="Y842" s="5" t="n">
        <v>5500</v>
      </c>
      <c r="Z842" s="5" t="s">
        <v>1230</v>
      </c>
      <c r="AA842" s="5" t="s">
        <v>1231</v>
      </c>
      <c r="AB842" s="13" t="str">
        <f aca="true" t="array" ref="AB842:AB842">LEFT(AA842,LOOKUP(2^15,FIND(".",AA842,ROW(INDIRECT("1:"&amp;LEN(AA842)))))-1)</f>
        <v>NB_2022_025 - 13072022 - 1</v>
      </c>
      <c r="AC842" s="5" t="s">
        <v>1232</v>
      </c>
      <c r="AD842" s="13" t="str">
        <f aca="true" t="array" ref="AD842:AD842">LEFT(AC842,LOOKUP(2^15,FIND(".",AC842,ROW(INDIRECT("1:"&amp;LEN(AC842)))))-1)</f>
        <v>NB_2022_025 - 13072022 - 2</v>
      </c>
      <c r="AE842" s="5" t="str">
        <f aca="false">CONCATENATE(AB842, "-",H842, ".mzML")</f>
        <v>NB_2022_025 - 13072022 - 1-QC_C_3.mzML</v>
      </c>
      <c r="AF842" s="5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0" t="s">
        <v>1223</v>
      </c>
      <c r="B843" s="31"/>
      <c r="C843" s="3" t="s">
        <v>1224</v>
      </c>
      <c r="D843" s="5" t="s">
        <v>14</v>
      </c>
      <c r="E843" s="5" t="s">
        <v>1225</v>
      </c>
      <c r="F843" s="6" t="s">
        <v>1226</v>
      </c>
      <c r="G843" s="5" t="s">
        <v>1225</v>
      </c>
      <c r="H843" s="24" t="s">
        <v>222</v>
      </c>
      <c r="I843" s="5" t="str">
        <f aca="false">CONCATENATE(E843, "_",H843)</f>
        <v>NLA_2022_006_QC_C_4</v>
      </c>
      <c r="J843" s="5" t="s">
        <v>52</v>
      </c>
      <c r="K843" s="5" t="s">
        <v>1234</v>
      </c>
      <c r="L843" s="8" t="s">
        <v>69</v>
      </c>
      <c r="M843" s="1" t="s">
        <v>46</v>
      </c>
      <c r="N843" s="5" t="s">
        <v>70</v>
      </c>
      <c r="O843" s="5" t="s">
        <v>46</v>
      </c>
      <c r="P843" s="5" t="s">
        <v>71</v>
      </c>
      <c r="Q843" s="5" t="s">
        <v>71</v>
      </c>
      <c r="R843" s="5" t="s">
        <v>72</v>
      </c>
      <c r="S843" s="5" t="s">
        <v>73</v>
      </c>
      <c r="T843" s="5" t="s">
        <v>46</v>
      </c>
      <c r="U843" s="5" t="n">
        <v>1000</v>
      </c>
      <c r="V843" s="1" t="n">
        <v>4</v>
      </c>
      <c r="W843" s="5"/>
      <c r="X843" s="5" t="s">
        <v>74</v>
      </c>
      <c r="Y843" s="5" t="n">
        <v>5500</v>
      </c>
      <c r="Z843" s="5" t="s">
        <v>1230</v>
      </c>
      <c r="AA843" s="5" t="s">
        <v>1231</v>
      </c>
      <c r="AB843" s="13" t="str">
        <f aca="true" t="array" ref="AB843:AB843">LEFT(AA843,LOOKUP(2^15,FIND(".",AA843,ROW(INDIRECT("1:"&amp;LEN(AA843)))))-1)</f>
        <v>NB_2022_025 - 13072022 - 1</v>
      </c>
      <c r="AC843" s="5" t="s">
        <v>1232</v>
      </c>
      <c r="AD843" s="13" t="str">
        <f aca="true" t="array" ref="AD843:AD843">LEFT(AC843,LOOKUP(2^15,FIND(".",AC843,ROW(INDIRECT("1:"&amp;LEN(AC843)))))-1)</f>
        <v>NB_2022_025 - 13072022 - 2</v>
      </c>
      <c r="AE843" s="5" t="str">
        <f aca="false">CONCATENATE(AB843, "-",H843, ".mzML")</f>
        <v>NB_2022_025 - 13072022 - 1-QC_C_4.mzML</v>
      </c>
      <c r="AF843" s="5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0" t="s">
        <v>1223</v>
      </c>
      <c r="B844" s="31"/>
      <c r="C844" s="3" t="s">
        <v>1224</v>
      </c>
      <c r="D844" s="5" t="s">
        <v>14</v>
      </c>
      <c r="E844" s="5" t="s">
        <v>1225</v>
      </c>
      <c r="F844" s="6" t="s">
        <v>1226</v>
      </c>
      <c r="G844" s="5" t="s">
        <v>1225</v>
      </c>
      <c r="H844" s="24" t="s">
        <v>77</v>
      </c>
      <c r="I844" s="5" t="str">
        <f aca="false">CONCATENATE(E844, "_",H844)</f>
        <v>NLA_2022_006_QC_P_1</v>
      </c>
      <c r="J844" s="5" t="s">
        <v>52</v>
      </c>
      <c r="K844" s="5" t="s">
        <v>281</v>
      </c>
      <c r="L844" s="8" t="s">
        <v>69</v>
      </c>
      <c r="M844" s="6" t="s">
        <v>46</v>
      </c>
      <c r="N844" s="5" t="s">
        <v>78</v>
      </c>
      <c r="O844" s="5" t="s">
        <v>46</v>
      </c>
      <c r="P844" s="5" t="s">
        <v>79</v>
      </c>
      <c r="Q844" s="5" t="s">
        <v>80</v>
      </c>
      <c r="R844" s="5" t="s">
        <v>81</v>
      </c>
      <c r="S844" s="5" t="s">
        <v>46</v>
      </c>
      <c r="T844" s="5" t="s">
        <v>46</v>
      </c>
      <c r="U844" s="5" t="s">
        <v>82</v>
      </c>
      <c r="V844" s="1" t="n">
        <v>1</v>
      </c>
      <c r="W844" s="5"/>
      <c r="X844" s="5" t="s">
        <v>83</v>
      </c>
      <c r="Y844" s="5" t="n">
        <v>5500</v>
      </c>
      <c r="Z844" s="5" t="s">
        <v>1230</v>
      </c>
      <c r="AA844" s="5" t="s">
        <v>1231</v>
      </c>
      <c r="AB844" s="13" t="str">
        <f aca="true" t="array" ref="AB844:AB844">LEFT(AA844,LOOKUP(2^15,FIND(".",AA844,ROW(INDIRECT("1:"&amp;LEN(AA844)))))-1)</f>
        <v>NB_2022_025 - 13072022 - 1</v>
      </c>
      <c r="AC844" s="5" t="s">
        <v>1232</v>
      </c>
      <c r="AD844" s="13" t="str">
        <f aca="true" t="array" ref="AD844:AD844">LEFT(AC844,LOOKUP(2^15,FIND(".",AC844,ROW(INDIRECT("1:"&amp;LEN(AC844)))))-1)</f>
        <v>NB_2022_025 - 13072022 - 2</v>
      </c>
      <c r="AE844" s="5" t="str">
        <f aca="false">CONCATENATE(AB844, "-",H844, ".mzML")</f>
        <v>NB_2022_025 - 13072022 - 1-QC_P_1.mzML</v>
      </c>
      <c r="AF844" s="5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0" t="s">
        <v>1223</v>
      </c>
      <c r="B845" s="31"/>
      <c r="C845" s="3" t="s">
        <v>1224</v>
      </c>
      <c r="D845" s="5" t="s">
        <v>14</v>
      </c>
      <c r="E845" s="5" t="s">
        <v>1225</v>
      </c>
      <c r="F845" s="6" t="s">
        <v>1226</v>
      </c>
      <c r="G845" s="5" t="s">
        <v>1225</v>
      </c>
      <c r="H845" s="24" t="s">
        <v>84</v>
      </c>
      <c r="I845" s="5" t="str">
        <f aca="false">CONCATENATE(E845, "_",H845)</f>
        <v>NLA_2022_006_QC_P_2</v>
      </c>
      <c r="J845" s="5" t="s">
        <v>52</v>
      </c>
      <c r="K845" s="5" t="s">
        <v>281</v>
      </c>
      <c r="L845" s="8" t="s">
        <v>69</v>
      </c>
      <c r="M845" s="6" t="s">
        <v>46</v>
      </c>
      <c r="N845" s="5" t="s">
        <v>78</v>
      </c>
      <c r="O845" s="5" t="s">
        <v>46</v>
      </c>
      <c r="P845" s="5" t="s">
        <v>79</v>
      </c>
      <c r="Q845" s="5" t="s">
        <v>80</v>
      </c>
      <c r="R845" s="5" t="s">
        <v>81</v>
      </c>
      <c r="S845" s="5" t="s">
        <v>46</v>
      </c>
      <c r="T845" s="5" t="s">
        <v>46</v>
      </c>
      <c r="U845" s="5" t="s">
        <v>82</v>
      </c>
      <c r="V845" s="1" t="n">
        <v>2</v>
      </c>
      <c r="W845" s="5"/>
      <c r="X845" s="5" t="s">
        <v>83</v>
      </c>
      <c r="Y845" s="5" t="n">
        <v>5500</v>
      </c>
      <c r="Z845" s="5" t="s">
        <v>1230</v>
      </c>
      <c r="AA845" s="5" t="s">
        <v>1231</v>
      </c>
      <c r="AB845" s="13" t="str">
        <f aca="true" t="array" ref="AB845:AB845">LEFT(AA845,LOOKUP(2^15,FIND(".",AA845,ROW(INDIRECT("1:"&amp;LEN(AA845)))))-1)</f>
        <v>NB_2022_025 - 13072022 - 1</v>
      </c>
      <c r="AC845" s="5" t="s">
        <v>1232</v>
      </c>
      <c r="AD845" s="13" t="str">
        <f aca="true" t="array" ref="AD845:AD845">LEFT(AC845,LOOKUP(2^15,FIND(".",AC845,ROW(INDIRECT("1:"&amp;LEN(AC845)))))-1)</f>
        <v>NB_2022_025 - 13072022 - 2</v>
      </c>
      <c r="AE845" s="5" t="str">
        <f aca="false">CONCATENATE(AB845, "-",H845, ".mzML")</f>
        <v>NB_2022_025 - 13072022 - 1-QC_P_2.mzML</v>
      </c>
      <c r="AF845" s="5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0" t="s">
        <v>1223</v>
      </c>
      <c r="B846" s="31"/>
      <c r="C846" s="3" t="s">
        <v>1224</v>
      </c>
      <c r="D846" s="5" t="s">
        <v>14</v>
      </c>
      <c r="E846" s="5" t="s">
        <v>1225</v>
      </c>
      <c r="F846" s="6" t="s">
        <v>1226</v>
      </c>
      <c r="G846" s="5" t="s">
        <v>1225</v>
      </c>
      <c r="H846" s="24" t="s">
        <v>85</v>
      </c>
      <c r="I846" s="5" t="str">
        <f aca="false">CONCATENATE(E846, "_",H846)</f>
        <v>NLA_2022_006_QC_P_3</v>
      </c>
      <c r="J846" s="5" t="s">
        <v>52</v>
      </c>
      <c r="K846" s="5" t="s">
        <v>281</v>
      </c>
      <c r="L846" s="8" t="s">
        <v>69</v>
      </c>
      <c r="M846" s="6" t="s">
        <v>46</v>
      </c>
      <c r="N846" s="5" t="s">
        <v>78</v>
      </c>
      <c r="O846" s="5" t="s">
        <v>46</v>
      </c>
      <c r="P846" s="5" t="s">
        <v>79</v>
      </c>
      <c r="Q846" s="5" t="s">
        <v>80</v>
      </c>
      <c r="R846" s="5" t="s">
        <v>81</v>
      </c>
      <c r="S846" s="5" t="s">
        <v>46</v>
      </c>
      <c r="T846" s="5" t="s">
        <v>46</v>
      </c>
      <c r="U846" s="5" t="s">
        <v>82</v>
      </c>
      <c r="V846" s="1" t="n">
        <v>3</v>
      </c>
      <c r="W846" s="5"/>
      <c r="X846" s="5" t="s">
        <v>83</v>
      </c>
      <c r="Y846" s="5" t="n">
        <v>5500</v>
      </c>
      <c r="Z846" s="5" t="s">
        <v>1230</v>
      </c>
      <c r="AA846" s="5" t="s">
        <v>1231</v>
      </c>
      <c r="AB846" s="13" t="str">
        <f aca="true" t="array" ref="AB846:AB846">LEFT(AA846,LOOKUP(2^15,FIND(".",AA846,ROW(INDIRECT("1:"&amp;LEN(AA846)))))-1)</f>
        <v>NB_2022_025 - 13072022 - 1</v>
      </c>
      <c r="AC846" s="5" t="s">
        <v>1232</v>
      </c>
      <c r="AD846" s="13" t="str">
        <f aca="true" t="array" ref="AD846:AD846">LEFT(AC846,LOOKUP(2^15,FIND(".",AC846,ROW(INDIRECT("1:"&amp;LEN(AC846)))))-1)</f>
        <v>NB_2022_025 - 13072022 - 2</v>
      </c>
      <c r="AE846" s="5" t="str">
        <f aca="false">CONCATENATE(AB846, "-",H846, ".mzML")</f>
        <v>NB_2022_025 - 13072022 - 1-QC_P_3.mzML</v>
      </c>
      <c r="AF846" s="5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0" t="s">
        <v>1223</v>
      </c>
      <c r="B847" s="31"/>
      <c r="C847" s="3" t="s">
        <v>1224</v>
      </c>
      <c r="D847" s="5" t="s">
        <v>14</v>
      </c>
      <c r="E847" s="5" t="s">
        <v>1225</v>
      </c>
      <c r="F847" s="6" t="s">
        <v>1226</v>
      </c>
      <c r="G847" s="5" t="s">
        <v>1225</v>
      </c>
      <c r="H847" s="24" t="s">
        <v>224</v>
      </c>
      <c r="I847" s="5" t="str">
        <f aca="false">CONCATENATE(E847, "_",H847)</f>
        <v>NLA_2022_006_QC_P_4</v>
      </c>
      <c r="J847" s="5" t="s">
        <v>52</v>
      </c>
      <c r="K847" s="5" t="s">
        <v>281</v>
      </c>
      <c r="L847" s="8" t="s">
        <v>69</v>
      </c>
      <c r="M847" s="6" t="s">
        <v>46</v>
      </c>
      <c r="N847" s="5" t="s">
        <v>78</v>
      </c>
      <c r="O847" s="5" t="s">
        <v>46</v>
      </c>
      <c r="P847" s="5" t="s">
        <v>79</v>
      </c>
      <c r="Q847" s="5" t="s">
        <v>80</v>
      </c>
      <c r="R847" s="5" t="s">
        <v>81</v>
      </c>
      <c r="S847" s="5" t="s">
        <v>46</v>
      </c>
      <c r="T847" s="5" t="s">
        <v>46</v>
      </c>
      <c r="U847" s="5" t="s">
        <v>82</v>
      </c>
      <c r="V847" s="1" t="n">
        <v>4</v>
      </c>
      <c r="W847" s="5"/>
      <c r="X847" s="5" t="s">
        <v>83</v>
      </c>
      <c r="Y847" s="5" t="n">
        <v>5500</v>
      </c>
      <c r="Z847" s="5" t="s">
        <v>1230</v>
      </c>
      <c r="AA847" s="5" t="s">
        <v>1231</v>
      </c>
      <c r="AB847" s="13" t="str">
        <f aca="true" t="array" ref="AB847:AB847">LEFT(AA847,LOOKUP(2^15,FIND(".",AA847,ROW(INDIRECT("1:"&amp;LEN(AA847)))))-1)</f>
        <v>NB_2022_025 - 13072022 - 1</v>
      </c>
      <c r="AC847" s="5" t="s">
        <v>1232</v>
      </c>
      <c r="AD847" s="13" t="str">
        <f aca="true" t="array" ref="AD847:AD847">LEFT(AC847,LOOKUP(2^15,FIND(".",AC847,ROW(INDIRECT("1:"&amp;LEN(AC847)))))-1)</f>
        <v>NB_2022_025 - 13072022 - 2</v>
      </c>
      <c r="AE847" s="5" t="str">
        <f aca="false">CONCATENATE(AB847, "-",H847, ".mzML")</f>
        <v>NB_2022_025 - 13072022 - 1-QC_P_4.mzML</v>
      </c>
      <c r="AF847" s="5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0" t="s">
        <v>1235</v>
      </c>
      <c r="B848" s="31"/>
      <c r="C848" s="3" t="s">
        <v>1236</v>
      </c>
      <c r="D848" s="5" t="s">
        <v>19</v>
      </c>
      <c r="E848" s="5" t="s">
        <v>1225</v>
      </c>
      <c r="F848" s="6" t="s">
        <v>1226</v>
      </c>
      <c r="G848" s="5" t="s">
        <v>1237</v>
      </c>
      <c r="H848" s="24" t="s">
        <v>445</v>
      </c>
      <c r="I848" s="5" t="str">
        <f aca="false">CONCATENATE(E848, "_",H848)</f>
        <v>NLA_2022_006_031</v>
      </c>
      <c r="J848" s="5" t="s">
        <v>38</v>
      </c>
      <c r="K848" s="5" t="s">
        <v>1238</v>
      </c>
      <c r="L848" s="8" t="s">
        <v>69</v>
      </c>
      <c r="M848" s="6" t="s">
        <v>1239</v>
      </c>
      <c r="N848" s="5" t="s">
        <v>246</v>
      </c>
      <c r="O848" s="32" t="s">
        <v>1212</v>
      </c>
      <c r="P848" s="33" t="s">
        <v>1213</v>
      </c>
      <c r="Q848" s="33" t="s">
        <v>1214</v>
      </c>
      <c r="R848" s="5" t="s">
        <v>72</v>
      </c>
      <c r="S848" s="5"/>
      <c r="T848" s="5" t="s">
        <v>1240</v>
      </c>
      <c r="U848" s="1" t="n">
        <v>1500</v>
      </c>
      <c r="V848" s="1" t="n">
        <v>1</v>
      </c>
      <c r="W848" s="5"/>
      <c r="X848" s="8" t="s">
        <v>1215</v>
      </c>
      <c r="Y848" s="1" t="n">
        <v>5500</v>
      </c>
      <c r="Z848" s="5" t="s">
        <v>1230</v>
      </c>
      <c r="AA848" s="5" t="s">
        <v>1231</v>
      </c>
      <c r="AB848" s="13" t="str">
        <f aca="true" t="array" ref="AB848:AB848">LEFT(AA848,LOOKUP(2^15,FIND(".",AA848,ROW(INDIRECT("1:"&amp;LEN(AA848)))))-1)</f>
        <v>NB_2022_025 - 13072022 - 1</v>
      </c>
      <c r="AC848" s="5" t="s">
        <v>1232</v>
      </c>
      <c r="AD848" s="13" t="str">
        <f aca="true" t="array" ref="AD848:AD848">LEFT(AC848,LOOKUP(2^15,FIND(".",AC848,ROW(INDIRECT("1:"&amp;LEN(AC848)))))-1)</f>
        <v>NB_2022_025 - 13072022 - 2</v>
      </c>
      <c r="AE848" s="5" t="str">
        <f aca="false">CONCATENATE(AB848, "-",H848, ".mzML")</f>
        <v>NB_2022_025 - 13072022 - 1-031.mzML</v>
      </c>
      <c r="AF848" s="5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0" t="s">
        <v>1235</v>
      </c>
      <c r="B849" s="31"/>
      <c r="C849" s="3" t="s">
        <v>1236</v>
      </c>
      <c r="D849" s="5" t="s">
        <v>19</v>
      </c>
      <c r="E849" s="5" t="s">
        <v>1225</v>
      </c>
      <c r="F849" s="6" t="s">
        <v>1226</v>
      </c>
      <c r="G849" s="5" t="s">
        <v>1237</v>
      </c>
      <c r="H849" s="24" t="s">
        <v>1241</v>
      </c>
      <c r="I849" s="5" t="str">
        <f aca="false">CONCATENATE(E849, "_",H849)</f>
        <v>NLA_2022_006_032</v>
      </c>
      <c r="J849" s="5" t="s">
        <v>38</v>
      </c>
      <c r="K849" s="5" t="s">
        <v>1238</v>
      </c>
      <c r="L849" s="8" t="s">
        <v>69</v>
      </c>
      <c r="M849" s="6" t="s">
        <v>1239</v>
      </c>
      <c r="N849" s="5" t="s">
        <v>246</v>
      </c>
      <c r="O849" s="32" t="s">
        <v>1212</v>
      </c>
      <c r="P849" s="33" t="s">
        <v>1213</v>
      </c>
      <c r="Q849" s="33" t="s">
        <v>1214</v>
      </c>
      <c r="R849" s="5" t="s">
        <v>72</v>
      </c>
      <c r="S849" s="5"/>
      <c r="T849" s="5" t="s">
        <v>1240</v>
      </c>
      <c r="U849" s="1" t="n">
        <v>1500</v>
      </c>
      <c r="V849" s="1" t="n">
        <v>2</v>
      </c>
      <c r="W849" s="5"/>
      <c r="X849" s="8" t="s">
        <v>1215</v>
      </c>
      <c r="Y849" s="1" t="n">
        <v>5500</v>
      </c>
      <c r="Z849" s="5" t="s">
        <v>1230</v>
      </c>
      <c r="AA849" s="5" t="s">
        <v>1231</v>
      </c>
      <c r="AB849" s="13" t="str">
        <f aca="true" t="array" ref="AB849:AB849">LEFT(AA849,LOOKUP(2^15,FIND(".",AA849,ROW(INDIRECT("1:"&amp;LEN(AA849)))))-1)</f>
        <v>NB_2022_025 - 13072022 - 1</v>
      </c>
      <c r="AC849" s="5" t="s">
        <v>1232</v>
      </c>
      <c r="AD849" s="13" t="str">
        <f aca="true" t="array" ref="AD849:AD849">LEFT(AC849,LOOKUP(2^15,FIND(".",AC849,ROW(INDIRECT("1:"&amp;LEN(AC849)))))-1)</f>
        <v>NB_2022_025 - 13072022 - 2</v>
      </c>
      <c r="AE849" s="5" t="str">
        <f aca="false">CONCATENATE(AB849, "-",H849, ".mzML")</f>
        <v>NB_2022_025 - 13072022 - 1-032.mzML</v>
      </c>
      <c r="AF849" s="5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0" t="s">
        <v>1235</v>
      </c>
      <c r="B850" s="31"/>
      <c r="C850" s="3" t="s">
        <v>1236</v>
      </c>
      <c r="D850" s="5" t="s">
        <v>19</v>
      </c>
      <c r="E850" s="5" t="s">
        <v>1225</v>
      </c>
      <c r="F850" s="6" t="s">
        <v>1226</v>
      </c>
      <c r="G850" s="5" t="s">
        <v>1237</v>
      </c>
      <c r="H850" s="24" t="s">
        <v>1063</v>
      </c>
      <c r="I850" s="5" t="str">
        <f aca="false">CONCATENATE(E850, "_",H850)</f>
        <v>NLA_2022_006_033</v>
      </c>
      <c r="J850" s="5" t="s">
        <v>38</v>
      </c>
      <c r="K850" s="5" t="s">
        <v>1238</v>
      </c>
      <c r="L850" s="8" t="s">
        <v>69</v>
      </c>
      <c r="M850" s="6" t="s">
        <v>1239</v>
      </c>
      <c r="N850" s="5" t="s">
        <v>246</v>
      </c>
      <c r="O850" s="32" t="s">
        <v>1212</v>
      </c>
      <c r="P850" s="33" t="s">
        <v>1213</v>
      </c>
      <c r="Q850" s="33" t="s">
        <v>1214</v>
      </c>
      <c r="R850" s="5" t="s">
        <v>72</v>
      </c>
      <c r="S850" s="5"/>
      <c r="T850" s="5" t="s">
        <v>1240</v>
      </c>
      <c r="U850" s="1" t="n">
        <v>1500</v>
      </c>
      <c r="V850" s="1" t="n">
        <v>3</v>
      </c>
      <c r="W850" s="5"/>
      <c r="X850" s="8" t="s">
        <v>1215</v>
      </c>
      <c r="Y850" s="1" t="n">
        <v>5500</v>
      </c>
      <c r="Z850" s="5" t="s">
        <v>1230</v>
      </c>
      <c r="AA850" s="5" t="s">
        <v>1231</v>
      </c>
      <c r="AB850" s="13" t="str">
        <f aca="true" t="array" ref="AB850:AB850">LEFT(AA850,LOOKUP(2^15,FIND(".",AA850,ROW(INDIRECT("1:"&amp;LEN(AA850)))))-1)</f>
        <v>NB_2022_025 - 13072022 - 1</v>
      </c>
      <c r="AC850" s="5" t="s">
        <v>1232</v>
      </c>
      <c r="AD850" s="13" t="str">
        <f aca="true" t="array" ref="AD850:AD850">LEFT(AC850,LOOKUP(2^15,FIND(".",AC850,ROW(INDIRECT("1:"&amp;LEN(AC850)))))-1)</f>
        <v>NB_2022_025 - 13072022 - 2</v>
      </c>
      <c r="AE850" s="5" t="str">
        <f aca="false">CONCATENATE(AB850, "-",H850, ".mzML")</f>
        <v>NB_2022_025 - 13072022 - 1-033.mzML</v>
      </c>
      <c r="AF850" s="5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0" t="s">
        <v>1235</v>
      </c>
      <c r="B851" s="31"/>
      <c r="C851" s="3" t="s">
        <v>1236</v>
      </c>
      <c r="D851" s="5" t="s">
        <v>19</v>
      </c>
      <c r="E851" s="5" t="s">
        <v>1225</v>
      </c>
      <c r="F851" s="6" t="s">
        <v>1226</v>
      </c>
      <c r="G851" s="5" t="s">
        <v>1237</v>
      </c>
      <c r="H851" s="24" t="s">
        <v>920</v>
      </c>
      <c r="I851" s="5" t="str">
        <f aca="false">CONCATENATE(E851, "_",H851)</f>
        <v>NLA_2022_006_034</v>
      </c>
      <c r="J851" s="5" t="s">
        <v>52</v>
      </c>
      <c r="K851" s="5" t="s">
        <v>1242</v>
      </c>
      <c r="L851" s="8" t="s">
        <v>69</v>
      </c>
      <c r="M851" s="6" t="s">
        <v>1239</v>
      </c>
      <c r="N851" s="5" t="s">
        <v>246</v>
      </c>
      <c r="O851" s="32" t="s">
        <v>1212</v>
      </c>
      <c r="P851" s="33" t="s">
        <v>1213</v>
      </c>
      <c r="Q851" s="33" t="s">
        <v>1214</v>
      </c>
      <c r="R851" s="5" t="s">
        <v>72</v>
      </c>
      <c r="S851" s="5"/>
      <c r="T851" s="5" t="s">
        <v>1243</v>
      </c>
      <c r="U851" s="1" t="n">
        <v>1500</v>
      </c>
      <c r="V851" s="1" t="n">
        <v>1</v>
      </c>
      <c r="W851" s="5"/>
      <c r="X851" s="8" t="s">
        <v>1215</v>
      </c>
      <c r="Y851" s="1" t="n">
        <v>5500</v>
      </c>
      <c r="Z851" s="5" t="s">
        <v>1230</v>
      </c>
      <c r="AA851" s="5" t="s">
        <v>1231</v>
      </c>
      <c r="AB851" s="13" t="str">
        <f aca="true" t="array" ref="AB851:AB851">LEFT(AA851,LOOKUP(2^15,FIND(".",AA851,ROW(INDIRECT("1:"&amp;LEN(AA851)))))-1)</f>
        <v>NB_2022_025 - 13072022 - 1</v>
      </c>
      <c r="AC851" s="5" t="s">
        <v>1232</v>
      </c>
      <c r="AD851" s="13" t="str">
        <f aca="true" t="array" ref="AD851:AD851">LEFT(AC851,LOOKUP(2^15,FIND(".",AC851,ROW(INDIRECT("1:"&amp;LEN(AC851)))))-1)</f>
        <v>NB_2022_025 - 13072022 - 2</v>
      </c>
      <c r="AE851" s="5" t="str">
        <f aca="false">CONCATENATE(AB851, "-",H851, ".mzML")</f>
        <v>NB_2022_025 - 13072022 - 1-034.mzML</v>
      </c>
      <c r="AF851" s="5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0" t="s">
        <v>1235</v>
      </c>
      <c r="B852" s="31"/>
      <c r="C852" s="3" t="s">
        <v>1236</v>
      </c>
      <c r="D852" s="5" t="s">
        <v>19</v>
      </c>
      <c r="E852" s="5" t="s">
        <v>1225</v>
      </c>
      <c r="F852" s="6" t="s">
        <v>1226</v>
      </c>
      <c r="G852" s="5" t="s">
        <v>1237</v>
      </c>
      <c r="H852" s="24" t="s">
        <v>1244</v>
      </c>
      <c r="I852" s="5" t="str">
        <f aca="false">CONCATENATE(E852, "_",H852)</f>
        <v>NLA_2022_006_035</v>
      </c>
      <c r="J852" s="5" t="s">
        <v>52</v>
      </c>
      <c r="K852" s="5" t="s">
        <v>1242</v>
      </c>
      <c r="L852" s="8" t="s">
        <v>69</v>
      </c>
      <c r="M852" s="6" t="s">
        <v>1239</v>
      </c>
      <c r="N852" s="5" t="s">
        <v>246</v>
      </c>
      <c r="O852" s="32" t="s">
        <v>1212</v>
      </c>
      <c r="P852" s="33" t="s">
        <v>1213</v>
      </c>
      <c r="Q852" s="33" t="s">
        <v>1214</v>
      </c>
      <c r="R852" s="5" t="s">
        <v>72</v>
      </c>
      <c r="S852" s="5"/>
      <c r="T852" s="5" t="s">
        <v>1243</v>
      </c>
      <c r="U852" s="1" t="n">
        <v>1500</v>
      </c>
      <c r="V852" s="1" t="n">
        <v>2</v>
      </c>
      <c r="W852" s="5"/>
      <c r="X852" s="8" t="s">
        <v>1215</v>
      </c>
      <c r="Y852" s="1" t="n">
        <v>5500</v>
      </c>
      <c r="Z852" s="5" t="s">
        <v>1230</v>
      </c>
      <c r="AA852" s="5" t="s">
        <v>1231</v>
      </c>
      <c r="AB852" s="13" t="str">
        <f aca="true" t="array" ref="AB852:AB852">LEFT(AA852,LOOKUP(2^15,FIND(".",AA852,ROW(INDIRECT("1:"&amp;LEN(AA852)))))-1)</f>
        <v>NB_2022_025 - 13072022 - 1</v>
      </c>
      <c r="AC852" s="5" t="s">
        <v>1232</v>
      </c>
      <c r="AD852" s="13" t="str">
        <f aca="true" t="array" ref="AD852:AD852">LEFT(AC852,LOOKUP(2^15,FIND(".",AC852,ROW(INDIRECT("1:"&amp;LEN(AC852)))))-1)</f>
        <v>NB_2022_025 - 13072022 - 2</v>
      </c>
      <c r="AE852" s="5" t="str">
        <f aca="false">CONCATENATE(AB852, "-",H852, ".mzML")</f>
        <v>NB_2022_025 - 13072022 - 1-035.mzML</v>
      </c>
      <c r="AF852" s="5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0" t="s">
        <v>1235</v>
      </c>
      <c r="B853" s="31"/>
      <c r="C853" s="3" t="s">
        <v>1236</v>
      </c>
      <c r="D853" s="5" t="s">
        <v>19</v>
      </c>
      <c r="E853" s="5" t="s">
        <v>1225</v>
      </c>
      <c r="F853" s="6" t="s">
        <v>1226</v>
      </c>
      <c r="G853" s="5" t="s">
        <v>1237</v>
      </c>
      <c r="H853" s="24" t="s">
        <v>925</v>
      </c>
      <c r="I853" s="5" t="str">
        <f aca="false">CONCATENATE(E853, "_",H853)</f>
        <v>NLA_2022_006_036</v>
      </c>
      <c r="J853" s="5" t="s">
        <v>52</v>
      </c>
      <c r="K853" s="5" t="s">
        <v>1242</v>
      </c>
      <c r="L853" s="8" t="s">
        <v>69</v>
      </c>
      <c r="M853" s="6" t="s">
        <v>1239</v>
      </c>
      <c r="N853" s="5" t="s">
        <v>246</v>
      </c>
      <c r="O853" s="32" t="s">
        <v>1212</v>
      </c>
      <c r="P853" s="33" t="s">
        <v>1213</v>
      </c>
      <c r="Q853" s="33" t="s">
        <v>1214</v>
      </c>
      <c r="R853" s="5" t="s">
        <v>72</v>
      </c>
      <c r="S853" s="5"/>
      <c r="T853" s="5" t="s">
        <v>1243</v>
      </c>
      <c r="U853" s="1" t="n">
        <v>1500</v>
      </c>
      <c r="V853" s="1" t="n">
        <v>3</v>
      </c>
      <c r="W853" s="5"/>
      <c r="X853" s="8" t="s">
        <v>1215</v>
      </c>
      <c r="Y853" s="1" t="n">
        <v>5500</v>
      </c>
      <c r="Z853" s="5" t="s">
        <v>1230</v>
      </c>
      <c r="AA853" s="5" t="s">
        <v>1231</v>
      </c>
      <c r="AB853" s="13" t="str">
        <f aca="true" t="array" ref="AB853:AB853">LEFT(AA853,LOOKUP(2^15,FIND(".",AA853,ROW(INDIRECT("1:"&amp;LEN(AA853)))))-1)</f>
        <v>NB_2022_025 - 13072022 - 1</v>
      </c>
      <c r="AC853" s="5" t="s">
        <v>1232</v>
      </c>
      <c r="AD853" s="13" t="str">
        <f aca="true" t="array" ref="AD853:AD853">LEFT(AC853,LOOKUP(2^15,FIND(".",AC853,ROW(INDIRECT("1:"&amp;LEN(AC853)))))-1)</f>
        <v>NB_2022_025 - 13072022 - 2</v>
      </c>
      <c r="AE853" s="5" t="str">
        <f aca="false">CONCATENATE(AB853, "-",H853, ".mzML")</f>
        <v>NB_2022_025 - 13072022 - 1-036.mzML</v>
      </c>
      <c r="AF853" s="5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0" t="s">
        <v>1235</v>
      </c>
      <c r="B854" s="31"/>
      <c r="C854" s="3" t="s">
        <v>1236</v>
      </c>
      <c r="D854" s="5" t="s">
        <v>19</v>
      </c>
      <c r="E854" s="5" t="s">
        <v>1225</v>
      </c>
      <c r="F854" s="6" t="s">
        <v>1226</v>
      </c>
      <c r="G854" s="5" t="s">
        <v>1225</v>
      </c>
      <c r="H854" s="24" t="s">
        <v>64</v>
      </c>
      <c r="I854" s="5" t="str">
        <f aca="false">CONCATENATE(E854, "_",H854)</f>
        <v>NLA_2022_006_Blank_1</v>
      </c>
      <c r="J854" s="5" t="s">
        <v>52</v>
      </c>
      <c r="K854" s="5" t="s">
        <v>280</v>
      </c>
      <c r="L854" s="8" t="s">
        <v>46</v>
      </c>
      <c r="M854" s="6" t="s">
        <v>46</v>
      </c>
      <c r="N854" s="5" t="s">
        <v>65</v>
      </c>
      <c r="O854" s="5" t="s">
        <v>46</v>
      </c>
      <c r="P854" s="5" t="s">
        <v>46</v>
      </c>
      <c r="Q854" s="5" t="s">
        <v>46</v>
      </c>
      <c r="R854" s="5" t="s">
        <v>46</v>
      </c>
      <c r="S854" s="5" t="s">
        <v>46</v>
      </c>
      <c r="T854" s="5" t="s">
        <v>46</v>
      </c>
      <c r="U854" s="5" t="s">
        <v>46</v>
      </c>
      <c r="V854" s="1" t="n">
        <v>1</v>
      </c>
      <c r="W854" s="5"/>
      <c r="X854" s="5" t="s">
        <v>46</v>
      </c>
      <c r="Y854" s="1" t="n">
        <v>5500</v>
      </c>
      <c r="Z854" s="5" t="s">
        <v>1230</v>
      </c>
      <c r="AA854" s="5" t="s">
        <v>1231</v>
      </c>
      <c r="AB854" s="13" t="str">
        <f aca="true" t="array" ref="AB854:AB854">LEFT(AA854,LOOKUP(2^15,FIND(".",AA854,ROW(INDIRECT("1:"&amp;LEN(AA854)))))-1)</f>
        <v>NB_2022_025 - 13072022 - 1</v>
      </c>
      <c r="AC854" s="5" t="s">
        <v>1232</v>
      </c>
      <c r="AD854" s="13" t="str">
        <f aca="true" t="array" ref="AD854:AD854">LEFT(AC854,LOOKUP(2^15,FIND(".",AC854,ROW(INDIRECT("1:"&amp;LEN(AC854)))))-1)</f>
        <v>NB_2022_025 - 13072022 - 2</v>
      </c>
      <c r="AE854" s="5" t="str">
        <f aca="false">CONCATENATE(AB854, "-",H854, ".mzML")</f>
        <v>NB_2022_025 - 13072022 - 1-Blank_1.mzML</v>
      </c>
      <c r="AF854" s="5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0" t="s">
        <v>1235</v>
      </c>
      <c r="B855" s="31"/>
      <c r="C855" s="3" t="s">
        <v>1236</v>
      </c>
      <c r="D855" s="5" t="s">
        <v>19</v>
      </c>
      <c r="E855" s="5" t="s">
        <v>1225</v>
      </c>
      <c r="F855" s="6" t="s">
        <v>1226</v>
      </c>
      <c r="G855" s="5" t="s">
        <v>1225</v>
      </c>
      <c r="H855" s="24" t="s">
        <v>66</v>
      </c>
      <c r="I855" s="5" t="str">
        <f aca="false">CONCATENATE(E855, "_",H855)</f>
        <v>NLA_2022_006_Blank_2</v>
      </c>
      <c r="J855" s="5" t="s">
        <v>52</v>
      </c>
      <c r="K855" s="5" t="s">
        <v>280</v>
      </c>
      <c r="L855" s="8" t="s">
        <v>46</v>
      </c>
      <c r="M855" s="6" t="s">
        <v>46</v>
      </c>
      <c r="N855" s="5" t="s">
        <v>65</v>
      </c>
      <c r="O855" s="5" t="s">
        <v>46</v>
      </c>
      <c r="P855" s="5" t="s">
        <v>46</v>
      </c>
      <c r="Q855" s="5" t="s">
        <v>46</v>
      </c>
      <c r="R855" s="5" t="s">
        <v>46</v>
      </c>
      <c r="S855" s="5" t="s">
        <v>46</v>
      </c>
      <c r="T855" s="5" t="s">
        <v>46</v>
      </c>
      <c r="U855" s="5" t="s">
        <v>46</v>
      </c>
      <c r="V855" s="1" t="n">
        <v>2</v>
      </c>
      <c r="W855" s="5"/>
      <c r="X855" s="5" t="s">
        <v>46</v>
      </c>
      <c r="Y855" s="1" t="n">
        <v>5500</v>
      </c>
      <c r="Z855" s="5" t="s">
        <v>1230</v>
      </c>
      <c r="AA855" s="5" t="s">
        <v>1231</v>
      </c>
      <c r="AB855" s="13" t="str">
        <f aca="true" t="array" ref="AB855:AB855">LEFT(AA855,LOOKUP(2^15,FIND(".",AA855,ROW(INDIRECT("1:"&amp;LEN(AA855)))))-1)</f>
        <v>NB_2022_025 - 13072022 - 1</v>
      </c>
      <c r="AC855" s="5" t="s">
        <v>1232</v>
      </c>
      <c r="AD855" s="13" t="str">
        <f aca="true" t="array" ref="AD855:AD855">LEFT(AC855,LOOKUP(2^15,FIND(".",AC855,ROW(INDIRECT("1:"&amp;LEN(AC855)))))-1)</f>
        <v>NB_2022_025 - 13072022 - 2</v>
      </c>
      <c r="AE855" s="5" t="str">
        <f aca="false">CONCATENATE(AB855, "-",H855, ".mzML")</f>
        <v>NB_2022_025 - 13072022 - 1-Blank_2.mzML</v>
      </c>
      <c r="AF855" s="5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0" t="s">
        <v>1235</v>
      </c>
      <c r="B856" s="31"/>
      <c r="C856" s="3" t="s">
        <v>1236</v>
      </c>
      <c r="D856" s="5" t="s">
        <v>19</v>
      </c>
      <c r="E856" s="5" t="s">
        <v>1225</v>
      </c>
      <c r="F856" s="6" t="s">
        <v>1226</v>
      </c>
      <c r="G856" s="5" t="s">
        <v>1225</v>
      </c>
      <c r="H856" s="24" t="s">
        <v>67</v>
      </c>
      <c r="I856" s="5" t="str">
        <f aca="false">CONCATENATE(E856, "_",H856)</f>
        <v>NLA_2022_006_Blank_3</v>
      </c>
      <c r="J856" s="5" t="s">
        <v>52</v>
      </c>
      <c r="K856" s="5" t="s">
        <v>280</v>
      </c>
      <c r="L856" s="8" t="s">
        <v>46</v>
      </c>
      <c r="M856" s="6" t="s">
        <v>46</v>
      </c>
      <c r="N856" s="5" t="s">
        <v>65</v>
      </c>
      <c r="O856" s="5" t="s">
        <v>46</v>
      </c>
      <c r="P856" s="5" t="s">
        <v>46</v>
      </c>
      <c r="Q856" s="5" t="s">
        <v>46</v>
      </c>
      <c r="R856" s="5" t="s">
        <v>46</v>
      </c>
      <c r="S856" s="5" t="s">
        <v>46</v>
      </c>
      <c r="T856" s="5" t="s">
        <v>46</v>
      </c>
      <c r="U856" s="5" t="s">
        <v>46</v>
      </c>
      <c r="V856" s="1" t="n">
        <v>3</v>
      </c>
      <c r="W856" s="5"/>
      <c r="X856" s="5" t="s">
        <v>46</v>
      </c>
      <c r="Y856" s="1" t="n">
        <v>5500</v>
      </c>
      <c r="Z856" s="5" t="s">
        <v>1230</v>
      </c>
      <c r="AA856" s="5" t="s">
        <v>1231</v>
      </c>
      <c r="AB856" s="13" t="str">
        <f aca="true" t="array" ref="AB856:AB856">LEFT(AA856,LOOKUP(2^15,FIND(".",AA856,ROW(INDIRECT("1:"&amp;LEN(AA856)))))-1)</f>
        <v>NB_2022_025 - 13072022 - 1</v>
      </c>
      <c r="AC856" s="5" t="s">
        <v>1232</v>
      </c>
      <c r="AD856" s="13" t="str">
        <f aca="true" t="array" ref="AD856:AD856">LEFT(AC856,LOOKUP(2^15,FIND(".",AC856,ROW(INDIRECT("1:"&amp;LEN(AC856)))))-1)</f>
        <v>NB_2022_025 - 13072022 - 2</v>
      </c>
      <c r="AE856" s="5" t="str">
        <f aca="false">CONCATENATE(AB856, "-",H856, ".mzML")</f>
        <v>NB_2022_025 - 13072022 - 1-Blank_3.mzML</v>
      </c>
      <c r="AF856" s="5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0" t="s">
        <v>1235</v>
      </c>
      <c r="B857" s="31"/>
      <c r="C857" s="3" t="s">
        <v>1236</v>
      </c>
      <c r="D857" s="5" t="s">
        <v>19</v>
      </c>
      <c r="E857" s="5" t="s">
        <v>1225</v>
      </c>
      <c r="F857" s="6" t="s">
        <v>1226</v>
      </c>
      <c r="G857" s="5" t="s">
        <v>1225</v>
      </c>
      <c r="H857" s="24" t="s">
        <v>221</v>
      </c>
      <c r="I857" s="5" t="str">
        <f aca="false">CONCATENATE(E857, "_",H857)</f>
        <v>NLA_2022_006_Blank_4</v>
      </c>
      <c r="J857" s="5" t="s">
        <v>52</v>
      </c>
      <c r="K857" s="5" t="s">
        <v>280</v>
      </c>
      <c r="L857" s="8" t="s">
        <v>46</v>
      </c>
      <c r="M857" s="6" t="s">
        <v>46</v>
      </c>
      <c r="N857" s="5" t="s">
        <v>65</v>
      </c>
      <c r="O857" s="5" t="s">
        <v>46</v>
      </c>
      <c r="P857" s="5" t="s">
        <v>46</v>
      </c>
      <c r="Q857" s="5" t="s">
        <v>46</v>
      </c>
      <c r="R857" s="5" t="s">
        <v>46</v>
      </c>
      <c r="S857" s="5" t="s">
        <v>46</v>
      </c>
      <c r="T857" s="5" t="s">
        <v>46</v>
      </c>
      <c r="U857" s="5" t="s">
        <v>46</v>
      </c>
      <c r="V857" s="1" t="n">
        <v>4</v>
      </c>
      <c r="W857" s="5"/>
      <c r="X857" s="5" t="s">
        <v>46</v>
      </c>
      <c r="Y857" s="1" t="n">
        <v>5500</v>
      </c>
      <c r="Z857" s="5" t="s">
        <v>1230</v>
      </c>
      <c r="AA857" s="5" t="s">
        <v>1231</v>
      </c>
      <c r="AB857" s="13" t="str">
        <f aca="true" t="array" ref="AB857:AB857">LEFT(AA857,LOOKUP(2^15,FIND(".",AA857,ROW(INDIRECT("1:"&amp;LEN(AA857)))))-1)</f>
        <v>NB_2022_025 - 13072022 - 1</v>
      </c>
      <c r="AC857" s="5" t="s">
        <v>1232</v>
      </c>
      <c r="AD857" s="13" t="str">
        <f aca="true" t="array" ref="AD857:AD857">LEFT(AC857,LOOKUP(2^15,FIND(".",AC857,ROW(INDIRECT("1:"&amp;LEN(AC857)))))-1)</f>
        <v>NB_2022_025 - 13072022 - 2</v>
      </c>
      <c r="AE857" s="5" t="str">
        <f aca="false">CONCATENATE(AB857, "-",H857, ".mzML")</f>
        <v>NB_2022_025 - 13072022 - 1-Blank_4.mzML</v>
      </c>
      <c r="AF857" s="5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0" t="s">
        <v>1235</v>
      </c>
      <c r="B858" s="31"/>
      <c r="C858" s="3" t="s">
        <v>1236</v>
      </c>
      <c r="D858" s="5" t="s">
        <v>19</v>
      </c>
      <c r="E858" s="5" t="s">
        <v>1225</v>
      </c>
      <c r="F858" s="6" t="s">
        <v>1226</v>
      </c>
      <c r="G858" s="5" t="s">
        <v>1225</v>
      </c>
      <c r="H858" s="24" t="s">
        <v>68</v>
      </c>
      <c r="I858" s="5" t="str">
        <f aca="false">CONCATENATE(E858, "_",H858)</f>
        <v>NLA_2022_006_QC_C_1</v>
      </c>
      <c r="J858" s="5" t="s">
        <v>52</v>
      </c>
      <c r="K858" s="5" t="s">
        <v>1234</v>
      </c>
      <c r="L858" s="8" t="s">
        <v>69</v>
      </c>
      <c r="M858" s="1" t="s">
        <v>46</v>
      </c>
      <c r="N858" s="5" t="s">
        <v>70</v>
      </c>
      <c r="O858" s="5" t="s">
        <v>46</v>
      </c>
      <c r="P858" s="5" t="s">
        <v>71</v>
      </c>
      <c r="Q858" s="5" t="s">
        <v>71</v>
      </c>
      <c r="R858" s="5" t="s">
        <v>72</v>
      </c>
      <c r="S858" s="5" t="s">
        <v>73</v>
      </c>
      <c r="T858" s="5" t="s">
        <v>46</v>
      </c>
      <c r="U858" s="5" t="n">
        <v>1000</v>
      </c>
      <c r="V858" s="1" t="n">
        <v>1</v>
      </c>
      <c r="W858" s="5"/>
      <c r="X858" s="5" t="s">
        <v>74</v>
      </c>
      <c r="Y858" s="5" t="n">
        <v>5500</v>
      </c>
      <c r="Z858" s="5" t="s">
        <v>1230</v>
      </c>
      <c r="AA858" s="5" t="s">
        <v>1231</v>
      </c>
      <c r="AB858" s="13" t="str">
        <f aca="true" t="array" ref="AB858:AB858">LEFT(AA858,LOOKUP(2^15,FIND(".",AA858,ROW(INDIRECT("1:"&amp;LEN(AA858)))))-1)</f>
        <v>NB_2022_025 - 13072022 - 1</v>
      </c>
      <c r="AC858" s="5" t="s">
        <v>1232</v>
      </c>
      <c r="AD858" s="13" t="str">
        <f aca="true" t="array" ref="AD858:AD858">LEFT(AC858,LOOKUP(2^15,FIND(".",AC858,ROW(INDIRECT("1:"&amp;LEN(AC858)))))-1)</f>
        <v>NB_2022_025 - 13072022 - 2</v>
      </c>
      <c r="AE858" s="5" t="str">
        <f aca="false">CONCATENATE(AB858, "-",H858, ".mzML")</f>
        <v>NB_2022_025 - 13072022 - 1-QC_C_1.mzML</v>
      </c>
      <c r="AF858" s="5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0" t="s">
        <v>1235</v>
      </c>
      <c r="B859" s="31"/>
      <c r="C859" s="3" t="s">
        <v>1236</v>
      </c>
      <c r="D859" s="5" t="s">
        <v>19</v>
      </c>
      <c r="E859" s="5" t="s">
        <v>1225</v>
      </c>
      <c r="F859" s="6" t="s">
        <v>1226</v>
      </c>
      <c r="G859" s="5" t="s">
        <v>1225</v>
      </c>
      <c r="H859" s="24" t="s">
        <v>75</v>
      </c>
      <c r="I859" s="5" t="str">
        <f aca="false">CONCATENATE(E859, "_",H859)</f>
        <v>NLA_2022_006_QC_C_2</v>
      </c>
      <c r="J859" s="5" t="s">
        <v>52</v>
      </c>
      <c r="K859" s="5" t="s">
        <v>1234</v>
      </c>
      <c r="L859" s="8" t="s">
        <v>69</v>
      </c>
      <c r="M859" s="1" t="s">
        <v>46</v>
      </c>
      <c r="N859" s="5" t="s">
        <v>70</v>
      </c>
      <c r="O859" s="5" t="s">
        <v>46</v>
      </c>
      <c r="P859" s="5" t="s">
        <v>71</v>
      </c>
      <c r="Q859" s="5" t="s">
        <v>71</v>
      </c>
      <c r="R859" s="5" t="s">
        <v>72</v>
      </c>
      <c r="S859" s="5" t="s">
        <v>73</v>
      </c>
      <c r="T859" s="5" t="s">
        <v>46</v>
      </c>
      <c r="U859" s="5" t="n">
        <v>1000</v>
      </c>
      <c r="V859" s="1" t="n">
        <v>2</v>
      </c>
      <c r="W859" s="5"/>
      <c r="X859" s="5" t="s">
        <v>74</v>
      </c>
      <c r="Y859" s="5" t="n">
        <v>5500</v>
      </c>
      <c r="Z859" s="5" t="s">
        <v>1230</v>
      </c>
      <c r="AA859" s="5" t="s">
        <v>1231</v>
      </c>
      <c r="AB859" s="13" t="str">
        <f aca="true" t="array" ref="AB859:AB859">LEFT(AA859,LOOKUP(2^15,FIND(".",AA859,ROW(INDIRECT("1:"&amp;LEN(AA859)))))-1)</f>
        <v>NB_2022_025 - 13072022 - 1</v>
      </c>
      <c r="AC859" s="5" t="s">
        <v>1232</v>
      </c>
      <c r="AD859" s="13" t="str">
        <f aca="true" t="array" ref="AD859:AD859">LEFT(AC859,LOOKUP(2^15,FIND(".",AC859,ROW(INDIRECT("1:"&amp;LEN(AC859)))))-1)</f>
        <v>NB_2022_025 - 13072022 - 2</v>
      </c>
      <c r="AE859" s="5" t="str">
        <f aca="false">CONCATENATE(AB859, "-",H859, ".mzML")</f>
        <v>NB_2022_025 - 13072022 - 1-QC_C_2.mzML</v>
      </c>
      <c r="AF859" s="5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0" t="s">
        <v>1235</v>
      </c>
      <c r="B860" s="31"/>
      <c r="C860" s="3" t="s">
        <v>1236</v>
      </c>
      <c r="D860" s="5" t="s">
        <v>19</v>
      </c>
      <c r="E860" s="5" t="s">
        <v>1225</v>
      </c>
      <c r="F860" s="6" t="s">
        <v>1226</v>
      </c>
      <c r="G860" s="5" t="s">
        <v>1225</v>
      </c>
      <c r="H860" s="24" t="s">
        <v>76</v>
      </c>
      <c r="I860" s="5" t="str">
        <f aca="false">CONCATENATE(E860, "_",H860)</f>
        <v>NLA_2022_006_QC_C_3</v>
      </c>
      <c r="J860" s="5" t="s">
        <v>52</v>
      </c>
      <c r="K860" s="5" t="s">
        <v>1234</v>
      </c>
      <c r="L860" s="8" t="s">
        <v>69</v>
      </c>
      <c r="M860" s="1" t="s">
        <v>46</v>
      </c>
      <c r="N860" s="5" t="s">
        <v>70</v>
      </c>
      <c r="O860" s="5" t="s">
        <v>46</v>
      </c>
      <c r="P860" s="5" t="s">
        <v>71</v>
      </c>
      <c r="Q860" s="5" t="s">
        <v>71</v>
      </c>
      <c r="R860" s="5" t="s">
        <v>72</v>
      </c>
      <c r="S860" s="5" t="s">
        <v>73</v>
      </c>
      <c r="T860" s="5" t="s">
        <v>46</v>
      </c>
      <c r="U860" s="5" t="n">
        <v>1000</v>
      </c>
      <c r="V860" s="1" t="n">
        <v>3</v>
      </c>
      <c r="W860" s="5"/>
      <c r="X860" s="5" t="s">
        <v>74</v>
      </c>
      <c r="Y860" s="5" t="n">
        <v>5500</v>
      </c>
      <c r="Z860" s="5" t="s">
        <v>1230</v>
      </c>
      <c r="AA860" s="5" t="s">
        <v>1231</v>
      </c>
      <c r="AB860" s="13" t="str">
        <f aca="true" t="array" ref="AB860:AB860">LEFT(AA860,LOOKUP(2^15,FIND(".",AA860,ROW(INDIRECT("1:"&amp;LEN(AA860)))))-1)</f>
        <v>NB_2022_025 - 13072022 - 1</v>
      </c>
      <c r="AC860" s="5" t="s">
        <v>1232</v>
      </c>
      <c r="AD860" s="13" t="str">
        <f aca="true" t="array" ref="AD860:AD860">LEFT(AC860,LOOKUP(2^15,FIND(".",AC860,ROW(INDIRECT("1:"&amp;LEN(AC860)))))-1)</f>
        <v>NB_2022_025 - 13072022 - 2</v>
      </c>
      <c r="AE860" s="5" t="str">
        <f aca="false">CONCATENATE(AB860, "-",H860, ".mzML")</f>
        <v>NB_2022_025 - 13072022 - 1-QC_C_3.mzML</v>
      </c>
      <c r="AF860" s="5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0" t="s">
        <v>1235</v>
      </c>
      <c r="B861" s="31"/>
      <c r="C861" s="3" t="s">
        <v>1236</v>
      </c>
      <c r="D861" s="5" t="s">
        <v>19</v>
      </c>
      <c r="E861" s="5" t="s">
        <v>1225</v>
      </c>
      <c r="F861" s="6" t="s">
        <v>1226</v>
      </c>
      <c r="G861" s="5" t="s">
        <v>1225</v>
      </c>
      <c r="H861" s="24" t="s">
        <v>222</v>
      </c>
      <c r="I861" s="5" t="str">
        <f aca="false">CONCATENATE(E861, "_",H861)</f>
        <v>NLA_2022_006_QC_C_4</v>
      </c>
      <c r="J861" s="5" t="s">
        <v>52</v>
      </c>
      <c r="K861" s="5" t="s">
        <v>1234</v>
      </c>
      <c r="L861" s="8" t="s">
        <v>69</v>
      </c>
      <c r="M861" s="1" t="s">
        <v>46</v>
      </c>
      <c r="N861" s="5" t="s">
        <v>70</v>
      </c>
      <c r="O861" s="5" t="s">
        <v>46</v>
      </c>
      <c r="P861" s="5" t="s">
        <v>71</v>
      </c>
      <c r="Q861" s="5" t="s">
        <v>71</v>
      </c>
      <c r="R861" s="5" t="s">
        <v>72</v>
      </c>
      <c r="S861" s="5" t="s">
        <v>73</v>
      </c>
      <c r="T861" s="5" t="s">
        <v>46</v>
      </c>
      <c r="U861" s="5" t="n">
        <v>1000</v>
      </c>
      <c r="V861" s="1" t="n">
        <v>4</v>
      </c>
      <c r="W861" s="5"/>
      <c r="X861" s="5" t="s">
        <v>74</v>
      </c>
      <c r="Y861" s="5" t="n">
        <v>5500</v>
      </c>
      <c r="Z861" s="5" t="s">
        <v>1230</v>
      </c>
      <c r="AA861" s="5" t="s">
        <v>1231</v>
      </c>
      <c r="AB861" s="13" t="str">
        <f aca="true" t="array" ref="AB861:AB861">LEFT(AA861,LOOKUP(2^15,FIND(".",AA861,ROW(INDIRECT("1:"&amp;LEN(AA861)))))-1)</f>
        <v>NB_2022_025 - 13072022 - 1</v>
      </c>
      <c r="AC861" s="5" t="s">
        <v>1232</v>
      </c>
      <c r="AD861" s="13" t="str">
        <f aca="true" t="array" ref="AD861:AD861">LEFT(AC861,LOOKUP(2^15,FIND(".",AC861,ROW(INDIRECT("1:"&amp;LEN(AC861)))))-1)</f>
        <v>NB_2022_025 - 13072022 - 2</v>
      </c>
      <c r="AE861" s="5" t="str">
        <f aca="false">CONCATENATE(AB861, "-",H861, ".mzML")</f>
        <v>NB_2022_025 - 13072022 - 1-QC_C_4.mzML</v>
      </c>
      <c r="AF861" s="5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0" t="s">
        <v>1235</v>
      </c>
      <c r="B862" s="31"/>
      <c r="C862" s="3" t="s">
        <v>1236</v>
      </c>
      <c r="D862" s="5" t="s">
        <v>19</v>
      </c>
      <c r="E862" s="5" t="s">
        <v>1225</v>
      </c>
      <c r="F862" s="6" t="s">
        <v>1226</v>
      </c>
      <c r="G862" s="5" t="s">
        <v>1225</v>
      </c>
      <c r="H862" s="24" t="s">
        <v>77</v>
      </c>
      <c r="I862" s="5" t="str">
        <f aca="false">CONCATENATE(E862, "_",H862)</f>
        <v>NLA_2022_006_QC_P_1</v>
      </c>
      <c r="J862" s="5" t="s">
        <v>52</v>
      </c>
      <c r="K862" s="5" t="s">
        <v>281</v>
      </c>
      <c r="L862" s="8" t="s">
        <v>69</v>
      </c>
      <c r="M862" s="6" t="s">
        <v>46</v>
      </c>
      <c r="N862" s="5" t="s">
        <v>78</v>
      </c>
      <c r="O862" s="5" t="s">
        <v>46</v>
      </c>
      <c r="P862" s="5" t="s">
        <v>79</v>
      </c>
      <c r="Q862" s="5" t="s">
        <v>80</v>
      </c>
      <c r="R862" s="5" t="s">
        <v>81</v>
      </c>
      <c r="S862" s="5" t="s">
        <v>46</v>
      </c>
      <c r="T862" s="5" t="s">
        <v>46</v>
      </c>
      <c r="U862" s="5" t="s">
        <v>82</v>
      </c>
      <c r="V862" s="1" t="n">
        <v>1</v>
      </c>
      <c r="W862" s="5"/>
      <c r="X862" s="5" t="s">
        <v>83</v>
      </c>
      <c r="Y862" s="5" t="n">
        <v>5500</v>
      </c>
      <c r="Z862" s="5" t="s">
        <v>1230</v>
      </c>
      <c r="AA862" s="5" t="s">
        <v>1231</v>
      </c>
      <c r="AB862" s="13" t="str">
        <f aca="true" t="array" ref="AB862:AB862">LEFT(AA862,LOOKUP(2^15,FIND(".",AA862,ROW(INDIRECT("1:"&amp;LEN(AA862)))))-1)</f>
        <v>NB_2022_025 - 13072022 - 1</v>
      </c>
      <c r="AC862" s="5" t="s">
        <v>1232</v>
      </c>
      <c r="AD862" s="13" t="str">
        <f aca="true" t="array" ref="AD862:AD862">LEFT(AC862,LOOKUP(2^15,FIND(".",AC862,ROW(INDIRECT("1:"&amp;LEN(AC862)))))-1)</f>
        <v>NB_2022_025 - 13072022 - 2</v>
      </c>
      <c r="AE862" s="5" t="str">
        <f aca="false">CONCATENATE(AB862, "-",H862, ".mzML")</f>
        <v>NB_2022_025 - 13072022 - 1-QC_P_1.mzML</v>
      </c>
      <c r="AF862" s="5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0" t="s">
        <v>1235</v>
      </c>
      <c r="B863" s="31"/>
      <c r="C863" s="3" t="s">
        <v>1236</v>
      </c>
      <c r="D863" s="5" t="s">
        <v>19</v>
      </c>
      <c r="E863" s="5" t="s">
        <v>1225</v>
      </c>
      <c r="F863" s="6" t="s">
        <v>1226</v>
      </c>
      <c r="G863" s="5" t="s">
        <v>1225</v>
      </c>
      <c r="H863" s="24" t="s">
        <v>84</v>
      </c>
      <c r="I863" s="5" t="str">
        <f aca="false">CONCATENATE(E863, "_",H863)</f>
        <v>NLA_2022_006_QC_P_2</v>
      </c>
      <c r="J863" s="5" t="s">
        <v>52</v>
      </c>
      <c r="K863" s="5" t="s">
        <v>281</v>
      </c>
      <c r="L863" s="8" t="s">
        <v>69</v>
      </c>
      <c r="M863" s="6" t="s">
        <v>46</v>
      </c>
      <c r="N863" s="5" t="s">
        <v>78</v>
      </c>
      <c r="O863" s="5" t="s">
        <v>46</v>
      </c>
      <c r="P863" s="5" t="s">
        <v>79</v>
      </c>
      <c r="Q863" s="5" t="s">
        <v>80</v>
      </c>
      <c r="R863" s="5" t="s">
        <v>81</v>
      </c>
      <c r="S863" s="5" t="s">
        <v>46</v>
      </c>
      <c r="T863" s="5" t="s">
        <v>46</v>
      </c>
      <c r="U863" s="5" t="s">
        <v>82</v>
      </c>
      <c r="V863" s="1" t="n">
        <v>2</v>
      </c>
      <c r="W863" s="5"/>
      <c r="X863" s="5" t="s">
        <v>83</v>
      </c>
      <c r="Y863" s="5" t="n">
        <v>5500</v>
      </c>
      <c r="Z863" s="5" t="s">
        <v>1230</v>
      </c>
      <c r="AA863" s="5" t="s">
        <v>1231</v>
      </c>
      <c r="AB863" s="13" t="str">
        <f aca="true" t="array" ref="AB863:AB863">LEFT(AA863,LOOKUP(2^15,FIND(".",AA863,ROW(INDIRECT("1:"&amp;LEN(AA863)))))-1)</f>
        <v>NB_2022_025 - 13072022 - 1</v>
      </c>
      <c r="AC863" s="5" t="s">
        <v>1232</v>
      </c>
      <c r="AD863" s="13" t="str">
        <f aca="true" t="array" ref="AD863:AD863">LEFT(AC863,LOOKUP(2^15,FIND(".",AC863,ROW(INDIRECT("1:"&amp;LEN(AC863)))))-1)</f>
        <v>NB_2022_025 - 13072022 - 2</v>
      </c>
      <c r="AE863" s="5" t="str">
        <f aca="false">CONCATENATE(AB863, "-",H863, ".mzML")</f>
        <v>NB_2022_025 - 13072022 - 1-QC_P_2.mzML</v>
      </c>
      <c r="AF863" s="5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0" t="s">
        <v>1235</v>
      </c>
      <c r="B864" s="31"/>
      <c r="C864" s="3" t="s">
        <v>1236</v>
      </c>
      <c r="D864" s="5" t="s">
        <v>19</v>
      </c>
      <c r="E864" s="5" t="s">
        <v>1225</v>
      </c>
      <c r="F864" s="6" t="s">
        <v>1226</v>
      </c>
      <c r="G864" s="5" t="s">
        <v>1225</v>
      </c>
      <c r="H864" s="24" t="s">
        <v>85</v>
      </c>
      <c r="I864" s="5" t="str">
        <f aca="false">CONCATENATE(E864, "_",H864)</f>
        <v>NLA_2022_006_QC_P_3</v>
      </c>
      <c r="J864" s="5" t="s">
        <v>52</v>
      </c>
      <c r="K864" s="5" t="s">
        <v>281</v>
      </c>
      <c r="L864" s="8" t="s">
        <v>69</v>
      </c>
      <c r="M864" s="6" t="s">
        <v>46</v>
      </c>
      <c r="N864" s="5" t="s">
        <v>78</v>
      </c>
      <c r="O864" s="5" t="s">
        <v>46</v>
      </c>
      <c r="P864" s="5" t="s">
        <v>79</v>
      </c>
      <c r="Q864" s="5" t="s">
        <v>80</v>
      </c>
      <c r="R864" s="5" t="s">
        <v>81</v>
      </c>
      <c r="S864" s="5" t="s">
        <v>46</v>
      </c>
      <c r="T864" s="5" t="s">
        <v>46</v>
      </c>
      <c r="U864" s="5" t="s">
        <v>82</v>
      </c>
      <c r="V864" s="1" t="n">
        <v>3</v>
      </c>
      <c r="W864" s="5"/>
      <c r="X864" s="5" t="s">
        <v>83</v>
      </c>
      <c r="Y864" s="5" t="n">
        <v>5500</v>
      </c>
      <c r="Z864" s="5" t="s">
        <v>1230</v>
      </c>
      <c r="AA864" s="5" t="s">
        <v>1231</v>
      </c>
      <c r="AB864" s="13" t="str">
        <f aca="true" t="array" ref="AB864:AB864">LEFT(AA864,LOOKUP(2^15,FIND(".",AA864,ROW(INDIRECT("1:"&amp;LEN(AA864)))))-1)</f>
        <v>NB_2022_025 - 13072022 - 1</v>
      </c>
      <c r="AC864" s="5" t="s">
        <v>1232</v>
      </c>
      <c r="AD864" s="13" t="str">
        <f aca="true" t="array" ref="AD864:AD864">LEFT(AC864,LOOKUP(2^15,FIND(".",AC864,ROW(INDIRECT("1:"&amp;LEN(AC864)))))-1)</f>
        <v>NB_2022_025 - 13072022 - 2</v>
      </c>
      <c r="AE864" s="5" t="str">
        <f aca="false">CONCATENATE(AB864, "-",H864, ".mzML")</f>
        <v>NB_2022_025 - 13072022 - 1-QC_P_3.mzML</v>
      </c>
      <c r="AF864" s="5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0" t="s">
        <v>1235</v>
      </c>
      <c r="B865" s="31"/>
      <c r="C865" s="3" t="s">
        <v>1236</v>
      </c>
      <c r="D865" s="5" t="s">
        <v>19</v>
      </c>
      <c r="E865" s="5" t="s">
        <v>1225</v>
      </c>
      <c r="F865" s="6" t="s">
        <v>1226</v>
      </c>
      <c r="G865" s="5" t="s">
        <v>1225</v>
      </c>
      <c r="H865" s="24" t="s">
        <v>224</v>
      </c>
      <c r="I865" s="5" t="str">
        <f aca="false">CONCATENATE(E865, "_",H865)</f>
        <v>NLA_2022_006_QC_P_4</v>
      </c>
      <c r="J865" s="5" t="s">
        <v>52</v>
      </c>
      <c r="K865" s="5" t="s">
        <v>281</v>
      </c>
      <c r="L865" s="8" t="s">
        <v>69</v>
      </c>
      <c r="M865" s="6" t="s">
        <v>46</v>
      </c>
      <c r="N865" s="5" t="s">
        <v>78</v>
      </c>
      <c r="O865" s="5" t="s">
        <v>46</v>
      </c>
      <c r="P865" s="5" t="s">
        <v>79</v>
      </c>
      <c r="Q865" s="5" t="s">
        <v>80</v>
      </c>
      <c r="R865" s="5" t="s">
        <v>81</v>
      </c>
      <c r="S865" s="5" t="s">
        <v>46</v>
      </c>
      <c r="T865" s="5" t="s">
        <v>46</v>
      </c>
      <c r="U865" s="5" t="s">
        <v>82</v>
      </c>
      <c r="V865" s="1" t="n">
        <v>4</v>
      </c>
      <c r="W865" s="5"/>
      <c r="X865" s="5" t="s">
        <v>83</v>
      </c>
      <c r="Y865" s="5" t="n">
        <v>5500</v>
      </c>
      <c r="Z865" s="5" t="s">
        <v>1230</v>
      </c>
      <c r="AA865" s="5" t="s">
        <v>1231</v>
      </c>
      <c r="AB865" s="13" t="str">
        <f aca="true" t="array" ref="AB865:AB865">LEFT(AA865,LOOKUP(2^15,FIND(".",AA865,ROW(INDIRECT("1:"&amp;LEN(AA865)))))-1)</f>
        <v>NB_2022_025 - 13072022 - 1</v>
      </c>
      <c r="AC865" s="5" t="s">
        <v>1232</v>
      </c>
      <c r="AD865" s="13" t="str">
        <f aca="true" t="array" ref="AD865:AD865">LEFT(AC865,LOOKUP(2^15,FIND(".",AC865,ROW(INDIRECT("1:"&amp;LEN(AC865)))))-1)</f>
        <v>NB_2022_025 - 13072022 - 2</v>
      </c>
      <c r="AE865" s="5" t="str">
        <f aca="false">CONCATENATE(AB865, "-",H865, ".mzML")</f>
        <v>NB_2022_025 - 13072022 - 1-QC_P_4.mzML</v>
      </c>
      <c r="AF865" s="5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0" t="s">
        <v>1245</v>
      </c>
      <c r="B866" s="31"/>
      <c r="C866" s="3" t="s">
        <v>1246</v>
      </c>
      <c r="D866" s="5" t="s">
        <v>14</v>
      </c>
      <c r="E866" s="5" t="s">
        <v>1247</v>
      </c>
      <c r="F866" s="6" t="s">
        <v>110</v>
      </c>
      <c r="G866" s="5" t="s">
        <v>1248</v>
      </c>
      <c r="H866" s="14" t="s">
        <v>37</v>
      </c>
      <c r="I866" s="5" t="str">
        <f aca="false">CONCATENATE(E866, "_",H866)</f>
        <v>NLA_2023_017_009</v>
      </c>
      <c r="J866" s="12" t="s">
        <v>52</v>
      </c>
      <c r="K866" s="12" t="s">
        <v>1249</v>
      </c>
      <c r="L866" s="8" t="s">
        <v>69</v>
      </c>
      <c r="M866" s="6" t="s">
        <v>1250</v>
      </c>
      <c r="N866" s="5" t="s">
        <v>246</v>
      </c>
      <c r="O866" s="32" t="s">
        <v>1220</v>
      </c>
      <c r="P866" s="5" t="s">
        <v>1213</v>
      </c>
      <c r="Q866" s="5" t="s">
        <v>1213</v>
      </c>
      <c r="R866" s="5" t="s">
        <v>72</v>
      </c>
      <c r="S866" s="12"/>
      <c r="U866" s="1" t="n">
        <v>1500</v>
      </c>
      <c r="V866" s="12" t="n">
        <v>1</v>
      </c>
      <c r="W866" s="3" t="s">
        <v>1251</v>
      </c>
      <c r="X866" s="8" t="s">
        <v>1215</v>
      </c>
      <c r="Y866" s="12" t="n">
        <v>5500</v>
      </c>
      <c r="Z866" s="5" t="s">
        <v>1252</v>
      </c>
      <c r="AA866" s="5" t="s">
        <v>1253</v>
      </c>
      <c r="AB866" s="13" t="str">
        <f aca="true" t="array" ref="AB866:AB866">LEFT(AA866,LOOKUP(2^15,FIND(".",AA866,ROW(INDIRECT("1:"&amp;LEN(AA866)))))-1)</f>
        <v>NB_2023_041 - 20230920 - 1</v>
      </c>
      <c r="AC866" s="5" t="s">
        <v>1254</v>
      </c>
      <c r="AD866" s="13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0" t="s">
        <v>1245</v>
      </c>
      <c r="B867" s="31"/>
      <c r="C867" s="3" t="s">
        <v>1246</v>
      </c>
      <c r="D867" s="5" t="s">
        <v>14</v>
      </c>
      <c r="E867" s="5" t="s">
        <v>1247</v>
      </c>
      <c r="F867" s="6" t="s">
        <v>110</v>
      </c>
      <c r="G867" s="5" t="s">
        <v>1248</v>
      </c>
      <c r="H867" s="14" t="s">
        <v>129</v>
      </c>
      <c r="I867" s="5" t="str">
        <f aca="false">CONCATENATE(E867, "_",H867)</f>
        <v>NLA_2023_017_010</v>
      </c>
      <c r="J867" s="12" t="s">
        <v>52</v>
      </c>
      <c r="K867" s="12" t="s">
        <v>1249</v>
      </c>
      <c r="L867" s="8" t="s">
        <v>69</v>
      </c>
      <c r="M867" s="6" t="s">
        <v>1250</v>
      </c>
      <c r="N867" s="5" t="s">
        <v>246</v>
      </c>
      <c r="O867" s="32" t="s">
        <v>1220</v>
      </c>
      <c r="P867" s="5" t="s">
        <v>1213</v>
      </c>
      <c r="Q867" s="5" t="s">
        <v>1213</v>
      </c>
      <c r="R867" s="5" t="s">
        <v>72</v>
      </c>
      <c r="S867" s="12"/>
      <c r="U867" s="1" t="n">
        <v>1500</v>
      </c>
      <c r="V867" s="12" t="n">
        <v>2</v>
      </c>
      <c r="W867" s="3" t="s">
        <v>1251</v>
      </c>
      <c r="X867" s="8" t="s">
        <v>1215</v>
      </c>
      <c r="Y867" s="12" t="n">
        <v>5500</v>
      </c>
      <c r="Z867" s="5" t="s">
        <v>1252</v>
      </c>
      <c r="AA867" s="5" t="s">
        <v>1253</v>
      </c>
      <c r="AB867" s="13" t="str">
        <f aca="true" t="array" ref="AB867:AB867">LEFT(AA867,LOOKUP(2^15,FIND(".",AA867,ROW(INDIRECT("1:"&amp;LEN(AA867)))))-1)</f>
        <v>NB_2023_041 - 20230920 - 1</v>
      </c>
      <c r="AC867" s="5" t="s">
        <v>1254</v>
      </c>
      <c r="AD867" s="13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0" t="s">
        <v>1245</v>
      </c>
      <c r="B868" s="31"/>
      <c r="C868" s="3" t="s">
        <v>1246</v>
      </c>
      <c r="D868" s="5" t="s">
        <v>14</v>
      </c>
      <c r="E868" s="5" t="s">
        <v>1247</v>
      </c>
      <c r="F868" s="6" t="s">
        <v>110</v>
      </c>
      <c r="G868" s="5" t="s">
        <v>1248</v>
      </c>
      <c r="H868" s="14" t="s">
        <v>132</v>
      </c>
      <c r="I868" s="5" t="str">
        <f aca="false">CONCATENATE(E868, "_",H868)</f>
        <v>NLA_2023_017_011</v>
      </c>
      <c r="J868" s="12" t="s">
        <v>52</v>
      </c>
      <c r="K868" s="12" t="s">
        <v>1249</v>
      </c>
      <c r="L868" s="8" t="s">
        <v>69</v>
      </c>
      <c r="M868" s="6" t="s">
        <v>1250</v>
      </c>
      <c r="N868" s="5" t="s">
        <v>246</v>
      </c>
      <c r="O868" s="32" t="s">
        <v>1220</v>
      </c>
      <c r="P868" s="5" t="s">
        <v>1213</v>
      </c>
      <c r="Q868" s="5" t="s">
        <v>1213</v>
      </c>
      <c r="R868" s="5" t="s">
        <v>72</v>
      </c>
      <c r="S868" s="12"/>
      <c r="U868" s="1" t="n">
        <v>1500</v>
      </c>
      <c r="V868" s="12" t="n">
        <v>3</v>
      </c>
      <c r="W868" s="3" t="s">
        <v>1251</v>
      </c>
      <c r="X868" s="8" t="s">
        <v>1215</v>
      </c>
      <c r="Y868" s="12" t="n">
        <v>5500</v>
      </c>
      <c r="Z868" s="5" t="s">
        <v>1252</v>
      </c>
      <c r="AA868" s="5" t="s">
        <v>1253</v>
      </c>
      <c r="AB868" s="13" t="str">
        <f aca="true" t="array" ref="AB868:AB868">LEFT(AA868,LOOKUP(2^15,FIND(".",AA868,ROW(INDIRECT("1:"&amp;LEN(AA868)))))-1)</f>
        <v>NB_2023_041 - 20230920 - 1</v>
      </c>
      <c r="AC868" s="5" t="s">
        <v>1254</v>
      </c>
      <c r="AD868" s="13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0" t="s">
        <v>1245</v>
      </c>
      <c r="B869" s="31"/>
      <c r="C869" s="3" t="s">
        <v>1246</v>
      </c>
      <c r="D869" s="5" t="s">
        <v>14</v>
      </c>
      <c r="E869" s="5" t="s">
        <v>1247</v>
      </c>
      <c r="F869" s="6" t="s">
        <v>110</v>
      </c>
      <c r="G869" s="5" t="s">
        <v>1248</v>
      </c>
      <c r="H869" s="14" t="s">
        <v>51</v>
      </c>
      <c r="I869" s="5" t="str">
        <f aca="false">CONCATENATE(E869, "_",H869)</f>
        <v>NLA_2023_017_012</v>
      </c>
      <c r="J869" s="12" t="s">
        <v>38</v>
      </c>
      <c r="K869" s="5" t="s">
        <v>1255</v>
      </c>
      <c r="L869" s="8" t="s">
        <v>69</v>
      </c>
      <c r="M869" s="6" t="s">
        <v>1250</v>
      </c>
      <c r="N869" s="5" t="s">
        <v>246</v>
      </c>
      <c r="O869" s="32" t="s">
        <v>1212</v>
      </c>
      <c r="P869" s="5" t="s">
        <v>1213</v>
      </c>
      <c r="Q869" s="5" t="s">
        <v>1214</v>
      </c>
      <c r="R869" s="5" t="s">
        <v>72</v>
      </c>
      <c r="S869" s="5"/>
      <c r="U869" s="1" t="n">
        <v>1500</v>
      </c>
      <c r="V869" s="1" t="n">
        <v>1</v>
      </c>
      <c r="W869" s="3" t="s">
        <v>1251</v>
      </c>
      <c r="X869" s="8" t="s">
        <v>1215</v>
      </c>
      <c r="Y869" s="12" t="n">
        <v>5500</v>
      </c>
      <c r="Z869" s="5" t="s">
        <v>1252</v>
      </c>
      <c r="AA869" s="5" t="s">
        <v>1253</v>
      </c>
      <c r="AB869" s="13" t="str">
        <f aca="true" t="array" ref="AB869:AB869">LEFT(AA869,LOOKUP(2^15,FIND(".",AA869,ROW(INDIRECT("1:"&amp;LEN(AA869)))))-1)</f>
        <v>NB_2023_041 - 20230920 - 1</v>
      </c>
      <c r="AC869" s="5" t="s">
        <v>1254</v>
      </c>
      <c r="AD869" s="13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0" t="s">
        <v>1245</v>
      </c>
      <c r="B870" s="31"/>
      <c r="C870" s="3" t="s">
        <v>1246</v>
      </c>
      <c r="D870" s="5" t="s">
        <v>14</v>
      </c>
      <c r="E870" s="5" t="s">
        <v>1247</v>
      </c>
      <c r="F870" s="6" t="s">
        <v>110</v>
      </c>
      <c r="G870" s="5" t="s">
        <v>1248</v>
      </c>
      <c r="H870" s="14" t="s">
        <v>56</v>
      </c>
      <c r="I870" s="5" t="str">
        <f aca="false">CONCATENATE(E870, "_",H870)</f>
        <v>NLA_2023_017_013</v>
      </c>
      <c r="J870" s="12" t="s">
        <v>38</v>
      </c>
      <c r="K870" s="5" t="s">
        <v>1255</v>
      </c>
      <c r="L870" s="8" t="s">
        <v>69</v>
      </c>
      <c r="M870" s="6" t="s">
        <v>1250</v>
      </c>
      <c r="N870" s="5" t="s">
        <v>246</v>
      </c>
      <c r="O870" s="32" t="s">
        <v>1212</v>
      </c>
      <c r="P870" s="5" t="s">
        <v>1213</v>
      </c>
      <c r="Q870" s="5" t="s">
        <v>1214</v>
      </c>
      <c r="R870" s="5" t="s">
        <v>72</v>
      </c>
      <c r="S870" s="5"/>
      <c r="U870" s="1" t="n">
        <v>1500</v>
      </c>
      <c r="V870" s="1" t="n">
        <v>2</v>
      </c>
      <c r="W870" s="3" t="s">
        <v>1251</v>
      </c>
      <c r="X870" s="8" t="s">
        <v>1215</v>
      </c>
      <c r="Y870" s="12" t="n">
        <v>5500</v>
      </c>
      <c r="Z870" s="5" t="s">
        <v>1252</v>
      </c>
      <c r="AA870" s="5" t="s">
        <v>1253</v>
      </c>
      <c r="AB870" s="13" t="str">
        <f aca="true" t="array" ref="AB870:AB870">LEFT(AA870,LOOKUP(2^15,FIND(".",AA870,ROW(INDIRECT("1:"&amp;LEN(AA870)))))-1)</f>
        <v>NB_2023_041 - 20230920 - 1</v>
      </c>
      <c r="AC870" s="5" t="s">
        <v>1254</v>
      </c>
      <c r="AD870" s="13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0" t="s">
        <v>1245</v>
      </c>
      <c r="B871" s="31"/>
      <c r="C871" s="3" t="s">
        <v>1246</v>
      </c>
      <c r="D871" s="5" t="s">
        <v>14</v>
      </c>
      <c r="E871" s="5" t="s">
        <v>1247</v>
      </c>
      <c r="F871" s="6" t="s">
        <v>110</v>
      </c>
      <c r="G871" s="5" t="s">
        <v>1247</v>
      </c>
      <c r="H871" s="14" t="s">
        <v>64</v>
      </c>
      <c r="I871" s="5" t="str">
        <f aca="false">CONCATENATE(E871, "_",H871)</f>
        <v>NLA_2023_017_Blank_1</v>
      </c>
      <c r="J871" s="5" t="s">
        <v>52</v>
      </c>
      <c r="K871" s="5" t="s">
        <v>157</v>
      </c>
      <c r="L871" s="6" t="s">
        <v>46</v>
      </c>
      <c r="M871" s="15" t="s">
        <v>46</v>
      </c>
      <c r="N871" s="5" t="s">
        <v>65</v>
      </c>
      <c r="O871" s="5" t="s">
        <v>46</v>
      </c>
      <c r="P871" s="5" t="s">
        <v>46</v>
      </c>
      <c r="Q871" s="5" t="s">
        <v>46</v>
      </c>
      <c r="R871" s="5" t="s">
        <v>46</v>
      </c>
      <c r="S871" s="5" t="s">
        <v>46</v>
      </c>
      <c r="T871" s="5" t="s">
        <v>46</v>
      </c>
      <c r="U871" s="5" t="s">
        <v>46</v>
      </c>
      <c r="V871" s="1" t="n">
        <v>1</v>
      </c>
      <c r="W871" s="3" t="s">
        <v>1251</v>
      </c>
      <c r="X871" s="5" t="s">
        <v>46</v>
      </c>
      <c r="Y871" s="12" t="n">
        <v>5500</v>
      </c>
      <c r="Z871" s="5" t="s">
        <v>1252</v>
      </c>
      <c r="AA871" s="5" t="s">
        <v>1253</v>
      </c>
      <c r="AB871" s="13" t="str">
        <f aca="true" t="array" ref="AB871:AB871">LEFT(AA871,LOOKUP(2^15,FIND(".",AA871,ROW(INDIRECT("1:"&amp;LEN(AA871)))))-1)</f>
        <v>NB_2023_041 - 20230920 - 1</v>
      </c>
      <c r="AC871" s="5" t="s">
        <v>1254</v>
      </c>
      <c r="AD871" s="13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0" t="s">
        <v>1245</v>
      </c>
      <c r="B872" s="31"/>
      <c r="C872" s="3" t="s">
        <v>1246</v>
      </c>
      <c r="D872" s="5" t="s">
        <v>14</v>
      </c>
      <c r="E872" s="5" t="s">
        <v>1247</v>
      </c>
      <c r="F872" s="6" t="s">
        <v>110</v>
      </c>
      <c r="G872" s="5" t="s">
        <v>1247</v>
      </c>
      <c r="H872" s="14" t="s">
        <v>66</v>
      </c>
      <c r="I872" s="5" t="str">
        <f aca="false">CONCATENATE(E872, "_",H872)</f>
        <v>NLA_2023_017_Blank_2</v>
      </c>
      <c r="J872" s="5" t="s">
        <v>52</v>
      </c>
      <c r="K872" s="5" t="s">
        <v>165</v>
      </c>
      <c r="L872" s="6" t="s">
        <v>46</v>
      </c>
      <c r="M872" s="15" t="s">
        <v>46</v>
      </c>
      <c r="N872" s="5" t="s">
        <v>65</v>
      </c>
      <c r="O872" s="5" t="s">
        <v>46</v>
      </c>
      <c r="P872" s="5" t="s">
        <v>46</v>
      </c>
      <c r="Q872" s="5" t="s">
        <v>46</v>
      </c>
      <c r="R872" s="5" t="s">
        <v>46</v>
      </c>
      <c r="S872" s="5" t="s">
        <v>46</v>
      </c>
      <c r="T872" s="5" t="s">
        <v>46</v>
      </c>
      <c r="U872" s="5" t="s">
        <v>46</v>
      </c>
      <c r="V872" s="1" t="n">
        <v>2</v>
      </c>
      <c r="W872" s="3" t="s">
        <v>1251</v>
      </c>
      <c r="X872" s="5" t="s">
        <v>46</v>
      </c>
      <c r="Y872" s="12" t="n">
        <v>5500</v>
      </c>
      <c r="Z872" s="5" t="s">
        <v>1252</v>
      </c>
      <c r="AA872" s="5" t="s">
        <v>1253</v>
      </c>
      <c r="AB872" s="13" t="str">
        <f aca="true" t="array" ref="AB872:AB872">LEFT(AA872,LOOKUP(2^15,FIND(".",AA872,ROW(INDIRECT("1:"&amp;LEN(AA872)))))-1)</f>
        <v>NB_2023_041 - 20230920 - 1</v>
      </c>
      <c r="AC872" s="5" t="s">
        <v>1254</v>
      </c>
      <c r="AD872" s="13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0" t="s">
        <v>1245</v>
      </c>
      <c r="B873" s="31"/>
      <c r="C873" s="3" t="s">
        <v>1246</v>
      </c>
      <c r="D873" s="5" t="s">
        <v>14</v>
      </c>
      <c r="E873" s="5" t="s">
        <v>1247</v>
      </c>
      <c r="F873" s="6" t="s">
        <v>110</v>
      </c>
      <c r="G873" s="5" t="s">
        <v>1247</v>
      </c>
      <c r="H873" s="14" t="s">
        <v>67</v>
      </c>
      <c r="I873" s="5" t="str">
        <f aca="false">CONCATENATE(E873, "_",H873)</f>
        <v>NLA_2023_017_Blank_3</v>
      </c>
      <c r="J873" s="5" t="s">
        <v>52</v>
      </c>
      <c r="K873" s="5" t="s">
        <v>171</v>
      </c>
      <c r="L873" s="6" t="s">
        <v>46</v>
      </c>
      <c r="M873" s="15" t="s">
        <v>46</v>
      </c>
      <c r="N873" s="5" t="s">
        <v>65</v>
      </c>
      <c r="O873" s="5" t="s">
        <v>46</v>
      </c>
      <c r="P873" s="5" t="s">
        <v>46</v>
      </c>
      <c r="Q873" s="5" t="s">
        <v>46</v>
      </c>
      <c r="R873" s="5" t="s">
        <v>46</v>
      </c>
      <c r="S873" s="5" t="s">
        <v>46</v>
      </c>
      <c r="T873" s="5" t="s">
        <v>46</v>
      </c>
      <c r="U873" s="5" t="s">
        <v>46</v>
      </c>
      <c r="V873" s="1" t="n">
        <v>3</v>
      </c>
      <c r="W873" s="3" t="s">
        <v>1251</v>
      </c>
      <c r="X873" s="5" t="s">
        <v>46</v>
      </c>
      <c r="Y873" s="12" t="n">
        <v>5500</v>
      </c>
      <c r="Z873" s="5" t="s">
        <v>1252</v>
      </c>
      <c r="AA873" s="5" t="s">
        <v>1253</v>
      </c>
      <c r="AB873" s="13" t="str">
        <f aca="true" t="array" ref="AB873:AB873">LEFT(AA873,LOOKUP(2^15,FIND(".",AA873,ROW(INDIRECT("1:"&amp;LEN(AA873)))))-1)</f>
        <v>NB_2023_041 - 20230920 - 1</v>
      </c>
      <c r="AC873" s="5" t="s">
        <v>1254</v>
      </c>
      <c r="AD873" s="13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0" t="s">
        <v>1245</v>
      </c>
      <c r="B874" s="31"/>
      <c r="C874" s="3" t="s">
        <v>1246</v>
      </c>
      <c r="D874" s="5" t="s">
        <v>14</v>
      </c>
      <c r="E874" s="5" t="s">
        <v>1247</v>
      </c>
      <c r="F874" s="6" t="s">
        <v>110</v>
      </c>
      <c r="G874" s="5" t="s">
        <v>1247</v>
      </c>
      <c r="H874" s="14" t="s">
        <v>221</v>
      </c>
      <c r="I874" s="5" t="str">
        <f aca="false">CONCATENATE(E874, "_",H874)</f>
        <v>NLA_2023_017_Blank_4</v>
      </c>
      <c r="J874" s="5" t="s">
        <v>52</v>
      </c>
      <c r="K874" s="5" t="s">
        <v>1256</v>
      </c>
      <c r="L874" s="6" t="s">
        <v>46</v>
      </c>
      <c r="M874" s="15" t="s">
        <v>46</v>
      </c>
      <c r="N874" s="5" t="s">
        <v>65</v>
      </c>
      <c r="O874" s="5" t="s">
        <v>46</v>
      </c>
      <c r="P874" s="5" t="s">
        <v>46</v>
      </c>
      <c r="Q874" s="5" t="s">
        <v>46</v>
      </c>
      <c r="R874" s="5" t="s">
        <v>46</v>
      </c>
      <c r="S874" s="5" t="s">
        <v>46</v>
      </c>
      <c r="T874" s="5" t="s">
        <v>46</v>
      </c>
      <c r="U874" s="5" t="s">
        <v>46</v>
      </c>
      <c r="V874" s="1" t="n">
        <v>4</v>
      </c>
      <c r="W874" s="3" t="s">
        <v>1251</v>
      </c>
      <c r="X874" s="5" t="s">
        <v>46</v>
      </c>
      <c r="Y874" s="12" t="n">
        <v>5500</v>
      </c>
      <c r="Z874" s="5" t="s">
        <v>1252</v>
      </c>
      <c r="AA874" s="5" t="s">
        <v>1253</v>
      </c>
      <c r="AB874" s="13" t="str">
        <f aca="true" t="array" ref="AB874:AB874">LEFT(AA874,LOOKUP(2^15,FIND(".",AA874,ROW(INDIRECT("1:"&amp;LEN(AA874)))))-1)</f>
        <v>NB_2023_041 - 20230920 - 1</v>
      </c>
      <c r="AC874" s="5" t="s">
        <v>1254</v>
      </c>
      <c r="AD874" s="13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0" t="s">
        <v>1245</v>
      </c>
      <c r="B875" s="31"/>
      <c r="C875" s="3" t="s">
        <v>1246</v>
      </c>
      <c r="D875" s="5" t="s">
        <v>14</v>
      </c>
      <c r="E875" s="5" t="s">
        <v>1247</v>
      </c>
      <c r="F875" s="6" t="s">
        <v>110</v>
      </c>
      <c r="G875" s="5" t="s">
        <v>1247</v>
      </c>
      <c r="H875" s="14" t="s">
        <v>68</v>
      </c>
      <c r="I875" s="5" t="str">
        <f aca="false">CONCATENATE(E875, "_",H875)</f>
        <v>NLA_2023_017_QC_C_1</v>
      </c>
      <c r="J875" s="5" t="s">
        <v>52</v>
      </c>
      <c r="K875" s="5" t="s">
        <v>152</v>
      </c>
      <c r="L875" s="8" t="s">
        <v>69</v>
      </c>
      <c r="M875" s="1" t="s">
        <v>46</v>
      </c>
      <c r="N875" s="5" t="s">
        <v>70</v>
      </c>
      <c r="O875" s="5" t="s">
        <v>46</v>
      </c>
      <c r="P875" s="5" t="s">
        <v>71</v>
      </c>
      <c r="Q875" s="5" t="s">
        <v>71</v>
      </c>
      <c r="R875" s="5" t="s">
        <v>72</v>
      </c>
      <c r="S875" s="5" t="s">
        <v>73</v>
      </c>
      <c r="T875" s="5" t="s">
        <v>46</v>
      </c>
      <c r="U875" s="5" t="n">
        <v>1000</v>
      </c>
      <c r="V875" s="1" t="n">
        <v>1</v>
      </c>
      <c r="W875" s="3" t="s">
        <v>1251</v>
      </c>
      <c r="X875" s="5" t="s">
        <v>74</v>
      </c>
      <c r="Y875" s="12" t="n">
        <v>5500</v>
      </c>
      <c r="Z875" s="5" t="s">
        <v>1252</v>
      </c>
      <c r="AA875" s="5" t="s">
        <v>1253</v>
      </c>
      <c r="AB875" s="13" t="str">
        <f aca="true" t="array" ref="AB875:AB875">LEFT(AA875,LOOKUP(2^15,FIND(".",AA875,ROW(INDIRECT("1:"&amp;LEN(AA875)))))-1)</f>
        <v>NB_2023_041 - 20230920 - 1</v>
      </c>
      <c r="AC875" s="5" t="s">
        <v>1254</v>
      </c>
      <c r="AD875" s="13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0" t="s">
        <v>1245</v>
      </c>
      <c r="B876" s="31"/>
      <c r="C876" s="3" t="s">
        <v>1246</v>
      </c>
      <c r="D876" s="5" t="s">
        <v>14</v>
      </c>
      <c r="E876" s="5" t="s">
        <v>1247</v>
      </c>
      <c r="F876" s="6" t="s">
        <v>110</v>
      </c>
      <c r="G876" s="5" t="s">
        <v>1247</v>
      </c>
      <c r="H876" s="14" t="s">
        <v>75</v>
      </c>
      <c r="I876" s="5" t="str">
        <f aca="false">CONCATENATE(E876, "_",H876)</f>
        <v>NLA_2023_017_QC_C_2</v>
      </c>
      <c r="J876" s="5" t="s">
        <v>52</v>
      </c>
      <c r="K876" s="5" t="s">
        <v>164</v>
      </c>
      <c r="L876" s="8" t="s">
        <v>69</v>
      </c>
      <c r="M876" s="1" t="s">
        <v>46</v>
      </c>
      <c r="N876" s="5" t="s">
        <v>70</v>
      </c>
      <c r="O876" s="5" t="s">
        <v>46</v>
      </c>
      <c r="P876" s="5" t="s">
        <v>71</v>
      </c>
      <c r="Q876" s="5" t="s">
        <v>71</v>
      </c>
      <c r="R876" s="5" t="s">
        <v>72</v>
      </c>
      <c r="S876" s="5" t="s">
        <v>73</v>
      </c>
      <c r="T876" s="5" t="s">
        <v>46</v>
      </c>
      <c r="U876" s="5" t="n">
        <v>1000</v>
      </c>
      <c r="V876" s="1" t="n">
        <v>2</v>
      </c>
      <c r="W876" s="3" t="s">
        <v>1251</v>
      </c>
      <c r="X876" s="5" t="s">
        <v>74</v>
      </c>
      <c r="Y876" s="12" t="n">
        <v>5500</v>
      </c>
      <c r="Z876" s="5" t="s">
        <v>1252</v>
      </c>
      <c r="AA876" s="5" t="s">
        <v>1253</v>
      </c>
      <c r="AB876" s="13" t="str">
        <f aca="true" t="array" ref="AB876:AB876">LEFT(AA876,LOOKUP(2^15,FIND(".",AA876,ROW(INDIRECT("1:"&amp;LEN(AA876)))))-1)</f>
        <v>NB_2023_041 - 20230920 - 1</v>
      </c>
      <c r="AC876" s="5" t="s">
        <v>1254</v>
      </c>
      <c r="AD876" s="13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0" t="s">
        <v>1245</v>
      </c>
      <c r="B877" s="31"/>
      <c r="C877" s="3" t="s">
        <v>1246</v>
      </c>
      <c r="D877" s="5" t="s">
        <v>14</v>
      </c>
      <c r="E877" s="5" t="s">
        <v>1247</v>
      </c>
      <c r="F877" s="6" t="s">
        <v>110</v>
      </c>
      <c r="G877" s="5" t="s">
        <v>1247</v>
      </c>
      <c r="H877" s="14" t="s">
        <v>76</v>
      </c>
      <c r="I877" s="5" t="str">
        <f aca="false">CONCATENATE(E877, "_",H877)</f>
        <v>NLA_2023_017_QC_C_3</v>
      </c>
      <c r="J877" s="5" t="s">
        <v>52</v>
      </c>
      <c r="K877" s="5" t="s">
        <v>170</v>
      </c>
      <c r="L877" s="8" t="s">
        <v>69</v>
      </c>
      <c r="M877" s="1" t="s">
        <v>46</v>
      </c>
      <c r="N877" s="5" t="s">
        <v>70</v>
      </c>
      <c r="O877" s="5" t="s">
        <v>46</v>
      </c>
      <c r="P877" s="5" t="s">
        <v>71</v>
      </c>
      <c r="Q877" s="5" t="s">
        <v>71</v>
      </c>
      <c r="R877" s="5" t="s">
        <v>72</v>
      </c>
      <c r="S877" s="5" t="s">
        <v>73</v>
      </c>
      <c r="T877" s="5" t="s">
        <v>46</v>
      </c>
      <c r="U877" s="5" t="n">
        <v>1000</v>
      </c>
      <c r="V877" s="1" t="n">
        <v>3</v>
      </c>
      <c r="W877" s="3" t="s">
        <v>1251</v>
      </c>
      <c r="X877" s="5" t="s">
        <v>74</v>
      </c>
      <c r="Y877" s="12" t="n">
        <v>5500</v>
      </c>
      <c r="Z877" s="5" t="s">
        <v>1252</v>
      </c>
      <c r="AA877" s="5" t="s">
        <v>1253</v>
      </c>
      <c r="AB877" s="13" t="str">
        <f aca="true" t="array" ref="AB877:AB877">LEFT(AA877,LOOKUP(2^15,FIND(".",AA877,ROW(INDIRECT("1:"&amp;LEN(AA877)))))-1)</f>
        <v>NB_2023_041 - 20230920 - 1</v>
      </c>
      <c r="AC877" s="5" t="s">
        <v>1254</v>
      </c>
      <c r="AD877" s="13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0" t="s">
        <v>1245</v>
      </c>
      <c r="B878" s="31"/>
      <c r="C878" s="3" t="s">
        <v>1246</v>
      </c>
      <c r="D878" s="5" t="s">
        <v>14</v>
      </c>
      <c r="E878" s="5" t="s">
        <v>1247</v>
      </c>
      <c r="F878" s="6" t="s">
        <v>110</v>
      </c>
      <c r="G878" s="5" t="s">
        <v>1247</v>
      </c>
      <c r="H878" s="14" t="s">
        <v>222</v>
      </c>
      <c r="I878" s="5" t="str">
        <f aca="false">CONCATENATE(E878, "_",H878)</f>
        <v>NLA_2023_017_QC_C_4</v>
      </c>
      <c r="J878" s="5" t="s">
        <v>52</v>
      </c>
      <c r="K878" s="5" t="s">
        <v>1257</v>
      </c>
      <c r="L878" s="8" t="s">
        <v>69</v>
      </c>
      <c r="M878" s="1" t="s">
        <v>46</v>
      </c>
      <c r="N878" s="5" t="s">
        <v>70</v>
      </c>
      <c r="O878" s="5" t="s">
        <v>46</v>
      </c>
      <c r="P878" s="5" t="s">
        <v>71</v>
      </c>
      <c r="Q878" s="5" t="s">
        <v>71</v>
      </c>
      <c r="R878" s="5" t="s">
        <v>72</v>
      </c>
      <c r="S878" s="5" t="s">
        <v>73</v>
      </c>
      <c r="T878" s="5" t="s">
        <v>46</v>
      </c>
      <c r="U878" s="5" t="n">
        <v>1000</v>
      </c>
      <c r="V878" s="1" t="n">
        <v>4</v>
      </c>
      <c r="W878" s="3" t="s">
        <v>1251</v>
      </c>
      <c r="X878" s="5" t="s">
        <v>74</v>
      </c>
      <c r="Y878" s="12" t="n">
        <v>5500</v>
      </c>
      <c r="Z878" s="5" t="s">
        <v>1252</v>
      </c>
      <c r="AA878" s="5" t="s">
        <v>1253</v>
      </c>
      <c r="AB878" s="13" t="str">
        <f aca="true" t="array" ref="AB878:AB878">LEFT(AA878,LOOKUP(2^15,FIND(".",AA878,ROW(INDIRECT("1:"&amp;LEN(AA878)))))-1)</f>
        <v>NB_2023_041 - 20230920 - 1</v>
      </c>
      <c r="AC878" s="5" t="s">
        <v>1254</v>
      </c>
      <c r="AD878" s="13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0" t="s">
        <v>1245</v>
      </c>
      <c r="B879" s="31"/>
      <c r="C879" s="3" t="s">
        <v>1246</v>
      </c>
      <c r="D879" s="5" t="s">
        <v>14</v>
      </c>
      <c r="E879" s="5" t="s">
        <v>1247</v>
      </c>
      <c r="F879" s="6" t="s">
        <v>110</v>
      </c>
      <c r="G879" s="5" t="s">
        <v>1247</v>
      </c>
      <c r="H879" s="14" t="s">
        <v>77</v>
      </c>
      <c r="I879" s="5" t="str">
        <f aca="false">CONCATENATE(E879, "_",H879)</f>
        <v>NLA_2023_017_QC_P_1</v>
      </c>
      <c r="J879" s="3" t="s">
        <v>52</v>
      </c>
      <c r="K879" s="16" t="s">
        <v>77</v>
      </c>
      <c r="L879" s="6" t="s">
        <v>69</v>
      </c>
      <c r="M879" s="1" t="s">
        <v>46</v>
      </c>
      <c r="N879" s="5" t="s">
        <v>78</v>
      </c>
      <c r="O879" s="5" t="s">
        <v>46</v>
      </c>
      <c r="P879" s="5" t="s">
        <v>79</v>
      </c>
      <c r="Q879" s="5" t="s">
        <v>80</v>
      </c>
      <c r="R879" s="5" t="s">
        <v>81</v>
      </c>
      <c r="S879" s="5" t="s">
        <v>46</v>
      </c>
      <c r="T879" s="5" t="s">
        <v>46</v>
      </c>
      <c r="U879" s="5" t="s">
        <v>82</v>
      </c>
      <c r="V879" s="1" t="n">
        <v>1</v>
      </c>
      <c r="W879" s="3" t="s">
        <v>1251</v>
      </c>
      <c r="X879" s="5" t="s">
        <v>83</v>
      </c>
      <c r="Y879" s="12" t="n">
        <v>5500</v>
      </c>
      <c r="Z879" s="5" t="s">
        <v>1252</v>
      </c>
      <c r="AA879" s="5" t="s">
        <v>1253</v>
      </c>
      <c r="AB879" s="13" t="str">
        <f aca="true" t="array" ref="AB879:AB879">LEFT(AA879,LOOKUP(2^15,FIND(".",AA879,ROW(INDIRECT("1:"&amp;LEN(AA879)))))-1)</f>
        <v>NB_2023_041 - 20230920 - 1</v>
      </c>
      <c r="AC879" s="5" t="s">
        <v>1254</v>
      </c>
      <c r="AD879" s="13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0" t="s">
        <v>1245</v>
      </c>
      <c r="B880" s="31"/>
      <c r="C880" s="3" t="s">
        <v>1246</v>
      </c>
      <c r="D880" s="5" t="s">
        <v>14</v>
      </c>
      <c r="E880" s="5" t="s">
        <v>1247</v>
      </c>
      <c r="F880" s="6" t="s">
        <v>110</v>
      </c>
      <c r="G880" s="5" t="s">
        <v>1247</v>
      </c>
      <c r="H880" s="14" t="s">
        <v>84</v>
      </c>
      <c r="I880" s="5" t="str">
        <f aca="false">CONCATENATE(E880, "_",H880)</f>
        <v>NLA_2023_017_QC_P_2</v>
      </c>
      <c r="J880" s="3" t="s">
        <v>52</v>
      </c>
      <c r="K880" s="16" t="s">
        <v>84</v>
      </c>
      <c r="L880" s="6" t="s">
        <v>69</v>
      </c>
      <c r="M880" s="1" t="s">
        <v>46</v>
      </c>
      <c r="N880" s="5" t="s">
        <v>78</v>
      </c>
      <c r="O880" s="5" t="s">
        <v>46</v>
      </c>
      <c r="P880" s="5" t="s">
        <v>79</v>
      </c>
      <c r="Q880" s="5" t="s">
        <v>80</v>
      </c>
      <c r="R880" s="5" t="s">
        <v>81</v>
      </c>
      <c r="S880" s="5" t="s">
        <v>46</v>
      </c>
      <c r="T880" s="5" t="s">
        <v>46</v>
      </c>
      <c r="U880" s="5" t="s">
        <v>82</v>
      </c>
      <c r="V880" s="1" t="n">
        <v>2</v>
      </c>
      <c r="W880" s="3" t="s">
        <v>1251</v>
      </c>
      <c r="X880" s="5" t="s">
        <v>83</v>
      </c>
      <c r="Y880" s="12" t="n">
        <v>5500</v>
      </c>
      <c r="Z880" s="5" t="s">
        <v>1252</v>
      </c>
      <c r="AA880" s="5" t="s">
        <v>1253</v>
      </c>
      <c r="AB880" s="13" t="str">
        <f aca="true" t="array" ref="AB880:AB880">LEFT(AA880,LOOKUP(2^15,FIND(".",AA880,ROW(INDIRECT("1:"&amp;LEN(AA880)))))-1)</f>
        <v>NB_2023_041 - 20230920 - 1</v>
      </c>
      <c r="AC880" s="5" t="s">
        <v>1254</v>
      </c>
      <c r="AD880" s="13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0" t="s">
        <v>1258</v>
      </c>
      <c r="B881" s="31"/>
      <c r="C881" s="3" t="s">
        <v>1259</v>
      </c>
      <c r="D881" s="5" t="s">
        <v>19</v>
      </c>
      <c r="E881" s="5" t="s">
        <v>1247</v>
      </c>
      <c r="F881" s="6" t="s">
        <v>110</v>
      </c>
      <c r="G881" s="5" t="s">
        <v>1260</v>
      </c>
      <c r="H881" s="14" t="s">
        <v>108</v>
      </c>
      <c r="I881" s="5" t="str">
        <f aca="false">CONCATENATE(E881, "_",H881)</f>
        <v>NLA_2023_017_001</v>
      </c>
      <c r="J881" s="12" t="s">
        <v>38</v>
      </c>
      <c r="K881" s="12" t="s">
        <v>1261</v>
      </c>
      <c r="L881" s="8" t="s">
        <v>69</v>
      </c>
      <c r="M881" s="6" t="s">
        <v>1262</v>
      </c>
      <c r="N881" s="5" t="s">
        <v>246</v>
      </c>
      <c r="O881" s="32" t="s">
        <v>1220</v>
      </c>
      <c r="P881" s="5" t="s">
        <v>1213</v>
      </c>
      <c r="Q881" s="5" t="s">
        <v>1213</v>
      </c>
      <c r="R881" s="5" t="s">
        <v>72</v>
      </c>
      <c r="S881" s="12"/>
      <c r="T881" s="5" t="s">
        <v>1263</v>
      </c>
      <c r="U881" s="1" t="n">
        <v>1500</v>
      </c>
      <c r="V881" s="12" t="n">
        <v>1</v>
      </c>
      <c r="W881" s="3" t="s">
        <v>1251</v>
      </c>
      <c r="X881" s="8" t="s">
        <v>1215</v>
      </c>
      <c r="Y881" s="12" t="n">
        <v>5500</v>
      </c>
      <c r="Z881" s="5" t="s">
        <v>1252</v>
      </c>
      <c r="AA881" s="5" t="s">
        <v>1253</v>
      </c>
      <c r="AB881" s="5" t="s">
        <v>1253</v>
      </c>
      <c r="AC881" s="5" t="s">
        <v>1254</v>
      </c>
      <c r="AD881" s="13" t="str">
        <f aca="true" t="array" ref="AD881:AD881">LEFT(AC881,LOOKUP(2^15,FIND(".",AC881,ROW(INDIRECT("1:"&amp;LEN(AC881)))))-1)</f>
        <v>NB_2023_041 - 20230920 - 2</v>
      </c>
      <c r="AE881" s="34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0" t="s">
        <v>1258</v>
      </c>
      <c r="B882" s="31"/>
      <c r="C882" s="3" t="s">
        <v>1259</v>
      </c>
      <c r="D882" s="5" t="s">
        <v>19</v>
      </c>
      <c r="E882" s="5" t="s">
        <v>1247</v>
      </c>
      <c r="F882" s="6" t="s">
        <v>110</v>
      </c>
      <c r="G882" s="5" t="s">
        <v>1260</v>
      </c>
      <c r="H882" s="14" t="s">
        <v>88</v>
      </c>
      <c r="I882" s="5" t="str">
        <f aca="false">CONCATENATE(E882, "_",H882)</f>
        <v>NLA_2023_017_002</v>
      </c>
      <c r="J882" s="12" t="s">
        <v>52</v>
      </c>
      <c r="K882" s="12" t="s">
        <v>1264</v>
      </c>
      <c r="L882" s="8" t="s">
        <v>69</v>
      </c>
      <c r="M882" s="6" t="s">
        <v>1262</v>
      </c>
      <c r="N882" s="5" t="s">
        <v>246</v>
      </c>
      <c r="O882" s="32" t="s">
        <v>1220</v>
      </c>
      <c r="P882" s="5" t="s">
        <v>1213</v>
      </c>
      <c r="Q882" s="5" t="s">
        <v>1213</v>
      </c>
      <c r="R882" s="5" t="s">
        <v>72</v>
      </c>
      <c r="S882" s="12"/>
      <c r="T882" s="5" t="s">
        <v>1265</v>
      </c>
      <c r="U882" s="1" t="n">
        <v>1500</v>
      </c>
      <c r="V882" s="12" t="n">
        <v>1</v>
      </c>
      <c r="W882" s="3" t="s">
        <v>1251</v>
      </c>
      <c r="X882" s="8" t="s">
        <v>1215</v>
      </c>
      <c r="Y882" s="12" t="n">
        <v>5500</v>
      </c>
      <c r="Z882" s="5" t="s">
        <v>1252</v>
      </c>
      <c r="AA882" s="5" t="s">
        <v>1253</v>
      </c>
      <c r="AB882" s="13" t="str">
        <f aca="true" t="array" ref="AB882:AB882">LEFT(AA882,LOOKUP(2^15,FIND(".",AA882,ROW(INDIRECT("1:"&amp;LEN(AA882)))))-1)</f>
        <v>NB_2023_041 - 20230920 - 1</v>
      </c>
      <c r="AC882" s="5" t="s">
        <v>1254</v>
      </c>
      <c r="AD882" s="13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0" t="s">
        <v>1258</v>
      </c>
      <c r="B883" s="31"/>
      <c r="C883" s="3" t="s">
        <v>1259</v>
      </c>
      <c r="D883" s="5" t="s">
        <v>19</v>
      </c>
      <c r="E883" s="5" t="s">
        <v>1247</v>
      </c>
      <c r="F883" s="6" t="s">
        <v>110</v>
      </c>
      <c r="G883" s="5" t="s">
        <v>1247</v>
      </c>
      <c r="H883" s="14" t="s">
        <v>64</v>
      </c>
      <c r="I883" s="5" t="str">
        <f aca="false">CONCATENATE(E883, "_",H883)</f>
        <v>NLA_2023_017_Blank_1</v>
      </c>
      <c r="J883" s="5" t="s">
        <v>52</v>
      </c>
      <c r="K883" s="5" t="s">
        <v>157</v>
      </c>
      <c r="L883" s="6" t="s">
        <v>46</v>
      </c>
      <c r="M883" s="15" t="s">
        <v>46</v>
      </c>
      <c r="N883" s="5" t="s">
        <v>65</v>
      </c>
      <c r="O883" s="5" t="s">
        <v>46</v>
      </c>
      <c r="P883" s="5" t="s">
        <v>46</v>
      </c>
      <c r="Q883" s="5" t="s">
        <v>46</v>
      </c>
      <c r="R883" s="5" t="s">
        <v>46</v>
      </c>
      <c r="S883" s="5" t="s">
        <v>46</v>
      </c>
      <c r="T883" s="5" t="s">
        <v>46</v>
      </c>
      <c r="U883" s="5" t="s">
        <v>46</v>
      </c>
      <c r="V883" s="1" t="n">
        <v>1</v>
      </c>
      <c r="W883" s="3" t="s">
        <v>1251</v>
      </c>
      <c r="X883" s="5" t="s">
        <v>46</v>
      </c>
      <c r="Y883" s="12" t="n">
        <v>5500</v>
      </c>
      <c r="Z883" s="5" t="s">
        <v>1252</v>
      </c>
      <c r="AA883" s="5" t="s">
        <v>1253</v>
      </c>
      <c r="AB883" s="13" t="str">
        <f aca="true" t="array" ref="AB883:AB883">LEFT(AA883,LOOKUP(2^15,FIND(".",AA883,ROW(INDIRECT("1:"&amp;LEN(AA883)))))-1)</f>
        <v>NB_2023_041 - 20230920 - 1</v>
      </c>
      <c r="AC883" s="5" t="s">
        <v>1254</v>
      </c>
      <c r="AD883" s="13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0" t="s">
        <v>1258</v>
      </c>
      <c r="B884" s="31"/>
      <c r="C884" s="3" t="s">
        <v>1259</v>
      </c>
      <c r="D884" s="5" t="s">
        <v>19</v>
      </c>
      <c r="E884" s="5" t="s">
        <v>1247</v>
      </c>
      <c r="F884" s="6" t="s">
        <v>110</v>
      </c>
      <c r="G884" s="5" t="s">
        <v>1247</v>
      </c>
      <c r="H884" s="14" t="s">
        <v>66</v>
      </c>
      <c r="I884" s="5" t="str">
        <f aca="false">CONCATENATE(E884, "_",H884)</f>
        <v>NLA_2023_017_Blank_2</v>
      </c>
      <c r="J884" s="5" t="s">
        <v>52</v>
      </c>
      <c r="K884" s="5" t="s">
        <v>165</v>
      </c>
      <c r="L884" s="6" t="s">
        <v>46</v>
      </c>
      <c r="M884" s="15" t="s">
        <v>46</v>
      </c>
      <c r="N884" s="5" t="s">
        <v>65</v>
      </c>
      <c r="O884" s="5" t="s">
        <v>46</v>
      </c>
      <c r="P884" s="5" t="s">
        <v>46</v>
      </c>
      <c r="Q884" s="5" t="s">
        <v>46</v>
      </c>
      <c r="R884" s="5" t="s">
        <v>46</v>
      </c>
      <c r="S884" s="5" t="s">
        <v>46</v>
      </c>
      <c r="T884" s="5" t="s">
        <v>46</v>
      </c>
      <c r="U884" s="5" t="s">
        <v>46</v>
      </c>
      <c r="V884" s="1" t="n">
        <v>2</v>
      </c>
      <c r="W884" s="3" t="s">
        <v>1251</v>
      </c>
      <c r="X884" s="5" t="s">
        <v>46</v>
      </c>
      <c r="Y884" s="12" t="n">
        <v>5500</v>
      </c>
      <c r="Z884" s="5" t="s">
        <v>1252</v>
      </c>
      <c r="AA884" s="5" t="s">
        <v>1253</v>
      </c>
      <c r="AB884" s="13" t="str">
        <f aca="true" t="array" ref="AB884:AB884">LEFT(AA884,LOOKUP(2^15,FIND(".",AA884,ROW(INDIRECT("1:"&amp;LEN(AA884)))))-1)</f>
        <v>NB_2023_041 - 20230920 - 1</v>
      </c>
      <c r="AC884" s="5" t="s">
        <v>1254</v>
      </c>
      <c r="AD884" s="13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0" t="s">
        <v>1258</v>
      </c>
      <c r="B885" s="31"/>
      <c r="C885" s="3" t="s">
        <v>1259</v>
      </c>
      <c r="D885" s="5" t="s">
        <v>19</v>
      </c>
      <c r="E885" s="5" t="s">
        <v>1247</v>
      </c>
      <c r="F885" s="6" t="s">
        <v>110</v>
      </c>
      <c r="G885" s="5" t="s">
        <v>1247</v>
      </c>
      <c r="H885" s="14" t="s">
        <v>67</v>
      </c>
      <c r="I885" s="5" t="str">
        <f aca="false">CONCATENATE(E885, "_",H885)</f>
        <v>NLA_2023_017_Blank_3</v>
      </c>
      <c r="J885" s="5" t="s">
        <v>52</v>
      </c>
      <c r="K885" s="5" t="s">
        <v>171</v>
      </c>
      <c r="L885" s="6" t="s">
        <v>46</v>
      </c>
      <c r="M885" s="15" t="s">
        <v>46</v>
      </c>
      <c r="N885" s="5" t="s">
        <v>65</v>
      </c>
      <c r="O885" s="5" t="s">
        <v>46</v>
      </c>
      <c r="P885" s="5" t="s">
        <v>46</v>
      </c>
      <c r="Q885" s="5" t="s">
        <v>46</v>
      </c>
      <c r="R885" s="5" t="s">
        <v>46</v>
      </c>
      <c r="S885" s="5" t="s">
        <v>46</v>
      </c>
      <c r="T885" s="5" t="s">
        <v>46</v>
      </c>
      <c r="U885" s="5" t="s">
        <v>46</v>
      </c>
      <c r="V885" s="1" t="n">
        <v>3</v>
      </c>
      <c r="W885" s="3" t="s">
        <v>1251</v>
      </c>
      <c r="X885" s="5" t="s">
        <v>46</v>
      </c>
      <c r="Y885" s="12" t="n">
        <v>5500</v>
      </c>
      <c r="Z885" s="5" t="s">
        <v>1252</v>
      </c>
      <c r="AA885" s="5" t="s">
        <v>1253</v>
      </c>
      <c r="AB885" s="13" t="str">
        <f aca="true" t="array" ref="AB885:AB885">LEFT(AA885,LOOKUP(2^15,FIND(".",AA885,ROW(INDIRECT("1:"&amp;LEN(AA885)))))-1)</f>
        <v>NB_2023_041 - 20230920 - 1</v>
      </c>
      <c r="AC885" s="5" t="s">
        <v>1254</v>
      </c>
      <c r="AD885" s="13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0" t="s">
        <v>1258</v>
      </c>
      <c r="B886" s="31"/>
      <c r="C886" s="3" t="s">
        <v>1259</v>
      </c>
      <c r="D886" s="5" t="s">
        <v>19</v>
      </c>
      <c r="E886" s="5" t="s">
        <v>1247</v>
      </c>
      <c r="F886" s="6" t="s">
        <v>110</v>
      </c>
      <c r="G886" s="5" t="s">
        <v>1247</v>
      </c>
      <c r="H886" s="14" t="s">
        <v>221</v>
      </c>
      <c r="I886" s="5" t="str">
        <f aca="false">CONCATENATE(E886, "_",H886)</f>
        <v>NLA_2023_017_Blank_4</v>
      </c>
      <c r="J886" s="5" t="s">
        <v>52</v>
      </c>
      <c r="K886" s="5" t="s">
        <v>1256</v>
      </c>
      <c r="L886" s="6" t="s">
        <v>46</v>
      </c>
      <c r="M886" s="15" t="s">
        <v>46</v>
      </c>
      <c r="N886" s="5" t="s">
        <v>65</v>
      </c>
      <c r="O886" s="5" t="s">
        <v>46</v>
      </c>
      <c r="P886" s="5" t="s">
        <v>46</v>
      </c>
      <c r="Q886" s="5" t="s">
        <v>46</v>
      </c>
      <c r="R886" s="5" t="s">
        <v>46</v>
      </c>
      <c r="S886" s="5" t="s">
        <v>46</v>
      </c>
      <c r="T886" s="5" t="s">
        <v>46</v>
      </c>
      <c r="U886" s="5" t="s">
        <v>46</v>
      </c>
      <c r="V886" s="1" t="n">
        <v>4</v>
      </c>
      <c r="W886" s="3" t="s">
        <v>1251</v>
      </c>
      <c r="X886" s="5" t="s">
        <v>46</v>
      </c>
      <c r="Y886" s="12" t="n">
        <v>5500</v>
      </c>
      <c r="Z886" s="5" t="s">
        <v>1252</v>
      </c>
      <c r="AA886" s="5" t="s">
        <v>1253</v>
      </c>
      <c r="AB886" s="13" t="str">
        <f aca="true" t="array" ref="AB886:AB886">LEFT(AA886,LOOKUP(2^15,FIND(".",AA886,ROW(INDIRECT("1:"&amp;LEN(AA886)))))-1)</f>
        <v>NB_2023_041 - 20230920 - 1</v>
      </c>
      <c r="AC886" s="5" t="s">
        <v>1254</v>
      </c>
      <c r="AD886" s="13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0" t="s">
        <v>1258</v>
      </c>
      <c r="B887" s="31"/>
      <c r="C887" s="3" t="s">
        <v>1259</v>
      </c>
      <c r="D887" s="5" t="s">
        <v>19</v>
      </c>
      <c r="E887" s="5" t="s">
        <v>1247</v>
      </c>
      <c r="F887" s="6" t="s">
        <v>110</v>
      </c>
      <c r="G887" s="5" t="s">
        <v>1247</v>
      </c>
      <c r="H887" s="14" t="s">
        <v>68</v>
      </c>
      <c r="I887" s="5" t="str">
        <f aca="false">CONCATENATE(E887, "_",H887)</f>
        <v>NLA_2023_017_QC_C_1</v>
      </c>
      <c r="J887" s="5" t="s">
        <v>52</v>
      </c>
      <c r="K887" s="5" t="s">
        <v>152</v>
      </c>
      <c r="L887" s="8" t="s">
        <v>69</v>
      </c>
      <c r="M887" s="1" t="s">
        <v>46</v>
      </c>
      <c r="N887" s="5" t="s">
        <v>70</v>
      </c>
      <c r="O887" s="5" t="s">
        <v>46</v>
      </c>
      <c r="P887" s="5" t="s">
        <v>71</v>
      </c>
      <c r="Q887" s="5" t="s">
        <v>71</v>
      </c>
      <c r="R887" s="5" t="s">
        <v>72</v>
      </c>
      <c r="S887" s="5" t="s">
        <v>73</v>
      </c>
      <c r="T887" s="5" t="s">
        <v>46</v>
      </c>
      <c r="U887" s="5" t="n">
        <v>1000</v>
      </c>
      <c r="V887" s="1" t="n">
        <v>1</v>
      </c>
      <c r="W887" s="3" t="s">
        <v>1251</v>
      </c>
      <c r="X887" s="5" t="s">
        <v>74</v>
      </c>
      <c r="Y887" s="12" t="n">
        <v>5500</v>
      </c>
      <c r="Z887" s="5" t="s">
        <v>1252</v>
      </c>
      <c r="AA887" s="5" t="s">
        <v>1253</v>
      </c>
      <c r="AB887" s="13" t="str">
        <f aca="true" t="array" ref="AB887:AB887">LEFT(AA887,LOOKUP(2^15,FIND(".",AA887,ROW(INDIRECT("1:"&amp;LEN(AA887)))))-1)</f>
        <v>NB_2023_041 - 20230920 - 1</v>
      </c>
      <c r="AC887" s="5" t="s">
        <v>1254</v>
      </c>
      <c r="AD887" s="13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0" t="s">
        <v>1258</v>
      </c>
      <c r="B888" s="31"/>
      <c r="C888" s="3" t="s">
        <v>1259</v>
      </c>
      <c r="D888" s="5" t="s">
        <v>19</v>
      </c>
      <c r="E888" s="5" t="s">
        <v>1247</v>
      </c>
      <c r="F888" s="6" t="s">
        <v>110</v>
      </c>
      <c r="G888" s="5" t="s">
        <v>1247</v>
      </c>
      <c r="H888" s="14" t="s">
        <v>75</v>
      </c>
      <c r="I888" s="5" t="str">
        <f aca="false">CONCATENATE(E888, "_",H888)</f>
        <v>NLA_2023_017_QC_C_2</v>
      </c>
      <c r="J888" s="5" t="s">
        <v>52</v>
      </c>
      <c r="K888" s="5" t="s">
        <v>164</v>
      </c>
      <c r="L888" s="8" t="s">
        <v>69</v>
      </c>
      <c r="M888" s="1" t="s">
        <v>46</v>
      </c>
      <c r="N888" s="5" t="s">
        <v>70</v>
      </c>
      <c r="O888" s="5" t="s">
        <v>46</v>
      </c>
      <c r="P888" s="5" t="s">
        <v>71</v>
      </c>
      <c r="Q888" s="5" t="s">
        <v>71</v>
      </c>
      <c r="R888" s="5" t="s">
        <v>72</v>
      </c>
      <c r="S888" s="5" t="s">
        <v>73</v>
      </c>
      <c r="T888" s="5" t="s">
        <v>46</v>
      </c>
      <c r="U888" s="5" t="n">
        <v>1000</v>
      </c>
      <c r="V888" s="1" t="n">
        <v>2</v>
      </c>
      <c r="W888" s="3" t="s">
        <v>1251</v>
      </c>
      <c r="X888" s="5" t="s">
        <v>74</v>
      </c>
      <c r="Y888" s="12" t="n">
        <v>5500</v>
      </c>
      <c r="Z888" s="5" t="s">
        <v>1252</v>
      </c>
      <c r="AA888" s="5" t="s">
        <v>1253</v>
      </c>
      <c r="AB888" s="13" t="str">
        <f aca="true" t="array" ref="AB888:AB888">LEFT(AA888,LOOKUP(2^15,FIND(".",AA888,ROW(INDIRECT("1:"&amp;LEN(AA888)))))-1)</f>
        <v>NB_2023_041 - 20230920 - 1</v>
      </c>
      <c r="AC888" s="5" t="s">
        <v>1254</v>
      </c>
      <c r="AD888" s="13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0" t="s">
        <v>1258</v>
      </c>
      <c r="B889" s="31"/>
      <c r="C889" s="3" t="s">
        <v>1259</v>
      </c>
      <c r="D889" s="5" t="s">
        <v>19</v>
      </c>
      <c r="E889" s="5" t="s">
        <v>1247</v>
      </c>
      <c r="F889" s="6" t="s">
        <v>110</v>
      </c>
      <c r="G889" s="5" t="s">
        <v>1247</v>
      </c>
      <c r="H889" s="14" t="s">
        <v>76</v>
      </c>
      <c r="I889" s="5" t="str">
        <f aca="false">CONCATENATE(E889, "_",H889)</f>
        <v>NLA_2023_017_QC_C_3</v>
      </c>
      <c r="J889" s="5" t="s">
        <v>52</v>
      </c>
      <c r="K889" s="5" t="s">
        <v>170</v>
      </c>
      <c r="L889" s="8" t="s">
        <v>69</v>
      </c>
      <c r="M889" s="1" t="s">
        <v>46</v>
      </c>
      <c r="N889" s="5" t="s">
        <v>70</v>
      </c>
      <c r="O889" s="5" t="s">
        <v>46</v>
      </c>
      <c r="P889" s="5" t="s">
        <v>71</v>
      </c>
      <c r="Q889" s="5" t="s">
        <v>71</v>
      </c>
      <c r="R889" s="5" t="s">
        <v>72</v>
      </c>
      <c r="S889" s="5" t="s">
        <v>73</v>
      </c>
      <c r="T889" s="5" t="s">
        <v>46</v>
      </c>
      <c r="U889" s="5" t="n">
        <v>1000</v>
      </c>
      <c r="V889" s="1" t="n">
        <v>3</v>
      </c>
      <c r="W889" s="3" t="s">
        <v>1251</v>
      </c>
      <c r="X889" s="5" t="s">
        <v>74</v>
      </c>
      <c r="Y889" s="12" t="n">
        <v>5500</v>
      </c>
      <c r="Z889" s="5" t="s">
        <v>1252</v>
      </c>
      <c r="AA889" s="5" t="s">
        <v>1253</v>
      </c>
      <c r="AB889" s="13" t="str">
        <f aca="true" t="array" ref="AB889:AB889">LEFT(AA889,LOOKUP(2^15,FIND(".",AA889,ROW(INDIRECT("1:"&amp;LEN(AA889)))))-1)</f>
        <v>NB_2023_041 - 20230920 - 1</v>
      </c>
      <c r="AC889" s="5" t="s">
        <v>1254</v>
      </c>
      <c r="AD889" s="13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0" t="s">
        <v>1258</v>
      </c>
      <c r="B890" s="31"/>
      <c r="C890" s="3" t="s">
        <v>1259</v>
      </c>
      <c r="D890" s="5" t="s">
        <v>19</v>
      </c>
      <c r="E890" s="5" t="s">
        <v>1247</v>
      </c>
      <c r="F890" s="6" t="s">
        <v>110</v>
      </c>
      <c r="G890" s="5" t="s">
        <v>1247</v>
      </c>
      <c r="H890" s="14" t="s">
        <v>222</v>
      </c>
      <c r="I890" s="5" t="str">
        <f aca="false">CONCATENATE(E890, "_",H890)</f>
        <v>NLA_2023_017_QC_C_4</v>
      </c>
      <c r="J890" s="5" t="s">
        <v>52</v>
      </c>
      <c r="K890" s="5" t="s">
        <v>1257</v>
      </c>
      <c r="L890" s="8" t="s">
        <v>69</v>
      </c>
      <c r="M890" s="1" t="s">
        <v>46</v>
      </c>
      <c r="N890" s="5" t="s">
        <v>70</v>
      </c>
      <c r="O890" s="5" t="s">
        <v>46</v>
      </c>
      <c r="P890" s="5" t="s">
        <v>71</v>
      </c>
      <c r="Q890" s="5" t="s">
        <v>71</v>
      </c>
      <c r="R890" s="5" t="s">
        <v>72</v>
      </c>
      <c r="S890" s="5" t="s">
        <v>73</v>
      </c>
      <c r="T890" s="5" t="s">
        <v>46</v>
      </c>
      <c r="U890" s="5" t="n">
        <v>1000</v>
      </c>
      <c r="V890" s="1" t="n">
        <v>4</v>
      </c>
      <c r="W890" s="3" t="s">
        <v>1251</v>
      </c>
      <c r="X890" s="5" t="s">
        <v>74</v>
      </c>
      <c r="Y890" s="12" t="n">
        <v>5500</v>
      </c>
      <c r="Z890" s="5" t="s">
        <v>1252</v>
      </c>
      <c r="AA890" s="5" t="s">
        <v>1253</v>
      </c>
      <c r="AB890" s="13" t="str">
        <f aca="true" t="array" ref="AB890:AB890">LEFT(AA890,LOOKUP(2^15,FIND(".",AA890,ROW(INDIRECT("1:"&amp;LEN(AA890)))))-1)</f>
        <v>NB_2023_041 - 20230920 - 1</v>
      </c>
      <c r="AC890" s="5" t="s">
        <v>1254</v>
      </c>
      <c r="AD890" s="13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0" t="s">
        <v>1258</v>
      </c>
      <c r="B891" s="31"/>
      <c r="C891" s="3" t="s">
        <v>1259</v>
      </c>
      <c r="D891" s="5" t="s">
        <v>19</v>
      </c>
      <c r="E891" s="5" t="s">
        <v>1247</v>
      </c>
      <c r="F891" s="6" t="s">
        <v>110</v>
      </c>
      <c r="G891" s="5" t="s">
        <v>1247</v>
      </c>
      <c r="H891" s="14" t="s">
        <v>77</v>
      </c>
      <c r="I891" s="5" t="str">
        <f aca="false">CONCATENATE(E891, "_",H891)</f>
        <v>NLA_2023_017_QC_P_1</v>
      </c>
      <c r="J891" s="3" t="s">
        <v>52</v>
      </c>
      <c r="K891" s="16" t="s">
        <v>77</v>
      </c>
      <c r="L891" s="6" t="s">
        <v>69</v>
      </c>
      <c r="M891" s="1" t="s">
        <v>46</v>
      </c>
      <c r="N891" s="5" t="s">
        <v>78</v>
      </c>
      <c r="O891" s="5" t="s">
        <v>46</v>
      </c>
      <c r="P891" s="5" t="s">
        <v>79</v>
      </c>
      <c r="Q891" s="5" t="s">
        <v>80</v>
      </c>
      <c r="R891" s="5" t="s">
        <v>81</v>
      </c>
      <c r="S891" s="5" t="s">
        <v>46</v>
      </c>
      <c r="T891" s="5" t="s">
        <v>46</v>
      </c>
      <c r="U891" s="5" t="s">
        <v>82</v>
      </c>
      <c r="V891" s="1" t="n">
        <v>1</v>
      </c>
      <c r="W891" s="3" t="s">
        <v>1251</v>
      </c>
      <c r="X891" s="5" t="s">
        <v>83</v>
      </c>
      <c r="Y891" s="12" t="n">
        <v>5500</v>
      </c>
      <c r="Z891" s="5" t="s">
        <v>1252</v>
      </c>
      <c r="AA891" s="5" t="s">
        <v>1253</v>
      </c>
      <c r="AB891" s="13" t="str">
        <f aca="true" t="array" ref="AB891:AB891">LEFT(AA891,LOOKUP(2^15,FIND(".",AA891,ROW(INDIRECT("1:"&amp;LEN(AA891)))))-1)</f>
        <v>NB_2023_041 - 20230920 - 1</v>
      </c>
      <c r="AC891" s="5" t="s">
        <v>1254</v>
      </c>
      <c r="AD891" s="13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0" t="s">
        <v>1258</v>
      </c>
      <c r="B892" s="31"/>
      <c r="C892" s="3" t="s">
        <v>1259</v>
      </c>
      <c r="D892" s="5" t="s">
        <v>19</v>
      </c>
      <c r="E892" s="5" t="s">
        <v>1247</v>
      </c>
      <c r="F892" s="6" t="s">
        <v>110</v>
      </c>
      <c r="G892" s="5" t="s">
        <v>1247</v>
      </c>
      <c r="H892" s="14" t="s">
        <v>84</v>
      </c>
      <c r="I892" s="5" t="str">
        <f aca="false">CONCATENATE(E892, "_",H892)</f>
        <v>NLA_2023_017_QC_P_2</v>
      </c>
      <c r="J892" s="3" t="s">
        <v>52</v>
      </c>
      <c r="K892" s="16" t="s">
        <v>84</v>
      </c>
      <c r="L892" s="6" t="s">
        <v>69</v>
      </c>
      <c r="M892" s="1" t="s">
        <v>46</v>
      </c>
      <c r="N892" s="5" t="s">
        <v>78</v>
      </c>
      <c r="O892" s="5" t="s">
        <v>46</v>
      </c>
      <c r="P892" s="5" t="s">
        <v>79</v>
      </c>
      <c r="Q892" s="5" t="s">
        <v>80</v>
      </c>
      <c r="R892" s="5" t="s">
        <v>81</v>
      </c>
      <c r="S892" s="5" t="s">
        <v>46</v>
      </c>
      <c r="T892" s="5" t="s">
        <v>46</v>
      </c>
      <c r="U892" s="5" t="s">
        <v>82</v>
      </c>
      <c r="V892" s="1" t="n">
        <v>2</v>
      </c>
      <c r="W892" s="3" t="s">
        <v>1251</v>
      </c>
      <c r="X892" s="5" t="s">
        <v>83</v>
      </c>
      <c r="Y892" s="12" t="n">
        <v>5500</v>
      </c>
      <c r="Z892" s="5" t="s">
        <v>1252</v>
      </c>
      <c r="AA892" s="5" t="s">
        <v>1253</v>
      </c>
      <c r="AB892" s="13" t="str">
        <f aca="true" t="array" ref="AB892:AB892">LEFT(AA892,LOOKUP(2^15,FIND(".",AA892,ROW(INDIRECT("1:"&amp;LEN(AA892)))))-1)</f>
        <v>NB_2023_041 - 20230920 - 1</v>
      </c>
      <c r="AC892" s="5" t="s">
        <v>1254</v>
      </c>
      <c r="AD892" s="13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0" t="s">
        <v>1266</v>
      </c>
      <c r="B893" s="31"/>
      <c r="C893" s="3" t="s">
        <v>1267</v>
      </c>
      <c r="D893" s="5" t="s">
        <v>19</v>
      </c>
      <c r="E893" s="5" t="s">
        <v>1247</v>
      </c>
      <c r="F893" s="6" t="s">
        <v>110</v>
      </c>
      <c r="G893" s="5" t="s">
        <v>1260</v>
      </c>
      <c r="H893" s="14" t="s">
        <v>97</v>
      </c>
      <c r="I893" s="5" t="str">
        <f aca="false">CONCATENATE(E893, "_",H893)</f>
        <v>NLA_2023_017_003</v>
      </c>
      <c r="J893" s="12" t="s">
        <v>38</v>
      </c>
      <c r="K893" s="12" t="s">
        <v>1268</v>
      </c>
      <c r="L893" s="8" t="s">
        <v>69</v>
      </c>
      <c r="M893" s="6" t="s">
        <v>1262</v>
      </c>
      <c r="N893" s="5" t="s">
        <v>246</v>
      </c>
      <c r="O893" s="32" t="s">
        <v>1220</v>
      </c>
      <c r="P893" s="12" t="s">
        <v>43</v>
      </c>
      <c r="Q893" s="5" t="s">
        <v>1269</v>
      </c>
      <c r="R893" s="5" t="s">
        <v>44</v>
      </c>
      <c r="S893" s="12"/>
      <c r="T893" s="5" t="s">
        <v>1263</v>
      </c>
      <c r="U893" s="1" t="n">
        <v>1500</v>
      </c>
      <c r="V893" s="12" t="n">
        <v>1</v>
      </c>
      <c r="W893" s="3" t="s">
        <v>1251</v>
      </c>
      <c r="X893" s="8" t="s">
        <v>1215</v>
      </c>
      <c r="Y893" s="12" t="n">
        <v>5500</v>
      </c>
      <c r="Z893" s="5" t="s">
        <v>1252</v>
      </c>
      <c r="AA893" s="5" t="s">
        <v>1253</v>
      </c>
      <c r="AB893" s="13" t="str">
        <f aca="true" t="array" ref="AB893:AB893">LEFT(AA893,LOOKUP(2^15,FIND(".",AA893,ROW(INDIRECT("1:"&amp;LEN(AA893)))))-1)</f>
        <v>NB_2023_041 - 20230920 - 1</v>
      </c>
      <c r="AC893" s="5" t="s">
        <v>1254</v>
      </c>
      <c r="AD893" s="13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0" t="s">
        <v>1266</v>
      </c>
      <c r="B894" s="31"/>
      <c r="C894" s="3" t="s">
        <v>1267</v>
      </c>
      <c r="D894" s="5" t="s">
        <v>19</v>
      </c>
      <c r="E894" s="5" t="s">
        <v>1247</v>
      </c>
      <c r="F894" s="6" t="s">
        <v>110</v>
      </c>
      <c r="G894" s="5" t="s">
        <v>1260</v>
      </c>
      <c r="H894" s="14" t="s">
        <v>99</v>
      </c>
      <c r="I894" s="5" t="str">
        <f aca="false">CONCATENATE(E894, "_",H894)</f>
        <v>NLA_2023_017_004</v>
      </c>
      <c r="J894" s="12" t="s">
        <v>52</v>
      </c>
      <c r="K894" s="12" t="s">
        <v>1270</v>
      </c>
      <c r="L894" s="8" t="s">
        <v>69</v>
      </c>
      <c r="M894" s="6" t="s">
        <v>1262</v>
      </c>
      <c r="N894" s="5" t="s">
        <v>246</v>
      </c>
      <c r="O894" s="32" t="s">
        <v>1220</v>
      </c>
      <c r="P894" s="12" t="s">
        <v>43</v>
      </c>
      <c r="Q894" s="5" t="s">
        <v>1269</v>
      </c>
      <c r="R894" s="5" t="s">
        <v>44</v>
      </c>
      <c r="S894" s="12"/>
      <c r="T894" s="5" t="s">
        <v>1263</v>
      </c>
      <c r="U894" s="1" t="n">
        <v>1500</v>
      </c>
      <c r="V894" s="12" t="n">
        <v>1</v>
      </c>
      <c r="W894" s="3" t="s">
        <v>1251</v>
      </c>
      <c r="X894" s="8" t="s">
        <v>1215</v>
      </c>
      <c r="Y894" s="12" t="n">
        <v>5500</v>
      </c>
      <c r="Z894" s="5" t="s">
        <v>1252</v>
      </c>
      <c r="AA894" s="5" t="s">
        <v>1253</v>
      </c>
      <c r="AB894" s="13" t="str">
        <f aca="true" t="array" ref="AB894:AB894">LEFT(AA894,LOOKUP(2^15,FIND(".",AA894,ROW(INDIRECT("1:"&amp;LEN(AA894)))))-1)</f>
        <v>NB_2023_041 - 20230920 - 1</v>
      </c>
      <c r="AC894" s="5" t="s">
        <v>1254</v>
      </c>
      <c r="AD894" s="13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0" t="s">
        <v>1266</v>
      </c>
      <c r="B895" s="31"/>
      <c r="C895" s="3" t="s">
        <v>1267</v>
      </c>
      <c r="D895" s="5" t="s">
        <v>19</v>
      </c>
      <c r="E895" s="5" t="s">
        <v>1247</v>
      </c>
      <c r="F895" s="6" t="s">
        <v>110</v>
      </c>
      <c r="G895" s="5" t="s">
        <v>1271</v>
      </c>
      <c r="H895" s="14" t="s">
        <v>91</v>
      </c>
      <c r="I895" s="5" t="str">
        <f aca="false">CONCATENATE(E895, "_",H895)</f>
        <v>NLA_2023_017_005</v>
      </c>
      <c r="J895" s="12" t="s">
        <v>38</v>
      </c>
      <c r="K895" s="12" t="s">
        <v>1272</v>
      </c>
      <c r="L895" s="8" t="s">
        <v>69</v>
      </c>
      <c r="M895" s="6" t="s">
        <v>1273</v>
      </c>
      <c r="N895" s="5" t="s">
        <v>246</v>
      </c>
      <c r="O895" s="32" t="s">
        <v>1220</v>
      </c>
      <c r="P895" s="12" t="s">
        <v>43</v>
      </c>
      <c r="Q895" s="5" t="s">
        <v>1269</v>
      </c>
      <c r="R895" s="5" t="s">
        <v>44</v>
      </c>
      <c r="S895" s="12"/>
      <c r="T895" s="5" t="s">
        <v>1263</v>
      </c>
      <c r="U895" s="1" t="n">
        <v>1500</v>
      </c>
      <c r="V895" s="12" t="n">
        <v>2</v>
      </c>
      <c r="W895" s="3" t="s">
        <v>1251</v>
      </c>
      <c r="X895" s="8" t="s">
        <v>1215</v>
      </c>
      <c r="Y895" s="12" t="n">
        <v>5500</v>
      </c>
      <c r="Z895" s="5" t="s">
        <v>1252</v>
      </c>
      <c r="AA895" s="5" t="s">
        <v>1253</v>
      </c>
      <c r="AB895" s="13" t="str">
        <f aca="true" t="array" ref="AB895:AB895">LEFT(AA895,LOOKUP(2^15,FIND(".",AA895,ROW(INDIRECT("1:"&amp;LEN(AA895)))))-1)</f>
        <v>NB_2023_041 - 20230920 - 1</v>
      </c>
      <c r="AC895" s="5" t="s">
        <v>1254</v>
      </c>
      <c r="AD895" s="13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0" t="s">
        <v>1266</v>
      </c>
      <c r="B896" s="31"/>
      <c r="C896" s="3" t="s">
        <v>1267</v>
      </c>
      <c r="D896" s="5" t="s">
        <v>19</v>
      </c>
      <c r="E896" s="5" t="s">
        <v>1247</v>
      </c>
      <c r="F896" s="6" t="s">
        <v>110</v>
      </c>
      <c r="G896" s="5" t="s">
        <v>1271</v>
      </c>
      <c r="H896" s="14" t="s">
        <v>101</v>
      </c>
      <c r="I896" s="5" t="str">
        <f aca="false">CONCATENATE(E896, "_",H896)</f>
        <v>NLA_2023_017_006</v>
      </c>
      <c r="J896" s="12" t="s">
        <v>38</v>
      </c>
      <c r="K896" s="12" t="s">
        <v>1272</v>
      </c>
      <c r="L896" s="8" t="s">
        <v>69</v>
      </c>
      <c r="M896" s="6" t="s">
        <v>1273</v>
      </c>
      <c r="N896" s="5" t="s">
        <v>246</v>
      </c>
      <c r="O896" s="32" t="s">
        <v>1220</v>
      </c>
      <c r="P896" s="12" t="s">
        <v>43</v>
      </c>
      <c r="Q896" s="5" t="s">
        <v>1269</v>
      </c>
      <c r="R896" s="5" t="s">
        <v>44</v>
      </c>
      <c r="S896" s="12"/>
      <c r="T896" s="5" t="s">
        <v>1265</v>
      </c>
      <c r="U896" s="1" t="n">
        <v>1500</v>
      </c>
      <c r="V896" s="12" t="n">
        <v>3</v>
      </c>
      <c r="W896" s="3" t="s">
        <v>1251</v>
      </c>
      <c r="X896" s="8" t="s">
        <v>1215</v>
      </c>
      <c r="Y896" s="12" t="n">
        <v>5500</v>
      </c>
      <c r="Z896" s="5" t="s">
        <v>1252</v>
      </c>
      <c r="AA896" s="5" t="s">
        <v>1253</v>
      </c>
      <c r="AB896" s="13" t="str">
        <f aca="true" t="array" ref="AB896:AB896">LEFT(AA896,LOOKUP(2^15,FIND(".",AA896,ROW(INDIRECT("1:"&amp;LEN(AA896)))))-1)</f>
        <v>NB_2023_041 - 20230920 - 1</v>
      </c>
      <c r="AC896" s="5" t="s">
        <v>1254</v>
      </c>
      <c r="AD896" s="13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0" t="s">
        <v>1266</v>
      </c>
      <c r="B897" s="31"/>
      <c r="C897" s="3" t="s">
        <v>1267</v>
      </c>
      <c r="D897" s="5" t="s">
        <v>19</v>
      </c>
      <c r="E897" s="5" t="s">
        <v>1247</v>
      </c>
      <c r="F897" s="6" t="s">
        <v>110</v>
      </c>
      <c r="G897" s="5" t="s">
        <v>1271</v>
      </c>
      <c r="H897" s="14" t="s">
        <v>139</v>
      </c>
      <c r="I897" s="5" t="str">
        <f aca="false">CONCATENATE(E897, "_",H897)</f>
        <v>NLA_2023_017_007</v>
      </c>
      <c r="J897" s="12" t="s">
        <v>52</v>
      </c>
      <c r="K897" s="12" t="s">
        <v>1274</v>
      </c>
      <c r="L897" s="8" t="s">
        <v>69</v>
      </c>
      <c r="M897" s="6" t="s">
        <v>1273</v>
      </c>
      <c r="N897" s="5" t="s">
        <v>246</v>
      </c>
      <c r="O897" s="32" t="s">
        <v>1220</v>
      </c>
      <c r="P897" s="12" t="s">
        <v>43</v>
      </c>
      <c r="Q897" s="5" t="s">
        <v>1269</v>
      </c>
      <c r="R897" s="5" t="s">
        <v>44</v>
      </c>
      <c r="S897" s="12"/>
      <c r="T897" s="5" t="s">
        <v>1265</v>
      </c>
      <c r="U897" s="1" t="n">
        <v>1500</v>
      </c>
      <c r="V897" s="12" t="n">
        <v>2</v>
      </c>
      <c r="W897" s="3" t="s">
        <v>1251</v>
      </c>
      <c r="X897" s="8" t="s">
        <v>1215</v>
      </c>
      <c r="Y897" s="12" t="n">
        <v>5500</v>
      </c>
      <c r="Z897" s="5" t="s">
        <v>1252</v>
      </c>
      <c r="AA897" s="5" t="s">
        <v>1253</v>
      </c>
      <c r="AB897" s="13" t="str">
        <f aca="true" t="array" ref="AB897:AB897">LEFT(AA897,LOOKUP(2^15,FIND(".",AA897,ROW(INDIRECT("1:"&amp;LEN(AA897)))))-1)</f>
        <v>NB_2023_041 - 20230920 - 1</v>
      </c>
      <c r="AC897" s="5" t="s">
        <v>1254</v>
      </c>
      <c r="AD897" s="13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0" t="s">
        <v>1266</v>
      </c>
      <c r="B898" s="31"/>
      <c r="C898" s="3" t="s">
        <v>1267</v>
      </c>
      <c r="D898" s="5" t="s">
        <v>19</v>
      </c>
      <c r="E898" s="5" t="s">
        <v>1247</v>
      </c>
      <c r="F898" s="6" t="s">
        <v>110</v>
      </c>
      <c r="G898" s="5" t="s">
        <v>1271</v>
      </c>
      <c r="H898" s="14" t="s">
        <v>142</v>
      </c>
      <c r="I898" s="5" t="str">
        <f aca="false">CONCATENATE(E898, "_",H898)</f>
        <v>NLA_2023_017_008</v>
      </c>
      <c r="J898" s="12" t="s">
        <v>52</v>
      </c>
      <c r="K898" s="12" t="s">
        <v>1274</v>
      </c>
      <c r="L898" s="8" t="s">
        <v>69</v>
      </c>
      <c r="M898" s="6" t="s">
        <v>1273</v>
      </c>
      <c r="N898" s="5" t="s">
        <v>246</v>
      </c>
      <c r="O898" s="32" t="s">
        <v>1220</v>
      </c>
      <c r="P898" s="12" t="s">
        <v>43</v>
      </c>
      <c r="Q898" s="5" t="s">
        <v>1269</v>
      </c>
      <c r="R898" s="5" t="s">
        <v>44</v>
      </c>
      <c r="S898" s="12"/>
      <c r="T898" s="5" t="s">
        <v>1265</v>
      </c>
      <c r="U898" s="1" t="n">
        <v>1500</v>
      </c>
      <c r="V898" s="12" t="n">
        <v>3</v>
      </c>
      <c r="W898" s="3" t="s">
        <v>1251</v>
      </c>
      <c r="X898" s="8" t="s">
        <v>1215</v>
      </c>
      <c r="Y898" s="12" t="n">
        <v>5500</v>
      </c>
      <c r="Z898" s="5" t="s">
        <v>1252</v>
      </c>
      <c r="AA898" s="5" t="s">
        <v>1253</v>
      </c>
      <c r="AB898" s="13" t="str">
        <f aca="true" t="array" ref="AB898:AB898">LEFT(AA898,LOOKUP(2^15,FIND(".",AA898,ROW(INDIRECT("1:"&amp;LEN(AA898)))))-1)</f>
        <v>NB_2023_041 - 20230920 - 1</v>
      </c>
      <c r="AC898" s="5" t="s">
        <v>1254</v>
      </c>
      <c r="AD898" s="13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0" t="s">
        <v>1266</v>
      </c>
      <c r="B899" s="31"/>
      <c r="C899" s="3" t="s">
        <v>1267</v>
      </c>
      <c r="D899" s="5" t="s">
        <v>19</v>
      </c>
      <c r="E899" s="5" t="s">
        <v>1247</v>
      </c>
      <c r="F899" s="6" t="s">
        <v>110</v>
      </c>
      <c r="G899" s="5" t="s">
        <v>1247</v>
      </c>
      <c r="H899" s="14" t="s">
        <v>64</v>
      </c>
      <c r="I899" s="5" t="str">
        <f aca="false">CONCATENATE(E899, "_",H899)</f>
        <v>NLA_2023_017_Blank_1</v>
      </c>
      <c r="J899" s="5" t="s">
        <v>52</v>
      </c>
      <c r="K899" s="5" t="s">
        <v>157</v>
      </c>
      <c r="L899" s="6" t="s">
        <v>46</v>
      </c>
      <c r="M899" s="15" t="s">
        <v>46</v>
      </c>
      <c r="N899" s="5" t="s">
        <v>65</v>
      </c>
      <c r="O899" s="5" t="s">
        <v>46</v>
      </c>
      <c r="P899" s="5" t="s">
        <v>46</v>
      </c>
      <c r="Q899" s="5" t="s">
        <v>46</v>
      </c>
      <c r="R899" s="5" t="s">
        <v>46</v>
      </c>
      <c r="S899" s="5" t="s">
        <v>46</v>
      </c>
      <c r="T899" s="5" t="s">
        <v>46</v>
      </c>
      <c r="U899" s="5" t="s">
        <v>46</v>
      </c>
      <c r="V899" s="1" t="n">
        <v>1</v>
      </c>
      <c r="W899" s="3" t="s">
        <v>1251</v>
      </c>
      <c r="X899" s="5" t="s">
        <v>46</v>
      </c>
      <c r="Y899" s="12" t="n">
        <v>5500</v>
      </c>
      <c r="Z899" s="5" t="s">
        <v>1252</v>
      </c>
      <c r="AA899" s="5" t="s">
        <v>1253</v>
      </c>
      <c r="AB899" s="13" t="str">
        <f aca="true" t="array" ref="AB899:AB899">LEFT(AA899,LOOKUP(2^15,FIND(".",AA899,ROW(INDIRECT("1:"&amp;LEN(AA899)))))-1)</f>
        <v>NB_2023_041 - 20230920 - 1</v>
      </c>
      <c r="AC899" s="5" t="s">
        <v>1254</v>
      </c>
      <c r="AD899" s="13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0" t="s">
        <v>1266</v>
      </c>
      <c r="B900" s="31"/>
      <c r="C900" s="3" t="s">
        <v>1267</v>
      </c>
      <c r="D900" s="5" t="s">
        <v>19</v>
      </c>
      <c r="E900" s="5" t="s">
        <v>1247</v>
      </c>
      <c r="F900" s="6" t="s">
        <v>110</v>
      </c>
      <c r="G900" s="5" t="s">
        <v>1247</v>
      </c>
      <c r="H900" s="14" t="s">
        <v>66</v>
      </c>
      <c r="I900" s="5" t="str">
        <f aca="false">CONCATENATE(E900, "_",H900)</f>
        <v>NLA_2023_017_Blank_2</v>
      </c>
      <c r="J900" s="5" t="s">
        <v>52</v>
      </c>
      <c r="K900" s="5" t="s">
        <v>165</v>
      </c>
      <c r="L900" s="6" t="s">
        <v>46</v>
      </c>
      <c r="M900" s="15" t="s">
        <v>46</v>
      </c>
      <c r="N900" s="5" t="s">
        <v>65</v>
      </c>
      <c r="O900" s="5" t="s">
        <v>46</v>
      </c>
      <c r="P900" s="5" t="s">
        <v>46</v>
      </c>
      <c r="Q900" s="5" t="s">
        <v>46</v>
      </c>
      <c r="R900" s="5" t="s">
        <v>46</v>
      </c>
      <c r="S900" s="5" t="s">
        <v>46</v>
      </c>
      <c r="T900" s="5" t="s">
        <v>46</v>
      </c>
      <c r="U900" s="5" t="s">
        <v>46</v>
      </c>
      <c r="V900" s="1" t="n">
        <v>2</v>
      </c>
      <c r="W900" s="3" t="s">
        <v>1251</v>
      </c>
      <c r="X900" s="5" t="s">
        <v>46</v>
      </c>
      <c r="Y900" s="12" t="n">
        <v>5500</v>
      </c>
      <c r="Z900" s="5" t="s">
        <v>1252</v>
      </c>
      <c r="AA900" s="5" t="s">
        <v>1253</v>
      </c>
      <c r="AB900" s="13" t="str">
        <f aca="true" t="array" ref="AB900:AB900">LEFT(AA900,LOOKUP(2^15,FIND(".",AA900,ROW(INDIRECT("1:"&amp;LEN(AA900)))))-1)</f>
        <v>NB_2023_041 - 20230920 - 1</v>
      </c>
      <c r="AC900" s="5" t="s">
        <v>1254</v>
      </c>
      <c r="AD900" s="13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0" t="s">
        <v>1266</v>
      </c>
      <c r="B901" s="31"/>
      <c r="C901" s="3" t="s">
        <v>1267</v>
      </c>
      <c r="D901" s="5" t="s">
        <v>19</v>
      </c>
      <c r="E901" s="5" t="s">
        <v>1247</v>
      </c>
      <c r="F901" s="6" t="s">
        <v>110</v>
      </c>
      <c r="G901" s="5" t="s">
        <v>1247</v>
      </c>
      <c r="H901" s="14" t="s">
        <v>67</v>
      </c>
      <c r="I901" s="5" t="str">
        <f aca="false">CONCATENATE(E901, "_",H901)</f>
        <v>NLA_2023_017_Blank_3</v>
      </c>
      <c r="J901" s="5" t="s">
        <v>52</v>
      </c>
      <c r="K901" s="5" t="s">
        <v>171</v>
      </c>
      <c r="L901" s="6" t="s">
        <v>46</v>
      </c>
      <c r="M901" s="15" t="s">
        <v>46</v>
      </c>
      <c r="N901" s="5" t="s">
        <v>65</v>
      </c>
      <c r="O901" s="5" t="s">
        <v>46</v>
      </c>
      <c r="P901" s="5" t="s">
        <v>46</v>
      </c>
      <c r="Q901" s="5" t="s">
        <v>46</v>
      </c>
      <c r="R901" s="5" t="s">
        <v>46</v>
      </c>
      <c r="S901" s="5" t="s">
        <v>46</v>
      </c>
      <c r="T901" s="5" t="s">
        <v>46</v>
      </c>
      <c r="U901" s="5" t="s">
        <v>46</v>
      </c>
      <c r="V901" s="1" t="n">
        <v>3</v>
      </c>
      <c r="W901" s="3" t="s">
        <v>1251</v>
      </c>
      <c r="X901" s="5" t="s">
        <v>46</v>
      </c>
      <c r="Y901" s="12" t="n">
        <v>5500</v>
      </c>
      <c r="Z901" s="5" t="s">
        <v>1252</v>
      </c>
      <c r="AA901" s="5" t="s">
        <v>1253</v>
      </c>
      <c r="AB901" s="13" t="str">
        <f aca="true" t="array" ref="AB901:AB901">LEFT(AA901,LOOKUP(2^15,FIND(".",AA901,ROW(INDIRECT("1:"&amp;LEN(AA901)))))-1)</f>
        <v>NB_2023_041 - 20230920 - 1</v>
      </c>
      <c r="AC901" s="5" t="s">
        <v>1254</v>
      </c>
      <c r="AD901" s="13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0" t="s">
        <v>1266</v>
      </c>
      <c r="B902" s="31"/>
      <c r="C902" s="3" t="s">
        <v>1267</v>
      </c>
      <c r="D902" s="5" t="s">
        <v>19</v>
      </c>
      <c r="E902" s="5" t="s">
        <v>1247</v>
      </c>
      <c r="F902" s="6" t="s">
        <v>110</v>
      </c>
      <c r="G902" s="5" t="s">
        <v>1247</v>
      </c>
      <c r="H902" s="14" t="s">
        <v>221</v>
      </c>
      <c r="I902" s="5" t="str">
        <f aca="false">CONCATENATE(E902, "_",H902)</f>
        <v>NLA_2023_017_Blank_4</v>
      </c>
      <c r="J902" s="5" t="s">
        <v>52</v>
      </c>
      <c r="K902" s="5" t="s">
        <v>1256</v>
      </c>
      <c r="L902" s="6" t="s">
        <v>46</v>
      </c>
      <c r="M902" s="15" t="s">
        <v>46</v>
      </c>
      <c r="N902" s="5" t="s">
        <v>65</v>
      </c>
      <c r="O902" s="5" t="s">
        <v>46</v>
      </c>
      <c r="P902" s="5" t="s">
        <v>46</v>
      </c>
      <c r="Q902" s="5" t="s">
        <v>46</v>
      </c>
      <c r="R902" s="5" t="s">
        <v>46</v>
      </c>
      <c r="S902" s="5" t="s">
        <v>46</v>
      </c>
      <c r="T902" s="5" t="s">
        <v>46</v>
      </c>
      <c r="U902" s="5" t="s">
        <v>46</v>
      </c>
      <c r="V902" s="1" t="n">
        <v>4</v>
      </c>
      <c r="W902" s="3" t="s">
        <v>1251</v>
      </c>
      <c r="X902" s="5" t="s">
        <v>46</v>
      </c>
      <c r="Y902" s="12" t="n">
        <v>5500</v>
      </c>
      <c r="Z902" s="5" t="s">
        <v>1252</v>
      </c>
      <c r="AA902" s="5" t="s">
        <v>1253</v>
      </c>
      <c r="AB902" s="13" t="str">
        <f aca="true" t="array" ref="AB902:AB902">LEFT(AA902,LOOKUP(2^15,FIND(".",AA902,ROW(INDIRECT("1:"&amp;LEN(AA902)))))-1)</f>
        <v>NB_2023_041 - 20230920 - 1</v>
      </c>
      <c r="AC902" s="5" t="s">
        <v>1254</v>
      </c>
      <c r="AD902" s="13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0" t="s">
        <v>1266</v>
      </c>
      <c r="B903" s="31"/>
      <c r="C903" s="3" t="s">
        <v>1267</v>
      </c>
      <c r="D903" s="5" t="s">
        <v>19</v>
      </c>
      <c r="E903" s="5" t="s">
        <v>1247</v>
      </c>
      <c r="F903" s="6" t="s">
        <v>110</v>
      </c>
      <c r="G903" s="5" t="s">
        <v>1247</v>
      </c>
      <c r="H903" s="14" t="s">
        <v>68</v>
      </c>
      <c r="I903" s="5" t="str">
        <f aca="false">CONCATENATE(E903, "_",H903)</f>
        <v>NLA_2023_017_QC_C_1</v>
      </c>
      <c r="J903" s="5" t="s">
        <v>52</v>
      </c>
      <c r="K903" s="5" t="s">
        <v>152</v>
      </c>
      <c r="L903" s="8" t="s">
        <v>69</v>
      </c>
      <c r="M903" s="1" t="s">
        <v>46</v>
      </c>
      <c r="N903" s="5" t="s">
        <v>70</v>
      </c>
      <c r="O903" s="5" t="s">
        <v>46</v>
      </c>
      <c r="P903" s="5" t="s">
        <v>71</v>
      </c>
      <c r="Q903" s="5" t="s">
        <v>71</v>
      </c>
      <c r="R903" s="5" t="s">
        <v>72</v>
      </c>
      <c r="S903" s="5" t="s">
        <v>73</v>
      </c>
      <c r="T903" s="5" t="s">
        <v>46</v>
      </c>
      <c r="U903" s="5" t="n">
        <v>1000</v>
      </c>
      <c r="V903" s="1" t="n">
        <v>1</v>
      </c>
      <c r="W903" s="3" t="s">
        <v>1251</v>
      </c>
      <c r="X903" s="5" t="s">
        <v>74</v>
      </c>
      <c r="Y903" s="12" t="n">
        <v>5500</v>
      </c>
      <c r="Z903" s="5" t="s">
        <v>1252</v>
      </c>
      <c r="AA903" s="5" t="s">
        <v>1253</v>
      </c>
      <c r="AB903" s="13" t="str">
        <f aca="true" t="array" ref="AB903:AB903">LEFT(AA903,LOOKUP(2^15,FIND(".",AA903,ROW(INDIRECT("1:"&amp;LEN(AA903)))))-1)</f>
        <v>NB_2023_041 - 20230920 - 1</v>
      </c>
      <c r="AC903" s="5" t="s">
        <v>1254</v>
      </c>
      <c r="AD903" s="13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0" t="s">
        <v>1266</v>
      </c>
      <c r="B904" s="31"/>
      <c r="C904" s="3" t="s">
        <v>1267</v>
      </c>
      <c r="D904" s="5" t="s">
        <v>19</v>
      </c>
      <c r="E904" s="5" t="s">
        <v>1247</v>
      </c>
      <c r="F904" s="6" t="s">
        <v>110</v>
      </c>
      <c r="G904" s="5" t="s">
        <v>1247</v>
      </c>
      <c r="H904" s="14" t="s">
        <v>75</v>
      </c>
      <c r="I904" s="5" t="str">
        <f aca="false">CONCATENATE(E904, "_",H904)</f>
        <v>NLA_2023_017_QC_C_2</v>
      </c>
      <c r="J904" s="5" t="s">
        <v>52</v>
      </c>
      <c r="K904" s="5" t="s">
        <v>164</v>
      </c>
      <c r="L904" s="8" t="s">
        <v>69</v>
      </c>
      <c r="M904" s="1" t="s">
        <v>46</v>
      </c>
      <c r="N904" s="5" t="s">
        <v>70</v>
      </c>
      <c r="O904" s="5" t="s">
        <v>46</v>
      </c>
      <c r="P904" s="5" t="s">
        <v>71</v>
      </c>
      <c r="Q904" s="5" t="s">
        <v>71</v>
      </c>
      <c r="R904" s="5" t="s">
        <v>72</v>
      </c>
      <c r="S904" s="5" t="s">
        <v>73</v>
      </c>
      <c r="T904" s="5" t="s">
        <v>46</v>
      </c>
      <c r="U904" s="5" t="n">
        <v>1000</v>
      </c>
      <c r="V904" s="1" t="n">
        <v>2</v>
      </c>
      <c r="W904" s="3" t="s">
        <v>1251</v>
      </c>
      <c r="X904" s="5" t="s">
        <v>74</v>
      </c>
      <c r="Y904" s="12" t="n">
        <v>5500</v>
      </c>
      <c r="Z904" s="5" t="s">
        <v>1252</v>
      </c>
      <c r="AA904" s="5" t="s">
        <v>1253</v>
      </c>
      <c r="AB904" s="13" t="str">
        <f aca="true" t="array" ref="AB904:AB904">LEFT(AA904,LOOKUP(2^15,FIND(".",AA904,ROW(INDIRECT("1:"&amp;LEN(AA904)))))-1)</f>
        <v>NB_2023_041 - 20230920 - 1</v>
      </c>
      <c r="AC904" s="5" t="s">
        <v>1254</v>
      </c>
      <c r="AD904" s="13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0" t="s">
        <v>1266</v>
      </c>
      <c r="B905" s="31"/>
      <c r="C905" s="3" t="s">
        <v>1267</v>
      </c>
      <c r="D905" s="5" t="s">
        <v>19</v>
      </c>
      <c r="E905" s="5" t="s">
        <v>1247</v>
      </c>
      <c r="F905" s="6" t="s">
        <v>110</v>
      </c>
      <c r="G905" s="5" t="s">
        <v>1247</v>
      </c>
      <c r="H905" s="14" t="s">
        <v>76</v>
      </c>
      <c r="I905" s="5" t="str">
        <f aca="false">CONCATENATE(E905, "_",H905)</f>
        <v>NLA_2023_017_QC_C_3</v>
      </c>
      <c r="J905" s="5" t="s">
        <v>52</v>
      </c>
      <c r="K905" s="5" t="s">
        <v>170</v>
      </c>
      <c r="L905" s="8" t="s">
        <v>69</v>
      </c>
      <c r="M905" s="1" t="s">
        <v>46</v>
      </c>
      <c r="N905" s="5" t="s">
        <v>70</v>
      </c>
      <c r="O905" s="5" t="s">
        <v>46</v>
      </c>
      <c r="P905" s="5" t="s">
        <v>71</v>
      </c>
      <c r="Q905" s="5" t="s">
        <v>71</v>
      </c>
      <c r="R905" s="5" t="s">
        <v>72</v>
      </c>
      <c r="S905" s="5" t="s">
        <v>73</v>
      </c>
      <c r="T905" s="5" t="s">
        <v>46</v>
      </c>
      <c r="U905" s="5" t="n">
        <v>1000</v>
      </c>
      <c r="V905" s="1" t="n">
        <v>3</v>
      </c>
      <c r="W905" s="3" t="s">
        <v>1251</v>
      </c>
      <c r="X905" s="5" t="s">
        <v>74</v>
      </c>
      <c r="Y905" s="12" t="n">
        <v>5500</v>
      </c>
      <c r="Z905" s="5" t="s">
        <v>1252</v>
      </c>
      <c r="AA905" s="5" t="s">
        <v>1253</v>
      </c>
      <c r="AB905" s="13" t="str">
        <f aca="true" t="array" ref="AB905:AB905">LEFT(AA905,LOOKUP(2^15,FIND(".",AA905,ROW(INDIRECT("1:"&amp;LEN(AA905)))))-1)</f>
        <v>NB_2023_041 - 20230920 - 1</v>
      </c>
      <c r="AC905" s="5" t="s">
        <v>1254</v>
      </c>
      <c r="AD905" s="13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0" t="s">
        <v>1266</v>
      </c>
      <c r="B906" s="31"/>
      <c r="C906" s="3" t="s">
        <v>1267</v>
      </c>
      <c r="D906" s="5" t="s">
        <v>19</v>
      </c>
      <c r="E906" s="5" t="s">
        <v>1247</v>
      </c>
      <c r="F906" s="6" t="s">
        <v>110</v>
      </c>
      <c r="G906" s="5" t="s">
        <v>1247</v>
      </c>
      <c r="H906" s="14" t="s">
        <v>222</v>
      </c>
      <c r="I906" s="5" t="str">
        <f aca="false">CONCATENATE(E906, "_",H906)</f>
        <v>NLA_2023_017_QC_C_4</v>
      </c>
      <c r="J906" s="5" t="s">
        <v>52</v>
      </c>
      <c r="K906" s="5" t="s">
        <v>1257</v>
      </c>
      <c r="L906" s="8" t="s">
        <v>69</v>
      </c>
      <c r="M906" s="1" t="s">
        <v>46</v>
      </c>
      <c r="N906" s="5" t="s">
        <v>70</v>
      </c>
      <c r="O906" s="5" t="s">
        <v>46</v>
      </c>
      <c r="P906" s="5" t="s">
        <v>71</v>
      </c>
      <c r="Q906" s="5" t="s">
        <v>71</v>
      </c>
      <c r="R906" s="5" t="s">
        <v>72</v>
      </c>
      <c r="S906" s="5" t="s">
        <v>73</v>
      </c>
      <c r="T906" s="5" t="s">
        <v>46</v>
      </c>
      <c r="U906" s="5" t="n">
        <v>1000</v>
      </c>
      <c r="V906" s="1" t="n">
        <v>4</v>
      </c>
      <c r="W906" s="3" t="s">
        <v>1251</v>
      </c>
      <c r="X906" s="5" t="s">
        <v>74</v>
      </c>
      <c r="Y906" s="12" t="n">
        <v>5500</v>
      </c>
      <c r="Z906" s="5" t="s">
        <v>1252</v>
      </c>
      <c r="AA906" s="5" t="s">
        <v>1253</v>
      </c>
      <c r="AB906" s="13" t="str">
        <f aca="true" t="array" ref="AB906:AB906">LEFT(AA906,LOOKUP(2^15,FIND(".",AA906,ROW(INDIRECT("1:"&amp;LEN(AA906)))))-1)</f>
        <v>NB_2023_041 - 20230920 - 1</v>
      </c>
      <c r="AC906" s="5" t="s">
        <v>1254</v>
      </c>
      <c r="AD906" s="13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0" t="s">
        <v>1266</v>
      </c>
      <c r="B907" s="31"/>
      <c r="C907" s="3" t="s">
        <v>1267</v>
      </c>
      <c r="D907" s="5" t="s">
        <v>19</v>
      </c>
      <c r="E907" s="5" t="s">
        <v>1247</v>
      </c>
      <c r="F907" s="6" t="s">
        <v>110</v>
      </c>
      <c r="G907" s="5" t="s">
        <v>1247</v>
      </c>
      <c r="H907" s="14" t="s">
        <v>77</v>
      </c>
      <c r="I907" s="5" t="str">
        <f aca="false">CONCATENATE(E907, "_",H907)</f>
        <v>NLA_2023_017_QC_P_1</v>
      </c>
      <c r="J907" s="3" t="s">
        <v>52</v>
      </c>
      <c r="K907" s="16" t="s">
        <v>77</v>
      </c>
      <c r="L907" s="6" t="s">
        <v>69</v>
      </c>
      <c r="M907" s="1" t="s">
        <v>46</v>
      </c>
      <c r="N907" s="5" t="s">
        <v>78</v>
      </c>
      <c r="O907" s="5" t="s">
        <v>46</v>
      </c>
      <c r="P907" s="5" t="s">
        <v>79</v>
      </c>
      <c r="Q907" s="5" t="s">
        <v>80</v>
      </c>
      <c r="R907" s="5" t="s">
        <v>81</v>
      </c>
      <c r="S907" s="5" t="s">
        <v>46</v>
      </c>
      <c r="T907" s="5" t="s">
        <v>46</v>
      </c>
      <c r="U907" s="5" t="s">
        <v>82</v>
      </c>
      <c r="V907" s="1" t="n">
        <v>1</v>
      </c>
      <c r="W907" s="3" t="s">
        <v>1251</v>
      </c>
      <c r="X907" s="5" t="s">
        <v>83</v>
      </c>
      <c r="Y907" s="12" t="n">
        <v>5500</v>
      </c>
      <c r="Z907" s="5" t="s">
        <v>1252</v>
      </c>
      <c r="AA907" s="5" t="s">
        <v>1253</v>
      </c>
      <c r="AB907" s="13" t="str">
        <f aca="true" t="array" ref="AB907:AB907">LEFT(AA907,LOOKUP(2^15,FIND(".",AA907,ROW(INDIRECT("1:"&amp;LEN(AA907)))))-1)</f>
        <v>NB_2023_041 - 20230920 - 1</v>
      </c>
      <c r="AC907" s="5" t="s">
        <v>1254</v>
      </c>
      <c r="AD907" s="13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0" t="s">
        <v>1266</v>
      </c>
      <c r="B908" s="31"/>
      <c r="C908" s="3" t="s">
        <v>1267</v>
      </c>
      <c r="D908" s="5" t="s">
        <v>19</v>
      </c>
      <c r="E908" s="5" t="s">
        <v>1247</v>
      </c>
      <c r="F908" s="6" t="s">
        <v>110</v>
      </c>
      <c r="G908" s="5" t="s">
        <v>1247</v>
      </c>
      <c r="H908" s="14" t="s">
        <v>84</v>
      </c>
      <c r="I908" s="5" t="str">
        <f aca="false">CONCATENATE(E908, "_",H908)</f>
        <v>NLA_2023_017_QC_P_2</v>
      </c>
      <c r="J908" s="3" t="s">
        <v>52</v>
      </c>
      <c r="K908" s="16" t="s">
        <v>84</v>
      </c>
      <c r="L908" s="6" t="s">
        <v>69</v>
      </c>
      <c r="M908" s="1" t="s">
        <v>46</v>
      </c>
      <c r="N908" s="5" t="s">
        <v>78</v>
      </c>
      <c r="O908" s="5" t="s">
        <v>46</v>
      </c>
      <c r="P908" s="5" t="s">
        <v>79</v>
      </c>
      <c r="Q908" s="5" t="s">
        <v>80</v>
      </c>
      <c r="R908" s="5" t="s">
        <v>81</v>
      </c>
      <c r="S908" s="5" t="s">
        <v>46</v>
      </c>
      <c r="T908" s="5" t="s">
        <v>46</v>
      </c>
      <c r="U908" s="5" t="s">
        <v>82</v>
      </c>
      <c r="V908" s="1" t="n">
        <v>2</v>
      </c>
      <c r="W908" s="3" t="s">
        <v>1251</v>
      </c>
      <c r="X908" s="5" t="s">
        <v>83</v>
      </c>
      <c r="Y908" s="12" t="n">
        <v>5500</v>
      </c>
      <c r="Z908" s="5" t="s">
        <v>1252</v>
      </c>
      <c r="AA908" s="5" t="s">
        <v>1253</v>
      </c>
      <c r="AB908" s="13" t="str">
        <f aca="true" t="array" ref="AB908:AB908">LEFT(AA908,LOOKUP(2^15,FIND(".",AA908,ROW(INDIRECT("1:"&amp;LEN(AA908)))))-1)</f>
        <v>NB_2023_041 - 20230920 - 1</v>
      </c>
      <c r="AC908" s="5" t="s">
        <v>1254</v>
      </c>
      <c r="AD908" s="13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0" t="s">
        <v>1275</v>
      </c>
      <c r="B909" s="31"/>
      <c r="C909" s="3" t="s">
        <v>1276</v>
      </c>
      <c r="D909" s="5" t="s">
        <v>19</v>
      </c>
      <c r="E909" s="5" t="s">
        <v>1277</v>
      </c>
      <c r="F909" s="6" t="s">
        <v>1278</v>
      </c>
      <c r="G909" s="5" t="s">
        <v>1279</v>
      </c>
      <c r="H909" s="24" t="s">
        <v>108</v>
      </c>
      <c r="I909" s="5" t="str">
        <f aca="false">CONCATENATE(E909, "_",H909)</f>
        <v>NLA_2022_013_001</v>
      </c>
      <c r="J909" s="5" t="s">
        <v>38</v>
      </c>
      <c r="K909" s="5" t="s">
        <v>1280</v>
      </c>
      <c r="L909" s="8" t="s">
        <v>69</v>
      </c>
      <c r="M909" s="6" t="s">
        <v>1281</v>
      </c>
      <c r="N909" s="5" t="s">
        <v>246</v>
      </c>
      <c r="O909" s="32" t="s">
        <v>1212</v>
      </c>
      <c r="P909" s="5" t="s">
        <v>1282</v>
      </c>
      <c r="Q909" s="5" t="s">
        <v>1282</v>
      </c>
      <c r="R909" s="5" t="s">
        <v>44</v>
      </c>
      <c r="S909" s="5"/>
      <c r="T909" s="5" t="s">
        <v>1240</v>
      </c>
      <c r="U909" s="1" t="n">
        <v>1500</v>
      </c>
      <c r="V909" s="1" t="n">
        <v>1</v>
      </c>
      <c r="W909" s="5"/>
      <c r="X909" s="8" t="s">
        <v>1215</v>
      </c>
      <c r="Y909" s="1" t="n">
        <v>5500</v>
      </c>
      <c r="Z909" s="5" t="s">
        <v>1283</v>
      </c>
      <c r="AA909" s="5" t="s">
        <v>1284</v>
      </c>
      <c r="AB909" s="13" t="str">
        <f aca="true" t="array" ref="AB909:AB909">LEFT(AA909,LOOKUP(2^15,FIND(".",AA909,ROW(INDIRECT("1:"&amp;LEN(AA909)))))-1)</f>
        <v>NB_2022_061 - 22122022 - 1</v>
      </c>
      <c r="AC909" s="5" t="s">
        <v>1285</v>
      </c>
      <c r="AD909" s="13" t="str">
        <f aca="true" t="array" ref="AD909:AD909">LEFT(AC909,LOOKUP(2^15,FIND(".",AC909,ROW(INDIRECT("1:"&amp;LEN(AC909)))))-1)</f>
        <v>NB_2022_061 - 22122022 - 2</v>
      </c>
      <c r="AE909" s="5" t="str">
        <f aca="false">CONCATENATE(AB909, "-",H909, ".mzML")</f>
        <v>NB_2022_061 - 22122022 - 1-001.mzML</v>
      </c>
      <c r="AF909" s="5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0" t="s">
        <v>1275</v>
      </c>
      <c r="B910" s="31"/>
      <c r="C910" s="3" t="s">
        <v>1276</v>
      </c>
      <c r="D910" s="5" t="s">
        <v>19</v>
      </c>
      <c r="E910" s="5" t="s">
        <v>1277</v>
      </c>
      <c r="F910" s="6" t="s">
        <v>1278</v>
      </c>
      <c r="G910" s="5" t="s">
        <v>1279</v>
      </c>
      <c r="H910" s="24" t="s">
        <v>88</v>
      </c>
      <c r="I910" s="5" t="str">
        <f aca="false">CONCATENATE(E910, "_",H910)</f>
        <v>NLA_2022_013_002</v>
      </c>
      <c r="J910" s="5" t="s">
        <v>38</v>
      </c>
      <c r="K910" s="5" t="s">
        <v>1286</v>
      </c>
      <c r="L910" s="8" t="s">
        <v>69</v>
      </c>
      <c r="M910" s="6" t="s">
        <v>1281</v>
      </c>
      <c r="N910" s="5" t="s">
        <v>246</v>
      </c>
      <c r="O910" s="32" t="s">
        <v>1212</v>
      </c>
      <c r="P910" s="5" t="s">
        <v>1282</v>
      </c>
      <c r="Q910" s="5" t="s">
        <v>1282</v>
      </c>
      <c r="R910" s="5" t="s">
        <v>44</v>
      </c>
      <c r="S910" s="5"/>
      <c r="T910" s="5" t="s">
        <v>1240</v>
      </c>
      <c r="U910" s="1" t="n">
        <v>1500</v>
      </c>
      <c r="V910" s="1" t="n">
        <v>2</v>
      </c>
      <c r="W910" s="5"/>
      <c r="X910" s="8" t="s">
        <v>1215</v>
      </c>
      <c r="Y910" s="1" t="n">
        <v>5500</v>
      </c>
      <c r="Z910" s="5" t="s">
        <v>1283</v>
      </c>
      <c r="AA910" s="5" t="s">
        <v>1284</v>
      </c>
      <c r="AB910" s="13" t="str">
        <f aca="true" t="array" ref="AB910:AB910">LEFT(AA910,LOOKUP(2^15,FIND(".",AA910,ROW(INDIRECT("1:"&amp;LEN(AA910)))))-1)</f>
        <v>NB_2022_061 - 22122022 - 1</v>
      </c>
      <c r="AC910" s="5" t="s">
        <v>1285</v>
      </c>
      <c r="AD910" s="13" t="str">
        <f aca="true" t="array" ref="AD910:AD910">LEFT(AC910,LOOKUP(2^15,FIND(".",AC910,ROW(INDIRECT("1:"&amp;LEN(AC910)))))-1)</f>
        <v>NB_2022_061 - 22122022 - 2</v>
      </c>
      <c r="AE910" s="5" t="str">
        <f aca="false">CONCATENATE(AB910, "-",H910, ".mzML")</f>
        <v>NB_2022_061 - 22122022 - 1-002.mzML</v>
      </c>
      <c r="AF910" s="5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0" t="s">
        <v>1275</v>
      </c>
      <c r="B911" s="31"/>
      <c r="C911" s="3" t="s">
        <v>1276</v>
      </c>
      <c r="D911" s="5" t="s">
        <v>19</v>
      </c>
      <c r="E911" s="5" t="s">
        <v>1277</v>
      </c>
      <c r="F911" s="6" t="s">
        <v>1278</v>
      </c>
      <c r="G911" s="5" t="s">
        <v>1279</v>
      </c>
      <c r="H911" s="24" t="s">
        <v>97</v>
      </c>
      <c r="I911" s="5" t="str">
        <f aca="false">CONCATENATE(E911, "_",H911)</f>
        <v>NLA_2022_013_003</v>
      </c>
      <c r="J911" s="5" t="s">
        <v>38</v>
      </c>
      <c r="K911" s="5" t="s">
        <v>1287</v>
      </c>
      <c r="L911" s="8" t="s">
        <v>69</v>
      </c>
      <c r="M911" s="6" t="s">
        <v>1281</v>
      </c>
      <c r="N911" s="5" t="s">
        <v>246</v>
      </c>
      <c r="O911" s="32" t="s">
        <v>1212</v>
      </c>
      <c r="P911" s="5" t="s">
        <v>1282</v>
      </c>
      <c r="Q911" s="5" t="s">
        <v>1282</v>
      </c>
      <c r="R911" s="5" t="s">
        <v>44</v>
      </c>
      <c r="S911" s="5"/>
      <c r="T911" s="5" t="s">
        <v>1240</v>
      </c>
      <c r="U911" s="1" t="n">
        <v>1500</v>
      </c>
      <c r="V911" s="1" t="n">
        <v>3</v>
      </c>
      <c r="W911" s="5"/>
      <c r="X911" s="8" t="s">
        <v>1215</v>
      </c>
      <c r="Y911" s="1" t="n">
        <v>5500</v>
      </c>
      <c r="Z911" s="5" t="s">
        <v>1283</v>
      </c>
      <c r="AA911" s="5" t="s">
        <v>1284</v>
      </c>
      <c r="AB911" s="13" t="str">
        <f aca="true" t="array" ref="AB911:AB911">LEFT(AA911,LOOKUP(2^15,FIND(".",AA911,ROW(INDIRECT("1:"&amp;LEN(AA911)))))-1)</f>
        <v>NB_2022_061 - 22122022 - 1</v>
      </c>
      <c r="AC911" s="5" t="s">
        <v>1285</v>
      </c>
      <c r="AD911" s="13" t="str">
        <f aca="true" t="array" ref="AD911:AD911">LEFT(AC911,LOOKUP(2^15,FIND(".",AC911,ROW(INDIRECT("1:"&amp;LEN(AC911)))))-1)</f>
        <v>NB_2022_061 - 22122022 - 2</v>
      </c>
      <c r="AE911" s="5" t="str">
        <f aca="false">CONCATENATE(AB911, "-",H911, ".mzML")</f>
        <v>NB_2022_061 - 22122022 - 1-003.mzML</v>
      </c>
      <c r="AF911" s="5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0" t="s">
        <v>1275</v>
      </c>
      <c r="B912" s="31"/>
      <c r="C912" s="3" t="s">
        <v>1276</v>
      </c>
      <c r="D912" s="5" t="s">
        <v>19</v>
      </c>
      <c r="E912" s="5" t="s">
        <v>1277</v>
      </c>
      <c r="F912" s="6" t="s">
        <v>1278</v>
      </c>
      <c r="G912" s="5" t="s">
        <v>1279</v>
      </c>
      <c r="H912" s="24" t="s">
        <v>99</v>
      </c>
      <c r="I912" s="5" t="str">
        <f aca="false">CONCATENATE(E912, "_",H912)</f>
        <v>NLA_2022_013_004</v>
      </c>
      <c r="J912" s="35" t="s">
        <v>52</v>
      </c>
      <c r="K912" s="5" t="s">
        <v>1288</v>
      </c>
      <c r="L912" s="8" t="s">
        <v>69</v>
      </c>
      <c r="M912" s="6" t="s">
        <v>1281</v>
      </c>
      <c r="N912" s="5" t="s">
        <v>246</v>
      </c>
      <c r="O912" s="32" t="s">
        <v>1212</v>
      </c>
      <c r="P912" s="5" t="s">
        <v>1282</v>
      </c>
      <c r="Q912" s="5" t="s">
        <v>1282</v>
      </c>
      <c r="R912" s="5" t="s">
        <v>44</v>
      </c>
      <c r="S912" s="5"/>
      <c r="T912" s="5" t="s">
        <v>1243</v>
      </c>
      <c r="U912" s="1" t="n">
        <v>1500</v>
      </c>
      <c r="V912" s="1" t="n">
        <v>1</v>
      </c>
      <c r="W912" s="5"/>
      <c r="X912" s="8" t="s">
        <v>1215</v>
      </c>
      <c r="Y912" s="1" t="n">
        <v>5500</v>
      </c>
      <c r="Z912" s="5" t="s">
        <v>1283</v>
      </c>
      <c r="AA912" s="5" t="s">
        <v>1284</v>
      </c>
      <c r="AB912" s="13" t="str">
        <f aca="true" t="array" ref="AB912:AB912">LEFT(AA912,LOOKUP(2^15,FIND(".",AA912,ROW(INDIRECT("1:"&amp;LEN(AA912)))))-1)</f>
        <v>NB_2022_061 - 22122022 - 1</v>
      </c>
      <c r="AC912" s="5" t="s">
        <v>1285</v>
      </c>
      <c r="AD912" s="13" t="str">
        <f aca="true" t="array" ref="AD912:AD912">LEFT(AC912,LOOKUP(2^15,FIND(".",AC912,ROW(INDIRECT("1:"&amp;LEN(AC912)))))-1)</f>
        <v>NB_2022_061 - 22122022 - 2</v>
      </c>
      <c r="AE912" s="5" t="str">
        <f aca="false">CONCATENATE(AB912, "-",H912, ".mzML")</f>
        <v>NB_2022_061 - 22122022 - 1-004.mzML</v>
      </c>
      <c r="AF912" s="5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0" t="s">
        <v>1275</v>
      </c>
      <c r="B913" s="31"/>
      <c r="C913" s="3" t="s">
        <v>1276</v>
      </c>
      <c r="D913" s="5" t="s">
        <v>19</v>
      </c>
      <c r="E913" s="5" t="s">
        <v>1277</v>
      </c>
      <c r="F913" s="6" t="s">
        <v>1278</v>
      </c>
      <c r="G913" s="5" t="s">
        <v>1279</v>
      </c>
      <c r="H913" s="24" t="s">
        <v>91</v>
      </c>
      <c r="I913" s="5" t="str">
        <f aca="false">CONCATENATE(E913, "_",H913)</f>
        <v>NLA_2022_013_005</v>
      </c>
      <c r="J913" s="35" t="s">
        <v>52</v>
      </c>
      <c r="K913" s="5" t="s">
        <v>1289</v>
      </c>
      <c r="L913" s="8" t="s">
        <v>69</v>
      </c>
      <c r="M913" s="6" t="s">
        <v>1281</v>
      </c>
      <c r="N913" s="5" t="s">
        <v>246</v>
      </c>
      <c r="O913" s="32" t="s">
        <v>1212</v>
      </c>
      <c r="P913" s="5" t="s">
        <v>1282</v>
      </c>
      <c r="Q913" s="5" t="s">
        <v>1282</v>
      </c>
      <c r="R913" s="5" t="s">
        <v>44</v>
      </c>
      <c r="S913" s="5"/>
      <c r="T913" s="5" t="s">
        <v>1243</v>
      </c>
      <c r="U913" s="1" t="n">
        <v>1500</v>
      </c>
      <c r="V913" s="1" t="n">
        <v>2</v>
      </c>
      <c r="W913" s="5"/>
      <c r="X913" s="8" t="s">
        <v>1215</v>
      </c>
      <c r="Y913" s="1" t="n">
        <v>5500</v>
      </c>
      <c r="Z913" s="5" t="s">
        <v>1283</v>
      </c>
      <c r="AA913" s="5" t="s">
        <v>1284</v>
      </c>
      <c r="AB913" s="13" t="str">
        <f aca="true" t="array" ref="AB913:AB913">LEFT(AA913,LOOKUP(2^15,FIND(".",AA913,ROW(INDIRECT("1:"&amp;LEN(AA913)))))-1)</f>
        <v>NB_2022_061 - 22122022 - 1</v>
      </c>
      <c r="AC913" s="5" t="s">
        <v>1285</v>
      </c>
      <c r="AD913" s="13" t="str">
        <f aca="true" t="array" ref="AD913:AD913">LEFT(AC913,LOOKUP(2^15,FIND(".",AC913,ROW(INDIRECT("1:"&amp;LEN(AC913)))))-1)</f>
        <v>NB_2022_061 - 22122022 - 2</v>
      </c>
      <c r="AE913" s="5" t="str">
        <f aca="false">CONCATENATE(AB913, "-",H913, ".mzML")</f>
        <v>NB_2022_061 - 22122022 - 1-005.mzML</v>
      </c>
      <c r="AF913" s="5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0" t="s">
        <v>1275</v>
      </c>
      <c r="B914" s="31"/>
      <c r="C914" s="3" t="s">
        <v>1276</v>
      </c>
      <c r="D914" s="5" t="s">
        <v>19</v>
      </c>
      <c r="E914" s="5" t="s">
        <v>1277</v>
      </c>
      <c r="F914" s="6" t="s">
        <v>1278</v>
      </c>
      <c r="G914" s="5" t="s">
        <v>1279</v>
      </c>
      <c r="H914" s="24" t="s">
        <v>101</v>
      </c>
      <c r="I914" s="5" t="str">
        <f aca="false">CONCATENATE(E914, "_",H914)</f>
        <v>NLA_2022_013_006</v>
      </c>
      <c r="J914" s="35" t="s">
        <v>52</v>
      </c>
      <c r="K914" s="5" t="s">
        <v>1290</v>
      </c>
      <c r="L914" s="8" t="s">
        <v>69</v>
      </c>
      <c r="M914" s="6" t="s">
        <v>1281</v>
      </c>
      <c r="N914" s="5" t="s">
        <v>246</v>
      </c>
      <c r="O914" s="32" t="s">
        <v>1212</v>
      </c>
      <c r="P914" s="5" t="s">
        <v>1282</v>
      </c>
      <c r="Q914" s="5" t="s">
        <v>1282</v>
      </c>
      <c r="R914" s="5" t="s">
        <v>44</v>
      </c>
      <c r="S914" s="5"/>
      <c r="T914" s="5" t="s">
        <v>1243</v>
      </c>
      <c r="U914" s="1" t="n">
        <v>1500</v>
      </c>
      <c r="V914" s="1" t="n">
        <v>3</v>
      </c>
      <c r="W914" s="5"/>
      <c r="X914" s="8" t="s">
        <v>1215</v>
      </c>
      <c r="Y914" s="1" t="n">
        <v>5500</v>
      </c>
      <c r="Z914" s="5" t="s">
        <v>1283</v>
      </c>
      <c r="AA914" s="5" t="s">
        <v>1284</v>
      </c>
      <c r="AB914" s="13" t="str">
        <f aca="true" t="array" ref="AB914:AB914">LEFT(AA914,LOOKUP(2^15,FIND(".",AA914,ROW(INDIRECT("1:"&amp;LEN(AA914)))))-1)</f>
        <v>NB_2022_061 - 22122022 - 1</v>
      </c>
      <c r="AC914" s="5" t="s">
        <v>1285</v>
      </c>
      <c r="AD914" s="13" t="str">
        <f aca="true" t="array" ref="AD914:AD914">LEFT(AC914,LOOKUP(2^15,FIND(".",AC914,ROW(INDIRECT("1:"&amp;LEN(AC914)))))-1)</f>
        <v>NB_2022_061 - 22122022 - 2</v>
      </c>
      <c r="AE914" s="5" t="str">
        <f aca="false">CONCATENATE(AB914, "-",H914, ".mzML")</f>
        <v>NB_2022_061 - 22122022 - 1-006.mzML</v>
      </c>
      <c r="AF914" s="5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0" t="s">
        <v>1275</v>
      </c>
      <c r="B915" s="31"/>
      <c r="C915" s="3" t="s">
        <v>1276</v>
      </c>
      <c r="D915" s="5" t="s">
        <v>19</v>
      </c>
      <c r="E915" s="5" t="s">
        <v>1277</v>
      </c>
      <c r="F915" s="6" t="s">
        <v>1278</v>
      </c>
      <c r="G915" s="5" t="s">
        <v>1277</v>
      </c>
      <c r="H915" s="24" t="s">
        <v>64</v>
      </c>
      <c r="I915" s="5" t="str">
        <f aca="false">CONCATENATE(E915, "_",H915)</f>
        <v>NLA_2022_013_Blank_1</v>
      </c>
      <c r="J915" s="35" t="s">
        <v>52</v>
      </c>
      <c r="K915" s="5" t="n">
        <v>1</v>
      </c>
      <c r="L915" s="8" t="s">
        <v>46</v>
      </c>
      <c r="M915" s="6" t="s">
        <v>46</v>
      </c>
      <c r="N915" s="5" t="s">
        <v>65</v>
      </c>
      <c r="O915" s="5" t="s">
        <v>46</v>
      </c>
      <c r="P915" s="5" t="s">
        <v>46</v>
      </c>
      <c r="Q915" s="5" t="s">
        <v>46</v>
      </c>
      <c r="R915" s="5" t="s">
        <v>46</v>
      </c>
      <c r="S915" s="5" t="s">
        <v>46</v>
      </c>
      <c r="T915" s="5" t="s">
        <v>46</v>
      </c>
      <c r="U915" s="5" t="s">
        <v>46</v>
      </c>
      <c r="V915" s="1" t="n">
        <v>1</v>
      </c>
      <c r="W915" s="5"/>
      <c r="X915" s="5" t="s">
        <v>46</v>
      </c>
      <c r="Y915" s="1" t="n">
        <v>5500</v>
      </c>
      <c r="Z915" s="5" t="s">
        <v>1283</v>
      </c>
      <c r="AA915" s="5" t="s">
        <v>1284</v>
      </c>
      <c r="AB915" s="13" t="str">
        <f aca="true" t="array" ref="AB915:AB915">LEFT(AA915,LOOKUP(2^15,FIND(".",AA915,ROW(INDIRECT("1:"&amp;LEN(AA915)))))-1)</f>
        <v>NB_2022_061 - 22122022 - 1</v>
      </c>
      <c r="AC915" s="5" t="s">
        <v>1285</v>
      </c>
      <c r="AD915" s="13" t="str">
        <f aca="true" t="array" ref="AD915:AD915">LEFT(AC915,LOOKUP(2^15,FIND(".",AC915,ROW(INDIRECT("1:"&amp;LEN(AC915)))))-1)</f>
        <v>NB_2022_061 - 22122022 - 2</v>
      </c>
      <c r="AE915" s="5" t="str">
        <f aca="false">CONCATENATE(AB915, "-",H915, ".mzML")</f>
        <v>NB_2022_061 - 22122022 - 1-Blank_1.mzML</v>
      </c>
      <c r="AF915" s="5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0" t="s">
        <v>1275</v>
      </c>
      <c r="B916" s="31"/>
      <c r="C916" s="3" t="s">
        <v>1276</v>
      </c>
      <c r="D916" s="5" t="s">
        <v>19</v>
      </c>
      <c r="E916" s="5" t="s">
        <v>1277</v>
      </c>
      <c r="F916" s="6" t="s">
        <v>1278</v>
      </c>
      <c r="G916" s="5" t="s">
        <v>1277</v>
      </c>
      <c r="H916" s="24" t="s">
        <v>66</v>
      </c>
      <c r="I916" s="5" t="str">
        <f aca="false">CONCATENATE(E916, "_",H916)</f>
        <v>NLA_2022_013_Blank_2</v>
      </c>
      <c r="J916" s="35" t="s">
        <v>52</v>
      </c>
      <c r="K916" s="5" t="n">
        <v>2</v>
      </c>
      <c r="L916" s="8" t="s">
        <v>46</v>
      </c>
      <c r="M916" s="6" t="s">
        <v>46</v>
      </c>
      <c r="N916" s="5" t="s">
        <v>65</v>
      </c>
      <c r="O916" s="5" t="s">
        <v>46</v>
      </c>
      <c r="P916" s="5" t="s">
        <v>46</v>
      </c>
      <c r="Q916" s="5" t="s">
        <v>46</v>
      </c>
      <c r="R916" s="5" t="s">
        <v>46</v>
      </c>
      <c r="S916" s="5" t="s">
        <v>46</v>
      </c>
      <c r="T916" s="5" t="s">
        <v>46</v>
      </c>
      <c r="U916" s="5" t="s">
        <v>46</v>
      </c>
      <c r="V916" s="1" t="n">
        <v>2</v>
      </c>
      <c r="W916" s="5"/>
      <c r="X916" s="5" t="s">
        <v>46</v>
      </c>
      <c r="Y916" s="1" t="n">
        <v>5500</v>
      </c>
      <c r="Z916" s="5" t="s">
        <v>1283</v>
      </c>
      <c r="AA916" s="5" t="s">
        <v>1284</v>
      </c>
      <c r="AB916" s="13" t="str">
        <f aca="true" t="array" ref="AB916:AB916">LEFT(AA916,LOOKUP(2^15,FIND(".",AA916,ROW(INDIRECT("1:"&amp;LEN(AA916)))))-1)</f>
        <v>NB_2022_061 - 22122022 - 1</v>
      </c>
      <c r="AC916" s="5" t="s">
        <v>1285</v>
      </c>
      <c r="AD916" s="13" t="str">
        <f aca="true" t="array" ref="AD916:AD916">LEFT(AC916,LOOKUP(2^15,FIND(".",AC916,ROW(INDIRECT("1:"&amp;LEN(AC916)))))-1)</f>
        <v>NB_2022_061 - 22122022 - 2</v>
      </c>
      <c r="AE916" s="5" t="str">
        <f aca="false">CONCATENATE(AB916, "-",H916, ".mzML")</f>
        <v>NB_2022_061 - 22122022 - 1-Blank_2.mzML</v>
      </c>
      <c r="AF916" s="5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0" t="s">
        <v>1275</v>
      </c>
      <c r="B917" s="31"/>
      <c r="C917" s="3" t="s">
        <v>1276</v>
      </c>
      <c r="D917" s="5" t="s">
        <v>19</v>
      </c>
      <c r="E917" s="5" t="s">
        <v>1277</v>
      </c>
      <c r="F917" s="6" t="s">
        <v>1278</v>
      </c>
      <c r="G917" s="5" t="s">
        <v>1277</v>
      </c>
      <c r="H917" s="24" t="s">
        <v>67</v>
      </c>
      <c r="I917" s="5" t="str">
        <f aca="false">CONCATENATE(E917, "_",H917)</f>
        <v>NLA_2022_013_Blank_3</v>
      </c>
      <c r="J917" s="35" t="s">
        <v>52</v>
      </c>
      <c r="K917" s="5" t="n">
        <v>3</v>
      </c>
      <c r="L917" s="8" t="s">
        <v>46</v>
      </c>
      <c r="M917" s="6" t="s">
        <v>46</v>
      </c>
      <c r="N917" s="5" t="s">
        <v>65</v>
      </c>
      <c r="O917" s="5" t="s">
        <v>46</v>
      </c>
      <c r="P917" s="5" t="s">
        <v>46</v>
      </c>
      <c r="Q917" s="5" t="s">
        <v>46</v>
      </c>
      <c r="R917" s="5" t="s">
        <v>46</v>
      </c>
      <c r="S917" s="5" t="s">
        <v>46</v>
      </c>
      <c r="T917" s="5" t="s">
        <v>46</v>
      </c>
      <c r="U917" s="5" t="s">
        <v>46</v>
      </c>
      <c r="V917" s="1" t="n">
        <v>3</v>
      </c>
      <c r="W917" s="5"/>
      <c r="X917" s="5" t="s">
        <v>46</v>
      </c>
      <c r="Y917" s="1" t="n">
        <v>5500</v>
      </c>
      <c r="Z917" s="5" t="s">
        <v>1283</v>
      </c>
      <c r="AA917" s="5" t="s">
        <v>1284</v>
      </c>
      <c r="AB917" s="13" t="str">
        <f aca="true" t="array" ref="AB917:AB917">LEFT(AA917,LOOKUP(2^15,FIND(".",AA917,ROW(INDIRECT("1:"&amp;LEN(AA917)))))-1)</f>
        <v>NB_2022_061 - 22122022 - 1</v>
      </c>
      <c r="AC917" s="5" t="s">
        <v>1285</v>
      </c>
      <c r="AD917" s="13" t="str">
        <f aca="true" t="array" ref="AD917:AD917">LEFT(AC917,LOOKUP(2^15,FIND(".",AC917,ROW(INDIRECT("1:"&amp;LEN(AC917)))))-1)</f>
        <v>NB_2022_061 - 22122022 - 2</v>
      </c>
      <c r="AE917" s="5" t="str">
        <f aca="false">CONCATENATE(AB917, "-",H917, ".mzML")</f>
        <v>NB_2022_061 - 22122022 - 1-Blank_3.mzML</v>
      </c>
      <c r="AF917" s="5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0" t="s">
        <v>1275</v>
      </c>
      <c r="B918" s="31"/>
      <c r="C918" s="3" t="s">
        <v>1276</v>
      </c>
      <c r="D918" s="5" t="s">
        <v>19</v>
      </c>
      <c r="E918" s="5" t="s">
        <v>1277</v>
      </c>
      <c r="F918" s="6" t="s">
        <v>1278</v>
      </c>
      <c r="G918" s="5" t="s">
        <v>1277</v>
      </c>
      <c r="H918" s="24" t="s">
        <v>68</v>
      </c>
      <c r="I918" s="5" t="str">
        <f aca="false">CONCATENATE(E918, "_",H918)</f>
        <v>NLA_2022_013_QC_C_1</v>
      </c>
      <c r="J918" s="35" t="s">
        <v>52</v>
      </c>
      <c r="K918" s="5" t="n">
        <v>1</v>
      </c>
      <c r="L918" s="8" t="s">
        <v>69</v>
      </c>
      <c r="M918" s="1" t="s">
        <v>46</v>
      </c>
      <c r="N918" s="5" t="s">
        <v>70</v>
      </c>
      <c r="O918" s="5" t="s">
        <v>46</v>
      </c>
      <c r="P918" s="5" t="s">
        <v>71</v>
      </c>
      <c r="Q918" s="5" t="s">
        <v>71</v>
      </c>
      <c r="R918" s="5" t="s">
        <v>72</v>
      </c>
      <c r="S918" s="5" t="s">
        <v>73</v>
      </c>
      <c r="T918" s="5" t="s">
        <v>46</v>
      </c>
      <c r="U918" s="5" t="n">
        <v>1000</v>
      </c>
      <c r="V918" s="1" t="n">
        <v>1</v>
      </c>
      <c r="W918" s="5"/>
      <c r="X918" s="5" t="s">
        <v>74</v>
      </c>
      <c r="Y918" s="5" t="n">
        <v>5500</v>
      </c>
      <c r="Z918" s="5" t="s">
        <v>1283</v>
      </c>
      <c r="AA918" s="5" t="s">
        <v>1284</v>
      </c>
      <c r="AB918" s="13" t="str">
        <f aca="true" t="array" ref="AB918:AB918">LEFT(AA918,LOOKUP(2^15,FIND(".",AA918,ROW(INDIRECT("1:"&amp;LEN(AA918)))))-1)</f>
        <v>NB_2022_061 - 22122022 - 1</v>
      </c>
      <c r="AC918" s="5" t="s">
        <v>1285</v>
      </c>
      <c r="AD918" s="13" t="str">
        <f aca="true" t="array" ref="AD918:AD918">LEFT(AC918,LOOKUP(2^15,FIND(".",AC918,ROW(INDIRECT("1:"&amp;LEN(AC918)))))-1)</f>
        <v>NB_2022_061 - 22122022 - 2</v>
      </c>
      <c r="AE918" s="5" t="str">
        <f aca="false">CONCATENATE(AB918, "-",H918, ".mzML")</f>
        <v>NB_2022_061 - 22122022 - 1-QC_C_1.mzML</v>
      </c>
      <c r="AF918" s="5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0" t="s">
        <v>1275</v>
      </c>
      <c r="B919" s="31"/>
      <c r="C919" s="3" t="s">
        <v>1276</v>
      </c>
      <c r="D919" s="5" t="s">
        <v>19</v>
      </c>
      <c r="E919" s="5" t="s">
        <v>1277</v>
      </c>
      <c r="F919" s="6" t="s">
        <v>1278</v>
      </c>
      <c r="G919" s="5" t="s">
        <v>1277</v>
      </c>
      <c r="H919" s="24" t="s">
        <v>75</v>
      </c>
      <c r="I919" s="5" t="str">
        <f aca="false">CONCATENATE(E919, "_",H919)</f>
        <v>NLA_2022_013_QC_C_2</v>
      </c>
      <c r="J919" s="35" t="s">
        <v>52</v>
      </c>
      <c r="K919" s="5" t="n">
        <v>2</v>
      </c>
      <c r="L919" s="8" t="s">
        <v>69</v>
      </c>
      <c r="M919" s="1" t="s">
        <v>46</v>
      </c>
      <c r="N919" s="5" t="s">
        <v>70</v>
      </c>
      <c r="O919" s="5" t="s">
        <v>46</v>
      </c>
      <c r="P919" s="5" t="s">
        <v>71</v>
      </c>
      <c r="Q919" s="5" t="s">
        <v>71</v>
      </c>
      <c r="R919" s="5" t="s">
        <v>72</v>
      </c>
      <c r="S919" s="5" t="s">
        <v>73</v>
      </c>
      <c r="T919" s="5" t="s">
        <v>46</v>
      </c>
      <c r="U919" s="5" t="n">
        <v>1000</v>
      </c>
      <c r="V919" s="1" t="n">
        <v>2</v>
      </c>
      <c r="W919" s="5"/>
      <c r="X919" s="5" t="s">
        <v>74</v>
      </c>
      <c r="Y919" s="5" t="n">
        <v>5500</v>
      </c>
      <c r="Z919" s="5" t="s">
        <v>1283</v>
      </c>
      <c r="AA919" s="5" t="s">
        <v>1284</v>
      </c>
      <c r="AB919" s="13" t="str">
        <f aca="true" t="array" ref="AB919:AB919">LEFT(AA919,LOOKUP(2^15,FIND(".",AA919,ROW(INDIRECT("1:"&amp;LEN(AA919)))))-1)</f>
        <v>NB_2022_061 - 22122022 - 1</v>
      </c>
      <c r="AC919" s="5" t="s">
        <v>1285</v>
      </c>
      <c r="AD919" s="13" t="str">
        <f aca="true" t="array" ref="AD919:AD919">LEFT(AC919,LOOKUP(2^15,FIND(".",AC919,ROW(INDIRECT("1:"&amp;LEN(AC919)))))-1)</f>
        <v>NB_2022_061 - 22122022 - 2</v>
      </c>
      <c r="AE919" s="5" t="str">
        <f aca="false">CONCATENATE(AB919, "-",H919, ".mzML")</f>
        <v>NB_2022_061 - 22122022 - 1-QC_C_2.mzML</v>
      </c>
      <c r="AF919" s="5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0" t="s">
        <v>1275</v>
      </c>
      <c r="B920" s="31"/>
      <c r="C920" s="3" t="s">
        <v>1276</v>
      </c>
      <c r="D920" s="5" t="s">
        <v>19</v>
      </c>
      <c r="E920" s="5" t="s">
        <v>1277</v>
      </c>
      <c r="F920" s="6" t="s">
        <v>1278</v>
      </c>
      <c r="G920" s="5" t="s">
        <v>1277</v>
      </c>
      <c r="H920" s="24" t="s">
        <v>76</v>
      </c>
      <c r="I920" s="5" t="str">
        <f aca="false">CONCATENATE(E920, "_",H920)</f>
        <v>NLA_2022_013_QC_C_3</v>
      </c>
      <c r="J920" s="35" t="s">
        <v>52</v>
      </c>
      <c r="K920" s="5" t="n">
        <v>3</v>
      </c>
      <c r="L920" s="8" t="s">
        <v>69</v>
      </c>
      <c r="M920" s="1" t="s">
        <v>46</v>
      </c>
      <c r="N920" s="5" t="s">
        <v>70</v>
      </c>
      <c r="O920" s="5" t="s">
        <v>46</v>
      </c>
      <c r="P920" s="5" t="s">
        <v>71</v>
      </c>
      <c r="Q920" s="5" t="s">
        <v>71</v>
      </c>
      <c r="R920" s="5" t="s">
        <v>72</v>
      </c>
      <c r="S920" s="5" t="s">
        <v>73</v>
      </c>
      <c r="T920" s="5" t="s">
        <v>46</v>
      </c>
      <c r="U920" s="5" t="n">
        <v>1000</v>
      </c>
      <c r="V920" s="1" t="n">
        <v>3</v>
      </c>
      <c r="W920" s="5"/>
      <c r="X920" s="5" t="s">
        <v>74</v>
      </c>
      <c r="Y920" s="5" t="n">
        <v>5500</v>
      </c>
      <c r="Z920" s="5" t="s">
        <v>1283</v>
      </c>
      <c r="AA920" s="5" t="s">
        <v>1284</v>
      </c>
      <c r="AB920" s="13" t="str">
        <f aca="true" t="array" ref="AB920:AB920">LEFT(AA920,LOOKUP(2^15,FIND(".",AA920,ROW(INDIRECT("1:"&amp;LEN(AA920)))))-1)</f>
        <v>NB_2022_061 - 22122022 - 1</v>
      </c>
      <c r="AC920" s="5" t="s">
        <v>1285</v>
      </c>
      <c r="AD920" s="13" t="str">
        <f aca="true" t="array" ref="AD920:AD920">LEFT(AC920,LOOKUP(2^15,FIND(".",AC920,ROW(INDIRECT("1:"&amp;LEN(AC920)))))-1)</f>
        <v>NB_2022_061 - 22122022 - 2</v>
      </c>
      <c r="AE920" s="5" t="str">
        <f aca="false">CONCATENATE(AB920, "-",H920, ".mzML")</f>
        <v>NB_2022_061 - 22122022 - 1-QC_C_3.mzML</v>
      </c>
      <c r="AF920" s="5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0" t="s">
        <v>1275</v>
      </c>
      <c r="B921" s="31"/>
      <c r="C921" s="3" t="s">
        <v>1276</v>
      </c>
      <c r="D921" s="5" t="s">
        <v>19</v>
      </c>
      <c r="E921" s="5" t="s">
        <v>1277</v>
      </c>
      <c r="F921" s="6" t="s">
        <v>1278</v>
      </c>
      <c r="G921" s="5" t="s">
        <v>1277</v>
      </c>
      <c r="H921" s="24" t="s">
        <v>77</v>
      </c>
      <c r="I921" s="5" t="str">
        <f aca="false">CONCATENATE(E921, "_",H921)</f>
        <v>NLA_2022_013_QC_P_1</v>
      </c>
      <c r="J921" s="35" t="s">
        <v>52</v>
      </c>
      <c r="K921" s="5" t="n">
        <v>1</v>
      </c>
      <c r="L921" s="8" t="s">
        <v>69</v>
      </c>
      <c r="M921" s="6" t="s">
        <v>46</v>
      </c>
      <c r="N921" s="5" t="s">
        <v>78</v>
      </c>
      <c r="O921" s="5" t="s">
        <v>46</v>
      </c>
      <c r="P921" s="5" t="s">
        <v>79</v>
      </c>
      <c r="Q921" s="5" t="s">
        <v>80</v>
      </c>
      <c r="R921" s="5" t="s">
        <v>81</v>
      </c>
      <c r="S921" s="5" t="s">
        <v>46</v>
      </c>
      <c r="T921" s="5" t="s">
        <v>46</v>
      </c>
      <c r="U921" s="5" t="s">
        <v>82</v>
      </c>
      <c r="V921" s="1" t="n">
        <v>1</v>
      </c>
      <c r="W921" s="5"/>
      <c r="X921" s="5" t="s">
        <v>83</v>
      </c>
      <c r="Y921" s="5" t="n">
        <v>5500</v>
      </c>
      <c r="Z921" s="5" t="s">
        <v>1283</v>
      </c>
      <c r="AA921" s="5" t="s">
        <v>1284</v>
      </c>
      <c r="AB921" s="13" t="str">
        <f aca="true" t="array" ref="AB921:AB921">LEFT(AA921,LOOKUP(2^15,FIND(".",AA921,ROW(INDIRECT("1:"&amp;LEN(AA921)))))-1)</f>
        <v>NB_2022_061 - 22122022 - 1</v>
      </c>
      <c r="AC921" s="5" t="s">
        <v>1285</v>
      </c>
      <c r="AD921" s="13" t="str">
        <f aca="true" t="array" ref="AD921:AD921">LEFT(AC921,LOOKUP(2^15,FIND(".",AC921,ROW(INDIRECT("1:"&amp;LEN(AC921)))))-1)</f>
        <v>NB_2022_061 - 22122022 - 2</v>
      </c>
      <c r="AE921" s="5" t="str">
        <f aca="false">CONCATENATE(AB921, "-",H921, ".mzML")</f>
        <v>NB_2022_061 - 22122022 - 1-QC_P_1.mzML</v>
      </c>
      <c r="AF921" s="5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0" t="s">
        <v>1275</v>
      </c>
      <c r="B922" s="31"/>
      <c r="C922" s="3" t="s">
        <v>1276</v>
      </c>
      <c r="D922" s="5" t="s">
        <v>19</v>
      </c>
      <c r="E922" s="5" t="s">
        <v>1277</v>
      </c>
      <c r="F922" s="6" t="s">
        <v>1278</v>
      </c>
      <c r="G922" s="5" t="s">
        <v>1277</v>
      </c>
      <c r="H922" s="24" t="s">
        <v>84</v>
      </c>
      <c r="I922" s="5" t="str">
        <f aca="false">CONCATENATE(E922, "_",H922)</f>
        <v>NLA_2022_013_QC_P_2</v>
      </c>
      <c r="J922" s="35" t="s">
        <v>52</v>
      </c>
      <c r="K922" s="5" t="n">
        <v>2</v>
      </c>
      <c r="L922" s="8" t="s">
        <v>69</v>
      </c>
      <c r="M922" s="6" t="s">
        <v>46</v>
      </c>
      <c r="N922" s="5" t="s">
        <v>78</v>
      </c>
      <c r="O922" s="5" t="s">
        <v>46</v>
      </c>
      <c r="P922" s="5" t="s">
        <v>79</v>
      </c>
      <c r="Q922" s="5" t="s">
        <v>80</v>
      </c>
      <c r="R922" s="5" t="s">
        <v>81</v>
      </c>
      <c r="S922" s="5" t="s">
        <v>46</v>
      </c>
      <c r="T922" s="5" t="s">
        <v>46</v>
      </c>
      <c r="U922" s="5" t="s">
        <v>82</v>
      </c>
      <c r="V922" s="1" t="n">
        <v>2</v>
      </c>
      <c r="W922" s="5"/>
      <c r="X922" s="5" t="s">
        <v>83</v>
      </c>
      <c r="Y922" s="5" t="n">
        <v>5500</v>
      </c>
      <c r="Z922" s="5" t="s">
        <v>1283</v>
      </c>
      <c r="AA922" s="5" t="s">
        <v>1284</v>
      </c>
      <c r="AB922" s="13" t="str">
        <f aca="true" t="array" ref="AB922:AB922">LEFT(AA922,LOOKUP(2^15,FIND(".",AA922,ROW(INDIRECT("1:"&amp;LEN(AA922)))))-1)</f>
        <v>NB_2022_061 - 22122022 - 1</v>
      </c>
      <c r="AC922" s="5" t="s">
        <v>1285</v>
      </c>
      <c r="AD922" s="13" t="str">
        <f aca="true" t="array" ref="AD922:AD922">LEFT(AC922,LOOKUP(2^15,FIND(".",AC922,ROW(INDIRECT("1:"&amp;LEN(AC922)))))-1)</f>
        <v>NB_2022_061 - 22122022 - 2</v>
      </c>
      <c r="AE922" s="5" t="str">
        <f aca="false">CONCATENATE(AB922, "-",H922, ".mzML")</f>
        <v>NB_2022_061 - 22122022 - 1-QC_P_2.mzML</v>
      </c>
      <c r="AF922" s="5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0" t="s">
        <v>1275</v>
      </c>
      <c r="B923" s="31"/>
      <c r="C923" s="3" t="s">
        <v>1276</v>
      </c>
      <c r="D923" s="5" t="s">
        <v>19</v>
      </c>
      <c r="E923" s="5" t="s">
        <v>1277</v>
      </c>
      <c r="F923" s="6" t="s">
        <v>1278</v>
      </c>
      <c r="G923" s="5" t="s">
        <v>1277</v>
      </c>
      <c r="H923" s="24" t="s">
        <v>85</v>
      </c>
      <c r="I923" s="5" t="str">
        <f aca="false">CONCATENATE(E923, "_",H923)</f>
        <v>NLA_2022_013_QC_P_3</v>
      </c>
      <c r="J923" s="35" t="s">
        <v>52</v>
      </c>
      <c r="K923" s="5" t="n">
        <v>3</v>
      </c>
      <c r="L923" s="8" t="s">
        <v>69</v>
      </c>
      <c r="M923" s="6" t="s">
        <v>46</v>
      </c>
      <c r="N923" s="5" t="s">
        <v>78</v>
      </c>
      <c r="O923" s="5" t="s">
        <v>46</v>
      </c>
      <c r="P923" s="5" t="s">
        <v>79</v>
      </c>
      <c r="Q923" s="5" t="s">
        <v>80</v>
      </c>
      <c r="R923" s="5" t="s">
        <v>81</v>
      </c>
      <c r="S923" s="5" t="s">
        <v>46</v>
      </c>
      <c r="T923" s="5" t="s">
        <v>46</v>
      </c>
      <c r="U923" s="5" t="s">
        <v>82</v>
      </c>
      <c r="V923" s="1" t="n">
        <v>3</v>
      </c>
      <c r="W923" s="5"/>
      <c r="X923" s="5" t="s">
        <v>83</v>
      </c>
      <c r="Y923" s="5" t="n">
        <v>5500</v>
      </c>
      <c r="Z923" s="5" t="s">
        <v>1283</v>
      </c>
      <c r="AA923" s="5" t="s">
        <v>1284</v>
      </c>
      <c r="AB923" s="13" t="str">
        <f aca="true" t="array" ref="AB923:AB923">LEFT(AA923,LOOKUP(2^15,FIND(".",AA923,ROW(INDIRECT("1:"&amp;LEN(AA923)))))-1)</f>
        <v>NB_2022_061 - 22122022 - 1</v>
      </c>
      <c r="AC923" s="5" t="s">
        <v>1285</v>
      </c>
      <c r="AD923" s="13" t="str">
        <f aca="true" t="array" ref="AD923:AD923">LEFT(AC923,LOOKUP(2^15,FIND(".",AC923,ROW(INDIRECT("1:"&amp;LEN(AC923)))))-1)</f>
        <v>NB_2022_061 - 22122022 - 2</v>
      </c>
      <c r="AE923" s="5" t="str">
        <f aca="false">CONCATENATE(AB923, "-",H923, ".mzML")</f>
        <v>NB_2022_061 - 22122022 - 1-QC_P_3.mzML</v>
      </c>
      <c r="AF923" s="5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0" t="s">
        <v>1291</v>
      </c>
      <c r="B924" s="31"/>
      <c r="C924" s="3" t="s">
        <v>1292</v>
      </c>
      <c r="D924" s="5" t="s">
        <v>19</v>
      </c>
      <c r="E924" s="5" t="s">
        <v>1277</v>
      </c>
      <c r="F924" s="6" t="s">
        <v>1278</v>
      </c>
      <c r="G924" s="5" t="s">
        <v>1293</v>
      </c>
      <c r="H924" s="24" t="s">
        <v>227</v>
      </c>
      <c r="I924" s="5" t="str">
        <f aca="false">CONCATENATE(E924, "_",H924)</f>
        <v>NLA_2022_013_019</v>
      </c>
      <c r="J924" s="35" t="s">
        <v>38</v>
      </c>
      <c r="K924" s="5" t="s">
        <v>1294</v>
      </c>
      <c r="L924" s="8" t="s">
        <v>69</v>
      </c>
      <c r="M924" s="6" t="s">
        <v>1295</v>
      </c>
      <c r="N924" s="5" t="s">
        <v>246</v>
      </c>
      <c r="O924" s="32" t="s">
        <v>1212</v>
      </c>
      <c r="P924" s="5" t="s">
        <v>1213</v>
      </c>
      <c r="Q924" s="5" t="s">
        <v>1214</v>
      </c>
      <c r="R924" s="5" t="s">
        <v>72</v>
      </c>
      <c r="S924" s="5"/>
      <c r="T924" s="5" t="s">
        <v>1240</v>
      </c>
      <c r="U924" s="1" t="n">
        <v>1500</v>
      </c>
      <c r="V924" s="1" t="n">
        <v>1</v>
      </c>
      <c r="W924" s="5"/>
      <c r="X924" s="8" t="s">
        <v>1215</v>
      </c>
      <c r="Y924" s="1" t="n">
        <v>5500</v>
      </c>
      <c r="Z924" s="5" t="s">
        <v>1283</v>
      </c>
      <c r="AA924" s="5" t="s">
        <v>1284</v>
      </c>
      <c r="AB924" s="13" t="str">
        <f aca="true" t="array" ref="AB924:AB924">LEFT(AA924,LOOKUP(2^15,FIND(".",AA924,ROW(INDIRECT("1:"&amp;LEN(AA924)))))-1)</f>
        <v>NB_2022_061 - 22122022 - 1</v>
      </c>
      <c r="AC924" s="5" t="s">
        <v>1285</v>
      </c>
      <c r="AD924" s="13" t="str">
        <f aca="true" t="array" ref="AD924:AD924">LEFT(AC924,LOOKUP(2^15,FIND(".",AC924,ROW(INDIRECT("1:"&amp;LEN(AC924)))))-1)</f>
        <v>NB_2022_061 - 22122022 - 2</v>
      </c>
      <c r="AE924" s="5" t="str">
        <f aca="false">CONCATENATE(AB924, "-",H924, ".mzML")</f>
        <v>NB_2022_061 - 22122022 - 1-019.mzML</v>
      </c>
      <c r="AF924" s="5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0" t="s">
        <v>1291</v>
      </c>
      <c r="B925" s="31"/>
      <c r="C925" s="3" t="s">
        <v>1292</v>
      </c>
      <c r="D925" s="5" t="s">
        <v>19</v>
      </c>
      <c r="E925" s="5" t="s">
        <v>1277</v>
      </c>
      <c r="F925" s="6" t="s">
        <v>1278</v>
      </c>
      <c r="G925" s="5" t="s">
        <v>1293</v>
      </c>
      <c r="H925" s="24" t="s">
        <v>230</v>
      </c>
      <c r="I925" s="5" t="str">
        <f aca="false">CONCATENATE(E925, "_",H925)</f>
        <v>NLA_2022_013_020</v>
      </c>
      <c r="J925" s="35" t="s">
        <v>38</v>
      </c>
      <c r="K925" s="5" t="s">
        <v>1296</v>
      </c>
      <c r="L925" s="8" t="s">
        <v>69</v>
      </c>
      <c r="M925" s="6" t="s">
        <v>1295</v>
      </c>
      <c r="N925" s="5" t="s">
        <v>246</v>
      </c>
      <c r="O925" s="32" t="s">
        <v>1212</v>
      </c>
      <c r="P925" s="5" t="s">
        <v>1213</v>
      </c>
      <c r="Q925" s="5" t="s">
        <v>1214</v>
      </c>
      <c r="R925" s="5" t="s">
        <v>72</v>
      </c>
      <c r="S925" s="5"/>
      <c r="T925" s="5" t="s">
        <v>1240</v>
      </c>
      <c r="U925" s="1" t="n">
        <v>1500</v>
      </c>
      <c r="V925" s="1" t="n">
        <v>2</v>
      </c>
      <c r="W925" s="5"/>
      <c r="X925" s="8" t="s">
        <v>1215</v>
      </c>
      <c r="Y925" s="1" t="n">
        <v>5500</v>
      </c>
      <c r="Z925" s="5" t="s">
        <v>1283</v>
      </c>
      <c r="AA925" s="5" t="s">
        <v>1284</v>
      </c>
      <c r="AB925" s="13" t="str">
        <f aca="true" t="array" ref="AB925:AB925">LEFT(AA925,LOOKUP(2^15,FIND(".",AA925,ROW(INDIRECT("1:"&amp;LEN(AA925)))))-1)</f>
        <v>NB_2022_061 - 22122022 - 1</v>
      </c>
      <c r="AC925" s="5" t="s">
        <v>1285</v>
      </c>
      <c r="AD925" s="13" t="str">
        <f aca="true" t="array" ref="AD925:AD925">LEFT(AC925,LOOKUP(2^15,FIND(".",AC925,ROW(INDIRECT("1:"&amp;LEN(AC925)))))-1)</f>
        <v>NB_2022_061 - 22122022 - 2</v>
      </c>
      <c r="AE925" s="5" t="str">
        <f aca="false">CONCATENATE(AB925, "-",H925, ".mzML")</f>
        <v>NB_2022_061 - 22122022 - 1-020.mzML</v>
      </c>
      <c r="AF925" s="5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0" t="s">
        <v>1291</v>
      </c>
      <c r="B926" s="31"/>
      <c r="C926" s="3" t="s">
        <v>1292</v>
      </c>
      <c r="D926" s="5" t="s">
        <v>19</v>
      </c>
      <c r="E926" s="5" t="s">
        <v>1277</v>
      </c>
      <c r="F926" s="6" t="s">
        <v>1278</v>
      </c>
      <c r="G926" s="5" t="s">
        <v>1293</v>
      </c>
      <c r="H926" s="24" t="s">
        <v>62</v>
      </c>
      <c r="I926" s="5" t="str">
        <f aca="false">CONCATENATE(E926, "_",H926)</f>
        <v>NLA_2022_013_021</v>
      </c>
      <c r="J926" s="35" t="s">
        <v>52</v>
      </c>
      <c r="K926" s="5" t="s">
        <v>1297</v>
      </c>
      <c r="L926" s="8" t="s">
        <v>69</v>
      </c>
      <c r="M926" s="6" t="s">
        <v>1295</v>
      </c>
      <c r="N926" s="5" t="s">
        <v>246</v>
      </c>
      <c r="O926" s="32" t="s">
        <v>1212</v>
      </c>
      <c r="P926" s="5" t="s">
        <v>1213</v>
      </c>
      <c r="Q926" s="5" t="s">
        <v>1214</v>
      </c>
      <c r="R926" s="5" t="s">
        <v>72</v>
      </c>
      <c r="S926" s="5"/>
      <c r="T926" s="5" t="s">
        <v>1243</v>
      </c>
      <c r="U926" s="1" t="n">
        <v>1500</v>
      </c>
      <c r="V926" s="1" t="n">
        <v>1</v>
      </c>
      <c r="W926" s="5"/>
      <c r="X926" s="8" t="s">
        <v>1215</v>
      </c>
      <c r="Y926" s="1" t="n">
        <v>5500</v>
      </c>
      <c r="Z926" s="5" t="s">
        <v>1283</v>
      </c>
      <c r="AA926" s="5" t="s">
        <v>1284</v>
      </c>
      <c r="AB926" s="13" t="str">
        <f aca="true" t="array" ref="AB926:AB926">LEFT(AA926,LOOKUP(2^15,FIND(".",AA926,ROW(INDIRECT("1:"&amp;LEN(AA926)))))-1)</f>
        <v>NB_2022_061 - 22122022 - 1</v>
      </c>
      <c r="AC926" s="5" t="s">
        <v>1285</v>
      </c>
      <c r="AD926" s="13" t="str">
        <f aca="true" t="array" ref="AD926:AD926">LEFT(AC926,LOOKUP(2^15,FIND(".",AC926,ROW(INDIRECT("1:"&amp;LEN(AC926)))))-1)</f>
        <v>NB_2022_061 - 22122022 - 2</v>
      </c>
      <c r="AE926" s="5" t="str">
        <f aca="false">CONCATENATE(AB926, "-",H926, ".mzML")</f>
        <v>NB_2022_061 - 22122022 - 1-021.mzML</v>
      </c>
      <c r="AF926" s="5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0" t="s">
        <v>1291</v>
      </c>
      <c r="B927" s="31"/>
      <c r="C927" s="3" t="s">
        <v>1292</v>
      </c>
      <c r="D927" s="5" t="s">
        <v>19</v>
      </c>
      <c r="E927" s="5" t="s">
        <v>1277</v>
      </c>
      <c r="F927" s="6" t="s">
        <v>1278</v>
      </c>
      <c r="G927" s="5" t="s">
        <v>1293</v>
      </c>
      <c r="H927" s="24" t="s">
        <v>288</v>
      </c>
      <c r="I927" s="5" t="str">
        <f aca="false">CONCATENATE(E927, "_",H927)</f>
        <v>NLA_2022_013_022</v>
      </c>
      <c r="J927" s="35" t="s">
        <v>52</v>
      </c>
      <c r="K927" s="5" t="s">
        <v>1298</v>
      </c>
      <c r="L927" s="8" t="s">
        <v>69</v>
      </c>
      <c r="M927" s="6" t="s">
        <v>1295</v>
      </c>
      <c r="N927" s="5" t="s">
        <v>246</v>
      </c>
      <c r="O927" s="32" t="s">
        <v>1212</v>
      </c>
      <c r="P927" s="5" t="s">
        <v>1213</v>
      </c>
      <c r="Q927" s="5" t="s">
        <v>1214</v>
      </c>
      <c r="R927" s="5" t="s">
        <v>72</v>
      </c>
      <c r="S927" s="5"/>
      <c r="T927" s="5" t="s">
        <v>1243</v>
      </c>
      <c r="U927" s="1" t="n">
        <v>1500</v>
      </c>
      <c r="V927" s="1" t="n">
        <v>2</v>
      </c>
      <c r="W927" s="5"/>
      <c r="X927" s="8" t="s">
        <v>1215</v>
      </c>
      <c r="Y927" s="1" t="n">
        <v>5500</v>
      </c>
      <c r="Z927" s="5" t="s">
        <v>1283</v>
      </c>
      <c r="AA927" s="5" t="s">
        <v>1284</v>
      </c>
      <c r="AB927" s="13" t="str">
        <f aca="true" t="array" ref="AB927:AB927">LEFT(AA927,LOOKUP(2^15,FIND(".",AA927,ROW(INDIRECT("1:"&amp;LEN(AA927)))))-1)</f>
        <v>NB_2022_061 - 22122022 - 1</v>
      </c>
      <c r="AC927" s="5" t="s">
        <v>1285</v>
      </c>
      <c r="AD927" s="13" t="str">
        <f aca="true" t="array" ref="AD927:AD927">LEFT(AC927,LOOKUP(2^15,FIND(".",AC927,ROW(INDIRECT("1:"&amp;LEN(AC927)))))-1)</f>
        <v>NB_2022_061 - 22122022 - 2</v>
      </c>
      <c r="AE927" s="5" t="str">
        <f aca="false">CONCATENATE(AB927, "-",H927, ".mzML")</f>
        <v>NB_2022_061 - 22122022 - 1-022.mzML</v>
      </c>
      <c r="AF927" s="5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0" t="s">
        <v>1291</v>
      </c>
      <c r="B928" s="31"/>
      <c r="C928" s="3" t="s">
        <v>1292</v>
      </c>
      <c r="D928" s="5" t="s">
        <v>19</v>
      </c>
      <c r="E928" s="5" t="s">
        <v>1277</v>
      </c>
      <c r="F928" s="6" t="s">
        <v>1278</v>
      </c>
      <c r="G928" s="5" t="s">
        <v>1277</v>
      </c>
      <c r="H928" s="24" t="s">
        <v>64</v>
      </c>
      <c r="I928" s="5" t="str">
        <f aca="false">CONCATENATE(E928, "_",H928)</f>
        <v>NLA_2022_013_Blank_1</v>
      </c>
      <c r="J928" s="35" t="s">
        <v>52</v>
      </c>
      <c r="K928" s="5" t="n">
        <v>1</v>
      </c>
      <c r="L928" s="8" t="s">
        <v>46</v>
      </c>
      <c r="M928" s="6" t="s">
        <v>46</v>
      </c>
      <c r="N928" s="5" t="s">
        <v>65</v>
      </c>
      <c r="O928" s="5" t="s">
        <v>46</v>
      </c>
      <c r="P928" s="5" t="s">
        <v>46</v>
      </c>
      <c r="Q928" s="5" t="s">
        <v>46</v>
      </c>
      <c r="R928" s="5" t="s">
        <v>46</v>
      </c>
      <c r="S928" s="5" t="s">
        <v>46</v>
      </c>
      <c r="T928" s="5" t="s">
        <v>46</v>
      </c>
      <c r="U928" s="5" t="s">
        <v>46</v>
      </c>
      <c r="V928" s="1" t="n">
        <v>1</v>
      </c>
      <c r="W928" s="5"/>
      <c r="X928" s="5" t="s">
        <v>46</v>
      </c>
      <c r="Y928" s="1" t="n">
        <v>5500</v>
      </c>
      <c r="Z928" s="5" t="s">
        <v>1283</v>
      </c>
      <c r="AA928" s="5" t="s">
        <v>1284</v>
      </c>
      <c r="AB928" s="13" t="str">
        <f aca="true" t="array" ref="AB928:AB928">LEFT(AA928,LOOKUP(2^15,FIND(".",AA928,ROW(INDIRECT("1:"&amp;LEN(AA928)))))-1)</f>
        <v>NB_2022_061 - 22122022 - 1</v>
      </c>
      <c r="AC928" s="5" t="s">
        <v>1285</v>
      </c>
      <c r="AD928" s="13" t="str">
        <f aca="true" t="array" ref="AD928:AD928">LEFT(AC928,LOOKUP(2^15,FIND(".",AC928,ROW(INDIRECT("1:"&amp;LEN(AC928)))))-1)</f>
        <v>NB_2022_061 - 22122022 - 2</v>
      </c>
      <c r="AE928" s="5" t="str">
        <f aca="false">CONCATENATE(AB928, "-",H928, ".mzML")</f>
        <v>NB_2022_061 - 22122022 - 1-Blank_1.mzML</v>
      </c>
      <c r="AF928" s="5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0" t="s">
        <v>1291</v>
      </c>
      <c r="B929" s="31"/>
      <c r="C929" s="3" t="s">
        <v>1292</v>
      </c>
      <c r="D929" s="5" t="s">
        <v>19</v>
      </c>
      <c r="E929" s="5" t="s">
        <v>1277</v>
      </c>
      <c r="F929" s="6" t="s">
        <v>1278</v>
      </c>
      <c r="G929" s="5" t="s">
        <v>1277</v>
      </c>
      <c r="H929" s="24" t="s">
        <v>66</v>
      </c>
      <c r="I929" s="5" t="str">
        <f aca="false">CONCATENATE(E929, "_",H929)</f>
        <v>NLA_2022_013_Blank_2</v>
      </c>
      <c r="J929" s="35" t="s">
        <v>52</v>
      </c>
      <c r="K929" s="5" t="n">
        <v>2</v>
      </c>
      <c r="L929" s="8" t="s">
        <v>46</v>
      </c>
      <c r="M929" s="6" t="s">
        <v>46</v>
      </c>
      <c r="N929" s="5" t="s">
        <v>65</v>
      </c>
      <c r="O929" s="5" t="s">
        <v>46</v>
      </c>
      <c r="P929" s="5" t="s">
        <v>46</v>
      </c>
      <c r="Q929" s="5" t="s">
        <v>46</v>
      </c>
      <c r="R929" s="5" t="s">
        <v>46</v>
      </c>
      <c r="S929" s="5" t="s">
        <v>46</v>
      </c>
      <c r="T929" s="5" t="s">
        <v>46</v>
      </c>
      <c r="U929" s="5" t="s">
        <v>46</v>
      </c>
      <c r="V929" s="1" t="n">
        <v>2</v>
      </c>
      <c r="W929" s="5"/>
      <c r="X929" s="5" t="s">
        <v>46</v>
      </c>
      <c r="Y929" s="1" t="n">
        <v>5500</v>
      </c>
      <c r="Z929" s="5" t="s">
        <v>1283</v>
      </c>
      <c r="AA929" s="5" t="s">
        <v>1284</v>
      </c>
      <c r="AB929" s="13" t="str">
        <f aca="true" t="array" ref="AB929:AB929">LEFT(AA929,LOOKUP(2^15,FIND(".",AA929,ROW(INDIRECT("1:"&amp;LEN(AA929)))))-1)</f>
        <v>NB_2022_061 - 22122022 - 1</v>
      </c>
      <c r="AC929" s="5" t="s">
        <v>1285</v>
      </c>
      <c r="AD929" s="13" t="str">
        <f aca="true" t="array" ref="AD929:AD929">LEFT(AC929,LOOKUP(2^15,FIND(".",AC929,ROW(INDIRECT("1:"&amp;LEN(AC929)))))-1)</f>
        <v>NB_2022_061 - 22122022 - 2</v>
      </c>
      <c r="AE929" s="5" t="str">
        <f aca="false">CONCATENATE(AB929, "-",H929, ".mzML")</f>
        <v>NB_2022_061 - 22122022 - 1-Blank_2.mzML</v>
      </c>
      <c r="AF929" s="5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0" t="s">
        <v>1291</v>
      </c>
      <c r="B930" s="31"/>
      <c r="C930" s="3" t="s">
        <v>1292</v>
      </c>
      <c r="D930" s="5" t="s">
        <v>19</v>
      </c>
      <c r="E930" s="5" t="s">
        <v>1277</v>
      </c>
      <c r="F930" s="6" t="s">
        <v>1278</v>
      </c>
      <c r="G930" s="5" t="s">
        <v>1277</v>
      </c>
      <c r="H930" s="24" t="s">
        <v>67</v>
      </c>
      <c r="I930" s="5" t="str">
        <f aca="false">CONCATENATE(E930, "_",H930)</f>
        <v>NLA_2022_013_Blank_3</v>
      </c>
      <c r="J930" s="35" t="s">
        <v>52</v>
      </c>
      <c r="K930" s="5" t="n">
        <v>3</v>
      </c>
      <c r="L930" s="8" t="s">
        <v>46</v>
      </c>
      <c r="M930" s="6" t="s">
        <v>46</v>
      </c>
      <c r="N930" s="5" t="s">
        <v>65</v>
      </c>
      <c r="O930" s="5" t="s">
        <v>46</v>
      </c>
      <c r="P930" s="5" t="s">
        <v>46</v>
      </c>
      <c r="Q930" s="5" t="s">
        <v>46</v>
      </c>
      <c r="R930" s="5" t="s">
        <v>46</v>
      </c>
      <c r="S930" s="5" t="s">
        <v>46</v>
      </c>
      <c r="T930" s="5" t="s">
        <v>46</v>
      </c>
      <c r="U930" s="5" t="s">
        <v>46</v>
      </c>
      <c r="V930" s="1" t="n">
        <v>3</v>
      </c>
      <c r="W930" s="5"/>
      <c r="X930" s="5" t="s">
        <v>46</v>
      </c>
      <c r="Y930" s="1" t="n">
        <v>5500</v>
      </c>
      <c r="Z930" s="5" t="s">
        <v>1283</v>
      </c>
      <c r="AA930" s="5" t="s">
        <v>1284</v>
      </c>
      <c r="AB930" s="13" t="str">
        <f aca="true" t="array" ref="AB930:AB930">LEFT(AA930,LOOKUP(2^15,FIND(".",AA930,ROW(INDIRECT("1:"&amp;LEN(AA930)))))-1)</f>
        <v>NB_2022_061 - 22122022 - 1</v>
      </c>
      <c r="AC930" s="5" t="s">
        <v>1285</v>
      </c>
      <c r="AD930" s="13" t="str">
        <f aca="true" t="array" ref="AD930:AD930">LEFT(AC930,LOOKUP(2^15,FIND(".",AC930,ROW(INDIRECT("1:"&amp;LEN(AC930)))))-1)</f>
        <v>NB_2022_061 - 22122022 - 2</v>
      </c>
      <c r="AE930" s="5" t="str">
        <f aca="false">CONCATENATE(AB930, "-",H930, ".mzML")</f>
        <v>NB_2022_061 - 22122022 - 1-Blank_3.mzML</v>
      </c>
      <c r="AF930" s="5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0" t="s">
        <v>1291</v>
      </c>
      <c r="B931" s="31"/>
      <c r="C931" s="3" t="s">
        <v>1292</v>
      </c>
      <c r="D931" s="5" t="s">
        <v>19</v>
      </c>
      <c r="E931" s="5" t="s">
        <v>1277</v>
      </c>
      <c r="F931" s="6" t="s">
        <v>1278</v>
      </c>
      <c r="G931" s="5" t="s">
        <v>1277</v>
      </c>
      <c r="H931" s="24" t="s">
        <v>68</v>
      </c>
      <c r="I931" s="5" t="str">
        <f aca="false">CONCATENATE(E931, "_",H931)</f>
        <v>NLA_2022_013_QC_C_1</v>
      </c>
      <c r="J931" s="35" t="s">
        <v>52</v>
      </c>
      <c r="K931" s="5" t="n">
        <v>1</v>
      </c>
      <c r="L931" s="8" t="s">
        <v>69</v>
      </c>
      <c r="M931" s="1" t="s">
        <v>46</v>
      </c>
      <c r="N931" s="5" t="s">
        <v>70</v>
      </c>
      <c r="O931" s="5" t="s">
        <v>46</v>
      </c>
      <c r="P931" s="5" t="s">
        <v>71</v>
      </c>
      <c r="Q931" s="5" t="s">
        <v>71</v>
      </c>
      <c r="R931" s="5" t="s">
        <v>72</v>
      </c>
      <c r="S931" s="5" t="s">
        <v>73</v>
      </c>
      <c r="T931" s="5" t="s">
        <v>46</v>
      </c>
      <c r="U931" s="5" t="n">
        <v>1000</v>
      </c>
      <c r="V931" s="1" t="n">
        <v>1</v>
      </c>
      <c r="W931" s="5"/>
      <c r="X931" s="5" t="s">
        <v>74</v>
      </c>
      <c r="Y931" s="5" t="n">
        <v>5500</v>
      </c>
      <c r="Z931" s="5" t="s">
        <v>1283</v>
      </c>
      <c r="AA931" s="5" t="s">
        <v>1284</v>
      </c>
      <c r="AB931" s="13" t="str">
        <f aca="true" t="array" ref="AB931:AB931">LEFT(AA931,LOOKUP(2^15,FIND(".",AA931,ROW(INDIRECT("1:"&amp;LEN(AA931)))))-1)</f>
        <v>NB_2022_061 - 22122022 - 1</v>
      </c>
      <c r="AC931" s="5" t="s">
        <v>1285</v>
      </c>
      <c r="AD931" s="13" t="str">
        <f aca="true" t="array" ref="AD931:AD931">LEFT(AC931,LOOKUP(2^15,FIND(".",AC931,ROW(INDIRECT("1:"&amp;LEN(AC931)))))-1)</f>
        <v>NB_2022_061 - 22122022 - 2</v>
      </c>
      <c r="AE931" s="5" t="str">
        <f aca="false">CONCATENATE(AB931, "-",H931, ".mzML")</f>
        <v>NB_2022_061 - 22122022 - 1-QC_C_1.mzML</v>
      </c>
      <c r="AF931" s="5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0" t="s">
        <v>1291</v>
      </c>
      <c r="B932" s="31"/>
      <c r="C932" s="3" t="s">
        <v>1292</v>
      </c>
      <c r="D932" s="5" t="s">
        <v>19</v>
      </c>
      <c r="E932" s="5" t="s">
        <v>1277</v>
      </c>
      <c r="F932" s="6" t="s">
        <v>1278</v>
      </c>
      <c r="G932" s="5" t="s">
        <v>1277</v>
      </c>
      <c r="H932" s="24" t="s">
        <v>75</v>
      </c>
      <c r="I932" s="5" t="str">
        <f aca="false">CONCATENATE(E932, "_",H932)</f>
        <v>NLA_2022_013_QC_C_2</v>
      </c>
      <c r="J932" s="35" t="s">
        <v>52</v>
      </c>
      <c r="K932" s="5" t="n">
        <v>2</v>
      </c>
      <c r="L932" s="8" t="s">
        <v>69</v>
      </c>
      <c r="M932" s="1" t="s">
        <v>46</v>
      </c>
      <c r="N932" s="5" t="s">
        <v>70</v>
      </c>
      <c r="O932" s="5" t="s">
        <v>46</v>
      </c>
      <c r="P932" s="5" t="s">
        <v>71</v>
      </c>
      <c r="Q932" s="5" t="s">
        <v>71</v>
      </c>
      <c r="R932" s="5" t="s">
        <v>72</v>
      </c>
      <c r="S932" s="5" t="s">
        <v>73</v>
      </c>
      <c r="T932" s="5" t="s">
        <v>46</v>
      </c>
      <c r="U932" s="5" t="n">
        <v>1000</v>
      </c>
      <c r="V932" s="1" t="n">
        <v>2</v>
      </c>
      <c r="W932" s="5"/>
      <c r="X932" s="5" t="s">
        <v>74</v>
      </c>
      <c r="Y932" s="5" t="n">
        <v>5500</v>
      </c>
      <c r="Z932" s="5" t="s">
        <v>1283</v>
      </c>
      <c r="AA932" s="5" t="s">
        <v>1284</v>
      </c>
      <c r="AB932" s="13" t="str">
        <f aca="true" t="array" ref="AB932:AB932">LEFT(AA932,LOOKUP(2^15,FIND(".",AA932,ROW(INDIRECT("1:"&amp;LEN(AA932)))))-1)</f>
        <v>NB_2022_061 - 22122022 - 1</v>
      </c>
      <c r="AC932" s="5" t="s">
        <v>1285</v>
      </c>
      <c r="AD932" s="13" t="str">
        <f aca="true" t="array" ref="AD932:AD932">LEFT(AC932,LOOKUP(2^15,FIND(".",AC932,ROW(INDIRECT("1:"&amp;LEN(AC932)))))-1)</f>
        <v>NB_2022_061 - 22122022 - 2</v>
      </c>
      <c r="AE932" s="5" t="str">
        <f aca="false">CONCATENATE(AB932, "-",H932, ".mzML")</f>
        <v>NB_2022_061 - 22122022 - 1-QC_C_2.mzML</v>
      </c>
      <c r="AF932" s="5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0" t="s">
        <v>1291</v>
      </c>
      <c r="B933" s="31"/>
      <c r="C933" s="3" t="s">
        <v>1292</v>
      </c>
      <c r="D933" s="5" t="s">
        <v>19</v>
      </c>
      <c r="E933" s="5" t="s">
        <v>1277</v>
      </c>
      <c r="F933" s="6" t="s">
        <v>1278</v>
      </c>
      <c r="G933" s="5" t="s">
        <v>1277</v>
      </c>
      <c r="H933" s="24" t="s">
        <v>76</v>
      </c>
      <c r="I933" s="5" t="str">
        <f aca="false">CONCATENATE(E933, "_",H933)</f>
        <v>NLA_2022_013_QC_C_3</v>
      </c>
      <c r="J933" s="35" t="s">
        <v>52</v>
      </c>
      <c r="K933" s="5" t="n">
        <v>3</v>
      </c>
      <c r="L933" s="8" t="s">
        <v>69</v>
      </c>
      <c r="M933" s="1" t="s">
        <v>46</v>
      </c>
      <c r="N933" s="5" t="s">
        <v>70</v>
      </c>
      <c r="O933" s="5" t="s">
        <v>46</v>
      </c>
      <c r="P933" s="5" t="s">
        <v>71</v>
      </c>
      <c r="Q933" s="5" t="s">
        <v>71</v>
      </c>
      <c r="R933" s="5" t="s">
        <v>72</v>
      </c>
      <c r="S933" s="5" t="s">
        <v>73</v>
      </c>
      <c r="T933" s="5" t="s">
        <v>46</v>
      </c>
      <c r="U933" s="5" t="n">
        <v>1000</v>
      </c>
      <c r="V933" s="1" t="n">
        <v>3</v>
      </c>
      <c r="W933" s="5"/>
      <c r="X933" s="5" t="s">
        <v>74</v>
      </c>
      <c r="Y933" s="5" t="n">
        <v>5500</v>
      </c>
      <c r="Z933" s="5" t="s">
        <v>1283</v>
      </c>
      <c r="AA933" s="5" t="s">
        <v>1284</v>
      </c>
      <c r="AB933" s="13" t="str">
        <f aca="true" t="array" ref="AB933:AB933">LEFT(AA933,LOOKUP(2^15,FIND(".",AA933,ROW(INDIRECT("1:"&amp;LEN(AA933)))))-1)</f>
        <v>NB_2022_061 - 22122022 - 1</v>
      </c>
      <c r="AC933" s="5" t="s">
        <v>1285</v>
      </c>
      <c r="AD933" s="13" t="str">
        <f aca="true" t="array" ref="AD933:AD933">LEFT(AC933,LOOKUP(2^15,FIND(".",AC933,ROW(INDIRECT("1:"&amp;LEN(AC933)))))-1)</f>
        <v>NB_2022_061 - 22122022 - 2</v>
      </c>
      <c r="AE933" s="5" t="str">
        <f aca="false">CONCATENATE(AB933, "-",H933, ".mzML")</f>
        <v>NB_2022_061 - 22122022 - 1-QC_C_3.mzML</v>
      </c>
      <c r="AF933" s="5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0" t="s">
        <v>1291</v>
      </c>
      <c r="B934" s="31"/>
      <c r="C934" s="3" t="s">
        <v>1292</v>
      </c>
      <c r="D934" s="5" t="s">
        <v>19</v>
      </c>
      <c r="E934" s="5" t="s">
        <v>1277</v>
      </c>
      <c r="F934" s="6" t="s">
        <v>1278</v>
      </c>
      <c r="G934" s="5" t="s">
        <v>1277</v>
      </c>
      <c r="H934" s="24" t="s">
        <v>77</v>
      </c>
      <c r="I934" s="5" t="str">
        <f aca="false">CONCATENATE(E934, "_",H934)</f>
        <v>NLA_2022_013_QC_P_1</v>
      </c>
      <c r="J934" s="35" t="s">
        <v>52</v>
      </c>
      <c r="K934" s="5" t="n">
        <v>1</v>
      </c>
      <c r="L934" s="8" t="s">
        <v>69</v>
      </c>
      <c r="M934" s="6" t="s">
        <v>46</v>
      </c>
      <c r="N934" s="5" t="s">
        <v>78</v>
      </c>
      <c r="O934" s="5" t="s">
        <v>46</v>
      </c>
      <c r="P934" s="5" t="s">
        <v>79</v>
      </c>
      <c r="Q934" s="5" t="s">
        <v>80</v>
      </c>
      <c r="R934" s="5" t="s">
        <v>81</v>
      </c>
      <c r="S934" s="5" t="s">
        <v>46</v>
      </c>
      <c r="T934" s="5" t="s">
        <v>46</v>
      </c>
      <c r="U934" s="5" t="s">
        <v>82</v>
      </c>
      <c r="V934" s="1" t="n">
        <v>1</v>
      </c>
      <c r="W934" s="5"/>
      <c r="X934" s="5" t="s">
        <v>83</v>
      </c>
      <c r="Y934" s="5" t="n">
        <v>5500</v>
      </c>
      <c r="Z934" s="5" t="s">
        <v>1283</v>
      </c>
      <c r="AA934" s="5" t="s">
        <v>1284</v>
      </c>
      <c r="AB934" s="13" t="str">
        <f aca="true" t="array" ref="AB934:AB934">LEFT(AA934,LOOKUP(2^15,FIND(".",AA934,ROW(INDIRECT("1:"&amp;LEN(AA934)))))-1)</f>
        <v>NB_2022_061 - 22122022 - 1</v>
      </c>
      <c r="AC934" s="5" t="s">
        <v>1285</v>
      </c>
      <c r="AD934" s="13" t="str">
        <f aca="true" t="array" ref="AD934:AD934">LEFT(AC934,LOOKUP(2^15,FIND(".",AC934,ROW(INDIRECT("1:"&amp;LEN(AC934)))))-1)</f>
        <v>NB_2022_061 - 22122022 - 2</v>
      </c>
      <c r="AE934" s="5" t="str">
        <f aca="false">CONCATENATE(AB934, "-",H934, ".mzML")</f>
        <v>NB_2022_061 - 22122022 - 1-QC_P_1.mzML</v>
      </c>
      <c r="AF934" s="5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0" t="s">
        <v>1291</v>
      </c>
      <c r="B935" s="31"/>
      <c r="C935" s="3" t="s">
        <v>1292</v>
      </c>
      <c r="D935" s="5" t="s">
        <v>19</v>
      </c>
      <c r="E935" s="5" t="s">
        <v>1277</v>
      </c>
      <c r="F935" s="6" t="s">
        <v>1278</v>
      </c>
      <c r="G935" s="5" t="s">
        <v>1277</v>
      </c>
      <c r="H935" s="24" t="s">
        <v>84</v>
      </c>
      <c r="I935" s="5" t="str">
        <f aca="false">CONCATENATE(E935, "_",H935)</f>
        <v>NLA_2022_013_QC_P_2</v>
      </c>
      <c r="J935" s="35" t="s">
        <v>52</v>
      </c>
      <c r="K935" s="5" t="n">
        <v>2</v>
      </c>
      <c r="L935" s="8" t="s">
        <v>69</v>
      </c>
      <c r="M935" s="6" t="s">
        <v>46</v>
      </c>
      <c r="N935" s="5" t="s">
        <v>78</v>
      </c>
      <c r="O935" s="5" t="s">
        <v>46</v>
      </c>
      <c r="P935" s="5" t="s">
        <v>79</v>
      </c>
      <c r="Q935" s="5" t="s">
        <v>80</v>
      </c>
      <c r="R935" s="5" t="s">
        <v>81</v>
      </c>
      <c r="S935" s="5" t="s">
        <v>46</v>
      </c>
      <c r="T935" s="5" t="s">
        <v>46</v>
      </c>
      <c r="U935" s="5" t="s">
        <v>82</v>
      </c>
      <c r="V935" s="1" t="n">
        <v>2</v>
      </c>
      <c r="W935" s="5"/>
      <c r="X935" s="5" t="s">
        <v>83</v>
      </c>
      <c r="Y935" s="5" t="n">
        <v>5500</v>
      </c>
      <c r="Z935" s="5" t="s">
        <v>1283</v>
      </c>
      <c r="AA935" s="5" t="s">
        <v>1284</v>
      </c>
      <c r="AB935" s="13" t="str">
        <f aca="true" t="array" ref="AB935:AB935">LEFT(AA935,LOOKUP(2^15,FIND(".",AA935,ROW(INDIRECT("1:"&amp;LEN(AA935)))))-1)</f>
        <v>NB_2022_061 - 22122022 - 1</v>
      </c>
      <c r="AC935" s="5" t="s">
        <v>1285</v>
      </c>
      <c r="AD935" s="13" t="str">
        <f aca="true" t="array" ref="AD935:AD935">LEFT(AC935,LOOKUP(2^15,FIND(".",AC935,ROW(INDIRECT("1:"&amp;LEN(AC935)))))-1)</f>
        <v>NB_2022_061 - 22122022 - 2</v>
      </c>
      <c r="AE935" s="5" t="str">
        <f aca="false">CONCATENATE(AB935, "-",H935, ".mzML")</f>
        <v>NB_2022_061 - 22122022 - 1-QC_P_2.mzML</v>
      </c>
      <c r="AF935" s="5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0" t="s">
        <v>1291</v>
      </c>
      <c r="B936" s="31"/>
      <c r="C936" s="3" t="s">
        <v>1292</v>
      </c>
      <c r="D936" s="5" t="s">
        <v>19</v>
      </c>
      <c r="E936" s="5" t="s">
        <v>1277</v>
      </c>
      <c r="F936" s="6" t="s">
        <v>1278</v>
      </c>
      <c r="G936" s="5" t="s">
        <v>1277</v>
      </c>
      <c r="H936" s="24" t="s">
        <v>85</v>
      </c>
      <c r="I936" s="5" t="str">
        <f aca="false">CONCATENATE(E936, "_",H936)</f>
        <v>NLA_2022_013_QC_P_3</v>
      </c>
      <c r="J936" s="35" t="s">
        <v>52</v>
      </c>
      <c r="K936" s="5" t="n">
        <v>3</v>
      </c>
      <c r="L936" s="8" t="s">
        <v>69</v>
      </c>
      <c r="M936" s="6" t="s">
        <v>46</v>
      </c>
      <c r="N936" s="5" t="s">
        <v>78</v>
      </c>
      <c r="O936" s="5" t="s">
        <v>46</v>
      </c>
      <c r="P936" s="5" t="s">
        <v>79</v>
      </c>
      <c r="Q936" s="5" t="s">
        <v>80</v>
      </c>
      <c r="R936" s="5" t="s">
        <v>81</v>
      </c>
      <c r="S936" s="5" t="s">
        <v>46</v>
      </c>
      <c r="T936" s="5" t="s">
        <v>46</v>
      </c>
      <c r="U936" s="5" t="s">
        <v>82</v>
      </c>
      <c r="V936" s="1" t="n">
        <v>3</v>
      </c>
      <c r="W936" s="5"/>
      <c r="X936" s="5" t="s">
        <v>83</v>
      </c>
      <c r="Y936" s="5" t="n">
        <v>5500</v>
      </c>
      <c r="Z936" s="5" t="s">
        <v>1283</v>
      </c>
      <c r="AA936" s="5" t="s">
        <v>1284</v>
      </c>
      <c r="AB936" s="13" t="str">
        <f aca="true" t="array" ref="AB936:AB936">LEFT(AA936,LOOKUP(2^15,FIND(".",AA936,ROW(INDIRECT("1:"&amp;LEN(AA936)))))-1)</f>
        <v>NB_2022_061 - 22122022 - 1</v>
      </c>
      <c r="AC936" s="5" t="s">
        <v>1285</v>
      </c>
      <c r="AD936" s="13" t="str">
        <f aca="true" t="array" ref="AD936:AD936">LEFT(AC936,LOOKUP(2^15,FIND(".",AC936,ROW(INDIRECT("1:"&amp;LEN(AC936)))))-1)</f>
        <v>NB_2022_061 - 22122022 - 2</v>
      </c>
      <c r="AE936" s="5" t="str">
        <f aca="false">CONCATENATE(AB936, "-",H936, ".mzML")</f>
        <v>NB_2022_061 - 22122022 - 1-QC_P_3.mzML</v>
      </c>
      <c r="AF936" s="5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0" t="s">
        <v>1299</v>
      </c>
      <c r="B937" s="31"/>
      <c r="C937" s="3" t="s">
        <v>1300</v>
      </c>
      <c r="D937" s="5" t="s">
        <v>19</v>
      </c>
      <c r="E937" s="5" t="s">
        <v>1277</v>
      </c>
      <c r="F937" s="6" t="s">
        <v>1278</v>
      </c>
      <c r="G937" s="5" t="s">
        <v>1301</v>
      </c>
      <c r="H937" s="24" t="s">
        <v>139</v>
      </c>
      <c r="I937" s="5" t="str">
        <f aca="false">CONCATENATE(E937, "_",H937)</f>
        <v>NLA_2022_013_007</v>
      </c>
      <c r="J937" s="35" t="s">
        <v>38</v>
      </c>
      <c r="K937" s="5" t="s">
        <v>1302</v>
      </c>
      <c r="L937" s="8" t="s">
        <v>69</v>
      </c>
      <c r="M937" s="6" t="s">
        <v>1303</v>
      </c>
      <c r="N937" s="5" t="s">
        <v>246</v>
      </c>
      <c r="O937" s="32" t="s">
        <v>1220</v>
      </c>
      <c r="P937" s="5" t="s">
        <v>1213</v>
      </c>
      <c r="Q937" s="5" t="s">
        <v>1213</v>
      </c>
      <c r="R937" s="5" t="s">
        <v>72</v>
      </c>
      <c r="S937" s="5"/>
      <c r="T937" s="5" t="s">
        <v>1263</v>
      </c>
      <c r="U937" s="1" t="n">
        <v>1500</v>
      </c>
      <c r="V937" s="1" t="n">
        <v>1</v>
      </c>
      <c r="W937" s="5"/>
      <c r="X937" s="8" t="s">
        <v>1215</v>
      </c>
      <c r="Y937" s="1" t="n">
        <v>5500</v>
      </c>
      <c r="Z937" s="5" t="s">
        <v>1283</v>
      </c>
      <c r="AA937" s="5" t="s">
        <v>1284</v>
      </c>
      <c r="AB937" s="13" t="str">
        <f aca="true" t="array" ref="AB937:AB937">LEFT(AA937,LOOKUP(2^15,FIND(".",AA937,ROW(INDIRECT("1:"&amp;LEN(AA937)))))-1)</f>
        <v>NB_2022_061 - 22122022 - 1</v>
      </c>
      <c r="AC937" s="5" t="s">
        <v>1285</v>
      </c>
      <c r="AD937" s="13" t="str">
        <f aca="true" t="array" ref="AD937:AD937">LEFT(AC937,LOOKUP(2^15,FIND(".",AC937,ROW(INDIRECT("1:"&amp;LEN(AC937)))))-1)</f>
        <v>NB_2022_061 - 22122022 - 2</v>
      </c>
      <c r="AE937" s="5" t="str">
        <f aca="false">CONCATENATE(AB937, "-",H937, ".mzML")</f>
        <v>NB_2022_061 - 22122022 - 1-007.mzML</v>
      </c>
      <c r="AF937" s="5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0" t="s">
        <v>1299</v>
      </c>
      <c r="B938" s="31"/>
      <c r="C938" s="3" t="s">
        <v>1300</v>
      </c>
      <c r="D938" s="5" t="s">
        <v>19</v>
      </c>
      <c r="E938" s="5" t="s">
        <v>1277</v>
      </c>
      <c r="F938" s="6" t="s">
        <v>1278</v>
      </c>
      <c r="G938" s="5" t="s">
        <v>1301</v>
      </c>
      <c r="H938" s="24" t="s">
        <v>142</v>
      </c>
      <c r="I938" s="5" t="str">
        <f aca="false">CONCATENATE(E938, "_",H938)</f>
        <v>NLA_2022_013_008</v>
      </c>
      <c r="J938" s="35" t="s">
        <v>38</v>
      </c>
      <c r="K938" s="5" t="s">
        <v>1304</v>
      </c>
      <c r="L938" s="8" t="s">
        <v>69</v>
      </c>
      <c r="M938" s="6" t="s">
        <v>1303</v>
      </c>
      <c r="N938" s="5" t="s">
        <v>246</v>
      </c>
      <c r="O938" s="32" t="s">
        <v>1220</v>
      </c>
      <c r="P938" s="5" t="s">
        <v>1213</v>
      </c>
      <c r="Q938" s="5" t="s">
        <v>1213</v>
      </c>
      <c r="R938" s="5" t="s">
        <v>72</v>
      </c>
      <c r="S938" s="5"/>
      <c r="T938" s="5" t="s">
        <v>1263</v>
      </c>
      <c r="U938" s="1" t="n">
        <v>1500</v>
      </c>
      <c r="V938" s="1" t="n">
        <v>2</v>
      </c>
      <c r="W938" s="5"/>
      <c r="X938" s="8" t="s">
        <v>1215</v>
      </c>
      <c r="Y938" s="1" t="n">
        <v>5500</v>
      </c>
      <c r="Z938" s="5" t="s">
        <v>1283</v>
      </c>
      <c r="AA938" s="5" t="s">
        <v>1284</v>
      </c>
      <c r="AB938" s="13" t="str">
        <f aca="true" t="array" ref="AB938:AB938">LEFT(AA938,LOOKUP(2^15,FIND(".",AA938,ROW(INDIRECT("1:"&amp;LEN(AA938)))))-1)</f>
        <v>NB_2022_061 - 22122022 - 1</v>
      </c>
      <c r="AC938" s="5" t="s">
        <v>1285</v>
      </c>
      <c r="AD938" s="13" t="str">
        <f aca="true" t="array" ref="AD938:AD938">LEFT(AC938,LOOKUP(2^15,FIND(".",AC938,ROW(INDIRECT("1:"&amp;LEN(AC938)))))-1)</f>
        <v>NB_2022_061 - 22122022 - 2</v>
      </c>
      <c r="AE938" s="5" t="str">
        <f aca="false">CONCATENATE(AB938, "-",H938, ".mzML")</f>
        <v>NB_2022_061 - 22122022 - 1-008.mzML</v>
      </c>
      <c r="AF938" s="5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0" t="s">
        <v>1299</v>
      </c>
      <c r="B939" s="31"/>
      <c r="C939" s="3" t="s">
        <v>1300</v>
      </c>
      <c r="D939" s="5" t="s">
        <v>19</v>
      </c>
      <c r="E939" s="5" t="s">
        <v>1277</v>
      </c>
      <c r="F939" s="6" t="s">
        <v>1278</v>
      </c>
      <c r="G939" s="5" t="s">
        <v>1301</v>
      </c>
      <c r="H939" s="24" t="s">
        <v>37</v>
      </c>
      <c r="I939" s="5" t="str">
        <f aca="false">CONCATENATE(E939, "_",H939)</f>
        <v>NLA_2022_013_009</v>
      </c>
      <c r="J939" s="35" t="s">
        <v>38</v>
      </c>
      <c r="K939" s="5" t="s">
        <v>1305</v>
      </c>
      <c r="L939" s="8" t="s">
        <v>69</v>
      </c>
      <c r="M939" s="6" t="s">
        <v>1303</v>
      </c>
      <c r="N939" s="5" t="s">
        <v>246</v>
      </c>
      <c r="O939" s="32" t="s">
        <v>1220</v>
      </c>
      <c r="P939" s="5" t="s">
        <v>1213</v>
      </c>
      <c r="Q939" s="5" t="s">
        <v>1213</v>
      </c>
      <c r="R939" s="5" t="s">
        <v>72</v>
      </c>
      <c r="S939" s="5"/>
      <c r="T939" s="5" t="s">
        <v>1263</v>
      </c>
      <c r="U939" s="1" t="n">
        <v>1500</v>
      </c>
      <c r="V939" s="1" t="n">
        <v>3</v>
      </c>
      <c r="W939" s="5"/>
      <c r="X939" s="8" t="s">
        <v>1215</v>
      </c>
      <c r="Y939" s="1" t="n">
        <v>5500</v>
      </c>
      <c r="Z939" s="5" t="s">
        <v>1283</v>
      </c>
      <c r="AA939" s="5" t="s">
        <v>1284</v>
      </c>
      <c r="AB939" s="13" t="str">
        <f aca="true" t="array" ref="AB939:AB939">LEFT(AA939,LOOKUP(2^15,FIND(".",AA939,ROW(INDIRECT("1:"&amp;LEN(AA939)))))-1)</f>
        <v>NB_2022_061 - 22122022 - 1</v>
      </c>
      <c r="AC939" s="5" t="s">
        <v>1285</v>
      </c>
      <c r="AD939" s="13" t="str">
        <f aca="true" t="array" ref="AD939:AD939">LEFT(AC939,LOOKUP(2^15,FIND(".",AC939,ROW(INDIRECT("1:"&amp;LEN(AC939)))))-1)</f>
        <v>NB_2022_061 - 22122022 - 2</v>
      </c>
      <c r="AE939" s="5" t="str">
        <f aca="false">CONCATENATE(AB939, "-",H939, ".mzML")</f>
        <v>NB_2022_061 - 22122022 - 1-009.mzML</v>
      </c>
      <c r="AF939" s="5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0" t="s">
        <v>1299</v>
      </c>
      <c r="B940" s="31"/>
      <c r="C940" s="3" t="s">
        <v>1300</v>
      </c>
      <c r="D940" s="5" t="s">
        <v>19</v>
      </c>
      <c r="E940" s="5" t="s">
        <v>1277</v>
      </c>
      <c r="F940" s="6" t="s">
        <v>1278</v>
      </c>
      <c r="G940" s="5" t="s">
        <v>1301</v>
      </c>
      <c r="H940" s="24" t="s">
        <v>129</v>
      </c>
      <c r="I940" s="5" t="str">
        <f aca="false">CONCATENATE(E940, "_",H940)</f>
        <v>NLA_2022_013_010</v>
      </c>
      <c r="J940" s="35" t="s">
        <v>52</v>
      </c>
      <c r="K940" s="5" t="s">
        <v>1306</v>
      </c>
      <c r="L940" s="8" t="s">
        <v>69</v>
      </c>
      <c r="M940" s="6" t="s">
        <v>1303</v>
      </c>
      <c r="N940" s="5" t="s">
        <v>246</v>
      </c>
      <c r="O940" s="32" t="s">
        <v>1220</v>
      </c>
      <c r="P940" s="5" t="s">
        <v>1213</v>
      </c>
      <c r="Q940" s="5" t="s">
        <v>1213</v>
      </c>
      <c r="R940" s="5" t="s">
        <v>72</v>
      </c>
      <c r="S940" s="5"/>
      <c r="T940" s="5" t="s">
        <v>1265</v>
      </c>
      <c r="U940" s="1" t="n">
        <v>1500</v>
      </c>
      <c r="V940" s="1" t="n">
        <v>1</v>
      </c>
      <c r="W940" s="5"/>
      <c r="X940" s="8" t="s">
        <v>1215</v>
      </c>
      <c r="Y940" s="1" t="n">
        <v>5500</v>
      </c>
      <c r="Z940" s="5" t="s">
        <v>1283</v>
      </c>
      <c r="AA940" s="5" t="s">
        <v>1284</v>
      </c>
      <c r="AB940" s="13" t="str">
        <f aca="true" t="array" ref="AB940:AB940">LEFT(AA940,LOOKUP(2^15,FIND(".",AA940,ROW(INDIRECT("1:"&amp;LEN(AA940)))))-1)</f>
        <v>NB_2022_061 - 22122022 - 1</v>
      </c>
      <c r="AC940" s="5" t="s">
        <v>1285</v>
      </c>
      <c r="AD940" s="13" t="str">
        <f aca="true" t="array" ref="AD940:AD940">LEFT(AC940,LOOKUP(2^15,FIND(".",AC940,ROW(INDIRECT("1:"&amp;LEN(AC940)))))-1)</f>
        <v>NB_2022_061 - 22122022 - 2</v>
      </c>
      <c r="AE940" s="5" t="str">
        <f aca="false">CONCATENATE(AB940, "-",H940, ".mzML")</f>
        <v>NB_2022_061 - 22122022 - 1-010.mzML</v>
      </c>
      <c r="AF940" s="5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0" t="s">
        <v>1299</v>
      </c>
      <c r="B941" s="31"/>
      <c r="C941" s="3" t="s">
        <v>1300</v>
      </c>
      <c r="D941" s="5" t="s">
        <v>19</v>
      </c>
      <c r="E941" s="5" t="s">
        <v>1277</v>
      </c>
      <c r="F941" s="6" t="s">
        <v>1278</v>
      </c>
      <c r="G941" s="5" t="s">
        <v>1301</v>
      </c>
      <c r="H941" s="24" t="s">
        <v>132</v>
      </c>
      <c r="I941" s="5" t="str">
        <f aca="false">CONCATENATE(E941, "_",H941)</f>
        <v>NLA_2022_013_011</v>
      </c>
      <c r="J941" s="35" t="s">
        <v>52</v>
      </c>
      <c r="K941" s="5" t="s">
        <v>1307</v>
      </c>
      <c r="L941" s="8" t="s">
        <v>69</v>
      </c>
      <c r="M941" s="6" t="s">
        <v>1303</v>
      </c>
      <c r="N941" s="5" t="s">
        <v>246</v>
      </c>
      <c r="O941" s="32" t="s">
        <v>1220</v>
      </c>
      <c r="P941" s="5" t="s">
        <v>1213</v>
      </c>
      <c r="Q941" s="5" t="s">
        <v>1213</v>
      </c>
      <c r="R941" s="5" t="s">
        <v>72</v>
      </c>
      <c r="S941" s="5"/>
      <c r="T941" s="5" t="s">
        <v>1265</v>
      </c>
      <c r="U941" s="1" t="n">
        <v>1500</v>
      </c>
      <c r="V941" s="1" t="n">
        <v>2</v>
      </c>
      <c r="W941" s="5"/>
      <c r="X941" s="8" t="s">
        <v>1215</v>
      </c>
      <c r="Y941" s="1" t="n">
        <v>5500</v>
      </c>
      <c r="Z941" s="5" t="s">
        <v>1283</v>
      </c>
      <c r="AA941" s="5" t="s">
        <v>1284</v>
      </c>
      <c r="AB941" s="13" t="str">
        <f aca="true" t="array" ref="AB941:AB941">LEFT(AA941,LOOKUP(2^15,FIND(".",AA941,ROW(INDIRECT("1:"&amp;LEN(AA941)))))-1)</f>
        <v>NB_2022_061 - 22122022 - 1</v>
      </c>
      <c r="AC941" s="5" t="s">
        <v>1285</v>
      </c>
      <c r="AD941" s="13" t="str">
        <f aca="true" t="array" ref="AD941:AD941">LEFT(AC941,LOOKUP(2^15,FIND(".",AC941,ROW(INDIRECT("1:"&amp;LEN(AC941)))))-1)</f>
        <v>NB_2022_061 - 22122022 - 2</v>
      </c>
      <c r="AE941" s="5" t="str">
        <f aca="false">CONCATENATE(AB941, "-",H941, ".mzML")</f>
        <v>NB_2022_061 - 22122022 - 1-011.mzML</v>
      </c>
      <c r="AF941" s="5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0" t="s">
        <v>1299</v>
      </c>
      <c r="B942" s="31"/>
      <c r="C942" s="3" t="s">
        <v>1300</v>
      </c>
      <c r="D942" s="5" t="s">
        <v>19</v>
      </c>
      <c r="E942" s="5" t="s">
        <v>1277</v>
      </c>
      <c r="F942" s="6" t="s">
        <v>1278</v>
      </c>
      <c r="G942" s="5" t="s">
        <v>1301</v>
      </c>
      <c r="H942" s="24" t="s">
        <v>51</v>
      </c>
      <c r="I942" s="5" t="str">
        <f aca="false">CONCATENATE(E942, "_",H942)</f>
        <v>NLA_2022_013_012</v>
      </c>
      <c r="J942" s="35" t="s">
        <v>52</v>
      </c>
      <c r="K942" s="5" t="s">
        <v>1308</v>
      </c>
      <c r="L942" s="8" t="s">
        <v>69</v>
      </c>
      <c r="M942" s="6" t="s">
        <v>1303</v>
      </c>
      <c r="N942" s="5" t="s">
        <v>246</v>
      </c>
      <c r="O942" s="32" t="s">
        <v>1220</v>
      </c>
      <c r="P942" s="5" t="s">
        <v>1213</v>
      </c>
      <c r="Q942" s="5" t="s">
        <v>1213</v>
      </c>
      <c r="R942" s="5" t="s">
        <v>72</v>
      </c>
      <c r="S942" s="5"/>
      <c r="T942" s="5" t="s">
        <v>1265</v>
      </c>
      <c r="U942" s="1" t="n">
        <v>1500</v>
      </c>
      <c r="V942" s="1" t="n">
        <v>3</v>
      </c>
      <c r="W942" s="5"/>
      <c r="X942" s="8" t="s">
        <v>1215</v>
      </c>
      <c r="Y942" s="1" t="n">
        <v>5500</v>
      </c>
      <c r="Z942" s="5" t="s">
        <v>1283</v>
      </c>
      <c r="AA942" s="5" t="s">
        <v>1284</v>
      </c>
      <c r="AB942" s="13" t="str">
        <f aca="true" t="array" ref="AB942:AB942">LEFT(AA942,LOOKUP(2^15,FIND(".",AA942,ROW(INDIRECT("1:"&amp;LEN(AA942)))))-1)</f>
        <v>NB_2022_061 - 22122022 - 1</v>
      </c>
      <c r="AC942" s="5" t="s">
        <v>1285</v>
      </c>
      <c r="AD942" s="13" t="str">
        <f aca="true" t="array" ref="AD942:AD942">LEFT(AC942,LOOKUP(2^15,FIND(".",AC942,ROW(INDIRECT("1:"&amp;LEN(AC942)))))-1)</f>
        <v>NB_2022_061 - 22122022 - 2</v>
      </c>
      <c r="AE942" s="5" t="str">
        <f aca="false">CONCATENATE(AB942, "-",H942, ".mzML")</f>
        <v>NB_2022_061 - 22122022 - 1-012.mzML</v>
      </c>
      <c r="AF942" s="5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0" t="s">
        <v>1299</v>
      </c>
      <c r="B943" s="31"/>
      <c r="C943" s="3" t="s">
        <v>1300</v>
      </c>
      <c r="D943" s="5" t="s">
        <v>19</v>
      </c>
      <c r="E943" s="5" t="s">
        <v>1277</v>
      </c>
      <c r="F943" s="6" t="s">
        <v>1278</v>
      </c>
      <c r="G943" s="5" t="s">
        <v>1277</v>
      </c>
      <c r="H943" s="24" t="s">
        <v>64</v>
      </c>
      <c r="I943" s="5" t="str">
        <f aca="false">CONCATENATE(E943, "_",H943)</f>
        <v>NLA_2022_013_Blank_1</v>
      </c>
      <c r="J943" s="35" t="s">
        <v>52</v>
      </c>
      <c r="K943" s="5" t="n">
        <v>1</v>
      </c>
      <c r="L943" s="8" t="s">
        <v>46</v>
      </c>
      <c r="M943" s="6" t="s">
        <v>46</v>
      </c>
      <c r="N943" s="5" t="s">
        <v>65</v>
      </c>
      <c r="O943" s="5" t="s">
        <v>46</v>
      </c>
      <c r="P943" s="5" t="s">
        <v>46</v>
      </c>
      <c r="Q943" s="5" t="s">
        <v>46</v>
      </c>
      <c r="R943" s="5" t="s">
        <v>46</v>
      </c>
      <c r="S943" s="5" t="s">
        <v>46</v>
      </c>
      <c r="T943" s="5" t="s">
        <v>46</v>
      </c>
      <c r="U943" s="5" t="s">
        <v>46</v>
      </c>
      <c r="V943" s="1" t="n">
        <v>1</v>
      </c>
      <c r="W943" s="5"/>
      <c r="X943" s="5" t="s">
        <v>46</v>
      </c>
      <c r="Y943" s="1" t="n">
        <v>5500</v>
      </c>
      <c r="Z943" s="5" t="s">
        <v>1283</v>
      </c>
      <c r="AA943" s="5" t="s">
        <v>1284</v>
      </c>
      <c r="AB943" s="13" t="str">
        <f aca="true" t="array" ref="AB943:AB943">LEFT(AA943,LOOKUP(2^15,FIND(".",AA943,ROW(INDIRECT("1:"&amp;LEN(AA943)))))-1)</f>
        <v>NB_2022_061 - 22122022 - 1</v>
      </c>
      <c r="AC943" s="5" t="s">
        <v>1285</v>
      </c>
      <c r="AD943" s="13" t="str">
        <f aca="true" t="array" ref="AD943:AD943">LEFT(AC943,LOOKUP(2^15,FIND(".",AC943,ROW(INDIRECT("1:"&amp;LEN(AC943)))))-1)</f>
        <v>NB_2022_061 - 22122022 - 2</v>
      </c>
      <c r="AE943" s="5" t="str">
        <f aca="false">CONCATENATE(AB943, "-",H943, ".mzML")</f>
        <v>NB_2022_061 - 22122022 - 1-Blank_1.mzML</v>
      </c>
      <c r="AF943" s="5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0" t="s">
        <v>1299</v>
      </c>
      <c r="B944" s="31"/>
      <c r="C944" s="3" t="s">
        <v>1300</v>
      </c>
      <c r="D944" s="5" t="s">
        <v>19</v>
      </c>
      <c r="E944" s="5" t="s">
        <v>1277</v>
      </c>
      <c r="F944" s="6" t="s">
        <v>1278</v>
      </c>
      <c r="G944" s="5" t="s">
        <v>1277</v>
      </c>
      <c r="H944" s="24" t="s">
        <v>66</v>
      </c>
      <c r="I944" s="5" t="str">
        <f aca="false">CONCATENATE(E944, "_",H944)</f>
        <v>NLA_2022_013_Blank_2</v>
      </c>
      <c r="J944" s="35" t="s">
        <v>52</v>
      </c>
      <c r="K944" s="5" t="n">
        <v>2</v>
      </c>
      <c r="L944" s="8" t="s">
        <v>46</v>
      </c>
      <c r="M944" s="6" t="s">
        <v>46</v>
      </c>
      <c r="N944" s="5" t="s">
        <v>65</v>
      </c>
      <c r="O944" s="5" t="s">
        <v>46</v>
      </c>
      <c r="P944" s="5" t="s">
        <v>46</v>
      </c>
      <c r="Q944" s="5" t="s">
        <v>46</v>
      </c>
      <c r="R944" s="5" t="s">
        <v>46</v>
      </c>
      <c r="S944" s="5" t="s">
        <v>46</v>
      </c>
      <c r="T944" s="5" t="s">
        <v>46</v>
      </c>
      <c r="U944" s="5" t="s">
        <v>46</v>
      </c>
      <c r="V944" s="1" t="n">
        <v>2</v>
      </c>
      <c r="W944" s="5"/>
      <c r="X944" s="5" t="s">
        <v>46</v>
      </c>
      <c r="Y944" s="1" t="n">
        <v>5500</v>
      </c>
      <c r="Z944" s="5" t="s">
        <v>1283</v>
      </c>
      <c r="AA944" s="5" t="s">
        <v>1284</v>
      </c>
      <c r="AB944" s="13" t="str">
        <f aca="true" t="array" ref="AB944:AB944">LEFT(AA944,LOOKUP(2^15,FIND(".",AA944,ROW(INDIRECT("1:"&amp;LEN(AA944)))))-1)</f>
        <v>NB_2022_061 - 22122022 - 1</v>
      </c>
      <c r="AC944" s="5" t="s">
        <v>1285</v>
      </c>
      <c r="AD944" s="13" t="str">
        <f aca="true" t="array" ref="AD944:AD944">LEFT(AC944,LOOKUP(2^15,FIND(".",AC944,ROW(INDIRECT("1:"&amp;LEN(AC944)))))-1)</f>
        <v>NB_2022_061 - 22122022 - 2</v>
      </c>
      <c r="AE944" s="5" t="str">
        <f aca="false">CONCATENATE(AB944, "-",H944, ".mzML")</f>
        <v>NB_2022_061 - 22122022 - 1-Blank_2.mzML</v>
      </c>
      <c r="AF944" s="5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0" t="s">
        <v>1299</v>
      </c>
      <c r="B945" s="31"/>
      <c r="C945" s="3" t="s">
        <v>1300</v>
      </c>
      <c r="D945" s="5" t="s">
        <v>19</v>
      </c>
      <c r="E945" s="5" t="s">
        <v>1277</v>
      </c>
      <c r="F945" s="6" t="s">
        <v>1278</v>
      </c>
      <c r="G945" s="5" t="s">
        <v>1277</v>
      </c>
      <c r="H945" s="24" t="s">
        <v>67</v>
      </c>
      <c r="I945" s="5" t="str">
        <f aca="false">CONCATENATE(E945, "_",H945)</f>
        <v>NLA_2022_013_Blank_3</v>
      </c>
      <c r="J945" s="35" t="s">
        <v>52</v>
      </c>
      <c r="K945" s="5" t="n">
        <v>3</v>
      </c>
      <c r="L945" s="8" t="s">
        <v>46</v>
      </c>
      <c r="M945" s="6" t="s">
        <v>46</v>
      </c>
      <c r="N945" s="5" t="s">
        <v>65</v>
      </c>
      <c r="O945" s="5" t="s">
        <v>46</v>
      </c>
      <c r="P945" s="5" t="s">
        <v>46</v>
      </c>
      <c r="Q945" s="5" t="s">
        <v>46</v>
      </c>
      <c r="R945" s="5" t="s">
        <v>46</v>
      </c>
      <c r="S945" s="5" t="s">
        <v>46</v>
      </c>
      <c r="T945" s="5" t="s">
        <v>46</v>
      </c>
      <c r="U945" s="5" t="s">
        <v>46</v>
      </c>
      <c r="V945" s="1" t="n">
        <v>3</v>
      </c>
      <c r="W945" s="5"/>
      <c r="X945" s="5" t="s">
        <v>46</v>
      </c>
      <c r="Y945" s="1" t="n">
        <v>5500</v>
      </c>
      <c r="Z945" s="5" t="s">
        <v>1283</v>
      </c>
      <c r="AA945" s="5" t="s">
        <v>1284</v>
      </c>
      <c r="AB945" s="13" t="str">
        <f aca="true" t="array" ref="AB945:AB945">LEFT(AA945,LOOKUP(2^15,FIND(".",AA945,ROW(INDIRECT("1:"&amp;LEN(AA945)))))-1)</f>
        <v>NB_2022_061 - 22122022 - 1</v>
      </c>
      <c r="AC945" s="5" t="s">
        <v>1285</v>
      </c>
      <c r="AD945" s="13" t="str">
        <f aca="true" t="array" ref="AD945:AD945">LEFT(AC945,LOOKUP(2^15,FIND(".",AC945,ROW(INDIRECT("1:"&amp;LEN(AC945)))))-1)</f>
        <v>NB_2022_061 - 22122022 - 2</v>
      </c>
      <c r="AE945" s="5" t="str">
        <f aca="false">CONCATENATE(AB945, "-",H945, ".mzML")</f>
        <v>NB_2022_061 - 22122022 - 1-Blank_3.mzML</v>
      </c>
      <c r="AF945" s="5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0" t="s">
        <v>1299</v>
      </c>
      <c r="B946" s="31"/>
      <c r="C946" s="3" t="s">
        <v>1300</v>
      </c>
      <c r="D946" s="5" t="s">
        <v>19</v>
      </c>
      <c r="E946" s="5" t="s">
        <v>1277</v>
      </c>
      <c r="F946" s="6" t="s">
        <v>1278</v>
      </c>
      <c r="G946" s="5" t="s">
        <v>1277</v>
      </c>
      <c r="H946" s="24" t="s">
        <v>68</v>
      </c>
      <c r="I946" s="5" t="str">
        <f aca="false">CONCATENATE(E946, "_",H946)</f>
        <v>NLA_2022_013_QC_C_1</v>
      </c>
      <c r="J946" s="35" t="s">
        <v>52</v>
      </c>
      <c r="K946" s="5" t="n">
        <v>1</v>
      </c>
      <c r="L946" s="8" t="s">
        <v>69</v>
      </c>
      <c r="M946" s="1" t="s">
        <v>46</v>
      </c>
      <c r="N946" s="5" t="s">
        <v>70</v>
      </c>
      <c r="O946" s="5" t="s">
        <v>46</v>
      </c>
      <c r="P946" s="5" t="s">
        <v>71</v>
      </c>
      <c r="Q946" s="5" t="s">
        <v>71</v>
      </c>
      <c r="R946" s="5" t="s">
        <v>72</v>
      </c>
      <c r="S946" s="5" t="s">
        <v>73</v>
      </c>
      <c r="T946" s="5" t="s">
        <v>46</v>
      </c>
      <c r="U946" s="5" t="n">
        <v>1000</v>
      </c>
      <c r="V946" s="1" t="n">
        <v>1</v>
      </c>
      <c r="W946" s="5"/>
      <c r="X946" s="5" t="s">
        <v>74</v>
      </c>
      <c r="Y946" s="5" t="n">
        <v>5500</v>
      </c>
      <c r="Z946" s="5" t="s">
        <v>1283</v>
      </c>
      <c r="AA946" s="5" t="s">
        <v>1284</v>
      </c>
      <c r="AB946" s="13" t="str">
        <f aca="true" t="array" ref="AB946:AB946">LEFT(AA946,LOOKUP(2^15,FIND(".",AA946,ROW(INDIRECT("1:"&amp;LEN(AA946)))))-1)</f>
        <v>NB_2022_061 - 22122022 - 1</v>
      </c>
      <c r="AC946" s="5" t="s">
        <v>1285</v>
      </c>
      <c r="AD946" s="13" t="str">
        <f aca="true" t="array" ref="AD946:AD946">LEFT(AC946,LOOKUP(2^15,FIND(".",AC946,ROW(INDIRECT("1:"&amp;LEN(AC946)))))-1)</f>
        <v>NB_2022_061 - 22122022 - 2</v>
      </c>
      <c r="AE946" s="5" t="str">
        <f aca="false">CONCATENATE(AB946, "-",H946, ".mzML")</f>
        <v>NB_2022_061 - 22122022 - 1-QC_C_1.mzML</v>
      </c>
      <c r="AF946" s="5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0" t="s">
        <v>1299</v>
      </c>
      <c r="B947" s="31"/>
      <c r="C947" s="3" t="s">
        <v>1300</v>
      </c>
      <c r="D947" s="5" t="s">
        <v>19</v>
      </c>
      <c r="E947" s="5" t="s">
        <v>1277</v>
      </c>
      <c r="F947" s="6" t="s">
        <v>1278</v>
      </c>
      <c r="G947" s="5" t="s">
        <v>1277</v>
      </c>
      <c r="H947" s="24" t="s">
        <v>75</v>
      </c>
      <c r="I947" s="5" t="str">
        <f aca="false">CONCATENATE(E947, "_",H947)</f>
        <v>NLA_2022_013_QC_C_2</v>
      </c>
      <c r="J947" s="35" t="s">
        <v>52</v>
      </c>
      <c r="K947" s="5" t="n">
        <v>2</v>
      </c>
      <c r="L947" s="8" t="s">
        <v>69</v>
      </c>
      <c r="M947" s="1" t="s">
        <v>46</v>
      </c>
      <c r="N947" s="5" t="s">
        <v>70</v>
      </c>
      <c r="O947" s="5" t="s">
        <v>46</v>
      </c>
      <c r="P947" s="5" t="s">
        <v>71</v>
      </c>
      <c r="Q947" s="5" t="s">
        <v>71</v>
      </c>
      <c r="R947" s="5" t="s">
        <v>72</v>
      </c>
      <c r="S947" s="5" t="s">
        <v>73</v>
      </c>
      <c r="T947" s="5" t="s">
        <v>46</v>
      </c>
      <c r="U947" s="5" t="n">
        <v>1000</v>
      </c>
      <c r="V947" s="1" t="n">
        <v>2</v>
      </c>
      <c r="W947" s="5"/>
      <c r="X947" s="5" t="s">
        <v>74</v>
      </c>
      <c r="Y947" s="5" t="n">
        <v>5500</v>
      </c>
      <c r="Z947" s="5" t="s">
        <v>1283</v>
      </c>
      <c r="AA947" s="5" t="s">
        <v>1284</v>
      </c>
      <c r="AB947" s="13" t="str">
        <f aca="true" t="array" ref="AB947:AB947">LEFT(AA947,LOOKUP(2^15,FIND(".",AA947,ROW(INDIRECT("1:"&amp;LEN(AA947)))))-1)</f>
        <v>NB_2022_061 - 22122022 - 1</v>
      </c>
      <c r="AC947" s="5" t="s">
        <v>1285</v>
      </c>
      <c r="AD947" s="13" t="str">
        <f aca="true" t="array" ref="AD947:AD947">LEFT(AC947,LOOKUP(2^15,FIND(".",AC947,ROW(INDIRECT("1:"&amp;LEN(AC947)))))-1)</f>
        <v>NB_2022_061 - 22122022 - 2</v>
      </c>
      <c r="AE947" s="5" t="str">
        <f aca="false">CONCATENATE(AB947, "-",H947, ".mzML")</f>
        <v>NB_2022_061 - 22122022 - 1-QC_C_2.mzML</v>
      </c>
      <c r="AF947" s="5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0" t="s">
        <v>1299</v>
      </c>
      <c r="B948" s="31"/>
      <c r="C948" s="3" t="s">
        <v>1300</v>
      </c>
      <c r="D948" s="5" t="s">
        <v>19</v>
      </c>
      <c r="E948" s="5" t="s">
        <v>1277</v>
      </c>
      <c r="F948" s="6" t="s">
        <v>1278</v>
      </c>
      <c r="G948" s="5" t="s">
        <v>1277</v>
      </c>
      <c r="H948" s="24" t="s">
        <v>76</v>
      </c>
      <c r="I948" s="5" t="str">
        <f aca="false">CONCATENATE(E948, "_",H948)</f>
        <v>NLA_2022_013_QC_C_3</v>
      </c>
      <c r="J948" s="35" t="s">
        <v>52</v>
      </c>
      <c r="K948" s="5" t="n">
        <v>3</v>
      </c>
      <c r="L948" s="8" t="s">
        <v>69</v>
      </c>
      <c r="M948" s="1" t="s">
        <v>46</v>
      </c>
      <c r="N948" s="5" t="s">
        <v>70</v>
      </c>
      <c r="O948" s="5" t="s">
        <v>46</v>
      </c>
      <c r="P948" s="5" t="s">
        <v>71</v>
      </c>
      <c r="Q948" s="5" t="s">
        <v>71</v>
      </c>
      <c r="R948" s="5" t="s">
        <v>72</v>
      </c>
      <c r="S948" s="5" t="s">
        <v>73</v>
      </c>
      <c r="T948" s="5" t="s">
        <v>46</v>
      </c>
      <c r="U948" s="5" t="n">
        <v>1000</v>
      </c>
      <c r="V948" s="1" t="n">
        <v>3</v>
      </c>
      <c r="W948" s="5"/>
      <c r="X948" s="5" t="s">
        <v>74</v>
      </c>
      <c r="Y948" s="5" t="n">
        <v>5500</v>
      </c>
      <c r="Z948" s="5" t="s">
        <v>1283</v>
      </c>
      <c r="AA948" s="5" t="s">
        <v>1284</v>
      </c>
      <c r="AB948" s="13" t="str">
        <f aca="true" t="array" ref="AB948:AB948">LEFT(AA948,LOOKUP(2^15,FIND(".",AA948,ROW(INDIRECT("1:"&amp;LEN(AA948)))))-1)</f>
        <v>NB_2022_061 - 22122022 - 1</v>
      </c>
      <c r="AC948" s="5" t="s">
        <v>1285</v>
      </c>
      <c r="AD948" s="13" t="str">
        <f aca="true" t="array" ref="AD948:AD948">LEFT(AC948,LOOKUP(2^15,FIND(".",AC948,ROW(INDIRECT("1:"&amp;LEN(AC948)))))-1)</f>
        <v>NB_2022_061 - 22122022 - 2</v>
      </c>
      <c r="AE948" s="5" t="str">
        <f aca="false">CONCATENATE(AB948, "-",H948, ".mzML")</f>
        <v>NB_2022_061 - 22122022 - 1-QC_C_3.mzML</v>
      </c>
      <c r="AF948" s="5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0" t="s">
        <v>1299</v>
      </c>
      <c r="B949" s="31"/>
      <c r="C949" s="3" t="s">
        <v>1300</v>
      </c>
      <c r="D949" s="5" t="s">
        <v>19</v>
      </c>
      <c r="E949" s="5" t="s">
        <v>1277</v>
      </c>
      <c r="F949" s="6" t="s">
        <v>1278</v>
      </c>
      <c r="G949" s="5" t="s">
        <v>1277</v>
      </c>
      <c r="H949" s="24" t="s">
        <v>77</v>
      </c>
      <c r="I949" s="5" t="str">
        <f aca="false">CONCATENATE(E949, "_",H949)</f>
        <v>NLA_2022_013_QC_P_1</v>
      </c>
      <c r="J949" s="35" t="s">
        <v>52</v>
      </c>
      <c r="K949" s="5" t="n">
        <v>1</v>
      </c>
      <c r="L949" s="8" t="s">
        <v>69</v>
      </c>
      <c r="M949" s="6" t="s">
        <v>46</v>
      </c>
      <c r="N949" s="5" t="s">
        <v>78</v>
      </c>
      <c r="O949" s="5" t="s">
        <v>46</v>
      </c>
      <c r="P949" s="5" t="s">
        <v>79</v>
      </c>
      <c r="Q949" s="5" t="s">
        <v>80</v>
      </c>
      <c r="R949" s="5" t="s">
        <v>81</v>
      </c>
      <c r="S949" s="5" t="s">
        <v>46</v>
      </c>
      <c r="T949" s="5" t="s">
        <v>46</v>
      </c>
      <c r="U949" s="5" t="s">
        <v>82</v>
      </c>
      <c r="V949" s="1" t="n">
        <v>1</v>
      </c>
      <c r="W949" s="5"/>
      <c r="X949" s="5" t="s">
        <v>83</v>
      </c>
      <c r="Y949" s="5" t="n">
        <v>5500</v>
      </c>
      <c r="Z949" s="5" t="s">
        <v>1283</v>
      </c>
      <c r="AA949" s="5" t="s">
        <v>1284</v>
      </c>
      <c r="AB949" s="13" t="str">
        <f aca="true" t="array" ref="AB949:AB949">LEFT(AA949,LOOKUP(2^15,FIND(".",AA949,ROW(INDIRECT("1:"&amp;LEN(AA949)))))-1)</f>
        <v>NB_2022_061 - 22122022 - 1</v>
      </c>
      <c r="AC949" s="5" t="s">
        <v>1285</v>
      </c>
      <c r="AD949" s="13" t="str">
        <f aca="true" t="array" ref="AD949:AD949">LEFT(AC949,LOOKUP(2^15,FIND(".",AC949,ROW(INDIRECT("1:"&amp;LEN(AC949)))))-1)</f>
        <v>NB_2022_061 - 22122022 - 2</v>
      </c>
      <c r="AE949" s="5" t="str">
        <f aca="false">CONCATENATE(AB949, "-",H949, ".mzML")</f>
        <v>NB_2022_061 - 22122022 - 1-QC_P_1.mzML</v>
      </c>
      <c r="AF949" s="5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0" t="s">
        <v>1299</v>
      </c>
      <c r="B950" s="31"/>
      <c r="C950" s="3" t="s">
        <v>1300</v>
      </c>
      <c r="D950" s="5" t="s">
        <v>19</v>
      </c>
      <c r="E950" s="5" t="s">
        <v>1277</v>
      </c>
      <c r="F950" s="6" t="s">
        <v>1278</v>
      </c>
      <c r="G950" s="5" t="s">
        <v>1277</v>
      </c>
      <c r="H950" s="24" t="s">
        <v>84</v>
      </c>
      <c r="I950" s="5" t="str">
        <f aca="false">CONCATENATE(E950, "_",H950)</f>
        <v>NLA_2022_013_QC_P_2</v>
      </c>
      <c r="J950" s="35" t="s">
        <v>52</v>
      </c>
      <c r="K950" s="5" t="n">
        <v>2</v>
      </c>
      <c r="L950" s="8" t="s">
        <v>69</v>
      </c>
      <c r="M950" s="6" t="s">
        <v>46</v>
      </c>
      <c r="N950" s="5" t="s">
        <v>78</v>
      </c>
      <c r="O950" s="5" t="s">
        <v>46</v>
      </c>
      <c r="P950" s="5" t="s">
        <v>79</v>
      </c>
      <c r="Q950" s="5" t="s">
        <v>80</v>
      </c>
      <c r="R950" s="5" t="s">
        <v>81</v>
      </c>
      <c r="S950" s="5" t="s">
        <v>46</v>
      </c>
      <c r="T950" s="5" t="s">
        <v>46</v>
      </c>
      <c r="U950" s="5" t="s">
        <v>82</v>
      </c>
      <c r="V950" s="1" t="n">
        <v>2</v>
      </c>
      <c r="W950" s="5"/>
      <c r="X950" s="5" t="s">
        <v>83</v>
      </c>
      <c r="Y950" s="5" t="n">
        <v>5500</v>
      </c>
      <c r="Z950" s="5" t="s">
        <v>1283</v>
      </c>
      <c r="AA950" s="5" t="s">
        <v>1284</v>
      </c>
      <c r="AB950" s="13" t="str">
        <f aca="true" t="array" ref="AB950:AB950">LEFT(AA950,LOOKUP(2^15,FIND(".",AA950,ROW(INDIRECT("1:"&amp;LEN(AA950)))))-1)</f>
        <v>NB_2022_061 - 22122022 - 1</v>
      </c>
      <c r="AC950" s="5" t="s">
        <v>1285</v>
      </c>
      <c r="AD950" s="13" t="str">
        <f aca="true" t="array" ref="AD950:AD950">LEFT(AC950,LOOKUP(2^15,FIND(".",AC950,ROW(INDIRECT("1:"&amp;LEN(AC950)))))-1)</f>
        <v>NB_2022_061 - 22122022 - 2</v>
      </c>
      <c r="AE950" s="5" t="str">
        <f aca="false">CONCATENATE(AB950, "-",H950, ".mzML")</f>
        <v>NB_2022_061 - 22122022 - 1-QC_P_2.mzML</v>
      </c>
      <c r="AF950" s="5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0" t="s">
        <v>1299</v>
      </c>
      <c r="B951" s="31"/>
      <c r="C951" s="3" t="s">
        <v>1300</v>
      </c>
      <c r="D951" s="5" t="s">
        <v>19</v>
      </c>
      <c r="E951" s="5" t="s">
        <v>1277</v>
      </c>
      <c r="F951" s="6" t="s">
        <v>1278</v>
      </c>
      <c r="G951" s="5" t="s">
        <v>1277</v>
      </c>
      <c r="H951" s="24" t="s">
        <v>85</v>
      </c>
      <c r="I951" s="5" t="str">
        <f aca="false">CONCATENATE(E951, "_",H951)</f>
        <v>NLA_2022_013_QC_P_3</v>
      </c>
      <c r="J951" s="35" t="s">
        <v>52</v>
      </c>
      <c r="K951" s="5" t="n">
        <v>3</v>
      </c>
      <c r="L951" s="8" t="s">
        <v>69</v>
      </c>
      <c r="M951" s="6" t="s">
        <v>46</v>
      </c>
      <c r="N951" s="5" t="s">
        <v>78</v>
      </c>
      <c r="O951" s="5" t="s">
        <v>46</v>
      </c>
      <c r="P951" s="5" t="s">
        <v>79</v>
      </c>
      <c r="Q951" s="5" t="s">
        <v>80</v>
      </c>
      <c r="R951" s="5" t="s">
        <v>81</v>
      </c>
      <c r="S951" s="5" t="s">
        <v>46</v>
      </c>
      <c r="T951" s="5" t="s">
        <v>46</v>
      </c>
      <c r="U951" s="5" t="s">
        <v>82</v>
      </c>
      <c r="V951" s="1" t="n">
        <v>3</v>
      </c>
      <c r="W951" s="5"/>
      <c r="X951" s="5" t="s">
        <v>83</v>
      </c>
      <c r="Y951" s="5" t="n">
        <v>5500</v>
      </c>
      <c r="Z951" s="5" t="s">
        <v>1283</v>
      </c>
      <c r="AA951" s="5" t="s">
        <v>1284</v>
      </c>
      <c r="AB951" s="13" t="str">
        <f aca="true" t="array" ref="AB951:AB951">LEFT(AA951,LOOKUP(2^15,FIND(".",AA951,ROW(INDIRECT("1:"&amp;LEN(AA951)))))-1)</f>
        <v>NB_2022_061 - 22122022 - 1</v>
      </c>
      <c r="AC951" s="5" t="s">
        <v>1285</v>
      </c>
      <c r="AD951" s="13" t="str">
        <f aca="true" t="array" ref="AD951:AD951">LEFT(AC951,LOOKUP(2^15,FIND(".",AC951,ROW(INDIRECT("1:"&amp;LEN(AC951)))))-1)</f>
        <v>NB_2022_061 - 22122022 - 2</v>
      </c>
      <c r="AE951" s="5" t="str">
        <f aca="false">CONCATENATE(AB951, "-",H951, ".mzML")</f>
        <v>NB_2022_061 - 22122022 - 1-QC_P_3.mzML</v>
      </c>
      <c r="AF951" s="5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0" t="s">
        <v>1309</v>
      </c>
      <c r="B952" s="31"/>
      <c r="C952" s="3" t="s">
        <v>1310</v>
      </c>
      <c r="D952" s="5" t="s">
        <v>19</v>
      </c>
      <c r="E952" s="5" t="s">
        <v>1277</v>
      </c>
      <c r="F952" s="6" t="s">
        <v>1278</v>
      </c>
      <c r="G952" s="5" t="s">
        <v>1293</v>
      </c>
      <c r="H952" s="24" t="s">
        <v>56</v>
      </c>
      <c r="I952" s="5" t="str">
        <f aca="false">CONCATENATE(E952, "_",H952)</f>
        <v>NLA_2022_013_013</v>
      </c>
      <c r="J952" s="35" t="s">
        <v>38</v>
      </c>
      <c r="K952" s="5" t="s">
        <v>1311</v>
      </c>
      <c r="L952" s="8" t="s">
        <v>69</v>
      </c>
      <c r="M952" s="6" t="s">
        <v>1295</v>
      </c>
      <c r="N952" s="5" t="s">
        <v>246</v>
      </c>
      <c r="O952" s="32" t="s">
        <v>1220</v>
      </c>
      <c r="P952" s="5" t="s">
        <v>1213</v>
      </c>
      <c r="Q952" s="5" t="s">
        <v>1213</v>
      </c>
      <c r="R952" s="5" t="s">
        <v>72</v>
      </c>
      <c r="S952" s="5"/>
      <c r="T952" s="5" t="s">
        <v>1263</v>
      </c>
      <c r="U952" s="1" t="n">
        <v>1500</v>
      </c>
      <c r="V952" s="1" t="n">
        <v>1</v>
      </c>
      <c r="W952" s="5"/>
      <c r="X952" s="8" t="s">
        <v>1215</v>
      </c>
      <c r="Y952" s="1" t="n">
        <v>5500</v>
      </c>
      <c r="Z952" s="5" t="s">
        <v>1283</v>
      </c>
      <c r="AA952" s="5" t="s">
        <v>1284</v>
      </c>
      <c r="AB952" s="13" t="str">
        <f aca="true" t="array" ref="AB952:AB952">LEFT(AA952,LOOKUP(2^15,FIND(".",AA952,ROW(INDIRECT("1:"&amp;LEN(AA952)))))-1)</f>
        <v>NB_2022_061 - 22122022 - 1</v>
      </c>
      <c r="AC952" s="5" t="s">
        <v>1285</v>
      </c>
      <c r="AD952" s="13" t="str">
        <f aca="true" t="array" ref="AD952:AD952">LEFT(AC952,LOOKUP(2^15,FIND(".",AC952,ROW(INDIRECT("1:"&amp;LEN(AC952)))))-1)</f>
        <v>NB_2022_061 - 22122022 - 2</v>
      </c>
      <c r="AE952" s="5" t="str">
        <f aca="false">CONCATENATE(AB952, "-",H952, ".mzML")</f>
        <v>NB_2022_061 - 22122022 - 1-013.mzML</v>
      </c>
      <c r="AF952" s="5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0" t="s">
        <v>1309</v>
      </c>
      <c r="B953" s="31"/>
      <c r="C953" s="3" t="s">
        <v>1310</v>
      </c>
      <c r="D953" s="5" t="s">
        <v>19</v>
      </c>
      <c r="E953" s="5" t="s">
        <v>1277</v>
      </c>
      <c r="F953" s="6" t="s">
        <v>1278</v>
      </c>
      <c r="G953" s="5" t="s">
        <v>1293</v>
      </c>
      <c r="H953" s="24" t="s">
        <v>58</v>
      </c>
      <c r="I953" s="5" t="str">
        <f aca="false">CONCATENATE(E953, "_",H953)</f>
        <v>NLA_2022_013_014</v>
      </c>
      <c r="J953" s="35" t="s">
        <v>38</v>
      </c>
      <c r="K953" s="5" t="s">
        <v>1312</v>
      </c>
      <c r="L953" s="8" t="s">
        <v>69</v>
      </c>
      <c r="M953" s="6" t="s">
        <v>1295</v>
      </c>
      <c r="N953" s="5" t="s">
        <v>246</v>
      </c>
      <c r="O953" s="32" t="s">
        <v>1220</v>
      </c>
      <c r="P953" s="5" t="s">
        <v>1213</v>
      </c>
      <c r="Q953" s="5" t="s">
        <v>1213</v>
      </c>
      <c r="R953" s="5" t="s">
        <v>72</v>
      </c>
      <c r="S953" s="5"/>
      <c r="T953" s="5" t="s">
        <v>1263</v>
      </c>
      <c r="U953" s="1" t="n">
        <v>1500</v>
      </c>
      <c r="V953" s="1" t="n">
        <v>2</v>
      </c>
      <c r="W953" s="5"/>
      <c r="X953" s="8" t="s">
        <v>1215</v>
      </c>
      <c r="Y953" s="1" t="n">
        <v>5500</v>
      </c>
      <c r="Z953" s="5" t="s">
        <v>1283</v>
      </c>
      <c r="AA953" s="5" t="s">
        <v>1284</v>
      </c>
      <c r="AB953" s="13" t="str">
        <f aca="true" t="array" ref="AB953:AB953">LEFT(AA953,LOOKUP(2^15,FIND(".",AA953,ROW(INDIRECT("1:"&amp;LEN(AA953)))))-1)</f>
        <v>NB_2022_061 - 22122022 - 1</v>
      </c>
      <c r="AC953" s="5" t="s">
        <v>1285</v>
      </c>
      <c r="AD953" s="13" t="str">
        <f aca="true" t="array" ref="AD953:AD953">LEFT(AC953,LOOKUP(2^15,FIND(".",AC953,ROW(INDIRECT("1:"&amp;LEN(AC953)))))-1)</f>
        <v>NB_2022_061 - 22122022 - 2</v>
      </c>
      <c r="AE953" s="5" t="str">
        <f aca="false">CONCATENATE(AB953, "-",H953, ".mzML")</f>
        <v>NB_2022_061 - 22122022 - 1-014.mzML</v>
      </c>
      <c r="AF953" s="5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0" t="s">
        <v>1309</v>
      </c>
      <c r="B954" s="31"/>
      <c r="C954" s="3" t="s">
        <v>1310</v>
      </c>
      <c r="D954" s="5" t="s">
        <v>19</v>
      </c>
      <c r="E954" s="5" t="s">
        <v>1277</v>
      </c>
      <c r="F954" s="6" t="s">
        <v>1278</v>
      </c>
      <c r="G954" s="5" t="s">
        <v>1293</v>
      </c>
      <c r="H954" s="24" t="s">
        <v>172</v>
      </c>
      <c r="I954" s="5" t="str">
        <f aca="false">CONCATENATE(E954, "_",H954)</f>
        <v>NLA_2022_013_015</v>
      </c>
      <c r="J954" s="35" t="s">
        <v>38</v>
      </c>
      <c r="K954" s="5" t="s">
        <v>1313</v>
      </c>
      <c r="L954" s="8" t="s">
        <v>69</v>
      </c>
      <c r="M954" s="6" t="s">
        <v>1295</v>
      </c>
      <c r="N954" s="5" t="s">
        <v>246</v>
      </c>
      <c r="O954" s="32" t="s">
        <v>1220</v>
      </c>
      <c r="P954" s="5" t="s">
        <v>1213</v>
      </c>
      <c r="Q954" s="5" t="s">
        <v>1213</v>
      </c>
      <c r="R954" s="5" t="s">
        <v>72</v>
      </c>
      <c r="S954" s="5"/>
      <c r="T954" s="5" t="s">
        <v>1263</v>
      </c>
      <c r="U954" s="1" t="n">
        <v>1500</v>
      </c>
      <c r="V954" s="1" t="n">
        <v>3</v>
      </c>
      <c r="W954" s="5"/>
      <c r="X954" s="8" t="s">
        <v>1215</v>
      </c>
      <c r="Y954" s="1" t="n">
        <v>5500</v>
      </c>
      <c r="Z954" s="5" t="s">
        <v>1283</v>
      </c>
      <c r="AA954" s="5" t="s">
        <v>1284</v>
      </c>
      <c r="AB954" s="13" t="str">
        <f aca="true" t="array" ref="AB954:AB954">LEFT(AA954,LOOKUP(2^15,FIND(".",AA954,ROW(INDIRECT("1:"&amp;LEN(AA954)))))-1)</f>
        <v>NB_2022_061 - 22122022 - 1</v>
      </c>
      <c r="AC954" s="5" t="s">
        <v>1285</v>
      </c>
      <c r="AD954" s="13" t="str">
        <f aca="true" t="array" ref="AD954:AD954">LEFT(AC954,LOOKUP(2^15,FIND(".",AC954,ROW(INDIRECT("1:"&amp;LEN(AC954)))))-1)</f>
        <v>NB_2022_061 - 22122022 - 2</v>
      </c>
      <c r="AE954" s="5" t="str">
        <f aca="false">CONCATENATE(AB954, "-",H954, ".mzML")</f>
        <v>NB_2022_061 - 22122022 - 1-015.mzML</v>
      </c>
      <c r="AF954" s="5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0" t="s">
        <v>1309</v>
      </c>
      <c r="B955" s="31"/>
      <c r="C955" s="3" t="s">
        <v>1310</v>
      </c>
      <c r="D955" s="5" t="s">
        <v>19</v>
      </c>
      <c r="E955" s="5" t="s">
        <v>1277</v>
      </c>
      <c r="F955" s="6" t="s">
        <v>1278</v>
      </c>
      <c r="G955" s="5" t="s">
        <v>1293</v>
      </c>
      <c r="H955" s="24" t="s">
        <v>60</v>
      </c>
      <c r="I955" s="5" t="str">
        <f aca="false">CONCATENATE(E955, "_",H955)</f>
        <v>NLA_2022_013_016</v>
      </c>
      <c r="J955" s="35" t="s">
        <v>52</v>
      </c>
      <c r="K955" s="5" t="s">
        <v>1314</v>
      </c>
      <c r="L955" s="8" t="s">
        <v>69</v>
      </c>
      <c r="M955" s="6" t="s">
        <v>1295</v>
      </c>
      <c r="N955" s="5" t="s">
        <v>246</v>
      </c>
      <c r="O955" s="32" t="s">
        <v>1220</v>
      </c>
      <c r="P955" s="5" t="s">
        <v>1213</v>
      </c>
      <c r="Q955" s="5" t="s">
        <v>1213</v>
      </c>
      <c r="R955" s="5" t="s">
        <v>72</v>
      </c>
      <c r="S955" s="5"/>
      <c r="T955" s="5" t="s">
        <v>1265</v>
      </c>
      <c r="U955" s="1" t="n">
        <v>1500</v>
      </c>
      <c r="V955" s="1" t="n">
        <v>1</v>
      </c>
      <c r="W955" s="5"/>
      <c r="X955" s="8" t="s">
        <v>1215</v>
      </c>
      <c r="Y955" s="1" t="n">
        <v>5500</v>
      </c>
      <c r="Z955" s="5" t="s">
        <v>1283</v>
      </c>
      <c r="AA955" s="5" t="s">
        <v>1284</v>
      </c>
      <c r="AB955" s="13" t="str">
        <f aca="true" t="array" ref="AB955:AB955">LEFT(AA955,LOOKUP(2^15,FIND(".",AA955,ROW(INDIRECT("1:"&amp;LEN(AA955)))))-1)</f>
        <v>NB_2022_061 - 22122022 - 1</v>
      </c>
      <c r="AC955" s="5" t="s">
        <v>1285</v>
      </c>
      <c r="AD955" s="13" t="str">
        <f aca="true" t="array" ref="AD955:AD955">LEFT(AC955,LOOKUP(2^15,FIND(".",AC955,ROW(INDIRECT("1:"&amp;LEN(AC955)))))-1)</f>
        <v>NB_2022_061 - 22122022 - 2</v>
      </c>
      <c r="AE955" s="5" t="str">
        <f aca="false">CONCATENATE(AB955, "-",H955, ".mzML")</f>
        <v>NB_2022_061 - 22122022 - 1-016.mzML</v>
      </c>
      <c r="AF955" s="5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0" t="s">
        <v>1309</v>
      </c>
      <c r="B956" s="31"/>
      <c r="C956" s="3" t="s">
        <v>1310</v>
      </c>
      <c r="D956" s="5" t="s">
        <v>19</v>
      </c>
      <c r="E956" s="5" t="s">
        <v>1277</v>
      </c>
      <c r="F956" s="6" t="s">
        <v>1278</v>
      </c>
      <c r="G956" s="5" t="s">
        <v>1293</v>
      </c>
      <c r="H956" s="24" t="s">
        <v>181</v>
      </c>
      <c r="I956" s="5" t="str">
        <f aca="false">CONCATENATE(E956, "_",H956)</f>
        <v>NLA_2022_013_017</v>
      </c>
      <c r="J956" s="35" t="s">
        <v>52</v>
      </c>
      <c r="K956" s="5" t="s">
        <v>1315</v>
      </c>
      <c r="L956" s="8" t="s">
        <v>69</v>
      </c>
      <c r="M956" s="6" t="s">
        <v>1295</v>
      </c>
      <c r="N956" s="5" t="s">
        <v>246</v>
      </c>
      <c r="O956" s="32" t="s">
        <v>1220</v>
      </c>
      <c r="P956" s="5" t="s">
        <v>1213</v>
      </c>
      <c r="Q956" s="5" t="s">
        <v>1213</v>
      </c>
      <c r="R956" s="5" t="s">
        <v>72</v>
      </c>
      <c r="S956" s="5"/>
      <c r="T956" s="5" t="s">
        <v>1265</v>
      </c>
      <c r="U956" s="1" t="n">
        <v>1500</v>
      </c>
      <c r="V956" s="1" t="n">
        <v>2</v>
      </c>
      <c r="W956" s="5"/>
      <c r="X956" s="8" t="s">
        <v>1215</v>
      </c>
      <c r="Y956" s="1" t="n">
        <v>5500</v>
      </c>
      <c r="Z956" s="5" t="s">
        <v>1283</v>
      </c>
      <c r="AA956" s="5" t="s">
        <v>1284</v>
      </c>
      <c r="AB956" s="13" t="str">
        <f aca="true" t="array" ref="AB956:AB956">LEFT(AA956,LOOKUP(2^15,FIND(".",AA956,ROW(INDIRECT("1:"&amp;LEN(AA956)))))-1)</f>
        <v>NB_2022_061 - 22122022 - 1</v>
      </c>
      <c r="AC956" s="5" t="s">
        <v>1285</v>
      </c>
      <c r="AD956" s="13" t="str">
        <f aca="true" t="array" ref="AD956:AD956">LEFT(AC956,LOOKUP(2^15,FIND(".",AC956,ROW(INDIRECT("1:"&amp;LEN(AC956)))))-1)</f>
        <v>NB_2022_061 - 22122022 - 2</v>
      </c>
      <c r="AE956" s="5" t="str">
        <f aca="false">CONCATENATE(AB956, "-",H956, ".mzML")</f>
        <v>NB_2022_061 - 22122022 - 1-017.mzML</v>
      </c>
      <c r="AF956" s="5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0" t="s">
        <v>1309</v>
      </c>
      <c r="B957" s="31"/>
      <c r="C957" s="3" t="s">
        <v>1310</v>
      </c>
      <c r="D957" s="5" t="s">
        <v>19</v>
      </c>
      <c r="E957" s="5" t="s">
        <v>1277</v>
      </c>
      <c r="F957" s="6" t="s">
        <v>1278</v>
      </c>
      <c r="G957" s="5" t="s">
        <v>1293</v>
      </c>
      <c r="H957" s="24" t="s">
        <v>93</v>
      </c>
      <c r="I957" s="5" t="str">
        <f aca="false">CONCATENATE(E957, "_",H957)</f>
        <v>NLA_2022_013_018</v>
      </c>
      <c r="J957" s="35" t="s">
        <v>52</v>
      </c>
      <c r="K957" s="5" t="s">
        <v>1316</v>
      </c>
      <c r="L957" s="8" t="s">
        <v>69</v>
      </c>
      <c r="M957" s="6" t="s">
        <v>1295</v>
      </c>
      <c r="N957" s="5" t="s">
        <v>246</v>
      </c>
      <c r="O957" s="32" t="s">
        <v>1220</v>
      </c>
      <c r="P957" s="5" t="s">
        <v>1213</v>
      </c>
      <c r="Q957" s="5" t="s">
        <v>1213</v>
      </c>
      <c r="R957" s="5" t="s">
        <v>72</v>
      </c>
      <c r="S957" s="5"/>
      <c r="T957" s="5" t="s">
        <v>1265</v>
      </c>
      <c r="U957" s="1" t="n">
        <v>1500</v>
      </c>
      <c r="V957" s="1" t="n">
        <v>3</v>
      </c>
      <c r="W957" s="5"/>
      <c r="X957" s="8" t="s">
        <v>1215</v>
      </c>
      <c r="Y957" s="1" t="n">
        <v>5500</v>
      </c>
      <c r="Z957" s="5" t="s">
        <v>1283</v>
      </c>
      <c r="AA957" s="5" t="s">
        <v>1284</v>
      </c>
      <c r="AB957" s="13" t="str">
        <f aca="true" t="array" ref="AB957:AB957">LEFT(AA957,LOOKUP(2^15,FIND(".",AA957,ROW(INDIRECT("1:"&amp;LEN(AA957)))))-1)</f>
        <v>NB_2022_061 - 22122022 - 1</v>
      </c>
      <c r="AC957" s="5" t="s">
        <v>1285</v>
      </c>
      <c r="AD957" s="13" t="str">
        <f aca="true" t="array" ref="AD957:AD957">LEFT(AC957,LOOKUP(2^15,FIND(".",AC957,ROW(INDIRECT("1:"&amp;LEN(AC957)))))-1)</f>
        <v>NB_2022_061 - 22122022 - 2</v>
      </c>
      <c r="AE957" s="5" t="str">
        <f aca="false">CONCATENATE(AB957, "-",H957, ".mzML")</f>
        <v>NB_2022_061 - 22122022 - 1-018.mzML</v>
      </c>
      <c r="AF957" s="5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0" t="s">
        <v>1309</v>
      </c>
      <c r="B958" s="31"/>
      <c r="C958" s="3" t="s">
        <v>1310</v>
      </c>
      <c r="D958" s="5" t="s">
        <v>19</v>
      </c>
      <c r="E958" s="5" t="s">
        <v>1277</v>
      </c>
      <c r="F958" s="6" t="s">
        <v>1278</v>
      </c>
      <c r="G958" s="5" t="s">
        <v>1277</v>
      </c>
      <c r="H958" s="24" t="s">
        <v>64</v>
      </c>
      <c r="I958" s="5" t="str">
        <f aca="false">CONCATENATE(E958, "_",H958)</f>
        <v>NLA_2022_013_Blank_1</v>
      </c>
      <c r="J958" s="35" t="s">
        <v>52</v>
      </c>
      <c r="K958" s="5" t="n">
        <v>1</v>
      </c>
      <c r="L958" s="8" t="s">
        <v>46</v>
      </c>
      <c r="M958" s="6" t="s">
        <v>46</v>
      </c>
      <c r="N958" s="5" t="s">
        <v>65</v>
      </c>
      <c r="O958" s="5" t="s">
        <v>46</v>
      </c>
      <c r="P958" s="5" t="s">
        <v>46</v>
      </c>
      <c r="Q958" s="5" t="s">
        <v>46</v>
      </c>
      <c r="R958" s="5" t="s">
        <v>46</v>
      </c>
      <c r="S958" s="5" t="s">
        <v>46</v>
      </c>
      <c r="T958" s="5" t="s">
        <v>46</v>
      </c>
      <c r="U958" s="5" t="s">
        <v>46</v>
      </c>
      <c r="V958" s="1" t="n">
        <v>1</v>
      </c>
      <c r="W958" s="5"/>
      <c r="X958" s="5" t="s">
        <v>46</v>
      </c>
      <c r="Y958" s="1" t="n">
        <v>5500</v>
      </c>
      <c r="Z958" s="5" t="s">
        <v>1283</v>
      </c>
      <c r="AA958" s="5" t="s">
        <v>1284</v>
      </c>
      <c r="AB958" s="13" t="str">
        <f aca="true" t="array" ref="AB958:AB958">LEFT(AA958,LOOKUP(2^15,FIND(".",AA958,ROW(INDIRECT("1:"&amp;LEN(AA958)))))-1)</f>
        <v>NB_2022_061 - 22122022 - 1</v>
      </c>
      <c r="AC958" s="5" t="s">
        <v>1285</v>
      </c>
      <c r="AD958" s="13" t="str">
        <f aca="true" t="array" ref="AD958:AD958">LEFT(AC958,LOOKUP(2^15,FIND(".",AC958,ROW(INDIRECT("1:"&amp;LEN(AC958)))))-1)</f>
        <v>NB_2022_061 - 22122022 - 2</v>
      </c>
      <c r="AE958" s="5" t="str">
        <f aca="false">CONCATENATE(AB958, "-",H958, ".mzML")</f>
        <v>NB_2022_061 - 22122022 - 1-Blank_1.mzML</v>
      </c>
      <c r="AF958" s="5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0" t="s">
        <v>1309</v>
      </c>
      <c r="B959" s="31"/>
      <c r="C959" s="3" t="s">
        <v>1310</v>
      </c>
      <c r="D959" s="5" t="s">
        <v>19</v>
      </c>
      <c r="E959" s="5" t="s">
        <v>1277</v>
      </c>
      <c r="F959" s="6" t="s">
        <v>1278</v>
      </c>
      <c r="G959" s="5" t="s">
        <v>1277</v>
      </c>
      <c r="H959" s="24" t="s">
        <v>66</v>
      </c>
      <c r="I959" s="5" t="str">
        <f aca="false">CONCATENATE(E959, "_",H959)</f>
        <v>NLA_2022_013_Blank_2</v>
      </c>
      <c r="J959" s="35" t="s">
        <v>52</v>
      </c>
      <c r="K959" s="5" t="n">
        <v>2</v>
      </c>
      <c r="L959" s="8" t="s">
        <v>46</v>
      </c>
      <c r="M959" s="6" t="s">
        <v>46</v>
      </c>
      <c r="N959" s="5" t="s">
        <v>65</v>
      </c>
      <c r="O959" s="5" t="s">
        <v>46</v>
      </c>
      <c r="P959" s="5" t="s">
        <v>46</v>
      </c>
      <c r="Q959" s="5" t="s">
        <v>46</v>
      </c>
      <c r="R959" s="5" t="s">
        <v>46</v>
      </c>
      <c r="S959" s="5" t="s">
        <v>46</v>
      </c>
      <c r="T959" s="5" t="s">
        <v>46</v>
      </c>
      <c r="U959" s="5" t="s">
        <v>46</v>
      </c>
      <c r="V959" s="1" t="n">
        <v>2</v>
      </c>
      <c r="W959" s="5"/>
      <c r="X959" s="5" t="s">
        <v>46</v>
      </c>
      <c r="Y959" s="1" t="n">
        <v>5500</v>
      </c>
      <c r="Z959" s="5" t="s">
        <v>1283</v>
      </c>
      <c r="AA959" s="5" t="s">
        <v>1284</v>
      </c>
      <c r="AB959" s="13" t="str">
        <f aca="true" t="array" ref="AB959:AB959">LEFT(AA959,LOOKUP(2^15,FIND(".",AA959,ROW(INDIRECT("1:"&amp;LEN(AA959)))))-1)</f>
        <v>NB_2022_061 - 22122022 - 1</v>
      </c>
      <c r="AC959" s="5" t="s">
        <v>1285</v>
      </c>
      <c r="AD959" s="13" t="str">
        <f aca="true" t="array" ref="AD959:AD959">LEFT(AC959,LOOKUP(2^15,FIND(".",AC959,ROW(INDIRECT("1:"&amp;LEN(AC959)))))-1)</f>
        <v>NB_2022_061 - 22122022 - 2</v>
      </c>
      <c r="AE959" s="5" t="str">
        <f aca="false">CONCATENATE(AB959, "-",H959, ".mzML")</f>
        <v>NB_2022_061 - 22122022 - 1-Blank_2.mzML</v>
      </c>
      <c r="AF959" s="5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0" t="s">
        <v>1309</v>
      </c>
      <c r="B960" s="31"/>
      <c r="C960" s="3" t="s">
        <v>1310</v>
      </c>
      <c r="D960" s="5" t="s">
        <v>19</v>
      </c>
      <c r="E960" s="5" t="s">
        <v>1277</v>
      </c>
      <c r="F960" s="6" t="s">
        <v>1278</v>
      </c>
      <c r="G960" s="5" t="s">
        <v>1277</v>
      </c>
      <c r="H960" s="24" t="s">
        <v>67</v>
      </c>
      <c r="I960" s="5" t="str">
        <f aca="false">CONCATENATE(E960, "_",H960)</f>
        <v>NLA_2022_013_Blank_3</v>
      </c>
      <c r="J960" s="35" t="s">
        <v>52</v>
      </c>
      <c r="K960" s="5" t="n">
        <v>3</v>
      </c>
      <c r="L960" s="8" t="s">
        <v>46</v>
      </c>
      <c r="M960" s="6" t="s">
        <v>46</v>
      </c>
      <c r="N960" s="5" t="s">
        <v>65</v>
      </c>
      <c r="O960" s="5" t="s">
        <v>46</v>
      </c>
      <c r="P960" s="5" t="s">
        <v>46</v>
      </c>
      <c r="Q960" s="5" t="s">
        <v>46</v>
      </c>
      <c r="R960" s="5" t="s">
        <v>46</v>
      </c>
      <c r="S960" s="5" t="s">
        <v>46</v>
      </c>
      <c r="T960" s="5" t="s">
        <v>46</v>
      </c>
      <c r="U960" s="5" t="s">
        <v>46</v>
      </c>
      <c r="V960" s="1" t="n">
        <v>3</v>
      </c>
      <c r="W960" s="5"/>
      <c r="X960" s="5" t="s">
        <v>46</v>
      </c>
      <c r="Y960" s="1" t="n">
        <v>5500</v>
      </c>
      <c r="Z960" s="5" t="s">
        <v>1283</v>
      </c>
      <c r="AA960" s="5" t="s">
        <v>1284</v>
      </c>
      <c r="AB960" s="13" t="str">
        <f aca="true" t="array" ref="AB960:AB960">LEFT(AA960,LOOKUP(2^15,FIND(".",AA960,ROW(INDIRECT("1:"&amp;LEN(AA960)))))-1)</f>
        <v>NB_2022_061 - 22122022 - 1</v>
      </c>
      <c r="AC960" s="5" t="s">
        <v>1285</v>
      </c>
      <c r="AD960" s="13" t="str">
        <f aca="true" t="array" ref="AD960:AD960">LEFT(AC960,LOOKUP(2^15,FIND(".",AC960,ROW(INDIRECT("1:"&amp;LEN(AC960)))))-1)</f>
        <v>NB_2022_061 - 22122022 - 2</v>
      </c>
      <c r="AE960" s="5" t="str">
        <f aca="false">CONCATENATE(AB960, "-",H960, ".mzML")</f>
        <v>NB_2022_061 - 22122022 - 1-Blank_3.mzML</v>
      </c>
      <c r="AF960" s="5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0" t="s">
        <v>1309</v>
      </c>
      <c r="B961" s="31"/>
      <c r="C961" s="3" t="s">
        <v>1310</v>
      </c>
      <c r="D961" s="5" t="s">
        <v>19</v>
      </c>
      <c r="E961" s="5" t="s">
        <v>1277</v>
      </c>
      <c r="F961" s="6" t="s">
        <v>1278</v>
      </c>
      <c r="G961" s="5" t="s">
        <v>1277</v>
      </c>
      <c r="H961" s="24" t="s">
        <v>68</v>
      </c>
      <c r="I961" s="5" t="str">
        <f aca="false">CONCATENATE(E961, "_",H961)</f>
        <v>NLA_2022_013_QC_C_1</v>
      </c>
      <c r="J961" s="35" t="s">
        <v>52</v>
      </c>
      <c r="K961" s="5" t="n">
        <v>1</v>
      </c>
      <c r="L961" s="8" t="s">
        <v>69</v>
      </c>
      <c r="M961" s="1" t="s">
        <v>46</v>
      </c>
      <c r="N961" s="5" t="s">
        <v>70</v>
      </c>
      <c r="O961" s="5" t="s">
        <v>46</v>
      </c>
      <c r="P961" s="5" t="s">
        <v>71</v>
      </c>
      <c r="Q961" s="5" t="s">
        <v>71</v>
      </c>
      <c r="R961" s="5" t="s">
        <v>72</v>
      </c>
      <c r="S961" s="5" t="s">
        <v>73</v>
      </c>
      <c r="T961" s="5" t="s">
        <v>46</v>
      </c>
      <c r="U961" s="5" t="n">
        <v>1000</v>
      </c>
      <c r="V961" s="1" t="n">
        <v>1</v>
      </c>
      <c r="W961" s="5"/>
      <c r="X961" s="5" t="s">
        <v>74</v>
      </c>
      <c r="Y961" s="5" t="n">
        <v>5500</v>
      </c>
      <c r="Z961" s="5" t="s">
        <v>1283</v>
      </c>
      <c r="AA961" s="5" t="s">
        <v>1284</v>
      </c>
      <c r="AB961" s="13" t="str">
        <f aca="true" t="array" ref="AB961:AB961">LEFT(AA961,LOOKUP(2^15,FIND(".",AA961,ROW(INDIRECT("1:"&amp;LEN(AA961)))))-1)</f>
        <v>NB_2022_061 - 22122022 - 1</v>
      </c>
      <c r="AC961" s="5" t="s">
        <v>1285</v>
      </c>
      <c r="AD961" s="13" t="str">
        <f aca="true" t="array" ref="AD961:AD961">LEFT(AC961,LOOKUP(2^15,FIND(".",AC961,ROW(INDIRECT("1:"&amp;LEN(AC961)))))-1)</f>
        <v>NB_2022_061 - 22122022 - 2</v>
      </c>
      <c r="AE961" s="5" t="str">
        <f aca="false">CONCATENATE(AB961, "-",H961, ".mzML")</f>
        <v>NB_2022_061 - 22122022 - 1-QC_C_1.mzML</v>
      </c>
      <c r="AF961" s="5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0" t="s">
        <v>1309</v>
      </c>
      <c r="B962" s="31"/>
      <c r="C962" s="3" t="s">
        <v>1310</v>
      </c>
      <c r="D962" s="5" t="s">
        <v>19</v>
      </c>
      <c r="E962" s="5" t="s">
        <v>1277</v>
      </c>
      <c r="F962" s="6" t="s">
        <v>1278</v>
      </c>
      <c r="G962" s="5" t="s">
        <v>1277</v>
      </c>
      <c r="H962" s="24" t="s">
        <v>75</v>
      </c>
      <c r="I962" s="5" t="str">
        <f aca="false">CONCATENATE(E962, "_",H962)</f>
        <v>NLA_2022_013_QC_C_2</v>
      </c>
      <c r="J962" s="35" t="s">
        <v>52</v>
      </c>
      <c r="K962" s="5" t="n">
        <v>2</v>
      </c>
      <c r="L962" s="8" t="s">
        <v>69</v>
      </c>
      <c r="M962" s="1" t="s">
        <v>46</v>
      </c>
      <c r="N962" s="5" t="s">
        <v>70</v>
      </c>
      <c r="O962" s="5" t="s">
        <v>46</v>
      </c>
      <c r="P962" s="5" t="s">
        <v>71</v>
      </c>
      <c r="Q962" s="5" t="s">
        <v>71</v>
      </c>
      <c r="R962" s="5" t="s">
        <v>72</v>
      </c>
      <c r="S962" s="5" t="s">
        <v>73</v>
      </c>
      <c r="T962" s="5" t="s">
        <v>46</v>
      </c>
      <c r="U962" s="5" t="n">
        <v>1000</v>
      </c>
      <c r="V962" s="1" t="n">
        <v>2</v>
      </c>
      <c r="W962" s="5"/>
      <c r="X962" s="5" t="s">
        <v>74</v>
      </c>
      <c r="Y962" s="5" t="n">
        <v>5500</v>
      </c>
      <c r="Z962" s="5" t="s">
        <v>1283</v>
      </c>
      <c r="AA962" s="5" t="s">
        <v>1284</v>
      </c>
      <c r="AB962" s="13" t="str">
        <f aca="true" t="array" ref="AB962:AB962">LEFT(AA962,LOOKUP(2^15,FIND(".",AA962,ROW(INDIRECT("1:"&amp;LEN(AA962)))))-1)</f>
        <v>NB_2022_061 - 22122022 - 1</v>
      </c>
      <c r="AC962" s="5" t="s">
        <v>1285</v>
      </c>
      <c r="AD962" s="13" t="str">
        <f aca="true" t="array" ref="AD962:AD962">LEFT(AC962,LOOKUP(2^15,FIND(".",AC962,ROW(INDIRECT("1:"&amp;LEN(AC962)))))-1)</f>
        <v>NB_2022_061 - 22122022 - 2</v>
      </c>
      <c r="AE962" s="5" t="str">
        <f aca="false">CONCATENATE(AB962, "-",H962, ".mzML")</f>
        <v>NB_2022_061 - 22122022 - 1-QC_C_2.mzML</v>
      </c>
      <c r="AF962" s="5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0" t="s">
        <v>1309</v>
      </c>
      <c r="B963" s="31"/>
      <c r="C963" s="3" t="s">
        <v>1310</v>
      </c>
      <c r="D963" s="5" t="s">
        <v>19</v>
      </c>
      <c r="E963" s="5" t="s">
        <v>1277</v>
      </c>
      <c r="F963" s="6" t="s">
        <v>1278</v>
      </c>
      <c r="G963" s="5" t="s">
        <v>1277</v>
      </c>
      <c r="H963" s="24" t="s">
        <v>76</v>
      </c>
      <c r="I963" s="5" t="str">
        <f aca="false">CONCATENATE(E963, "_",H963)</f>
        <v>NLA_2022_013_QC_C_3</v>
      </c>
      <c r="J963" s="35" t="s">
        <v>52</v>
      </c>
      <c r="K963" s="5" t="n">
        <v>3</v>
      </c>
      <c r="L963" s="8" t="s">
        <v>69</v>
      </c>
      <c r="M963" s="1" t="s">
        <v>46</v>
      </c>
      <c r="N963" s="5" t="s">
        <v>70</v>
      </c>
      <c r="O963" s="5" t="s">
        <v>46</v>
      </c>
      <c r="P963" s="5" t="s">
        <v>71</v>
      </c>
      <c r="Q963" s="5" t="s">
        <v>71</v>
      </c>
      <c r="R963" s="5" t="s">
        <v>72</v>
      </c>
      <c r="S963" s="5" t="s">
        <v>73</v>
      </c>
      <c r="T963" s="5" t="s">
        <v>46</v>
      </c>
      <c r="U963" s="5" t="n">
        <v>1000</v>
      </c>
      <c r="V963" s="1" t="n">
        <v>3</v>
      </c>
      <c r="W963" s="5"/>
      <c r="X963" s="5" t="s">
        <v>74</v>
      </c>
      <c r="Y963" s="5" t="n">
        <v>5500</v>
      </c>
      <c r="Z963" s="5" t="s">
        <v>1283</v>
      </c>
      <c r="AA963" s="5" t="s">
        <v>1284</v>
      </c>
      <c r="AB963" s="13" t="str">
        <f aca="true" t="array" ref="AB963:AB963">LEFT(AA963,LOOKUP(2^15,FIND(".",AA963,ROW(INDIRECT("1:"&amp;LEN(AA963)))))-1)</f>
        <v>NB_2022_061 - 22122022 - 1</v>
      </c>
      <c r="AC963" s="5" t="s">
        <v>1285</v>
      </c>
      <c r="AD963" s="13" t="str">
        <f aca="true" t="array" ref="AD963:AD963">LEFT(AC963,LOOKUP(2^15,FIND(".",AC963,ROW(INDIRECT("1:"&amp;LEN(AC963)))))-1)</f>
        <v>NB_2022_061 - 22122022 - 2</v>
      </c>
      <c r="AE963" s="5" t="str">
        <f aca="false">CONCATENATE(AB963, "-",H963, ".mzML")</f>
        <v>NB_2022_061 - 22122022 - 1-QC_C_3.mzML</v>
      </c>
      <c r="AF963" s="5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0" t="s">
        <v>1309</v>
      </c>
      <c r="B964" s="31"/>
      <c r="C964" s="3" t="s">
        <v>1310</v>
      </c>
      <c r="D964" s="5" t="s">
        <v>19</v>
      </c>
      <c r="E964" s="5" t="s">
        <v>1277</v>
      </c>
      <c r="F964" s="6" t="s">
        <v>1278</v>
      </c>
      <c r="G964" s="5" t="s">
        <v>1277</v>
      </c>
      <c r="H964" s="24" t="s">
        <v>77</v>
      </c>
      <c r="I964" s="5" t="str">
        <f aca="false">CONCATENATE(E964, "_",H964)</f>
        <v>NLA_2022_013_QC_P_1</v>
      </c>
      <c r="J964" s="35" t="s">
        <v>52</v>
      </c>
      <c r="K964" s="5" t="n">
        <v>1</v>
      </c>
      <c r="L964" s="8" t="s">
        <v>69</v>
      </c>
      <c r="M964" s="6" t="s">
        <v>46</v>
      </c>
      <c r="N964" s="5" t="s">
        <v>78</v>
      </c>
      <c r="O964" s="5" t="s">
        <v>46</v>
      </c>
      <c r="P964" s="5" t="s">
        <v>79</v>
      </c>
      <c r="Q964" s="5" t="s">
        <v>80</v>
      </c>
      <c r="R964" s="5" t="s">
        <v>81</v>
      </c>
      <c r="S964" s="5" t="s">
        <v>46</v>
      </c>
      <c r="T964" s="5" t="s">
        <v>46</v>
      </c>
      <c r="U964" s="5" t="s">
        <v>82</v>
      </c>
      <c r="V964" s="1" t="n">
        <v>1</v>
      </c>
      <c r="W964" s="5"/>
      <c r="X964" s="5" t="s">
        <v>83</v>
      </c>
      <c r="Y964" s="5" t="n">
        <v>5500</v>
      </c>
      <c r="Z964" s="5" t="s">
        <v>1283</v>
      </c>
      <c r="AA964" s="5" t="s">
        <v>1284</v>
      </c>
      <c r="AB964" s="13" t="str">
        <f aca="true" t="array" ref="AB964:AB964">LEFT(AA964,LOOKUP(2^15,FIND(".",AA964,ROW(INDIRECT("1:"&amp;LEN(AA964)))))-1)</f>
        <v>NB_2022_061 - 22122022 - 1</v>
      </c>
      <c r="AC964" s="5" t="s">
        <v>1285</v>
      </c>
      <c r="AD964" s="13" t="str">
        <f aca="true" t="array" ref="AD964:AD964">LEFT(AC964,LOOKUP(2^15,FIND(".",AC964,ROW(INDIRECT("1:"&amp;LEN(AC964)))))-1)</f>
        <v>NB_2022_061 - 22122022 - 2</v>
      </c>
      <c r="AE964" s="5" t="str">
        <f aca="false">CONCATENATE(AB964, "-",H964, ".mzML")</f>
        <v>NB_2022_061 - 22122022 - 1-QC_P_1.mzML</v>
      </c>
      <c r="AF964" s="5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0" t="s">
        <v>1309</v>
      </c>
      <c r="B965" s="31"/>
      <c r="C965" s="3" t="s">
        <v>1310</v>
      </c>
      <c r="D965" s="5" t="s">
        <v>19</v>
      </c>
      <c r="E965" s="5" t="s">
        <v>1277</v>
      </c>
      <c r="F965" s="6" t="s">
        <v>1278</v>
      </c>
      <c r="G965" s="5" t="s">
        <v>1277</v>
      </c>
      <c r="H965" s="24" t="s">
        <v>84</v>
      </c>
      <c r="I965" s="5" t="str">
        <f aca="false">CONCATENATE(E965, "_",H965)</f>
        <v>NLA_2022_013_QC_P_2</v>
      </c>
      <c r="J965" s="35" t="s">
        <v>52</v>
      </c>
      <c r="K965" s="5" t="n">
        <v>2</v>
      </c>
      <c r="L965" s="8" t="s">
        <v>69</v>
      </c>
      <c r="M965" s="6" t="s">
        <v>46</v>
      </c>
      <c r="N965" s="5" t="s">
        <v>78</v>
      </c>
      <c r="O965" s="5" t="s">
        <v>46</v>
      </c>
      <c r="P965" s="5" t="s">
        <v>79</v>
      </c>
      <c r="Q965" s="5" t="s">
        <v>80</v>
      </c>
      <c r="R965" s="5" t="s">
        <v>81</v>
      </c>
      <c r="S965" s="5" t="s">
        <v>46</v>
      </c>
      <c r="T965" s="5" t="s">
        <v>46</v>
      </c>
      <c r="U965" s="5" t="s">
        <v>82</v>
      </c>
      <c r="V965" s="1" t="n">
        <v>2</v>
      </c>
      <c r="W965" s="5"/>
      <c r="X965" s="5" t="s">
        <v>83</v>
      </c>
      <c r="Y965" s="5" t="n">
        <v>5500</v>
      </c>
      <c r="Z965" s="5" t="s">
        <v>1283</v>
      </c>
      <c r="AA965" s="5" t="s">
        <v>1284</v>
      </c>
      <c r="AB965" s="13" t="str">
        <f aca="true" t="array" ref="AB965:AB965">LEFT(AA965,LOOKUP(2^15,FIND(".",AA965,ROW(INDIRECT("1:"&amp;LEN(AA965)))))-1)</f>
        <v>NB_2022_061 - 22122022 - 1</v>
      </c>
      <c r="AC965" s="5" t="s">
        <v>1285</v>
      </c>
      <c r="AD965" s="13" t="str">
        <f aca="true" t="array" ref="AD965:AD965">LEFT(AC965,LOOKUP(2^15,FIND(".",AC965,ROW(INDIRECT("1:"&amp;LEN(AC965)))))-1)</f>
        <v>NB_2022_061 - 22122022 - 2</v>
      </c>
      <c r="AE965" s="5" t="str">
        <f aca="false">CONCATENATE(AB965, "-",H965, ".mzML")</f>
        <v>NB_2022_061 - 22122022 - 1-QC_P_2.mzML</v>
      </c>
      <c r="AF965" s="5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0" t="s">
        <v>1309</v>
      </c>
      <c r="B966" s="31"/>
      <c r="C966" s="3" t="s">
        <v>1310</v>
      </c>
      <c r="D966" s="5" t="s">
        <v>19</v>
      </c>
      <c r="E966" s="5" t="s">
        <v>1277</v>
      </c>
      <c r="F966" s="6" t="s">
        <v>1278</v>
      </c>
      <c r="G966" s="5" t="s">
        <v>1277</v>
      </c>
      <c r="H966" s="24" t="s">
        <v>85</v>
      </c>
      <c r="I966" s="5" t="str">
        <f aca="false">CONCATENATE(E966, "_",H966)</f>
        <v>NLA_2022_013_QC_P_3</v>
      </c>
      <c r="J966" s="35" t="s">
        <v>52</v>
      </c>
      <c r="K966" s="5" t="n">
        <v>3</v>
      </c>
      <c r="L966" s="8" t="s">
        <v>69</v>
      </c>
      <c r="M966" s="6" t="s">
        <v>46</v>
      </c>
      <c r="N966" s="5" t="s">
        <v>78</v>
      </c>
      <c r="O966" s="5" t="s">
        <v>46</v>
      </c>
      <c r="P966" s="5" t="s">
        <v>79</v>
      </c>
      <c r="Q966" s="5" t="s">
        <v>80</v>
      </c>
      <c r="R966" s="5" t="s">
        <v>81</v>
      </c>
      <c r="S966" s="5" t="s">
        <v>46</v>
      </c>
      <c r="T966" s="5" t="s">
        <v>46</v>
      </c>
      <c r="U966" s="5" t="s">
        <v>82</v>
      </c>
      <c r="V966" s="1" t="n">
        <v>3</v>
      </c>
      <c r="W966" s="5"/>
      <c r="X966" s="5" t="s">
        <v>83</v>
      </c>
      <c r="Y966" s="5" t="n">
        <v>5500</v>
      </c>
      <c r="Z966" s="5" t="s">
        <v>1283</v>
      </c>
      <c r="AA966" s="5" t="s">
        <v>1284</v>
      </c>
      <c r="AB966" s="13" t="str">
        <f aca="true" t="array" ref="AB966:AB966">LEFT(AA966,LOOKUP(2^15,FIND(".",AA966,ROW(INDIRECT("1:"&amp;LEN(AA966)))))-1)</f>
        <v>NB_2022_061 - 22122022 - 1</v>
      </c>
      <c r="AC966" s="5" t="s">
        <v>1285</v>
      </c>
      <c r="AD966" s="13" t="str">
        <f aca="true" t="array" ref="AD966:AD966">LEFT(AC966,LOOKUP(2^15,FIND(".",AC966,ROW(INDIRECT("1:"&amp;LEN(AC966)))))-1)</f>
        <v>NB_2022_061 - 22122022 - 2</v>
      </c>
      <c r="AE966" s="5" t="str">
        <f aca="false">CONCATENATE(AB966, "-",H966, ".mzML")</f>
        <v>NB_2022_061 - 22122022 - 1-QC_P_3.mzML</v>
      </c>
      <c r="AF966" s="5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0" t="s">
        <v>1317</v>
      </c>
      <c r="B967" s="31"/>
      <c r="C967" s="3" t="s">
        <v>1318</v>
      </c>
      <c r="D967" s="5" t="s">
        <v>14</v>
      </c>
      <c r="E967" s="5" t="s">
        <v>1319</v>
      </c>
      <c r="F967" s="6" t="s">
        <v>1320</v>
      </c>
      <c r="G967" s="5" t="s">
        <v>1321</v>
      </c>
      <c r="H967" s="6" t="s">
        <v>97</v>
      </c>
      <c r="I967" s="5" t="str">
        <f aca="false">CONCATENATE(E967, "_",H967)</f>
        <v>NLA_2023_018_003</v>
      </c>
      <c r="J967" s="5" t="s">
        <v>52</v>
      </c>
      <c r="K967" s="5" t="s">
        <v>1322</v>
      </c>
      <c r="L967" s="8" t="s">
        <v>69</v>
      </c>
      <c r="M967" s="15" t="s">
        <v>1323</v>
      </c>
      <c r="N967" s="5" t="s">
        <v>246</v>
      </c>
      <c r="O967" s="32" t="s">
        <v>1220</v>
      </c>
      <c r="P967" s="1" t="s">
        <v>43</v>
      </c>
      <c r="Q967" s="5" t="s">
        <v>1269</v>
      </c>
      <c r="R967" s="5" t="s">
        <v>44</v>
      </c>
      <c r="S967" s="12"/>
      <c r="U967" s="5" t="n">
        <v>1500</v>
      </c>
      <c r="V967" s="12" t="n">
        <v>1</v>
      </c>
      <c r="W967" s="3"/>
      <c r="X967" s="8" t="s">
        <v>1215</v>
      </c>
      <c r="Y967" s="12" t="n">
        <v>5500</v>
      </c>
      <c r="Z967" s="5" t="s">
        <v>1324</v>
      </c>
      <c r="AA967" s="5" t="s">
        <v>1325</v>
      </c>
      <c r="AB967" s="13" t="str">
        <f aca="true" t="array" ref="AB967:AB967">LEFT(AA967,LOOKUP(2^15,FIND(".",AA967,ROW(INDIRECT("1:"&amp;LEN(AA967)))))-1)</f>
        <v>NB_2023_016 - 20230425 - 1</v>
      </c>
      <c r="AC967" s="5" t="s">
        <v>1326</v>
      </c>
      <c r="AD967" s="13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0" t="s">
        <v>1317</v>
      </c>
      <c r="B968" s="31"/>
      <c r="C968" s="3" t="s">
        <v>1318</v>
      </c>
      <c r="D968" s="5" t="s">
        <v>14</v>
      </c>
      <c r="E968" s="5" t="s">
        <v>1319</v>
      </c>
      <c r="F968" s="6" t="s">
        <v>1320</v>
      </c>
      <c r="G968" s="5" t="s">
        <v>1321</v>
      </c>
      <c r="H968" s="6" t="s">
        <v>60</v>
      </c>
      <c r="I968" s="5" t="str">
        <f aca="false">CONCATENATE(E968, "_",H968)</f>
        <v>NLA_2023_018_016</v>
      </c>
      <c r="J968" s="5" t="s">
        <v>38</v>
      </c>
      <c r="K968" s="5" t="s">
        <v>1327</v>
      </c>
      <c r="L968" s="8" t="s">
        <v>69</v>
      </c>
      <c r="M968" s="15" t="s">
        <v>1323</v>
      </c>
      <c r="N968" s="5" t="s">
        <v>246</v>
      </c>
      <c r="O968" s="32" t="s">
        <v>1212</v>
      </c>
      <c r="P968" s="1" t="s">
        <v>43</v>
      </c>
      <c r="Q968" s="1" t="s">
        <v>43</v>
      </c>
      <c r="R968" s="5" t="s">
        <v>44</v>
      </c>
      <c r="U968" s="5" t="n">
        <v>1500</v>
      </c>
      <c r="V968" s="1" t="n">
        <v>2</v>
      </c>
      <c r="W968" s="3"/>
      <c r="X968" s="8" t="s">
        <v>1215</v>
      </c>
      <c r="Y968" s="12" t="n">
        <v>5500</v>
      </c>
      <c r="Z968" s="5" t="s">
        <v>1324</v>
      </c>
      <c r="AA968" s="5" t="s">
        <v>1325</v>
      </c>
      <c r="AB968" s="13" t="str">
        <f aca="true" t="array" ref="AB968:AB968">LEFT(AA968,LOOKUP(2^15,FIND(".",AA968,ROW(INDIRECT("1:"&amp;LEN(AA968)))))-1)</f>
        <v>NB_2023_016 - 20230425 - 1</v>
      </c>
      <c r="AC968" s="5" t="s">
        <v>1326</v>
      </c>
      <c r="AD968" s="13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0" t="s">
        <v>1317</v>
      </c>
      <c r="B969" s="31"/>
      <c r="C969" s="3" t="s">
        <v>1318</v>
      </c>
      <c r="D969" s="5" t="s">
        <v>14</v>
      </c>
      <c r="E969" s="5" t="s">
        <v>1319</v>
      </c>
      <c r="F969" s="6" t="s">
        <v>1320</v>
      </c>
      <c r="G969" s="5" t="s">
        <v>1321</v>
      </c>
      <c r="H969" s="6" t="s">
        <v>227</v>
      </c>
      <c r="I969" s="5" t="str">
        <f aca="false">CONCATENATE(E969, "_",H969)</f>
        <v>NLA_2023_018_019</v>
      </c>
      <c r="J969" s="5" t="s">
        <v>52</v>
      </c>
      <c r="K969" s="5" t="s">
        <v>1328</v>
      </c>
      <c r="L969" s="8" t="s">
        <v>69</v>
      </c>
      <c r="M969" s="15" t="s">
        <v>1323</v>
      </c>
      <c r="N969" s="5" t="s">
        <v>246</v>
      </c>
      <c r="O969" s="32" t="s">
        <v>1220</v>
      </c>
      <c r="P969" s="1" t="s">
        <v>43</v>
      </c>
      <c r="Q969" s="5" t="s">
        <v>1269</v>
      </c>
      <c r="R969" s="5" t="s">
        <v>44</v>
      </c>
      <c r="S969" s="12"/>
      <c r="U969" s="5" t="n">
        <v>1500</v>
      </c>
      <c r="V969" s="12" t="n">
        <v>3</v>
      </c>
      <c r="W969" s="3"/>
      <c r="X969" s="8" t="s">
        <v>1215</v>
      </c>
      <c r="Y969" s="12" t="n">
        <v>5500</v>
      </c>
      <c r="Z969" s="5" t="s">
        <v>1324</v>
      </c>
      <c r="AA969" s="5" t="s">
        <v>1325</v>
      </c>
      <c r="AB969" s="13" t="str">
        <f aca="true" t="array" ref="AB969:AB969">LEFT(AA969,LOOKUP(2^15,FIND(".",AA969,ROW(INDIRECT("1:"&amp;LEN(AA969)))))-1)</f>
        <v>NB_2023_016 - 20230425 - 1</v>
      </c>
      <c r="AC969" s="5" t="s">
        <v>1326</v>
      </c>
      <c r="AD969" s="13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0" t="s">
        <v>1317</v>
      </c>
      <c r="B970" s="31"/>
      <c r="C970" s="3" t="s">
        <v>1318</v>
      </c>
      <c r="D970" s="5" t="s">
        <v>14</v>
      </c>
      <c r="E970" s="5" t="s">
        <v>1319</v>
      </c>
      <c r="F970" s="6" t="s">
        <v>1320</v>
      </c>
      <c r="G970" s="5" t="s">
        <v>1321</v>
      </c>
      <c r="H970" s="6" t="s">
        <v>1329</v>
      </c>
      <c r="I970" s="5" t="str">
        <f aca="false">CONCATENATE(E970, "_",H970)</f>
        <v>NLA_2023_018_028</v>
      </c>
      <c r="J970" s="5" t="s">
        <v>38</v>
      </c>
      <c r="K970" s="5" t="s">
        <v>1330</v>
      </c>
      <c r="L970" s="8" t="s">
        <v>69</v>
      </c>
      <c r="M970" s="15" t="s">
        <v>1323</v>
      </c>
      <c r="N970" s="5" t="s">
        <v>246</v>
      </c>
      <c r="O970" s="32" t="s">
        <v>1212</v>
      </c>
      <c r="P970" s="1" t="s">
        <v>43</v>
      </c>
      <c r="Q970" s="1" t="s">
        <v>43</v>
      </c>
      <c r="R970" s="5" t="s">
        <v>44</v>
      </c>
      <c r="U970" s="5" t="n">
        <v>1500</v>
      </c>
      <c r="V970" s="1" t="n">
        <v>4</v>
      </c>
      <c r="W970" s="3"/>
      <c r="X970" s="8" t="s">
        <v>1215</v>
      </c>
      <c r="Y970" s="12" t="n">
        <v>5500</v>
      </c>
      <c r="Z970" s="5" t="s">
        <v>1324</v>
      </c>
      <c r="AA970" s="5" t="s">
        <v>1325</v>
      </c>
      <c r="AB970" s="13" t="str">
        <f aca="true" t="array" ref="AB970:AB970">LEFT(AA970,LOOKUP(2^15,FIND(".",AA970,ROW(INDIRECT("1:"&amp;LEN(AA970)))))-1)</f>
        <v>NB_2023_016 - 20230425 - 1</v>
      </c>
      <c r="AC970" s="5" t="s">
        <v>1326</v>
      </c>
      <c r="AD970" s="13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0" t="s">
        <v>1317</v>
      </c>
      <c r="B971" s="31"/>
      <c r="C971" s="3" t="s">
        <v>1318</v>
      </c>
      <c r="D971" s="5" t="s">
        <v>14</v>
      </c>
      <c r="E971" s="5" t="s">
        <v>1319</v>
      </c>
      <c r="F971" s="6" t="s">
        <v>1320</v>
      </c>
      <c r="G971" s="5" t="s">
        <v>1321</v>
      </c>
      <c r="H971" s="6" t="s">
        <v>445</v>
      </c>
      <c r="I971" s="5" t="str">
        <f aca="false">CONCATENATE(E971, "_",H971)</f>
        <v>NLA_2023_018_031</v>
      </c>
      <c r="J971" s="5" t="s">
        <v>52</v>
      </c>
      <c r="K971" s="5" t="s">
        <v>1331</v>
      </c>
      <c r="L971" s="8" t="s">
        <v>69</v>
      </c>
      <c r="M971" s="15" t="s">
        <v>1323</v>
      </c>
      <c r="N971" s="5" t="s">
        <v>246</v>
      </c>
      <c r="O971" s="32" t="s">
        <v>1220</v>
      </c>
      <c r="P971" s="1" t="s">
        <v>43</v>
      </c>
      <c r="Q971" s="5" t="s">
        <v>1269</v>
      </c>
      <c r="R971" s="5" t="s">
        <v>44</v>
      </c>
      <c r="S971" s="12"/>
      <c r="U971" s="5" t="n">
        <v>1500</v>
      </c>
      <c r="V971" s="12" t="n">
        <v>2</v>
      </c>
      <c r="W971" s="3"/>
      <c r="X971" s="8" t="s">
        <v>1215</v>
      </c>
      <c r="Y971" s="12" t="n">
        <v>5500</v>
      </c>
      <c r="Z971" s="5" t="s">
        <v>1324</v>
      </c>
      <c r="AA971" s="5" t="s">
        <v>1325</v>
      </c>
      <c r="AB971" s="13" t="str">
        <f aca="true" t="array" ref="AB971:AB971">LEFT(AA971,LOOKUP(2^15,FIND(".",AA971,ROW(INDIRECT("1:"&amp;LEN(AA971)))))-1)</f>
        <v>NB_2023_016 - 20230425 - 1</v>
      </c>
      <c r="AC971" s="5" t="s">
        <v>1326</v>
      </c>
      <c r="AD971" s="13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0" t="s">
        <v>1317</v>
      </c>
      <c r="B972" s="31"/>
      <c r="C972" s="3" t="s">
        <v>1318</v>
      </c>
      <c r="D972" s="5" t="s">
        <v>14</v>
      </c>
      <c r="E972" s="5" t="s">
        <v>1319</v>
      </c>
      <c r="F972" s="6" t="s">
        <v>1320</v>
      </c>
      <c r="G972" s="5" t="s">
        <v>1321</v>
      </c>
      <c r="H972" s="6" t="s">
        <v>1063</v>
      </c>
      <c r="I972" s="5" t="str">
        <f aca="false">CONCATENATE(E972, "_",H972)</f>
        <v>NLA_2023_018_033</v>
      </c>
      <c r="J972" s="5" t="s">
        <v>38</v>
      </c>
      <c r="K972" s="5" t="s">
        <v>1332</v>
      </c>
      <c r="L972" s="8" t="s">
        <v>69</v>
      </c>
      <c r="M972" s="15" t="s">
        <v>1323</v>
      </c>
      <c r="N972" s="5" t="s">
        <v>246</v>
      </c>
      <c r="O972" s="32" t="s">
        <v>1212</v>
      </c>
      <c r="P972" s="1" t="s">
        <v>43</v>
      </c>
      <c r="Q972" s="1" t="s">
        <v>43</v>
      </c>
      <c r="R972" s="5" t="s">
        <v>44</v>
      </c>
      <c r="U972" s="5" t="n">
        <v>1500</v>
      </c>
      <c r="V972" s="1" t="n">
        <v>3</v>
      </c>
      <c r="W972" s="3"/>
      <c r="X972" s="8" t="s">
        <v>1215</v>
      </c>
      <c r="Y972" s="12" t="n">
        <v>5500</v>
      </c>
      <c r="Z972" s="5" t="s">
        <v>1324</v>
      </c>
      <c r="AA972" s="5" t="s">
        <v>1325</v>
      </c>
      <c r="AB972" s="13" t="str">
        <f aca="true" t="array" ref="AB972:AB972">LEFT(AA972,LOOKUP(2^15,FIND(".",AA972,ROW(INDIRECT("1:"&amp;LEN(AA972)))))-1)</f>
        <v>NB_2023_016 - 20230425 - 1</v>
      </c>
      <c r="AC972" s="5" t="s">
        <v>1326</v>
      </c>
      <c r="AD972" s="13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0" t="s">
        <v>1317</v>
      </c>
      <c r="B973" s="31"/>
      <c r="C973" s="3" t="s">
        <v>1318</v>
      </c>
      <c r="D973" s="5" t="s">
        <v>14</v>
      </c>
      <c r="E973" s="5" t="s">
        <v>1319</v>
      </c>
      <c r="F973" s="6" t="s">
        <v>1320</v>
      </c>
      <c r="G973" s="5" t="s">
        <v>1321</v>
      </c>
      <c r="H973" s="6" t="s">
        <v>925</v>
      </c>
      <c r="I973" s="5" t="str">
        <f aca="false">CONCATENATE(E973, "_",H973)</f>
        <v>NLA_2023_018_036</v>
      </c>
      <c r="J973" s="5" t="s">
        <v>38</v>
      </c>
      <c r="K973" s="5" t="s">
        <v>1333</v>
      </c>
      <c r="L973" s="8" t="s">
        <v>69</v>
      </c>
      <c r="M973" s="15" t="s">
        <v>1323</v>
      </c>
      <c r="N973" s="5" t="s">
        <v>246</v>
      </c>
      <c r="O973" s="32" t="s">
        <v>1212</v>
      </c>
      <c r="P973" s="1" t="s">
        <v>43</v>
      </c>
      <c r="Q973" s="1" t="s">
        <v>43</v>
      </c>
      <c r="R973" s="5" t="s">
        <v>44</v>
      </c>
      <c r="U973" s="5" t="n">
        <v>1500</v>
      </c>
      <c r="V973" s="1" t="n">
        <v>1</v>
      </c>
      <c r="W973" s="3"/>
      <c r="X973" s="8" t="s">
        <v>1215</v>
      </c>
      <c r="Y973" s="12" t="n">
        <v>5500</v>
      </c>
      <c r="Z973" s="5" t="s">
        <v>1324</v>
      </c>
      <c r="AA973" s="5" t="s">
        <v>1325</v>
      </c>
      <c r="AB973" s="13" t="str">
        <f aca="true" t="array" ref="AB973:AB973">LEFT(AA973,LOOKUP(2^15,FIND(".",AA973,ROW(INDIRECT("1:"&amp;LEN(AA973)))))-1)</f>
        <v>NB_2023_016 - 20230425 - 1</v>
      </c>
      <c r="AC973" s="5" t="s">
        <v>1326</v>
      </c>
      <c r="AD973" s="13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0" t="s">
        <v>1317</v>
      </c>
      <c r="B974" s="31"/>
      <c r="C974" s="3" t="s">
        <v>1318</v>
      </c>
      <c r="D974" s="5" t="s">
        <v>14</v>
      </c>
      <c r="E974" s="5" t="s">
        <v>1319</v>
      </c>
      <c r="F974" s="6" t="s">
        <v>1320</v>
      </c>
      <c r="G974" s="5" t="s">
        <v>1319</v>
      </c>
      <c r="H974" s="14" t="s">
        <v>64</v>
      </c>
      <c r="I974" s="5" t="str">
        <f aca="false">CONCATENATE(E974, "_",H974)</f>
        <v>NLA_2023_018_Blank_1</v>
      </c>
      <c r="J974" s="5" t="s">
        <v>52</v>
      </c>
      <c r="K974" s="16" t="s">
        <v>64</v>
      </c>
      <c r="L974" s="6" t="s">
        <v>46</v>
      </c>
      <c r="M974" s="15" t="s">
        <v>46</v>
      </c>
      <c r="N974" s="5" t="s">
        <v>65</v>
      </c>
      <c r="O974" s="5" t="s">
        <v>46</v>
      </c>
      <c r="P974" s="5" t="s">
        <v>46</v>
      </c>
      <c r="Q974" s="5" t="s">
        <v>46</v>
      </c>
      <c r="R974" s="5" t="s">
        <v>46</v>
      </c>
      <c r="S974" s="5" t="s">
        <v>46</v>
      </c>
      <c r="T974" s="5" t="s">
        <v>46</v>
      </c>
      <c r="U974" s="5" t="s">
        <v>46</v>
      </c>
      <c r="V974" s="1" t="n">
        <v>1</v>
      </c>
      <c r="W974" s="3"/>
      <c r="X974" s="5" t="s">
        <v>46</v>
      </c>
      <c r="Y974" s="12" t="n">
        <v>5500</v>
      </c>
      <c r="Z974" s="5" t="s">
        <v>1324</v>
      </c>
      <c r="AA974" s="5" t="s">
        <v>1325</v>
      </c>
      <c r="AB974" s="13" t="str">
        <f aca="true" t="array" ref="AB974:AB974">LEFT(AA974,LOOKUP(2^15,FIND(".",AA974,ROW(INDIRECT("1:"&amp;LEN(AA974)))))-1)</f>
        <v>NB_2023_016 - 20230425 - 1</v>
      </c>
      <c r="AC974" s="5" t="s">
        <v>1326</v>
      </c>
      <c r="AD974" s="13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0" t="s">
        <v>1317</v>
      </c>
      <c r="B975" s="31"/>
      <c r="C975" s="3" t="s">
        <v>1318</v>
      </c>
      <c r="D975" s="5" t="s">
        <v>14</v>
      </c>
      <c r="E975" s="5" t="s">
        <v>1319</v>
      </c>
      <c r="F975" s="6" t="s">
        <v>1320</v>
      </c>
      <c r="G975" s="5" t="s">
        <v>1319</v>
      </c>
      <c r="H975" s="14" t="s">
        <v>67</v>
      </c>
      <c r="I975" s="5" t="str">
        <f aca="false">CONCATENATE(E975, "_",H975)</f>
        <v>NLA_2023_018_Blank_3</v>
      </c>
      <c r="J975" s="5" t="s">
        <v>52</v>
      </c>
      <c r="K975" s="16" t="s">
        <v>67</v>
      </c>
      <c r="L975" s="6" t="s">
        <v>46</v>
      </c>
      <c r="M975" s="15" t="s">
        <v>46</v>
      </c>
      <c r="N975" s="5" t="s">
        <v>65</v>
      </c>
      <c r="O975" s="5" t="s">
        <v>46</v>
      </c>
      <c r="P975" s="5" t="s">
        <v>46</v>
      </c>
      <c r="Q975" s="5" t="s">
        <v>46</v>
      </c>
      <c r="R975" s="5" t="s">
        <v>46</v>
      </c>
      <c r="S975" s="5" t="s">
        <v>46</v>
      </c>
      <c r="T975" s="5" t="s">
        <v>46</v>
      </c>
      <c r="U975" s="5" t="s">
        <v>46</v>
      </c>
      <c r="V975" s="1" t="n">
        <v>3</v>
      </c>
      <c r="W975" s="3"/>
      <c r="X975" s="5" t="s">
        <v>46</v>
      </c>
      <c r="Y975" s="12" t="n">
        <v>5500</v>
      </c>
      <c r="Z975" s="5" t="s">
        <v>1324</v>
      </c>
      <c r="AA975" s="5" t="s">
        <v>1325</v>
      </c>
      <c r="AB975" s="13" t="str">
        <f aca="true" t="array" ref="AB975:AB975">LEFT(AA975,LOOKUP(2^15,FIND(".",AA975,ROW(INDIRECT("1:"&amp;LEN(AA975)))))-1)</f>
        <v>NB_2023_016 - 20230425 - 1</v>
      </c>
      <c r="AC975" s="5" t="s">
        <v>1326</v>
      </c>
      <c r="AD975" s="13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0" t="s">
        <v>1317</v>
      </c>
      <c r="B976" s="31"/>
      <c r="C976" s="3" t="s">
        <v>1318</v>
      </c>
      <c r="D976" s="5" t="s">
        <v>14</v>
      </c>
      <c r="E976" s="5" t="s">
        <v>1319</v>
      </c>
      <c r="F976" s="6" t="s">
        <v>1320</v>
      </c>
      <c r="G976" s="5" t="s">
        <v>1319</v>
      </c>
      <c r="H976" s="14" t="s">
        <v>221</v>
      </c>
      <c r="I976" s="5" t="str">
        <f aca="false">CONCATENATE(E976, "_",H976)</f>
        <v>NLA_2023_018_Blank_4</v>
      </c>
      <c r="J976" s="5" t="s">
        <v>52</v>
      </c>
      <c r="K976" s="16" t="s">
        <v>221</v>
      </c>
      <c r="L976" s="6" t="s">
        <v>46</v>
      </c>
      <c r="M976" s="15" t="s">
        <v>46</v>
      </c>
      <c r="N976" s="5" t="s">
        <v>65</v>
      </c>
      <c r="O976" s="5" t="s">
        <v>46</v>
      </c>
      <c r="P976" s="5" t="s">
        <v>46</v>
      </c>
      <c r="Q976" s="5" t="s">
        <v>46</v>
      </c>
      <c r="R976" s="5" t="s">
        <v>46</v>
      </c>
      <c r="S976" s="5" t="s">
        <v>46</v>
      </c>
      <c r="T976" s="5" t="s">
        <v>46</v>
      </c>
      <c r="U976" s="5" t="s">
        <v>46</v>
      </c>
      <c r="V976" s="1" t="n">
        <v>4</v>
      </c>
      <c r="W976" s="3"/>
      <c r="X976" s="5" t="s">
        <v>46</v>
      </c>
      <c r="Y976" s="12" t="n">
        <v>5500</v>
      </c>
      <c r="Z976" s="5" t="s">
        <v>1324</v>
      </c>
      <c r="AA976" s="5" t="s">
        <v>1325</v>
      </c>
      <c r="AB976" s="13" t="str">
        <f aca="true" t="array" ref="AB976:AB976">LEFT(AA976,LOOKUP(2^15,FIND(".",AA976,ROW(INDIRECT("1:"&amp;LEN(AA976)))))-1)</f>
        <v>NB_2023_016 - 20230425 - 1</v>
      </c>
      <c r="AC976" s="5" t="s">
        <v>1326</v>
      </c>
      <c r="AD976" s="13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0" t="s">
        <v>1317</v>
      </c>
      <c r="B977" s="31"/>
      <c r="C977" s="3" t="s">
        <v>1318</v>
      </c>
      <c r="D977" s="5" t="s">
        <v>14</v>
      </c>
      <c r="E977" s="5" t="s">
        <v>1319</v>
      </c>
      <c r="F977" s="6" t="s">
        <v>1320</v>
      </c>
      <c r="G977" s="5" t="s">
        <v>1319</v>
      </c>
      <c r="H977" s="14" t="s">
        <v>68</v>
      </c>
      <c r="I977" s="5" t="str">
        <f aca="false">CONCATENATE(E977, "_",H977)</f>
        <v>NLA_2023_018_QC_C_1</v>
      </c>
      <c r="J977" s="5" t="s">
        <v>52</v>
      </c>
      <c r="K977" s="16" t="s">
        <v>68</v>
      </c>
      <c r="L977" s="8" t="s">
        <v>69</v>
      </c>
      <c r="M977" s="1" t="s">
        <v>46</v>
      </c>
      <c r="N977" s="5" t="s">
        <v>70</v>
      </c>
      <c r="O977" s="5" t="s">
        <v>46</v>
      </c>
      <c r="P977" s="5" t="s">
        <v>71</v>
      </c>
      <c r="Q977" s="5" t="s">
        <v>71</v>
      </c>
      <c r="R977" s="5" t="s">
        <v>72</v>
      </c>
      <c r="S977" s="5" t="s">
        <v>73</v>
      </c>
      <c r="T977" s="5" t="s">
        <v>46</v>
      </c>
      <c r="U977" s="5" t="n">
        <v>1000</v>
      </c>
      <c r="V977" s="1" t="n">
        <v>1</v>
      </c>
      <c r="W977" s="3"/>
      <c r="X977" s="5" t="s">
        <v>74</v>
      </c>
      <c r="Y977" s="12" t="n">
        <v>5500</v>
      </c>
      <c r="Z977" s="5" t="s">
        <v>1324</v>
      </c>
      <c r="AA977" s="5" t="s">
        <v>1325</v>
      </c>
      <c r="AB977" s="13" t="str">
        <f aca="true" t="array" ref="AB977:AB977">LEFT(AA977,LOOKUP(2^15,FIND(".",AA977,ROW(INDIRECT("1:"&amp;LEN(AA977)))))-1)</f>
        <v>NB_2023_016 - 20230425 - 1</v>
      </c>
      <c r="AC977" s="5" t="s">
        <v>1326</v>
      </c>
      <c r="AD977" s="13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0" t="s">
        <v>1317</v>
      </c>
      <c r="B978" s="31"/>
      <c r="C978" s="3" t="s">
        <v>1318</v>
      </c>
      <c r="D978" s="5" t="s">
        <v>14</v>
      </c>
      <c r="E978" s="5" t="s">
        <v>1319</v>
      </c>
      <c r="F978" s="6" t="s">
        <v>1320</v>
      </c>
      <c r="G978" s="5" t="s">
        <v>1319</v>
      </c>
      <c r="H978" s="14" t="s">
        <v>75</v>
      </c>
      <c r="I978" s="5" t="str">
        <f aca="false">CONCATENATE(E978, "_",H978)</f>
        <v>NLA_2023_018_QC_C_2</v>
      </c>
      <c r="J978" s="5" t="s">
        <v>52</v>
      </c>
      <c r="K978" s="16" t="s">
        <v>75</v>
      </c>
      <c r="L978" s="8" t="s">
        <v>69</v>
      </c>
      <c r="M978" s="1" t="s">
        <v>46</v>
      </c>
      <c r="N978" s="5" t="s">
        <v>70</v>
      </c>
      <c r="O978" s="5" t="s">
        <v>46</v>
      </c>
      <c r="P978" s="5" t="s">
        <v>71</v>
      </c>
      <c r="Q978" s="5" t="s">
        <v>71</v>
      </c>
      <c r="R978" s="5" t="s">
        <v>72</v>
      </c>
      <c r="S978" s="5" t="s">
        <v>73</v>
      </c>
      <c r="T978" s="5" t="s">
        <v>46</v>
      </c>
      <c r="U978" s="5" t="n">
        <v>1000</v>
      </c>
      <c r="V978" s="1" t="n">
        <v>2</v>
      </c>
      <c r="W978" s="3"/>
      <c r="X978" s="5" t="s">
        <v>74</v>
      </c>
      <c r="Y978" s="12" t="n">
        <v>5500</v>
      </c>
      <c r="Z978" s="5" t="s">
        <v>1324</v>
      </c>
      <c r="AA978" s="5" t="s">
        <v>1325</v>
      </c>
      <c r="AB978" s="13" t="str">
        <f aca="true" t="array" ref="AB978:AB978">LEFT(AA978,LOOKUP(2^15,FIND(".",AA978,ROW(INDIRECT("1:"&amp;LEN(AA978)))))-1)</f>
        <v>NB_2023_016 - 20230425 - 1</v>
      </c>
      <c r="AC978" s="5" t="s">
        <v>1326</v>
      </c>
      <c r="AD978" s="13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0" t="s">
        <v>1317</v>
      </c>
      <c r="B979" s="31"/>
      <c r="C979" s="3" t="s">
        <v>1318</v>
      </c>
      <c r="D979" s="5" t="s">
        <v>14</v>
      </c>
      <c r="E979" s="5" t="s">
        <v>1319</v>
      </c>
      <c r="F979" s="6" t="s">
        <v>1320</v>
      </c>
      <c r="G979" s="5" t="s">
        <v>1319</v>
      </c>
      <c r="H979" s="14" t="s">
        <v>76</v>
      </c>
      <c r="I979" s="5" t="str">
        <f aca="false">CONCATENATE(E979, "_",H979)</f>
        <v>NLA_2023_018_QC_C_3</v>
      </c>
      <c r="J979" s="5" t="s">
        <v>52</v>
      </c>
      <c r="K979" s="16" t="s">
        <v>76</v>
      </c>
      <c r="L979" s="8" t="s">
        <v>69</v>
      </c>
      <c r="M979" s="1" t="s">
        <v>46</v>
      </c>
      <c r="N979" s="5" t="s">
        <v>70</v>
      </c>
      <c r="O979" s="5" t="s">
        <v>46</v>
      </c>
      <c r="P979" s="5" t="s">
        <v>71</v>
      </c>
      <c r="Q979" s="5" t="s">
        <v>71</v>
      </c>
      <c r="R979" s="5" t="s">
        <v>72</v>
      </c>
      <c r="S979" s="5" t="s">
        <v>73</v>
      </c>
      <c r="T979" s="5" t="s">
        <v>46</v>
      </c>
      <c r="U979" s="5" t="n">
        <v>1000</v>
      </c>
      <c r="V979" s="1" t="n">
        <v>3</v>
      </c>
      <c r="W979" s="3"/>
      <c r="X979" s="5" t="s">
        <v>74</v>
      </c>
      <c r="Y979" s="12" t="n">
        <v>5500</v>
      </c>
      <c r="Z979" s="5" t="s">
        <v>1324</v>
      </c>
      <c r="AA979" s="5" t="s">
        <v>1325</v>
      </c>
      <c r="AB979" s="13" t="str">
        <f aca="true" t="array" ref="AB979:AB979">LEFT(AA979,LOOKUP(2^15,FIND(".",AA979,ROW(INDIRECT("1:"&amp;LEN(AA979)))))-1)</f>
        <v>NB_2023_016 - 20230425 - 1</v>
      </c>
      <c r="AC979" s="5" t="s">
        <v>1326</v>
      </c>
      <c r="AD979" s="13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0" t="s">
        <v>1317</v>
      </c>
      <c r="B980" s="31"/>
      <c r="C980" s="3" t="s">
        <v>1318</v>
      </c>
      <c r="D980" s="5" t="s">
        <v>14</v>
      </c>
      <c r="E980" s="5" t="s">
        <v>1319</v>
      </c>
      <c r="F980" s="6" t="s">
        <v>1320</v>
      </c>
      <c r="G980" s="5" t="s">
        <v>1319</v>
      </c>
      <c r="H980" s="14" t="s">
        <v>222</v>
      </c>
      <c r="I980" s="5" t="str">
        <f aca="false">CONCATENATE(E980, "_",H980)</f>
        <v>NLA_2023_018_QC_C_4</v>
      </c>
      <c r="J980" s="5" t="s">
        <v>52</v>
      </c>
      <c r="K980" s="16" t="s">
        <v>222</v>
      </c>
      <c r="L980" s="8" t="s">
        <v>69</v>
      </c>
      <c r="M980" s="1" t="s">
        <v>46</v>
      </c>
      <c r="N980" s="5" t="s">
        <v>70</v>
      </c>
      <c r="O980" s="5" t="s">
        <v>46</v>
      </c>
      <c r="P980" s="5" t="s">
        <v>71</v>
      </c>
      <c r="Q980" s="5" t="s">
        <v>71</v>
      </c>
      <c r="R980" s="5" t="s">
        <v>72</v>
      </c>
      <c r="S980" s="5" t="s">
        <v>73</v>
      </c>
      <c r="T980" s="5" t="s">
        <v>46</v>
      </c>
      <c r="U980" s="5" t="n">
        <v>1000</v>
      </c>
      <c r="V980" s="1" t="n">
        <v>4</v>
      </c>
      <c r="W980" s="3"/>
      <c r="X980" s="5" t="s">
        <v>74</v>
      </c>
      <c r="Y980" s="12" t="n">
        <v>5500</v>
      </c>
      <c r="Z980" s="5" t="s">
        <v>1324</v>
      </c>
      <c r="AA980" s="5" t="s">
        <v>1325</v>
      </c>
      <c r="AB980" s="13" t="str">
        <f aca="true" t="array" ref="AB980:AB980">LEFT(AA980,LOOKUP(2^15,FIND(".",AA980,ROW(INDIRECT("1:"&amp;LEN(AA980)))))-1)</f>
        <v>NB_2023_016 - 20230425 - 1</v>
      </c>
      <c r="AC980" s="5" t="s">
        <v>1326</v>
      </c>
      <c r="AD980" s="13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0" t="s">
        <v>1317</v>
      </c>
      <c r="B981" s="31"/>
      <c r="C981" s="3" t="s">
        <v>1318</v>
      </c>
      <c r="D981" s="5" t="s">
        <v>14</v>
      </c>
      <c r="E981" s="5" t="s">
        <v>1319</v>
      </c>
      <c r="F981" s="6" t="s">
        <v>1320</v>
      </c>
      <c r="G981" s="5" t="s">
        <v>1319</v>
      </c>
      <c r="H981" s="14" t="s">
        <v>77</v>
      </c>
      <c r="I981" s="5" t="str">
        <f aca="false">CONCATENATE(E981, "_",H981)</f>
        <v>NLA_2023_018_QC_P_1</v>
      </c>
      <c r="J981" s="5" t="s">
        <v>52</v>
      </c>
      <c r="K981" s="16" t="s">
        <v>77</v>
      </c>
      <c r="L981" s="6" t="s">
        <v>69</v>
      </c>
      <c r="M981" s="1" t="s">
        <v>46</v>
      </c>
      <c r="N981" s="5" t="s">
        <v>78</v>
      </c>
      <c r="O981" s="5" t="s">
        <v>46</v>
      </c>
      <c r="P981" s="5" t="s">
        <v>79</v>
      </c>
      <c r="Q981" s="5" t="s">
        <v>80</v>
      </c>
      <c r="R981" s="5" t="s">
        <v>81</v>
      </c>
      <c r="S981" s="5" t="s">
        <v>46</v>
      </c>
      <c r="T981" s="5" t="s">
        <v>46</v>
      </c>
      <c r="U981" s="5" t="s">
        <v>82</v>
      </c>
      <c r="V981" s="1" t="n">
        <v>1</v>
      </c>
      <c r="W981" s="3"/>
      <c r="X981" s="5" t="s">
        <v>83</v>
      </c>
      <c r="Y981" s="12" t="n">
        <v>5500</v>
      </c>
      <c r="Z981" s="5" t="s">
        <v>1324</v>
      </c>
      <c r="AA981" s="5" t="s">
        <v>1325</v>
      </c>
      <c r="AB981" s="13" t="str">
        <f aca="true" t="array" ref="AB981:AB981">LEFT(AA981,LOOKUP(2^15,FIND(".",AA981,ROW(INDIRECT("1:"&amp;LEN(AA981)))))-1)</f>
        <v>NB_2023_016 - 20230425 - 1</v>
      </c>
      <c r="AC981" s="5" t="s">
        <v>1326</v>
      </c>
      <c r="AD981" s="13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0" t="s">
        <v>1317</v>
      </c>
      <c r="B982" s="31"/>
      <c r="C982" s="3" t="s">
        <v>1318</v>
      </c>
      <c r="D982" s="5" t="s">
        <v>14</v>
      </c>
      <c r="E982" s="5" t="s">
        <v>1319</v>
      </c>
      <c r="F982" s="6" t="s">
        <v>1320</v>
      </c>
      <c r="G982" s="5" t="s">
        <v>1319</v>
      </c>
      <c r="H982" s="14" t="s">
        <v>84</v>
      </c>
      <c r="I982" s="5" t="str">
        <f aca="false">CONCATENATE(E982, "_",H982)</f>
        <v>NLA_2023_018_QC_P_2</v>
      </c>
      <c r="J982" s="5" t="s">
        <v>52</v>
      </c>
      <c r="K982" s="16" t="s">
        <v>84</v>
      </c>
      <c r="L982" s="6" t="s">
        <v>69</v>
      </c>
      <c r="M982" s="1" t="s">
        <v>46</v>
      </c>
      <c r="N982" s="5" t="s">
        <v>78</v>
      </c>
      <c r="O982" s="5" t="s">
        <v>46</v>
      </c>
      <c r="P982" s="5" t="s">
        <v>79</v>
      </c>
      <c r="Q982" s="5" t="s">
        <v>80</v>
      </c>
      <c r="R982" s="5" t="s">
        <v>81</v>
      </c>
      <c r="S982" s="5" t="s">
        <v>46</v>
      </c>
      <c r="T982" s="5" t="s">
        <v>46</v>
      </c>
      <c r="U982" s="5" t="s">
        <v>82</v>
      </c>
      <c r="V982" s="1" t="n">
        <v>2</v>
      </c>
      <c r="W982" s="3"/>
      <c r="X982" s="5" t="s">
        <v>83</v>
      </c>
      <c r="Y982" s="12" t="n">
        <v>5500</v>
      </c>
      <c r="Z982" s="5" t="s">
        <v>1324</v>
      </c>
      <c r="AA982" s="5" t="s">
        <v>1325</v>
      </c>
      <c r="AB982" s="13" t="str">
        <f aca="true" t="array" ref="AB982:AB982">LEFT(AA982,LOOKUP(2^15,FIND(".",AA982,ROW(INDIRECT("1:"&amp;LEN(AA982)))))-1)</f>
        <v>NB_2023_016 - 20230425 - 1</v>
      </c>
      <c r="AC982" s="5" t="s">
        <v>1326</v>
      </c>
      <c r="AD982" s="13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0" t="s">
        <v>1317</v>
      </c>
      <c r="B983" s="31"/>
      <c r="C983" s="3" t="s">
        <v>1318</v>
      </c>
      <c r="D983" s="5" t="s">
        <v>14</v>
      </c>
      <c r="E983" s="5" t="s">
        <v>1319</v>
      </c>
      <c r="F983" s="6" t="s">
        <v>1320</v>
      </c>
      <c r="G983" s="5" t="s">
        <v>1319</v>
      </c>
      <c r="H983" s="14" t="s">
        <v>85</v>
      </c>
      <c r="I983" s="5" t="str">
        <f aca="false">CONCATENATE(E983, "_",H983)</f>
        <v>NLA_2023_018_QC_P_3</v>
      </c>
      <c r="J983" s="3" t="s">
        <v>52</v>
      </c>
      <c r="K983" s="16" t="s">
        <v>85</v>
      </c>
      <c r="L983" s="6" t="s">
        <v>69</v>
      </c>
      <c r="M983" s="1" t="s">
        <v>46</v>
      </c>
      <c r="N983" s="5" t="s">
        <v>78</v>
      </c>
      <c r="O983" s="5" t="s">
        <v>46</v>
      </c>
      <c r="P983" s="5" t="s">
        <v>79</v>
      </c>
      <c r="Q983" s="5" t="s">
        <v>80</v>
      </c>
      <c r="R983" s="5" t="s">
        <v>81</v>
      </c>
      <c r="S983" s="5" t="s">
        <v>46</v>
      </c>
      <c r="T983" s="5" t="s">
        <v>46</v>
      </c>
      <c r="U983" s="5" t="s">
        <v>82</v>
      </c>
      <c r="V983" s="1" t="n">
        <v>3</v>
      </c>
      <c r="W983" s="3"/>
      <c r="X983" s="5" t="s">
        <v>83</v>
      </c>
      <c r="Y983" s="12" t="n">
        <v>5500</v>
      </c>
      <c r="Z983" s="5" t="s">
        <v>1324</v>
      </c>
      <c r="AA983" s="5" t="s">
        <v>1325</v>
      </c>
      <c r="AB983" s="13" t="str">
        <f aca="true" t="array" ref="AB983:AB983">LEFT(AA983,LOOKUP(2^15,FIND(".",AA983,ROW(INDIRECT("1:"&amp;LEN(AA983)))))-1)</f>
        <v>NB_2023_016 - 20230425 - 1</v>
      </c>
      <c r="AC983" s="5" t="s">
        <v>1326</v>
      </c>
      <c r="AD983" s="13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0" t="s">
        <v>1317</v>
      </c>
      <c r="B984" s="31"/>
      <c r="C984" s="3" t="s">
        <v>1318</v>
      </c>
      <c r="D984" s="5" t="s">
        <v>14</v>
      </c>
      <c r="E984" s="5" t="s">
        <v>1319</v>
      </c>
      <c r="F984" s="6" t="s">
        <v>1320</v>
      </c>
      <c r="G984" s="5" t="s">
        <v>1319</v>
      </c>
      <c r="H984" s="14" t="s">
        <v>224</v>
      </c>
      <c r="I984" s="5" t="str">
        <f aca="false">CONCATENATE(E984, "_",H984)</f>
        <v>NLA_2023_018_QC_P_4</v>
      </c>
      <c r="J984" s="3" t="s">
        <v>52</v>
      </c>
      <c r="K984" s="16" t="s">
        <v>224</v>
      </c>
      <c r="L984" s="6" t="s">
        <v>69</v>
      </c>
      <c r="M984" s="1" t="s">
        <v>46</v>
      </c>
      <c r="N984" s="5" t="s">
        <v>78</v>
      </c>
      <c r="O984" s="5" t="s">
        <v>46</v>
      </c>
      <c r="P984" s="5" t="s">
        <v>79</v>
      </c>
      <c r="Q984" s="5" t="s">
        <v>80</v>
      </c>
      <c r="R984" s="5" t="s">
        <v>81</v>
      </c>
      <c r="S984" s="5" t="s">
        <v>46</v>
      </c>
      <c r="T984" s="5" t="s">
        <v>46</v>
      </c>
      <c r="U984" s="5" t="s">
        <v>82</v>
      </c>
      <c r="V984" s="1" t="n">
        <v>4</v>
      </c>
      <c r="W984" s="3"/>
      <c r="X984" s="5" t="s">
        <v>83</v>
      </c>
      <c r="Y984" s="12" t="n">
        <v>5500</v>
      </c>
      <c r="Z984" s="5" t="s">
        <v>1324</v>
      </c>
      <c r="AA984" s="5" t="s">
        <v>1325</v>
      </c>
      <c r="AB984" s="13" t="str">
        <f aca="true" t="array" ref="AB984:AB984">LEFT(AA984,LOOKUP(2^15,FIND(".",AA984,ROW(INDIRECT("1:"&amp;LEN(AA984)))))-1)</f>
        <v>NB_2023_016 - 20230425 - 1</v>
      </c>
      <c r="AC984" s="5" t="s">
        <v>1326</v>
      </c>
      <c r="AD984" s="13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0" t="s">
        <v>1334</v>
      </c>
      <c r="B985" s="31"/>
      <c r="C985" s="3" t="s">
        <v>1335</v>
      </c>
      <c r="D985" s="5" t="s">
        <v>14</v>
      </c>
      <c r="E985" s="5" t="s">
        <v>1319</v>
      </c>
      <c r="F985" s="6" t="s">
        <v>1320</v>
      </c>
      <c r="G985" s="5" t="s">
        <v>1336</v>
      </c>
      <c r="H985" s="6" t="s">
        <v>142</v>
      </c>
      <c r="I985" s="5" t="str">
        <f aca="false">CONCATENATE(E985, "_",H985)</f>
        <v>NLA_2023_018_008</v>
      </c>
      <c r="J985" s="5" t="s">
        <v>52</v>
      </c>
      <c r="K985" s="5" t="s">
        <v>1337</v>
      </c>
      <c r="L985" s="8" t="s">
        <v>69</v>
      </c>
      <c r="M985" s="15" t="s">
        <v>1338</v>
      </c>
      <c r="N985" s="5" t="s">
        <v>246</v>
      </c>
      <c r="O985" s="32" t="s">
        <v>1220</v>
      </c>
      <c r="P985" s="1" t="s">
        <v>43</v>
      </c>
      <c r="Q985" s="5" t="s">
        <v>1269</v>
      </c>
      <c r="R985" s="5" t="s">
        <v>44</v>
      </c>
      <c r="S985" s="12"/>
      <c r="U985" s="5" t="n">
        <v>1500</v>
      </c>
      <c r="V985" s="12" t="n">
        <v>2</v>
      </c>
      <c r="W985" s="3"/>
      <c r="X985" s="8" t="s">
        <v>1215</v>
      </c>
      <c r="Y985" s="12" t="n">
        <v>5500</v>
      </c>
      <c r="Z985" s="5" t="s">
        <v>1324</v>
      </c>
      <c r="AA985" s="5" t="s">
        <v>1325</v>
      </c>
      <c r="AB985" s="13" t="str">
        <f aca="true" t="array" ref="AB985:AB985">LEFT(AA985,LOOKUP(2^15,FIND(".",AA985,ROW(INDIRECT("1:"&amp;LEN(AA985)))))-1)</f>
        <v>NB_2023_016 - 20230425 - 1</v>
      </c>
      <c r="AC985" s="5" t="s">
        <v>1326</v>
      </c>
      <c r="AD985" s="13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0" t="s">
        <v>1334</v>
      </c>
      <c r="B986" s="31"/>
      <c r="C986" s="3" t="s">
        <v>1335</v>
      </c>
      <c r="D986" s="5" t="s">
        <v>14</v>
      </c>
      <c r="E986" s="5" t="s">
        <v>1319</v>
      </c>
      <c r="F986" s="6" t="s">
        <v>1320</v>
      </c>
      <c r="G986" s="5" t="s">
        <v>1336</v>
      </c>
      <c r="H986" s="6" t="s">
        <v>129</v>
      </c>
      <c r="I986" s="5" t="str">
        <f aca="false">CONCATENATE(E986, "_",H986)</f>
        <v>NLA_2023_018_010</v>
      </c>
      <c r="J986" s="5" t="s">
        <v>52</v>
      </c>
      <c r="K986" s="5" t="s">
        <v>1339</v>
      </c>
      <c r="L986" s="8" t="s">
        <v>69</v>
      </c>
      <c r="M986" s="15" t="s">
        <v>1338</v>
      </c>
      <c r="N986" s="5" t="s">
        <v>246</v>
      </c>
      <c r="O986" s="32" t="s">
        <v>1220</v>
      </c>
      <c r="P986" s="1" t="s">
        <v>43</v>
      </c>
      <c r="Q986" s="5" t="s">
        <v>1269</v>
      </c>
      <c r="R986" s="5" t="s">
        <v>44</v>
      </c>
      <c r="S986" s="12"/>
      <c r="U986" s="5" t="n">
        <v>1500</v>
      </c>
      <c r="V986" s="12" t="n">
        <v>1</v>
      </c>
      <c r="W986" s="3"/>
      <c r="X986" s="8" t="s">
        <v>1215</v>
      </c>
      <c r="Y986" s="12" t="n">
        <v>5500</v>
      </c>
      <c r="Z986" s="5" t="s">
        <v>1324</v>
      </c>
      <c r="AA986" s="5" t="s">
        <v>1325</v>
      </c>
      <c r="AB986" s="13" t="str">
        <f aca="true" t="array" ref="AB986:AB986">LEFT(AA986,LOOKUP(2^15,FIND(".",AA986,ROW(INDIRECT("1:"&amp;LEN(AA986)))))-1)</f>
        <v>NB_2023_016 - 20230425 - 1</v>
      </c>
      <c r="AC986" s="5" t="s">
        <v>1326</v>
      </c>
      <c r="AD986" s="13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0" t="s">
        <v>1334</v>
      </c>
      <c r="B987" s="31"/>
      <c r="C987" s="3" t="s">
        <v>1335</v>
      </c>
      <c r="D987" s="5" t="s">
        <v>14</v>
      </c>
      <c r="E987" s="5" t="s">
        <v>1319</v>
      </c>
      <c r="F987" s="6" t="s">
        <v>1320</v>
      </c>
      <c r="G987" s="5" t="s">
        <v>1336</v>
      </c>
      <c r="H987" s="6" t="s">
        <v>181</v>
      </c>
      <c r="I987" s="5" t="str">
        <f aca="false">CONCATENATE(E987, "_",H987)</f>
        <v>NLA_2023_018_017</v>
      </c>
      <c r="J987" s="5" t="s">
        <v>38</v>
      </c>
      <c r="K987" s="5" t="s">
        <v>1340</v>
      </c>
      <c r="L987" s="8" t="s">
        <v>69</v>
      </c>
      <c r="M987" s="15" t="s">
        <v>1338</v>
      </c>
      <c r="N987" s="5" t="s">
        <v>246</v>
      </c>
      <c r="O987" s="32" t="s">
        <v>1212</v>
      </c>
      <c r="P987" s="1" t="s">
        <v>43</v>
      </c>
      <c r="Q987" s="1" t="s">
        <v>43</v>
      </c>
      <c r="R987" s="5" t="s">
        <v>44</v>
      </c>
      <c r="S987" s="12"/>
      <c r="U987" s="5" t="n">
        <v>1500</v>
      </c>
      <c r="V987" s="12" t="n">
        <v>2</v>
      </c>
      <c r="W987" s="3"/>
      <c r="X987" s="8" t="s">
        <v>1215</v>
      </c>
      <c r="Y987" s="12" t="n">
        <v>5500</v>
      </c>
      <c r="Z987" s="5" t="s">
        <v>1324</v>
      </c>
      <c r="AA987" s="5" t="s">
        <v>1325</v>
      </c>
      <c r="AB987" s="13" t="str">
        <f aca="true" t="array" ref="AB987:AB987">LEFT(AA987,LOOKUP(2^15,FIND(".",AA987,ROW(INDIRECT("1:"&amp;LEN(AA987)))))-1)</f>
        <v>NB_2023_016 - 20230425 - 1</v>
      </c>
      <c r="AC987" s="5" t="s">
        <v>1326</v>
      </c>
      <c r="AD987" s="13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0" t="s">
        <v>1334</v>
      </c>
      <c r="B988" s="31"/>
      <c r="C988" s="3" t="s">
        <v>1335</v>
      </c>
      <c r="D988" s="5" t="s">
        <v>14</v>
      </c>
      <c r="E988" s="5" t="s">
        <v>1319</v>
      </c>
      <c r="F988" s="6" t="s">
        <v>1320</v>
      </c>
      <c r="G988" s="5" t="s">
        <v>1336</v>
      </c>
      <c r="H988" s="6" t="s">
        <v>237</v>
      </c>
      <c r="I988" s="5" t="str">
        <f aca="false">CONCATENATE(E988, "_",H988)</f>
        <v>NLA_2023_018_024</v>
      </c>
      <c r="J988" s="5" t="s">
        <v>52</v>
      </c>
      <c r="K988" s="5" t="s">
        <v>1341</v>
      </c>
      <c r="L988" s="8" t="s">
        <v>69</v>
      </c>
      <c r="M988" s="15" t="s">
        <v>1338</v>
      </c>
      <c r="N988" s="5" t="s">
        <v>246</v>
      </c>
      <c r="O988" s="32" t="s">
        <v>1220</v>
      </c>
      <c r="P988" s="1" t="s">
        <v>43</v>
      </c>
      <c r="Q988" s="5" t="s">
        <v>1269</v>
      </c>
      <c r="R988" s="5" t="s">
        <v>44</v>
      </c>
      <c r="S988" s="12"/>
      <c r="U988" s="5" t="n">
        <v>1500</v>
      </c>
      <c r="V988" s="12" t="n">
        <v>3</v>
      </c>
      <c r="W988" s="3"/>
      <c r="X988" s="8" t="s">
        <v>1215</v>
      </c>
      <c r="Y988" s="12" t="n">
        <v>5500</v>
      </c>
      <c r="Z988" s="5" t="s">
        <v>1324</v>
      </c>
      <c r="AA988" s="5" t="s">
        <v>1325</v>
      </c>
      <c r="AB988" s="13" t="str">
        <f aca="true" t="array" ref="AB988:AB988">LEFT(AA988,LOOKUP(2^15,FIND(".",AA988,ROW(INDIRECT("1:"&amp;LEN(AA988)))))-1)</f>
        <v>NB_2023_016 - 20230425 - 1</v>
      </c>
      <c r="AC988" s="5" t="s">
        <v>1326</v>
      </c>
      <c r="AD988" s="13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0" t="s">
        <v>1334</v>
      </c>
      <c r="B989" s="31"/>
      <c r="C989" s="3" t="s">
        <v>1335</v>
      </c>
      <c r="D989" s="5" t="s">
        <v>14</v>
      </c>
      <c r="E989" s="5" t="s">
        <v>1319</v>
      </c>
      <c r="F989" s="6" t="s">
        <v>1320</v>
      </c>
      <c r="G989" s="5" t="s">
        <v>1336</v>
      </c>
      <c r="H989" s="6" t="s">
        <v>439</v>
      </c>
      <c r="I989" s="5" t="str">
        <f aca="false">CONCATENATE(E989, "_",H989)</f>
        <v>NLA_2023_018_029</v>
      </c>
      <c r="J989" s="5" t="s">
        <v>38</v>
      </c>
      <c r="K989" s="5" t="s">
        <v>1342</v>
      </c>
      <c r="L989" s="8" t="s">
        <v>69</v>
      </c>
      <c r="M989" s="15" t="s">
        <v>1338</v>
      </c>
      <c r="N989" s="5" t="s">
        <v>246</v>
      </c>
      <c r="O989" s="32" t="s">
        <v>1212</v>
      </c>
      <c r="P989" s="1" t="s">
        <v>43</v>
      </c>
      <c r="Q989" s="5" t="s">
        <v>43</v>
      </c>
      <c r="R989" s="5" t="s">
        <v>44</v>
      </c>
      <c r="U989" s="5" t="n">
        <v>1500</v>
      </c>
      <c r="V989" s="1" t="n">
        <v>1</v>
      </c>
      <c r="W989" s="3"/>
      <c r="X989" s="8" t="s">
        <v>1215</v>
      </c>
      <c r="Y989" s="12" t="n">
        <v>5500</v>
      </c>
      <c r="Z989" s="5" t="s">
        <v>1324</v>
      </c>
      <c r="AA989" s="5" t="s">
        <v>1325</v>
      </c>
      <c r="AB989" s="13" t="str">
        <f aca="true" t="array" ref="AB989:AB989">LEFT(AA989,LOOKUP(2^15,FIND(".",AA989,ROW(INDIRECT("1:"&amp;LEN(AA989)))))-1)</f>
        <v>NB_2023_016 - 20230425 - 1</v>
      </c>
      <c r="AC989" s="5" t="s">
        <v>1326</v>
      </c>
      <c r="AD989" s="13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0" t="s">
        <v>1334</v>
      </c>
      <c r="B990" s="31"/>
      <c r="C990" s="3" t="s">
        <v>1335</v>
      </c>
      <c r="D990" s="5" t="s">
        <v>14</v>
      </c>
      <c r="E990" s="5" t="s">
        <v>1319</v>
      </c>
      <c r="F990" s="6" t="s">
        <v>1320</v>
      </c>
      <c r="G990" s="5" t="s">
        <v>1319</v>
      </c>
      <c r="H990" s="14" t="s">
        <v>64</v>
      </c>
      <c r="I990" s="5" t="str">
        <f aca="false">CONCATENATE(E990, "_",H990)</f>
        <v>NLA_2023_018_Blank_1</v>
      </c>
      <c r="J990" s="5" t="s">
        <v>52</v>
      </c>
      <c r="K990" s="16" t="s">
        <v>64</v>
      </c>
      <c r="L990" s="6" t="s">
        <v>46</v>
      </c>
      <c r="M990" s="15" t="s">
        <v>46</v>
      </c>
      <c r="N990" s="5" t="s">
        <v>65</v>
      </c>
      <c r="O990" s="5" t="s">
        <v>46</v>
      </c>
      <c r="P990" s="5" t="s">
        <v>46</v>
      </c>
      <c r="Q990" s="5" t="s">
        <v>46</v>
      </c>
      <c r="R990" s="5" t="s">
        <v>46</v>
      </c>
      <c r="S990" s="5" t="s">
        <v>46</v>
      </c>
      <c r="T990" s="5" t="s">
        <v>46</v>
      </c>
      <c r="U990" s="5" t="s">
        <v>46</v>
      </c>
      <c r="V990" s="1" t="n">
        <v>1</v>
      </c>
      <c r="W990" s="3"/>
      <c r="X990" s="5" t="s">
        <v>46</v>
      </c>
      <c r="Y990" s="12" t="n">
        <v>5500</v>
      </c>
      <c r="Z990" s="5" t="s">
        <v>1324</v>
      </c>
      <c r="AA990" s="5" t="s">
        <v>1325</v>
      </c>
      <c r="AB990" s="13" t="str">
        <f aca="true" t="array" ref="AB990:AB990">LEFT(AA990,LOOKUP(2^15,FIND(".",AA990,ROW(INDIRECT("1:"&amp;LEN(AA990)))))-1)</f>
        <v>NB_2023_016 - 20230425 - 1</v>
      </c>
      <c r="AC990" s="5" t="s">
        <v>1326</v>
      </c>
      <c r="AD990" s="13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0" t="s">
        <v>1334</v>
      </c>
      <c r="B991" s="31"/>
      <c r="C991" s="3" t="s">
        <v>1335</v>
      </c>
      <c r="D991" s="5" t="s">
        <v>14</v>
      </c>
      <c r="E991" s="5" t="s">
        <v>1319</v>
      </c>
      <c r="F991" s="6" t="s">
        <v>1320</v>
      </c>
      <c r="G991" s="5" t="s">
        <v>1319</v>
      </c>
      <c r="H991" s="14" t="s">
        <v>67</v>
      </c>
      <c r="I991" s="5" t="str">
        <f aca="false">CONCATENATE(E991, "_",H991)</f>
        <v>NLA_2023_018_Blank_3</v>
      </c>
      <c r="J991" s="5" t="s">
        <v>52</v>
      </c>
      <c r="K991" s="16" t="s">
        <v>67</v>
      </c>
      <c r="L991" s="6" t="s">
        <v>46</v>
      </c>
      <c r="M991" s="15" t="s">
        <v>46</v>
      </c>
      <c r="N991" s="5" t="s">
        <v>65</v>
      </c>
      <c r="O991" s="5" t="s">
        <v>46</v>
      </c>
      <c r="P991" s="5" t="s">
        <v>46</v>
      </c>
      <c r="Q991" s="5" t="s">
        <v>46</v>
      </c>
      <c r="R991" s="5" t="s">
        <v>46</v>
      </c>
      <c r="S991" s="5" t="s">
        <v>46</v>
      </c>
      <c r="T991" s="5" t="s">
        <v>46</v>
      </c>
      <c r="U991" s="5" t="s">
        <v>46</v>
      </c>
      <c r="V991" s="1" t="n">
        <v>3</v>
      </c>
      <c r="W991" s="3"/>
      <c r="X991" s="5" t="s">
        <v>46</v>
      </c>
      <c r="Y991" s="12" t="n">
        <v>5500</v>
      </c>
      <c r="Z991" s="5" t="s">
        <v>1324</v>
      </c>
      <c r="AA991" s="5" t="s">
        <v>1325</v>
      </c>
      <c r="AB991" s="13" t="str">
        <f aca="true" t="array" ref="AB991:AB991">LEFT(AA991,LOOKUP(2^15,FIND(".",AA991,ROW(INDIRECT("1:"&amp;LEN(AA991)))))-1)</f>
        <v>NB_2023_016 - 20230425 - 1</v>
      </c>
      <c r="AC991" s="5" t="s">
        <v>1326</v>
      </c>
      <c r="AD991" s="13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0" t="s">
        <v>1334</v>
      </c>
      <c r="B992" s="31"/>
      <c r="C992" s="3" t="s">
        <v>1335</v>
      </c>
      <c r="D992" s="5" t="s">
        <v>14</v>
      </c>
      <c r="E992" s="5" t="s">
        <v>1319</v>
      </c>
      <c r="F992" s="6" t="s">
        <v>1320</v>
      </c>
      <c r="G992" s="5" t="s">
        <v>1319</v>
      </c>
      <c r="H992" s="14" t="s">
        <v>221</v>
      </c>
      <c r="I992" s="5" t="str">
        <f aca="false">CONCATENATE(E992, "_",H992)</f>
        <v>NLA_2023_018_Blank_4</v>
      </c>
      <c r="J992" s="5" t="s">
        <v>52</v>
      </c>
      <c r="K992" s="16" t="s">
        <v>221</v>
      </c>
      <c r="L992" s="6" t="s">
        <v>46</v>
      </c>
      <c r="M992" s="15" t="s">
        <v>46</v>
      </c>
      <c r="N992" s="5" t="s">
        <v>65</v>
      </c>
      <c r="O992" s="5" t="s">
        <v>46</v>
      </c>
      <c r="P992" s="5" t="s">
        <v>46</v>
      </c>
      <c r="Q992" s="5" t="s">
        <v>46</v>
      </c>
      <c r="R992" s="5" t="s">
        <v>46</v>
      </c>
      <c r="S992" s="5" t="s">
        <v>46</v>
      </c>
      <c r="T992" s="5" t="s">
        <v>46</v>
      </c>
      <c r="U992" s="5" t="s">
        <v>46</v>
      </c>
      <c r="V992" s="1" t="n">
        <v>4</v>
      </c>
      <c r="W992" s="3"/>
      <c r="X992" s="5" t="s">
        <v>46</v>
      </c>
      <c r="Y992" s="12" t="n">
        <v>5500</v>
      </c>
      <c r="Z992" s="5" t="s">
        <v>1324</v>
      </c>
      <c r="AA992" s="5" t="s">
        <v>1325</v>
      </c>
      <c r="AB992" s="13" t="str">
        <f aca="true" t="array" ref="AB992:AB992">LEFT(AA992,LOOKUP(2^15,FIND(".",AA992,ROW(INDIRECT("1:"&amp;LEN(AA992)))))-1)</f>
        <v>NB_2023_016 - 20230425 - 1</v>
      </c>
      <c r="AC992" s="5" t="s">
        <v>1326</v>
      </c>
      <c r="AD992" s="13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0" t="s">
        <v>1334</v>
      </c>
      <c r="B993" s="31"/>
      <c r="C993" s="3" t="s">
        <v>1335</v>
      </c>
      <c r="D993" s="5" t="s">
        <v>14</v>
      </c>
      <c r="E993" s="5" t="s">
        <v>1319</v>
      </c>
      <c r="F993" s="6" t="s">
        <v>1320</v>
      </c>
      <c r="G993" s="5" t="s">
        <v>1319</v>
      </c>
      <c r="H993" s="14" t="s">
        <v>68</v>
      </c>
      <c r="I993" s="5" t="str">
        <f aca="false">CONCATENATE(E993, "_",H993)</f>
        <v>NLA_2023_018_QC_C_1</v>
      </c>
      <c r="J993" s="5" t="s">
        <v>52</v>
      </c>
      <c r="K993" s="16" t="s">
        <v>68</v>
      </c>
      <c r="L993" s="8" t="s">
        <v>69</v>
      </c>
      <c r="M993" s="1" t="s">
        <v>46</v>
      </c>
      <c r="N993" s="5" t="s">
        <v>70</v>
      </c>
      <c r="O993" s="5" t="s">
        <v>46</v>
      </c>
      <c r="P993" s="5" t="s">
        <v>71</v>
      </c>
      <c r="Q993" s="5" t="s">
        <v>71</v>
      </c>
      <c r="R993" s="5" t="s">
        <v>72</v>
      </c>
      <c r="S993" s="5" t="s">
        <v>73</v>
      </c>
      <c r="T993" s="5" t="s">
        <v>46</v>
      </c>
      <c r="U993" s="5" t="n">
        <v>1000</v>
      </c>
      <c r="V993" s="1" t="n">
        <v>1</v>
      </c>
      <c r="W993" s="3"/>
      <c r="X993" s="5" t="s">
        <v>74</v>
      </c>
      <c r="Y993" s="12" t="n">
        <v>5500</v>
      </c>
      <c r="Z993" s="5" t="s">
        <v>1324</v>
      </c>
      <c r="AA993" s="5" t="s">
        <v>1325</v>
      </c>
      <c r="AB993" s="13" t="str">
        <f aca="true" t="array" ref="AB993:AB993">LEFT(AA993,LOOKUP(2^15,FIND(".",AA993,ROW(INDIRECT("1:"&amp;LEN(AA993)))))-1)</f>
        <v>NB_2023_016 - 20230425 - 1</v>
      </c>
      <c r="AC993" s="5" t="s">
        <v>1326</v>
      </c>
      <c r="AD993" s="13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0" t="s">
        <v>1334</v>
      </c>
      <c r="B994" s="31"/>
      <c r="C994" s="3" t="s">
        <v>1335</v>
      </c>
      <c r="D994" s="5" t="s">
        <v>14</v>
      </c>
      <c r="E994" s="5" t="s">
        <v>1319</v>
      </c>
      <c r="F994" s="6" t="s">
        <v>1320</v>
      </c>
      <c r="G994" s="5" t="s">
        <v>1319</v>
      </c>
      <c r="H994" s="14" t="s">
        <v>75</v>
      </c>
      <c r="I994" s="5" t="str">
        <f aca="false">CONCATENATE(E994, "_",H994)</f>
        <v>NLA_2023_018_QC_C_2</v>
      </c>
      <c r="J994" s="5" t="s">
        <v>52</v>
      </c>
      <c r="K994" s="16" t="s">
        <v>75</v>
      </c>
      <c r="L994" s="8" t="s">
        <v>69</v>
      </c>
      <c r="M994" s="1" t="s">
        <v>46</v>
      </c>
      <c r="N994" s="5" t="s">
        <v>70</v>
      </c>
      <c r="O994" s="5" t="s">
        <v>46</v>
      </c>
      <c r="P994" s="5" t="s">
        <v>71</v>
      </c>
      <c r="Q994" s="5" t="s">
        <v>71</v>
      </c>
      <c r="R994" s="5" t="s">
        <v>72</v>
      </c>
      <c r="S994" s="5" t="s">
        <v>73</v>
      </c>
      <c r="T994" s="5" t="s">
        <v>46</v>
      </c>
      <c r="U994" s="5" t="n">
        <v>1000</v>
      </c>
      <c r="V994" s="1" t="n">
        <v>2</v>
      </c>
      <c r="W994" s="3"/>
      <c r="X994" s="5" t="s">
        <v>74</v>
      </c>
      <c r="Y994" s="12" t="n">
        <v>5500</v>
      </c>
      <c r="Z994" s="5" t="s">
        <v>1324</v>
      </c>
      <c r="AA994" s="5" t="s">
        <v>1325</v>
      </c>
      <c r="AB994" s="13" t="str">
        <f aca="true" t="array" ref="AB994:AB994">LEFT(AA994,LOOKUP(2^15,FIND(".",AA994,ROW(INDIRECT("1:"&amp;LEN(AA994)))))-1)</f>
        <v>NB_2023_016 - 20230425 - 1</v>
      </c>
      <c r="AC994" s="5" t="s">
        <v>1326</v>
      </c>
      <c r="AD994" s="13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0" t="s">
        <v>1334</v>
      </c>
      <c r="B995" s="31"/>
      <c r="C995" s="3" t="s">
        <v>1335</v>
      </c>
      <c r="D995" s="5" t="s">
        <v>14</v>
      </c>
      <c r="E995" s="5" t="s">
        <v>1319</v>
      </c>
      <c r="F995" s="6" t="s">
        <v>1320</v>
      </c>
      <c r="G995" s="5" t="s">
        <v>1319</v>
      </c>
      <c r="H995" s="14" t="s">
        <v>76</v>
      </c>
      <c r="I995" s="5" t="str">
        <f aca="false">CONCATENATE(E995, "_",H995)</f>
        <v>NLA_2023_018_QC_C_3</v>
      </c>
      <c r="J995" s="5" t="s">
        <v>52</v>
      </c>
      <c r="K995" s="16" t="s">
        <v>76</v>
      </c>
      <c r="L995" s="8" t="s">
        <v>69</v>
      </c>
      <c r="M995" s="1" t="s">
        <v>46</v>
      </c>
      <c r="N995" s="5" t="s">
        <v>70</v>
      </c>
      <c r="O995" s="5" t="s">
        <v>46</v>
      </c>
      <c r="P995" s="5" t="s">
        <v>71</v>
      </c>
      <c r="Q995" s="5" t="s">
        <v>71</v>
      </c>
      <c r="R995" s="5" t="s">
        <v>72</v>
      </c>
      <c r="S995" s="5" t="s">
        <v>73</v>
      </c>
      <c r="T995" s="5" t="s">
        <v>46</v>
      </c>
      <c r="U995" s="5" t="n">
        <v>1000</v>
      </c>
      <c r="V995" s="1" t="n">
        <v>3</v>
      </c>
      <c r="W995" s="3"/>
      <c r="X995" s="5" t="s">
        <v>74</v>
      </c>
      <c r="Y995" s="12" t="n">
        <v>5500</v>
      </c>
      <c r="Z995" s="5" t="s">
        <v>1324</v>
      </c>
      <c r="AA995" s="5" t="s">
        <v>1325</v>
      </c>
      <c r="AB995" s="13" t="str">
        <f aca="true" t="array" ref="AB995:AB995">LEFT(AA995,LOOKUP(2^15,FIND(".",AA995,ROW(INDIRECT("1:"&amp;LEN(AA995)))))-1)</f>
        <v>NB_2023_016 - 20230425 - 1</v>
      </c>
      <c r="AC995" s="5" t="s">
        <v>1326</v>
      </c>
      <c r="AD995" s="13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0" t="s">
        <v>1334</v>
      </c>
      <c r="B996" s="31"/>
      <c r="C996" s="3" t="s">
        <v>1335</v>
      </c>
      <c r="D996" s="5" t="s">
        <v>14</v>
      </c>
      <c r="E996" s="5" t="s">
        <v>1319</v>
      </c>
      <c r="F996" s="6" t="s">
        <v>1320</v>
      </c>
      <c r="G996" s="5" t="s">
        <v>1319</v>
      </c>
      <c r="H996" s="14" t="s">
        <v>222</v>
      </c>
      <c r="I996" s="5" t="str">
        <f aca="false">CONCATENATE(E996, "_",H996)</f>
        <v>NLA_2023_018_QC_C_4</v>
      </c>
      <c r="J996" s="5" t="s">
        <v>52</v>
      </c>
      <c r="K996" s="16" t="s">
        <v>222</v>
      </c>
      <c r="L996" s="8" t="s">
        <v>69</v>
      </c>
      <c r="M996" s="1" t="s">
        <v>46</v>
      </c>
      <c r="N996" s="5" t="s">
        <v>70</v>
      </c>
      <c r="O996" s="5" t="s">
        <v>46</v>
      </c>
      <c r="P996" s="5" t="s">
        <v>71</v>
      </c>
      <c r="Q996" s="5" t="s">
        <v>71</v>
      </c>
      <c r="R996" s="5" t="s">
        <v>72</v>
      </c>
      <c r="S996" s="5" t="s">
        <v>73</v>
      </c>
      <c r="T996" s="5" t="s">
        <v>46</v>
      </c>
      <c r="U996" s="5" t="n">
        <v>1000</v>
      </c>
      <c r="V996" s="1" t="n">
        <v>4</v>
      </c>
      <c r="W996" s="3"/>
      <c r="X996" s="5" t="s">
        <v>74</v>
      </c>
      <c r="Y996" s="12" t="n">
        <v>5500</v>
      </c>
      <c r="Z996" s="5" t="s">
        <v>1324</v>
      </c>
      <c r="AA996" s="5" t="s">
        <v>1325</v>
      </c>
      <c r="AB996" s="13" t="str">
        <f aca="true" t="array" ref="AB996:AB996">LEFT(AA996,LOOKUP(2^15,FIND(".",AA996,ROW(INDIRECT("1:"&amp;LEN(AA996)))))-1)</f>
        <v>NB_2023_016 - 20230425 - 1</v>
      </c>
      <c r="AC996" s="5" t="s">
        <v>1326</v>
      </c>
      <c r="AD996" s="13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0" t="s">
        <v>1334</v>
      </c>
      <c r="B997" s="31"/>
      <c r="C997" s="3" t="s">
        <v>1335</v>
      </c>
      <c r="D997" s="5" t="s">
        <v>14</v>
      </c>
      <c r="E997" s="5" t="s">
        <v>1319</v>
      </c>
      <c r="F997" s="6" t="s">
        <v>1320</v>
      </c>
      <c r="G997" s="5" t="s">
        <v>1319</v>
      </c>
      <c r="H997" s="14" t="s">
        <v>77</v>
      </c>
      <c r="I997" s="5" t="str">
        <f aca="false">CONCATENATE(E997, "_",H997)</f>
        <v>NLA_2023_018_QC_P_1</v>
      </c>
      <c r="J997" s="5" t="s">
        <v>52</v>
      </c>
      <c r="K997" s="16" t="s">
        <v>77</v>
      </c>
      <c r="L997" s="6" t="s">
        <v>69</v>
      </c>
      <c r="M997" s="1" t="s">
        <v>46</v>
      </c>
      <c r="N997" s="5" t="s">
        <v>78</v>
      </c>
      <c r="O997" s="5" t="s">
        <v>46</v>
      </c>
      <c r="P997" s="5" t="s">
        <v>79</v>
      </c>
      <c r="Q997" s="5" t="s">
        <v>80</v>
      </c>
      <c r="R997" s="5" t="s">
        <v>81</v>
      </c>
      <c r="S997" s="5" t="s">
        <v>46</v>
      </c>
      <c r="T997" s="5" t="s">
        <v>46</v>
      </c>
      <c r="U997" s="5" t="s">
        <v>82</v>
      </c>
      <c r="V997" s="1" t="n">
        <v>1</v>
      </c>
      <c r="W997" s="3"/>
      <c r="X997" s="5" t="s">
        <v>83</v>
      </c>
      <c r="Y997" s="12" t="n">
        <v>5500</v>
      </c>
      <c r="Z997" s="5" t="s">
        <v>1324</v>
      </c>
      <c r="AA997" s="5" t="s">
        <v>1325</v>
      </c>
      <c r="AB997" s="13" t="str">
        <f aca="true" t="array" ref="AB997:AB997">LEFT(AA997,LOOKUP(2^15,FIND(".",AA997,ROW(INDIRECT("1:"&amp;LEN(AA997)))))-1)</f>
        <v>NB_2023_016 - 20230425 - 1</v>
      </c>
      <c r="AC997" s="5" t="s">
        <v>1326</v>
      </c>
      <c r="AD997" s="13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0" t="s">
        <v>1334</v>
      </c>
      <c r="B998" s="31"/>
      <c r="C998" s="3" t="s">
        <v>1335</v>
      </c>
      <c r="D998" s="5" t="s">
        <v>14</v>
      </c>
      <c r="E998" s="5" t="s">
        <v>1319</v>
      </c>
      <c r="F998" s="6" t="s">
        <v>1320</v>
      </c>
      <c r="G998" s="5" t="s">
        <v>1319</v>
      </c>
      <c r="H998" s="14" t="s">
        <v>84</v>
      </c>
      <c r="I998" s="5" t="str">
        <f aca="false">CONCATENATE(E998, "_",H998)</f>
        <v>NLA_2023_018_QC_P_2</v>
      </c>
      <c r="J998" s="5" t="s">
        <v>52</v>
      </c>
      <c r="K998" s="16" t="s">
        <v>84</v>
      </c>
      <c r="L998" s="6" t="s">
        <v>69</v>
      </c>
      <c r="M998" s="1" t="s">
        <v>46</v>
      </c>
      <c r="N998" s="5" t="s">
        <v>78</v>
      </c>
      <c r="O998" s="5" t="s">
        <v>46</v>
      </c>
      <c r="P998" s="5" t="s">
        <v>79</v>
      </c>
      <c r="Q998" s="5" t="s">
        <v>80</v>
      </c>
      <c r="R998" s="5" t="s">
        <v>81</v>
      </c>
      <c r="S998" s="5" t="s">
        <v>46</v>
      </c>
      <c r="T998" s="5" t="s">
        <v>46</v>
      </c>
      <c r="U998" s="5" t="s">
        <v>82</v>
      </c>
      <c r="V998" s="1" t="n">
        <v>2</v>
      </c>
      <c r="W998" s="3"/>
      <c r="X998" s="5" t="s">
        <v>83</v>
      </c>
      <c r="Y998" s="12" t="n">
        <v>5500</v>
      </c>
      <c r="Z998" s="5" t="s">
        <v>1324</v>
      </c>
      <c r="AA998" s="5" t="s">
        <v>1325</v>
      </c>
      <c r="AB998" s="13" t="str">
        <f aca="true" t="array" ref="AB998:AB998">LEFT(AA998,LOOKUP(2^15,FIND(".",AA998,ROW(INDIRECT("1:"&amp;LEN(AA998)))))-1)</f>
        <v>NB_2023_016 - 20230425 - 1</v>
      </c>
      <c r="AC998" s="5" t="s">
        <v>1326</v>
      </c>
      <c r="AD998" s="13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0" t="s">
        <v>1334</v>
      </c>
      <c r="B999" s="31"/>
      <c r="C999" s="3" t="s">
        <v>1335</v>
      </c>
      <c r="D999" s="5" t="s">
        <v>14</v>
      </c>
      <c r="E999" s="5" t="s">
        <v>1319</v>
      </c>
      <c r="F999" s="6" t="s">
        <v>1320</v>
      </c>
      <c r="G999" s="5" t="s">
        <v>1319</v>
      </c>
      <c r="H999" s="14" t="s">
        <v>85</v>
      </c>
      <c r="I999" s="5" t="str">
        <f aca="false">CONCATENATE(E999, "_",H999)</f>
        <v>NLA_2023_018_QC_P_3</v>
      </c>
      <c r="J999" s="3" t="s">
        <v>52</v>
      </c>
      <c r="K999" s="16" t="s">
        <v>85</v>
      </c>
      <c r="L999" s="6" t="s">
        <v>69</v>
      </c>
      <c r="M999" s="1" t="s">
        <v>46</v>
      </c>
      <c r="N999" s="5" t="s">
        <v>78</v>
      </c>
      <c r="O999" s="5" t="s">
        <v>46</v>
      </c>
      <c r="P999" s="5" t="s">
        <v>79</v>
      </c>
      <c r="Q999" s="5" t="s">
        <v>80</v>
      </c>
      <c r="R999" s="5" t="s">
        <v>81</v>
      </c>
      <c r="S999" s="5" t="s">
        <v>46</v>
      </c>
      <c r="T999" s="5" t="s">
        <v>46</v>
      </c>
      <c r="U999" s="5" t="s">
        <v>82</v>
      </c>
      <c r="V999" s="1" t="n">
        <v>3</v>
      </c>
      <c r="W999" s="3"/>
      <c r="X999" s="5" t="s">
        <v>83</v>
      </c>
      <c r="Y999" s="12" t="n">
        <v>5500</v>
      </c>
      <c r="Z999" s="5" t="s">
        <v>1324</v>
      </c>
      <c r="AA999" s="5" t="s">
        <v>1325</v>
      </c>
      <c r="AB999" s="13" t="str">
        <f aca="true" t="array" ref="AB999:AB999">LEFT(AA999,LOOKUP(2^15,FIND(".",AA999,ROW(INDIRECT("1:"&amp;LEN(AA999)))))-1)</f>
        <v>NB_2023_016 - 20230425 - 1</v>
      </c>
      <c r="AC999" s="5" t="s">
        <v>1326</v>
      </c>
      <c r="AD999" s="13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0" t="s">
        <v>1334</v>
      </c>
      <c r="B1000" s="31"/>
      <c r="C1000" s="3" t="s">
        <v>1335</v>
      </c>
      <c r="D1000" s="5" t="s">
        <v>14</v>
      </c>
      <c r="E1000" s="5" t="s">
        <v>1319</v>
      </c>
      <c r="F1000" s="6" t="s">
        <v>1320</v>
      </c>
      <c r="G1000" s="5" t="s">
        <v>1319</v>
      </c>
      <c r="H1000" s="14" t="s">
        <v>224</v>
      </c>
      <c r="I1000" s="5" t="str">
        <f aca="false">CONCATENATE(E1000, "_",H1000)</f>
        <v>NLA_2023_018_QC_P_4</v>
      </c>
      <c r="J1000" s="3" t="s">
        <v>52</v>
      </c>
      <c r="K1000" s="16" t="s">
        <v>224</v>
      </c>
      <c r="L1000" s="6" t="s">
        <v>69</v>
      </c>
      <c r="M1000" s="1" t="s">
        <v>46</v>
      </c>
      <c r="N1000" s="5" t="s">
        <v>78</v>
      </c>
      <c r="O1000" s="5" t="s">
        <v>46</v>
      </c>
      <c r="P1000" s="5" t="s">
        <v>79</v>
      </c>
      <c r="Q1000" s="5" t="s">
        <v>80</v>
      </c>
      <c r="R1000" s="5" t="s">
        <v>81</v>
      </c>
      <c r="S1000" s="5" t="s">
        <v>46</v>
      </c>
      <c r="T1000" s="5" t="s">
        <v>46</v>
      </c>
      <c r="U1000" s="5" t="s">
        <v>82</v>
      </c>
      <c r="V1000" s="1" t="n">
        <v>4</v>
      </c>
      <c r="W1000" s="3"/>
      <c r="X1000" s="5" t="s">
        <v>83</v>
      </c>
      <c r="Y1000" s="12" t="n">
        <v>5500</v>
      </c>
      <c r="Z1000" s="5" t="s">
        <v>1324</v>
      </c>
      <c r="AA1000" s="5" t="s">
        <v>1325</v>
      </c>
      <c r="AB1000" s="13" t="str">
        <f aca="true" t="array" ref="AB1000:AB1000">LEFT(AA1000,LOOKUP(2^15,FIND(".",AA1000,ROW(INDIRECT("1:"&amp;LEN(AA1000)))))-1)</f>
        <v>NB_2023_016 - 20230425 - 1</v>
      </c>
      <c r="AC1000" s="5" t="s">
        <v>1326</v>
      </c>
      <c r="AD1000" s="13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0" t="s">
        <v>1343</v>
      </c>
      <c r="B1001" s="31"/>
      <c r="C1001" s="3" t="s">
        <v>1344</v>
      </c>
      <c r="D1001" s="5" t="s">
        <v>14</v>
      </c>
      <c r="E1001" s="5" t="s">
        <v>1319</v>
      </c>
      <c r="F1001" s="6" t="s">
        <v>1320</v>
      </c>
      <c r="G1001" s="5" t="s">
        <v>1345</v>
      </c>
      <c r="H1001" s="6" t="s">
        <v>88</v>
      </c>
      <c r="I1001" s="5" t="str">
        <f aca="false">CONCATENATE(E1001, "_",H1001)</f>
        <v>NLA_2023_018_002</v>
      </c>
      <c r="J1001" s="5" t="s">
        <v>52</v>
      </c>
      <c r="K1001" s="5" t="s">
        <v>1346</v>
      </c>
      <c r="L1001" s="8" t="s">
        <v>69</v>
      </c>
      <c r="M1001" s="15" t="s">
        <v>1347</v>
      </c>
      <c r="N1001" s="5" t="s">
        <v>246</v>
      </c>
      <c r="O1001" s="32" t="s">
        <v>1220</v>
      </c>
      <c r="P1001" s="1" t="s">
        <v>43</v>
      </c>
      <c r="Q1001" s="5" t="s">
        <v>1269</v>
      </c>
      <c r="R1001" s="5" t="s">
        <v>44</v>
      </c>
      <c r="U1001" s="5" t="n">
        <v>1500</v>
      </c>
      <c r="V1001" s="1" t="n">
        <v>2</v>
      </c>
      <c r="W1001" s="3"/>
      <c r="X1001" s="8" t="s">
        <v>1215</v>
      </c>
      <c r="Y1001" s="12" t="n">
        <v>5500</v>
      </c>
      <c r="Z1001" s="5" t="s">
        <v>1324</v>
      </c>
      <c r="AA1001" s="5" t="s">
        <v>1325</v>
      </c>
      <c r="AB1001" s="13" t="str">
        <f aca="true" t="array" ref="AB1001:AB1001">LEFT(AA1001,LOOKUP(2^15,FIND(".",AA1001,ROW(INDIRECT("1:"&amp;LEN(AA1001)))))-1)</f>
        <v>NB_2023_016 - 20230425 - 1</v>
      </c>
      <c r="AC1001" s="5" t="s">
        <v>1326</v>
      </c>
      <c r="AD1001" s="13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0" t="s">
        <v>1343</v>
      </c>
      <c r="B1002" s="31"/>
      <c r="C1002" s="3" t="s">
        <v>1344</v>
      </c>
      <c r="D1002" s="5" t="s">
        <v>14</v>
      </c>
      <c r="E1002" s="5" t="s">
        <v>1319</v>
      </c>
      <c r="F1002" s="6" t="s">
        <v>1320</v>
      </c>
      <c r="G1002" s="5" t="s">
        <v>1345</v>
      </c>
      <c r="H1002" s="6" t="s">
        <v>99</v>
      </c>
      <c r="I1002" s="5" t="str">
        <f aca="false">CONCATENATE(E1002, "_",H1002)</f>
        <v>NLA_2023_018_004</v>
      </c>
      <c r="J1002" s="5" t="s">
        <v>52</v>
      </c>
      <c r="K1002" s="5" t="s">
        <v>1348</v>
      </c>
      <c r="L1002" s="8" t="s">
        <v>69</v>
      </c>
      <c r="M1002" s="15" t="s">
        <v>1347</v>
      </c>
      <c r="N1002" s="5" t="s">
        <v>246</v>
      </c>
      <c r="O1002" s="32" t="s">
        <v>1220</v>
      </c>
      <c r="P1002" s="1" t="s">
        <v>43</v>
      </c>
      <c r="Q1002" s="5" t="s">
        <v>1269</v>
      </c>
      <c r="R1002" s="5" t="s">
        <v>44</v>
      </c>
      <c r="S1002" s="12"/>
      <c r="U1002" s="5" t="n">
        <v>1500</v>
      </c>
      <c r="V1002" s="12" t="n">
        <v>3</v>
      </c>
      <c r="W1002" s="3"/>
      <c r="X1002" s="8" t="s">
        <v>1215</v>
      </c>
      <c r="Y1002" s="12" t="n">
        <v>5500</v>
      </c>
      <c r="Z1002" s="5" t="s">
        <v>1324</v>
      </c>
      <c r="AA1002" s="5" t="s">
        <v>1325</v>
      </c>
      <c r="AB1002" s="13" t="str">
        <f aca="true" t="array" ref="AB1002:AB1002">LEFT(AA1002,LOOKUP(2^15,FIND(".",AA1002,ROW(INDIRECT("1:"&amp;LEN(AA1002)))))-1)</f>
        <v>NB_2023_016 - 20230425 - 1</v>
      </c>
      <c r="AC1002" s="5" t="s">
        <v>1326</v>
      </c>
      <c r="AD1002" s="13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0" t="s">
        <v>1343</v>
      </c>
      <c r="B1003" s="31"/>
      <c r="C1003" s="3" t="s">
        <v>1344</v>
      </c>
      <c r="D1003" s="5" t="s">
        <v>14</v>
      </c>
      <c r="E1003" s="5" t="s">
        <v>1319</v>
      </c>
      <c r="F1003" s="6" t="s">
        <v>1320</v>
      </c>
      <c r="G1003" s="5" t="s">
        <v>1345</v>
      </c>
      <c r="H1003" s="6" t="s">
        <v>91</v>
      </c>
      <c r="I1003" s="5" t="str">
        <f aca="false">CONCATENATE(E1003, "_",H1003)</f>
        <v>NLA_2023_018_005</v>
      </c>
      <c r="J1003" s="5" t="s">
        <v>52</v>
      </c>
      <c r="K1003" s="5" t="s">
        <v>1349</v>
      </c>
      <c r="L1003" s="8" t="s">
        <v>69</v>
      </c>
      <c r="M1003" s="15" t="s">
        <v>1347</v>
      </c>
      <c r="N1003" s="5" t="s">
        <v>246</v>
      </c>
      <c r="O1003" s="32" t="s">
        <v>1220</v>
      </c>
      <c r="P1003" s="1" t="s">
        <v>43</v>
      </c>
      <c r="Q1003" s="5" t="s">
        <v>1269</v>
      </c>
      <c r="R1003" s="5" t="s">
        <v>44</v>
      </c>
      <c r="U1003" s="5" t="n">
        <v>1500</v>
      </c>
      <c r="V1003" s="1" t="n">
        <v>1</v>
      </c>
      <c r="W1003" s="3"/>
      <c r="X1003" s="8" t="s">
        <v>1215</v>
      </c>
      <c r="Y1003" s="12" t="n">
        <v>5500</v>
      </c>
      <c r="Z1003" s="5" t="s">
        <v>1324</v>
      </c>
      <c r="AA1003" s="5" t="s">
        <v>1325</v>
      </c>
      <c r="AB1003" s="13" t="str">
        <f aca="true" t="array" ref="AB1003:AB1003">LEFT(AA1003,LOOKUP(2^15,FIND(".",AA1003,ROW(INDIRECT("1:"&amp;LEN(AA1003)))))-1)</f>
        <v>NB_2023_016 - 20230425 - 1</v>
      </c>
      <c r="AC1003" s="5" t="s">
        <v>1326</v>
      </c>
      <c r="AD1003" s="13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0" t="s">
        <v>1343</v>
      </c>
      <c r="B1004" s="31"/>
      <c r="C1004" s="3" t="s">
        <v>1344</v>
      </c>
      <c r="D1004" s="5" t="s">
        <v>14</v>
      </c>
      <c r="E1004" s="5" t="s">
        <v>1319</v>
      </c>
      <c r="F1004" s="6" t="s">
        <v>1320</v>
      </c>
      <c r="G1004" s="5" t="s">
        <v>1345</v>
      </c>
      <c r="H1004" s="6" t="s">
        <v>62</v>
      </c>
      <c r="I1004" s="5" t="str">
        <f aca="false">CONCATENATE(E1004, "_",H1004)</f>
        <v>NLA_2023_018_021</v>
      </c>
      <c r="J1004" s="5" t="s">
        <v>38</v>
      </c>
      <c r="K1004" s="5" t="s">
        <v>1350</v>
      </c>
      <c r="L1004" s="8" t="s">
        <v>69</v>
      </c>
      <c r="M1004" s="15" t="s">
        <v>1347</v>
      </c>
      <c r="N1004" s="5" t="s">
        <v>246</v>
      </c>
      <c r="O1004" s="32" t="s">
        <v>1212</v>
      </c>
      <c r="P1004" s="1" t="s">
        <v>43</v>
      </c>
      <c r="Q1004" s="5" t="s">
        <v>43</v>
      </c>
      <c r="R1004" s="5" t="s">
        <v>44</v>
      </c>
      <c r="S1004" s="12"/>
      <c r="U1004" s="5" t="n">
        <v>1500</v>
      </c>
      <c r="V1004" s="12" t="n">
        <v>1</v>
      </c>
      <c r="W1004" s="3"/>
      <c r="X1004" s="8" t="s">
        <v>1215</v>
      </c>
      <c r="Y1004" s="12" t="n">
        <v>5500</v>
      </c>
      <c r="Z1004" s="5" t="s">
        <v>1324</v>
      </c>
      <c r="AA1004" s="5" t="s">
        <v>1325</v>
      </c>
      <c r="AB1004" s="13" t="str">
        <f aca="true" t="array" ref="AB1004:AB1004">LEFT(AA1004,LOOKUP(2^15,FIND(".",AA1004,ROW(INDIRECT("1:"&amp;LEN(AA1004)))))-1)</f>
        <v>NB_2023_016 - 20230425 - 1</v>
      </c>
      <c r="AC1004" s="5" t="s">
        <v>1326</v>
      </c>
      <c r="AD1004" s="13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0" t="s">
        <v>1343</v>
      </c>
      <c r="B1005" s="31"/>
      <c r="C1005" s="3" t="s">
        <v>1344</v>
      </c>
      <c r="D1005" s="5" t="s">
        <v>14</v>
      </c>
      <c r="E1005" s="5" t="s">
        <v>1319</v>
      </c>
      <c r="F1005" s="6" t="s">
        <v>1320</v>
      </c>
      <c r="G1005" s="5" t="s">
        <v>1345</v>
      </c>
      <c r="H1005" s="6" t="s">
        <v>1351</v>
      </c>
      <c r="I1005" s="5" t="str">
        <f aca="false">CONCATENATE(E1005, "_",H1005)</f>
        <v>NLA_2023_018_025</v>
      </c>
      <c r="J1005" s="5" t="s">
        <v>38</v>
      </c>
      <c r="K1005" s="5" t="s">
        <v>1352</v>
      </c>
      <c r="L1005" s="8" t="s">
        <v>69</v>
      </c>
      <c r="M1005" s="15" t="s">
        <v>1347</v>
      </c>
      <c r="N1005" s="5" t="s">
        <v>246</v>
      </c>
      <c r="O1005" s="32" t="s">
        <v>1212</v>
      </c>
      <c r="P1005" s="1" t="s">
        <v>43</v>
      </c>
      <c r="Q1005" s="5" t="s">
        <v>43</v>
      </c>
      <c r="R1005" s="5" t="s">
        <v>44</v>
      </c>
      <c r="S1005" s="12"/>
      <c r="U1005" s="5" t="n">
        <v>1500</v>
      </c>
      <c r="V1005" s="12" t="n">
        <v>2</v>
      </c>
      <c r="W1005" s="3"/>
      <c r="X1005" s="8" t="s">
        <v>1215</v>
      </c>
      <c r="Y1005" s="12" t="n">
        <v>5500</v>
      </c>
      <c r="Z1005" s="5" t="s">
        <v>1324</v>
      </c>
      <c r="AA1005" s="5" t="s">
        <v>1325</v>
      </c>
      <c r="AB1005" s="13" t="str">
        <f aca="true" t="array" ref="AB1005:AB1005">LEFT(AA1005,LOOKUP(2^15,FIND(".",AA1005,ROW(INDIRECT("1:"&amp;LEN(AA1005)))))-1)</f>
        <v>NB_2023_016 - 20230425 - 1</v>
      </c>
      <c r="AC1005" s="5" t="s">
        <v>1326</v>
      </c>
      <c r="AD1005" s="13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0" t="s">
        <v>1343</v>
      </c>
      <c r="B1006" s="31"/>
      <c r="C1006" s="3" t="s">
        <v>1344</v>
      </c>
      <c r="D1006" s="5" t="s">
        <v>14</v>
      </c>
      <c r="E1006" s="5" t="s">
        <v>1319</v>
      </c>
      <c r="F1006" s="6" t="s">
        <v>1320</v>
      </c>
      <c r="G1006" s="5" t="s">
        <v>1345</v>
      </c>
      <c r="H1006" s="6" t="s">
        <v>1353</v>
      </c>
      <c r="I1006" s="5" t="str">
        <f aca="false">CONCATENATE(E1006, "_",H1006)</f>
        <v>NLA_2023_018_027</v>
      </c>
      <c r="J1006" s="5" t="s">
        <v>38</v>
      </c>
      <c r="K1006" s="5" t="s">
        <v>1354</v>
      </c>
      <c r="L1006" s="8" t="s">
        <v>69</v>
      </c>
      <c r="M1006" s="15" t="s">
        <v>1347</v>
      </c>
      <c r="N1006" s="5" t="s">
        <v>246</v>
      </c>
      <c r="O1006" s="32" t="s">
        <v>1212</v>
      </c>
      <c r="P1006" s="1" t="s">
        <v>43</v>
      </c>
      <c r="Q1006" s="5" t="s">
        <v>43</v>
      </c>
      <c r="R1006" s="5" t="s">
        <v>44</v>
      </c>
      <c r="S1006" s="12"/>
      <c r="U1006" s="5" t="n">
        <v>1500</v>
      </c>
      <c r="V1006" s="12" t="n">
        <v>3</v>
      </c>
      <c r="W1006" s="3"/>
      <c r="X1006" s="8" t="s">
        <v>1215</v>
      </c>
      <c r="Y1006" s="12" t="n">
        <v>5500</v>
      </c>
      <c r="Z1006" s="5" t="s">
        <v>1324</v>
      </c>
      <c r="AA1006" s="5" t="s">
        <v>1325</v>
      </c>
      <c r="AB1006" s="13" t="str">
        <f aca="true" t="array" ref="AB1006:AB1006">LEFT(AA1006,LOOKUP(2^15,FIND(".",AA1006,ROW(INDIRECT("1:"&amp;LEN(AA1006)))))-1)</f>
        <v>NB_2023_016 - 20230425 - 1</v>
      </c>
      <c r="AC1006" s="5" t="s">
        <v>1326</v>
      </c>
      <c r="AD1006" s="13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0" t="s">
        <v>1343</v>
      </c>
      <c r="B1007" s="31"/>
      <c r="C1007" s="3" t="s">
        <v>1344</v>
      </c>
      <c r="D1007" s="5" t="s">
        <v>14</v>
      </c>
      <c r="E1007" s="5" t="s">
        <v>1319</v>
      </c>
      <c r="F1007" s="6" t="s">
        <v>1320</v>
      </c>
      <c r="G1007" s="5" t="s">
        <v>1319</v>
      </c>
      <c r="H1007" s="14" t="s">
        <v>64</v>
      </c>
      <c r="I1007" s="5" t="str">
        <f aca="false">CONCATENATE(E1007, "_",H1007)</f>
        <v>NLA_2023_018_Blank_1</v>
      </c>
      <c r="J1007" s="5" t="s">
        <v>52</v>
      </c>
      <c r="K1007" s="16" t="s">
        <v>64</v>
      </c>
      <c r="L1007" s="6" t="s">
        <v>46</v>
      </c>
      <c r="M1007" s="15" t="s">
        <v>46</v>
      </c>
      <c r="N1007" s="5" t="s">
        <v>65</v>
      </c>
      <c r="O1007" s="5" t="s">
        <v>46</v>
      </c>
      <c r="P1007" s="5" t="s">
        <v>46</v>
      </c>
      <c r="Q1007" s="5" t="s">
        <v>46</v>
      </c>
      <c r="R1007" s="5" t="s">
        <v>46</v>
      </c>
      <c r="S1007" s="5" t="s">
        <v>46</v>
      </c>
      <c r="T1007" s="5" t="s">
        <v>46</v>
      </c>
      <c r="U1007" s="5" t="s">
        <v>46</v>
      </c>
      <c r="V1007" s="1" t="n">
        <v>1</v>
      </c>
      <c r="W1007" s="3"/>
      <c r="X1007" s="5" t="s">
        <v>46</v>
      </c>
      <c r="Y1007" s="12" t="n">
        <v>5500</v>
      </c>
      <c r="Z1007" s="5" t="s">
        <v>1324</v>
      </c>
      <c r="AA1007" s="5" t="s">
        <v>1325</v>
      </c>
      <c r="AB1007" s="13" t="str">
        <f aca="true" t="array" ref="AB1007:AB1007">LEFT(AA1007,LOOKUP(2^15,FIND(".",AA1007,ROW(INDIRECT("1:"&amp;LEN(AA1007)))))-1)</f>
        <v>NB_2023_016 - 20230425 - 1</v>
      </c>
      <c r="AC1007" s="5" t="s">
        <v>1326</v>
      </c>
      <c r="AD1007" s="13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0" t="s">
        <v>1343</v>
      </c>
      <c r="B1008" s="31"/>
      <c r="C1008" s="3" t="s">
        <v>1344</v>
      </c>
      <c r="D1008" s="5" t="s">
        <v>14</v>
      </c>
      <c r="E1008" s="5" t="s">
        <v>1319</v>
      </c>
      <c r="F1008" s="6" t="s">
        <v>1320</v>
      </c>
      <c r="G1008" s="5" t="s">
        <v>1319</v>
      </c>
      <c r="H1008" s="14" t="s">
        <v>67</v>
      </c>
      <c r="I1008" s="5" t="str">
        <f aca="false">CONCATENATE(E1008, "_",H1008)</f>
        <v>NLA_2023_018_Blank_3</v>
      </c>
      <c r="J1008" s="5" t="s">
        <v>52</v>
      </c>
      <c r="K1008" s="16" t="s">
        <v>67</v>
      </c>
      <c r="L1008" s="6" t="s">
        <v>46</v>
      </c>
      <c r="M1008" s="15" t="s">
        <v>46</v>
      </c>
      <c r="N1008" s="5" t="s">
        <v>65</v>
      </c>
      <c r="O1008" s="5" t="s">
        <v>46</v>
      </c>
      <c r="P1008" s="5" t="s">
        <v>46</v>
      </c>
      <c r="Q1008" s="5" t="s">
        <v>46</v>
      </c>
      <c r="R1008" s="5" t="s">
        <v>46</v>
      </c>
      <c r="S1008" s="5" t="s">
        <v>46</v>
      </c>
      <c r="T1008" s="5" t="s">
        <v>46</v>
      </c>
      <c r="U1008" s="5" t="s">
        <v>46</v>
      </c>
      <c r="V1008" s="1" t="n">
        <v>3</v>
      </c>
      <c r="W1008" s="3"/>
      <c r="X1008" s="5" t="s">
        <v>46</v>
      </c>
      <c r="Y1008" s="12" t="n">
        <v>5500</v>
      </c>
      <c r="Z1008" s="5" t="s">
        <v>1324</v>
      </c>
      <c r="AA1008" s="5" t="s">
        <v>1325</v>
      </c>
      <c r="AB1008" s="13" t="str">
        <f aca="true" t="array" ref="AB1008:AB1008">LEFT(AA1008,LOOKUP(2^15,FIND(".",AA1008,ROW(INDIRECT("1:"&amp;LEN(AA1008)))))-1)</f>
        <v>NB_2023_016 - 20230425 - 1</v>
      </c>
      <c r="AC1008" s="5" t="s">
        <v>1326</v>
      </c>
      <c r="AD1008" s="13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0" t="s">
        <v>1343</v>
      </c>
      <c r="B1009" s="31"/>
      <c r="C1009" s="3" t="s">
        <v>1344</v>
      </c>
      <c r="D1009" s="5" t="s">
        <v>14</v>
      </c>
      <c r="E1009" s="5" t="s">
        <v>1319</v>
      </c>
      <c r="F1009" s="6" t="s">
        <v>1320</v>
      </c>
      <c r="G1009" s="5" t="s">
        <v>1319</v>
      </c>
      <c r="H1009" s="14" t="s">
        <v>221</v>
      </c>
      <c r="I1009" s="5" t="str">
        <f aca="false">CONCATENATE(E1009, "_",H1009)</f>
        <v>NLA_2023_018_Blank_4</v>
      </c>
      <c r="J1009" s="5" t="s">
        <v>52</v>
      </c>
      <c r="K1009" s="16" t="s">
        <v>221</v>
      </c>
      <c r="L1009" s="6" t="s">
        <v>46</v>
      </c>
      <c r="M1009" s="15" t="s">
        <v>46</v>
      </c>
      <c r="N1009" s="5" t="s">
        <v>65</v>
      </c>
      <c r="O1009" s="5" t="s">
        <v>46</v>
      </c>
      <c r="P1009" s="5" t="s">
        <v>46</v>
      </c>
      <c r="Q1009" s="5" t="s">
        <v>46</v>
      </c>
      <c r="R1009" s="5" t="s">
        <v>46</v>
      </c>
      <c r="S1009" s="5" t="s">
        <v>46</v>
      </c>
      <c r="T1009" s="5" t="s">
        <v>46</v>
      </c>
      <c r="U1009" s="5" t="s">
        <v>46</v>
      </c>
      <c r="V1009" s="1" t="n">
        <v>4</v>
      </c>
      <c r="W1009" s="3"/>
      <c r="X1009" s="5" t="s">
        <v>46</v>
      </c>
      <c r="Y1009" s="12" t="n">
        <v>5500</v>
      </c>
      <c r="Z1009" s="5" t="s">
        <v>1324</v>
      </c>
      <c r="AA1009" s="5" t="s">
        <v>1325</v>
      </c>
      <c r="AB1009" s="13" t="str">
        <f aca="true" t="array" ref="AB1009:AB1009">LEFT(AA1009,LOOKUP(2^15,FIND(".",AA1009,ROW(INDIRECT("1:"&amp;LEN(AA1009)))))-1)</f>
        <v>NB_2023_016 - 20230425 - 1</v>
      </c>
      <c r="AC1009" s="5" t="s">
        <v>1326</v>
      </c>
      <c r="AD1009" s="13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0" t="s">
        <v>1343</v>
      </c>
      <c r="B1010" s="31"/>
      <c r="C1010" s="3" t="s">
        <v>1344</v>
      </c>
      <c r="D1010" s="5" t="s">
        <v>14</v>
      </c>
      <c r="E1010" s="5" t="s">
        <v>1319</v>
      </c>
      <c r="F1010" s="6" t="s">
        <v>1320</v>
      </c>
      <c r="G1010" s="5" t="s">
        <v>1319</v>
      </c>
      <c r="H1010" s="14" t="s">
        <v>68</v>
      </c>
      <c r="I1010" s="5" t="str">
        <f aca="false">CONCATENATE(E1010, "_",H1010)</f>
        <v>NLA_2023_018_QC_C_1</v>
      </c>
      <c r="J1010" s="5" t="s">
        <v>52</v>
      </c>
      <c r="K1010" s="16" t="s">
        <v>68</v>
      </c>
      <c r="L1010" s="8" t="s">
        <v>69</v>
      </c>
      <c r="M1010" s="1" t="s">
        <v>46</v>
      </c>
      <c r="N1010" s="5" t="s">
        <v>70</v>
      </c>
      <c r="O1010" s="5" t="s">
        <v>46</v>
      </c>
      <c r="P1010" s="5" t="s">
        <v>71</v>
      </c>
      <c r="Q1010" s="5" t="s">
        <v>71</v>
      </c>
      <c r="R1010" s="5" t="s">
        <v>72</v>
      </c>
      <c r="S1010" s="5" t="s">
        <v>73</v>
      </c>
      <c r="T1010" s="5" t="s">
        <v>46</v>
      </c>
      <c r="U1010" s="5" t="n">
        <v>1000</v>
      </c>
      <c r="V1010" s="1" t="n">
        <v>1</v>
      </c>
      <c r="W1010" s="3"/>
      <c r="X1010" s="5" t="s">
        <v>74</v>
      </c>
      <c r="Y1010" s="12" t="n">
        <v>5500</v>
      </c>
      <c r="Z1010" s="5" t="s">
        <v>1324</v>
      </c>
      <c r="AA1010" s="5" t="s">
        <v>1325</v>
      </c>
      <c r="AB1010" s="13" t="str">
        <f aca="true" t="array" ref="AB1010:AB1010">LEFT(AA1010,LOOKUP(2^15,FIND(".",AA1010,ROW(INDIRECT("1:"&amp;LEN(AA1010)))))-1)</f>
        <v>NB_2023_016 - 20230425 - 1</v>
      </c>
      <c r="AC1010" s="5" t="s">
        <v>1326</v>
      </c>
      <c r="AD1010" s="13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0" t="s">
        <v>1343</v>
      </c>
      <c r="B1011" s="31"/>
      <c r="C1011" s="3" t="s">
        <v>1344</v>
      </c>
      <c r="D1011" s="5" t="s">
        <v>14</v>
      </c>
      <c r="E1011" s="5" t="s">
        <v>1319</v>
      </c>
      <c r="F1011" s="6" t="s">
        <v>1320</v>
      </c>
      <c r="G1011" s="5" t="s">
        <v>1319</v>
      </c>
      <c r="H1011" s="14" t="s">
        <v>75</v>
      </c>
      <c r="I1011" s="5" t="str">
        <f aca="false">CONCATENATE(E1011, "_",H1011)</f>
        <v>NLA_2023_018_QC_C_2</v>
      </c>
      <c r="J1011" s="5" t="s">
        <v>52</v>
      </c>
      <c r="K1011" s="16" t="s">
        <v>75</v>
      </c>
      <c r="L1011" s="8" t="s">
        <v>69</v>
      </c>
      <c r="M1011" s="1" t="s">
        <v>46</v>
      </c>
      <c r="N1011" s="5" t="s">
        <v>70</v>
      </c>
      <c r="O1011" s="5" t="s">
        <v>46</v>
      </c>
      <c r="P1011" s="5" t="s">
        <v>71</v>
      </c>
      <c r="Q1011" s="5" t="s">
        <v>71</v>
      </c>
      <c r="R1011" s="5" t="s">
        <v>72</v>
      </c>
      <c r="S1011" s="5" t="s">
        <v>73</v>
      </c>
      <c r="T1011" s="5" t="s">
        <v>46</v>
      </c>
      <c r="U1011" s="5" t="n">
        <v>1000</v>
      </c>
      <c r="V1011" s="1" t="n">
        <v>2</v>
      </c>
      <c r="W1011" s="3"/>
      <c r="X1011" s="5" t="s">
        <v>74</v>
      </c>
      <c r="Y1011" s="12" t="n">
        <v>5500</v>
      </c>
      <c r="Z1011" s="5" t="s">
        <v>1324</v>
      </c>
      <c r="AA1011" s="5" t="s">
        <v>1325</v>
      </c>
      <c r="AB1011" s="13" t="str">
        <f aca="true" t="array" ref="AB1011:AB1011">LEFT(AA1011,LOOKUP(2^15,FIND(".",AA1011,ROW(INDIRECT("1:"&amp;LEN(AA1011)))))-1)</f>
        <v>NB_2023_016 - 20230425 - 1</v>
      </c>
      <c r="AC1011" s="5" t="s">
        <v>1326</v>
      </c>
      <c r="AD1011" s="13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0" t="s">
        <v>1343</v>
      </c>
      <c r="B1012" s="31"/>
      <c r="C1012" s="3" t="s">
        <v>1344</v>
      </c>
      <c r="D1012" s="5" t="s">
        <v>14</v>
      </c>
      <c r="E1012" s="5" t="s">
        <v>1319</v>
      </c>
      <c r="F1012" s="6" t="s">
        <v>1320</v>
      </c>
      <c r="G1012" s="5" t="s">
        <v>1319</v>
      </c>
      <c r="H1012" s="14" t="s">
        <v>76</v>
      </c>
      <c r="I1012" s="5" t="str">
        <f aca="false">CONCATENATE(E1012, "_",H1012)</f>
        <v>NLA_2023_018_QC_C_3</v>
      </c>
      <c r="J1012" s="5" t="s">
        <v>52</v>
      </c>
      <c r="K1012" s="16" t="s">
        <v>76</v>
      </c>
      <c r="L1012" s="8" t="s">
        <v>69</v>
      </c>
      <c r="M1012" s="1" t="s">
        <v>46</v>
      </c>
      <c r="N1012" s="5" t="s">
        <v>70</v>
      </c>
      <c r="O1012" s="5" t="s">
        <v>46</v>
      </c>
      <c r="P1012" s="5" t="s">
        <v>71</v>
      </c>
      <c r="Q1012" s="5" t="s">
        <v>71</v>
      </c>
      <c r="R1012" s="5" t="s">
        <v>72</v>
      </c>
      <c r="S1012" s="5" t="s">
        <v>73</v>
      </c>
      <c r="T1012" s="5" t="s">
        <v>46</v>
      </c>
      <c r="U1012" s="5" t="n">
        <v>1000</v>
      </c>
      <c r="V1012" s="1" t="n">
        <v>3</v>
      </c>
      <c r="W1012" s="3"/>
      <c r="X1012" s="5" t="s">
        <v>74</v>
      </c>
      <c r="Y1012" s="12" t="n">
        <v>5500</v>
      </c>
      <c r="Z1012" s="5" t="s">
        <v>1324</v>
      </c>
      <c r="AA1012" s="5" t="s">
        <v>1325</v>
      </c>
      <c r="AB1012" s="13" t="str">
        <f aca="true" t="array" ref="AB1012:AB1012">LEFT(AA1012,LOOKUP(2^15,FIND(".",AA1012,ROW(INDIRECT("1:"&amp;LEN(AA1012)))))-1)</f>
        <v>NB_2023_016 - 20230425 - 1</v>
      </c>
      <c r="AC1012" s="5" t="s">
        <v>1326</v>
      </c>
      <c r="AD1012" s="13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0" t="s">
        <v>1343</v>
      </c>
      <c r="B1013" s="31"/>
      <c r="C1013" s="3" t="s">
        <v>1344</v>
      </c>
      <c r="D1013" s="5" t="s">
        <v>14</v>
      </c>
      <c r="E1013" s="5" t="s">
        <v>1319</v>
      </c>
      <c r="F1013" s="6" t="s">
        <v>1320</v>
      </c>
      <c r="G1013" s="5" t="s">
        <v>1319</v>
      </c>
      <c r="H1013" s="14" t="s">
        <v>222</v>
      </c>
      <c r="I1013" s="5" t="str">
        <f aca="false">CONCATENATE(E1013, "_",H1013)</f>
        <v>NLA_2023_018_QC_C_4</v>
      </c>
      <c r="J1013" s="5" t="s">
        <v>52</v>
      </c>
      <c r="K1013" s="16" t="s">
        <v>222</v>
      </c>
      <c r="L1013" s="8" t="s">
        <v>69</v>
      </c>
      <c r="M1013" s="1" t="s">
        <v>46</v>
      </c>
      <c r="N1013" s="5" t="s">
        <v>70</v>
      </c>
      <c r="O1013" s="5" t="s">
        <v>46</v>
      </c>
      <c r="P1013" s="5" t="s">
        <v>71</v>
      </c>
      <c r="Q1013" s="5" t="s">
        <v>71</v>
      </c>
      <c r="R1013" s="5" t="s">
        <v>72</v>
      </c>
      <c r="S1013" s="5" t="s">
        <v>73</v>
      </c>
      <c r="T1013" s="5" t="s">
        <v>46</v>
      </c>
      <c r="U1013" s="5" t="n">
        <v>1000</v>
      </c>
      <c r="V1013" s="1" t="n">
        <v>4</v>
      </c>
      <c r="W1013" s="3"/>
      <c r="X1013" s="5" t="s">
        <v>74</v>
      </c>
      <c r="Y1013" s="12" t="n">
        <v>5500</v>
      </c>
      <c r="Z1013" s="5" t="s">
        <v>1324</v>
      </c>
      <c r="AA1013" s="5" t="s">
        <v>1325</v>
      </c>
      <c r="AB1013" s="13" t="str">
        <f aca="true" t="array" ref="AB1013:AB1013">LEFT(AA1013,LOOKUP(2^15,FIND(".",AA1013,ROW(INDIRECT("1:"&amp;LEN(AA1013)))))-1)</f>
        <v>NB_2023_016 - 20230425 - 1</v>
      </c>
      <c r="AC1013" s="5" t="s">
        <v>1326</v>
      </c>
      <c r="AD1013" s="13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0" t="s">
        <v>1343</v>
      </c>
      <c r="B1014" s="31"/>
      <c r="C1014" s="3" t="s">
        <v>1344</v>
      </c>
      <c r="D1014" s="5" t="s">
        <v>14</v>
      </c>
      <c r="E1014" s="5" t="s">
        <v>1319</v>
      </c>
      <c r="F1014" s="6" t="s">
        <v>1320</v>
      </c>
      <c r="G1014" s="5" t="s">
        <v>1319</v>
      </c>
      <c r="H1014" s="14" t="s">
        <v>77</v>
      </c>
      <c r="I1014" s="5" t="str">
        <f aca="false">CONCATENATE(E1014, "_",H1014)</f>
        <v>NLA_2023_018_QC_P_1</v>
      </c>
      <c r="J1014" s="5" t="s">
        <v>52</v>
      </c>
      <c r="K1014" s="16" t="s">
        <v>77</v>
      </c>
      <c r="L1014" s="6" t="s">
        <v>69</v>
      </c>
      <c r="M1014" s="1" t="s">
        <v>46</v>
      </c>
      <c r="N1014" s="5" t="s">
        <v>78</v>
      </c>
      <c r="O1014" s="5" t="s">
        <v>46</v>
      </c>
      <c r="P1014" s="5" t="s">
        <v>79</v>
      </c>
      <c r="Q1014" s="5" t="s">
        <v>80</v>
      </c>
      <c r="R1014" s="5" t="s">
        <v>81</v>
      </c>
      <c r="S1014" s="5" t="s">
        <v>46</v>
      </c>
      <c r="T1014" s="5" t="s">
        <v>46</v>
      </c>
      <c r="U1014" s="5" t="s">
        <v>82</v>
      </c>
      <c r="V1014" s="1" t="n">
        <v>1</v>
      </c>
      <c r="W1014" s="3"/>
      <c r="X1014" s="5" t="s">
        <v>83</v>
      </c>
      <c r="Y1014" s="12" t="n">
        <v>5500</v>
      </c>
      <c r="Z1014" s="5" t="s">
        <v>1324</v>
      </c>
      <c r="AA1014" s="5" t="s">
        <v>1325</v>
      </c>
      <c r="AB1014" s="13" t="str">
        <f aca="true" t="array" ref="AB1014:AB1014">LEFT(AA1014,LOOKUP(2^15,FIND(".",AA1014,ROW(INDIRECT("1:"&amp;LEN(AA1014)))))-1)</f>
        <v>NB_2023_016 - 20230425 - 1</v>
      </c>
      <c r="AC1014" s="5" t="s">
        <v>1326</v>
      </c>
      <c r="AD1014" s="13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0" t="s">
        <v>1343</v>
      </c>
      <c r="B1015" s="31"/>
      <c r="C1015" s="3" t="s">
        <v>1344</v>
      </c>
      <c r="D1015" s="5" t="s">
        <v>14</v>
      </c>
      <c r="E1015" s="5" t="s">
        <v>1319</v>
      </c>
      <c r="F1015" s="6" t="s">
        <v>1320</v>
      </c>
      <c r="G1015" s="5" t="s">
        <v>1319</v>
      </c>
      <c r="H1015" s="14" t="s">
        <v>84</v>
      </c>
      <c r="I1015" s="5" t="str">
        <f aca="false">CONCATENATE(E1015, "_",H1015)</f>
        <v>NLA_2023_018_QC_P_2</v>
      </c>
      <c r="J1015" s="5" t="s">
        <v>52</v>
      </c>
      <c r="K1015" s="16" t="s">
        <v>84</v>
      </c>
      <c r="L1015" s="6" t="s">
        <v>69</v>
      </c>
      <c r="M1015" s="1" t="s">
        <v>46</v>
      </c>
      <c r="N1015" s="5" t="s">
        <v>78</v>
      </c>
      <c r="O1015" s="5" t="s">
        <v>46</v>
      </c>
      <c r="P1015" s="5" t="s">
        <v>79</v>
      </c>
      <c r="Q1015" s="5" t="s">
        <v>80</v>
      </c>
      <c r="R1015" s="5" t="s">
        <v>81</v>
      </c>
      <c r="S1015" s="5" t="s">
        <v>46</v>
      </c>
      <c r="T1015" s="5" t="s">
        <v>46</v>
      </c>
      <c r="U1015" s="5" t="s">
        <v>82</v>
      </c>
      <c r="V1015" s="1" t="n">
        <v>2</v>
      </c>
      <c r="W1015" s="3"/>
      <c r="X1015" s="5" t="s">
        <v>83</v>
      </c>
      <c r="Y1015" s="12" t="n">
        <v>5500</v>
      </c>
      <c r="Z1015" s="5" t="s">
        <v>1324</v>
      </c>
      <c r="AA1015" s="5" t="s">
        <v>1325</v>
      </c>
      <c r="AB1015" s="13" t="str">
        <f aca="true" t="array" ref="AB1015:AB1015">LEFT(AA1015,LOOKUP(2^15,FIND(".",AA1015,ROW(INDIRECT("1:"&amp;LEN(AA1015)))))-1)</f>
        <v>NB_2023_016 - 20230425 - 1</v>
      </c>
      <c r="AC1015" s="5" t="s">
        <v>1326</v>
      </c>
      <c r="AD1015" s="13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0" t="s">
        <v>1343</v>
      </c>
      <c r="B1016" s="31"/>
      <c r="C1016" s="3" t="s">
        <v>1344</v>
      </c>
      <c r="D1016" s="5" t="s">
        <v>14</v>
      </c>
      <c r="E1016" s="5" t="s">
        <v>1319</v>
      </c>
      <c r="F1016" s="6" t="s">
        <v>1320</v>
      </c>
      <c r="G1016" s="5" t="s">
        <v>1319</v>
      </c>
      <c r="H1016" s="14" t="s">
        <v>85</v>
      </c>
      <c r="I1016" s="5" t="str">
        <f aca="false">CONCATENATE(E1016, "_",H1016)</f>
        <v>NLA_2023_018_QC_P_3</v>
      </c>
      <c r="J1016" s="3" t="s">
        <v>52</v>
      </c>
      <c r="K1016" s="16" t="s">
        <v>85</v>
      </c>
      <c r="L1016" s="6" t="s">
        <v>69</v>
      </c>
      <c r="M1016" s="1" t="s">
        <v>46</v>
      </c>
      <c r="N1016" s="5" t="s">
        <v>78</v>
      </c>
      <c r="O1016" s="5" t="s">
        <v>46</v>
      </c>
      <c r="P1016" s="5" t="s">
        <v>79</v>
      </c>
      <c r="Q1016" s="5" t="s">
        <v>80</v>
      </c>
      <c r="R1016" s="5" t="s">
        <v>81</v>
      </c>
      <c r="S1016" s="5" t="s">
        <v>46</v>
      </c>
      <c r="T1016" s="5" t="s">
        <v>46</v>
      </c>
      <c r="U1016" s="5" t="s">
        <v>82</v>
      </c>
      <c r="V1016" s="1" t="n">
        <v>3</v>
      </c>
      <c r="W1016" s="3"/>
      <c r="X1016" s="5" t="s">
        <v>83</v>
      </c>
      <c r="Y1016" s="12" t="n">
        <v>5500</v>
      </c>
      <c r="Z1016" s="5" t="s">
        <v>1324</v>
      </c>
      <c r="AA1016" s="5" t="s">
        <v>1325</v>
      </c>
      <c r="AB1016" s="13" t="str">
        <f aca="true" t="array" ref="AB1016:AB1016">LEFT(AA1016,LOOKUP(2^15,FIND(".",AA1016,ROW(INDIRECT("1:"&amp;LEN(AA1016)))))-1)</f>
        <v>NB_2023_016 - 20230425 - 1</v>
      </c>
      <c r="AC1016" s="5" t="s">
        <v>1326</v>
      </c>
      <c r="AD1016" s="13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0" t="s">
        <v>1343</v>
      </c>
      <c r="B1017" s="31"/>
      <c r="C1017" s="3" t="s">
        <v>1344</v>
      </c>
      <c r="D1017" s="5" t="s">
        <v>14</v>
      </c>
      <c r="E1017" s="5" t="s">
        <v>1319</v>
      </c>
      <c r="F1017" s="6" t="s">
        <v>1320</v>
      </c>
      <c r="G1017" s="5" t="s">
        <v>1319</v>
      </c>
      <c r="H1017" s="14" t="s">
        <v>224</v>
      </c>
      <c r="I1017" s="5" t="str">
        <f aca="false">CONCATENATE(E1017, "_",H1017)</f>
        <v>NLA_2023_018_QC_P_4</v>
      </c>
      <c r="J1017" s="3" t="s">
        <v>52</v>
      </c>
      <c r="K1017" s="16" t="s">
        <v>224</v>
      </c>
      <c r="L1017" s="6" t="s">
        <v>69</v>
      </c>
      <c r="M1017" s="1" t="s">
        <v>46</v>
      </c>
      <c r="N1017" s="5" t="s">
        <v>78</v>
      </c>
      <c r="O1017" s="5" t="s">
        <v>46</v>
      </c>
      <c r="P1017" s="5" t="s">
        <v>79</v>
      </c>
      <c r="Q1017" s="5" t="s">
        <v>80</v>
      </c>
      <c r="R1017" s="5" t="s">
        <v>81</v>
      </c>
      <c r="S1017" s="5" t="s">
        <v>46</v>
      </c>
      <c r="T1017" s="5" t="s">
        <v>46</v>
      </c>
      <c r="U1017" s="5" t="s">
        <v>82</v>
      </c>
      <c r="V1017" s="1" t="n">
        <v>4</v>
      </c>
      <c r="W1017" s="3"/>
      <c r="X1017" s="5" t="s">
        <v>83</v>
      </c>
      <c r="Y1017" s="12" t="n">
        <v>5500</v>
      </c>
      <c r="Z1017" s="5" t="s">
        <v>1324</v>
      </c>
      <c r="AA1017" s="5" t="s">
        <v>1325</v>
      </c>
      <c r="AB1017" s="13" t="str">
        <f aca="true" t="array" ref="AB1017:AB1017">LEFT(AA1017,LOOKUP(2^15,FIND(".",AA1017,ROW(INDIRECT("1:"&amp;LEN(AA1017)))))-1)</f>
        <v>NB_2023_016 - 20230425 - 1</v>
      </c>
      <c r="AC1017" s="5" t="s">
        <v>1326</v>
      </c>
      <c r="AD1017" s="13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0" t="s">
        <v>1355</v>
      </c>
      <c r="B1018" s="31"/>
      <c r="C1018" s="3" t="s">
        <v>1356</v>
      </c>
      <c r="D1018" s="5" t="s">
        <v>19</v>
      </c>
      <c r="E1018" s="5" t="s">
        <v>1319</v>
      </c>
      <c r="F1018" s="6" t="s">
        <v>1320</v>
      </c>
      <c r="G1018" s="5" t="s">
        <v>1321</v>
      </c>
      <c r="H1018" s="6" t="s">
        <v>108</v>
      </c>
      <c r="I1018" s="5" t="str">
        <f aca="false">CONCATENATE(E1018, "_",H1018)</f>
        <v>NLA_2023_018_001</v>
      </c>
      <c r="J1018" s="12" t="s">
        <v>38</v>
      </c>
      <c r="K1018" s="5" t="s">
        <v>1357</v>
      </c>
      <c r="L1018" s="8" t="s">
        <v>69</v>
      </c>
      <c r="M1018" s="15" t="s">
        <v>1323</v>
      </c>
      <c r="N1018" s="5" t="s">
        <v>246</v>
      </c>
      <c r="O1018" s="32" t="s">
        <v>1220</v>
      </c>
      <c r="P1018" s="1" t="s">
        <v>43</v>
      </c>
      <c r="Q1018" s="5" t="s">
        <v>1358</v>
      </c>
      <c r="R1018" s="5" t="s">
        <v>44</v>
      </c>
      <c r="S1018" s="12"/>
      <c r="T1018" s="5" t="s">
        <v>1263</v>
      </c>
      <c r="U1018" s="1" t="n">
        <v>1500</v>
      </c>
      <c r="V1018" s="12" t="n">
        <v>1</v>
      </c>
      <c r="W1018" s="3"/>
      <c r="X1018" s="8" t="s">
        <v>1215</v>
      </c>
      <c r="Y1018" s="12" t="n">
        <v>5500</v>
      </c>
      <c r="Z1018" s="5" t="s">
        <v>1324</v>
      </c>
      <c r="AA1018" s="5" t="s">
        <v>1325</v>
      </c>
      <c r="AB1018" s="13" t="str">
        <f aca="true" t="array" ref="AB1018:AB1018">LEFT(AA1018,LOOKUP(2^15,FIND(".",AA1018,ROW(INDIRECT("1:"&amp;LEN(AA1018)))))-1)</f>
        <v>NB_2023_016 - 20230425 - 1</v>
      </c>
      <c r="AC1018" s="5" t="s">
        <v>1326</v>
      </c>
      <c r="AD1018" s="13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0" t="s">
        <v>1355</v>
      </c>
      <c r="B1019" s="31"/>
      <c r="C1019" s="3" t="s">
        <v>1356</v>
      </c>
      <c r="D1019" s="5" t="s">
        <v>19</v>
      </c>
      <c r="E1019" s="5" t="s">
        <v>1319</v>
      </c>
      <c r="F1019" s="6" t="s">
        <v>1320</v>
      </c>
      <c r="G1019" s="5" t="s">
        <v>1321</v>
      </c>
      <c r="H1019" s="6" t="s">
        <v>139</v>
      </c>
      <c r="I1019" s="5" t="str">
        <f aca="false">CONCATENATE(E1019, "_",H1019)</f>
        <v>NLA_2023_018_007</v>
      </c>
      <c r="J1019" s="12" t="s">
        <v>38</v>
      </c>
      <c r="K1019" s="5" t="s">
        <v>1359</v>
      </c>
      <c r="L1019" s="8" t="s">
        <v>69</v>
      </c>
      <c r="M1019" s="15" t="s">
        <v>1323</v>
      </c>
      <c r="N1019" s="5" t="s">
        <v>246</v>
      </c>
      <c r="O1019" s="32" t="s">
        <v>1220</v>
      </c>
      <c r="P1019" s="1" t="s">
        <v>43</v>
      </c>
      <c r="Q1019" s="5" t="s">
        <v>1358</v>
      </c>
      <c r="R1019" s="5" t="s">
        <v>44</v>
      </c>
      <c r="S1019" s="12"/>
      <c r="T1019" s="5" t="s">
        <v>1263</v>
      </c>
      <c r="U1019" s="1" t="n">
        <v>1500</v>
      </c>
      <c r="V1019" s="12" t="n">
        <v>2</v>
      </c>
      <c r="W1019" s="3"/>
      <c r="X1019" s="8" t="s">
        <v>1215</v>
      </c>
      <c r="Y1019" s="12" t="n">
        <v>5500</v>
      </c>
      <c r="Z1019" s="5" t="s">
        <v>1324</v>
      </c>
      <c r="AA1019" s="5" t="s">
        <v>1325</v>
      </c>
      <c r="AB1019" s="13" t="str">
        <f aca="true" t="array" ref="AB1019:AB1019">LEFT(AA1019,LOOKUP(2^15,FIND(".",AA1019,ROW(INDIRECT("1:"&amp;LEN(AA1019)))))-1)</f>
        <v>NB_2023_016 - 20230425 - 1</v>
      </c>
      <c r="AC1019" s="5" t="s">
        <v>1326</v>
      </c>
      <c r="AD1019" s="13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0" t="s">
        <v>1355</v>
      </c>
      <c r="B1020" s="31"/>
      <c r="C1020" s="3" t="s">
        <v>1356</v>
      </c>
      <c r="D1020" s="5" t="s">
        <v>19</v>
      </c>
      <c r="E1020" s="5" t="s">
        <v>1319</v>
      </c>
      <c r="F1020" s="6" t="s">
        <v>1320</v>
      </c>
      <c r="G1020" s="5" t="s">
        <v>1321</v>
      </c>
      <c r="H1020" s="6" t="s">
        <v>37</v>
      </c>
      <c r="I1020" s="5" t="str">
        <f aca="false">CONCATENATE(E1020, "_",H1020)</f>
        <v>NLA_2023_018_009</v>
      </c>
      <c r="J1020" s="12" t="s">
        <v>52</v>
      </c>
      <c r="K1020" s="5" t="s">
        <v>1360</v>
      </c>
      <c r="L1020" s="8" t="s">
        <v>69</v>
      </c>
      <c r="M1020" s="15" t="s">
        <v>1323</v>
      </c>
      <c r="N1020" s="5" t="s">
        <v>246</v>
      </c>
      <c r="O1020" s="32" t="s">
        <v>1220</v>
      </c>
      <c r="P1020" s="1" t="s">
        <v>43</v>
      </c>
      <c r="Q1020" s="5" t="s">
        <v>1358</v>
      </c>
      <c r="R1020" s="5" t="s">
        <v>44</v>
      </c>
      <c r="S1020" s="12"/>
      <c r="T1020" s="5" t="s">
        <v>1265</v>
      </c>
      <c r="U1020" s="1" t="n">
        <v>1500</v>
      </c>
      <c r="V1020" s="12" t="n">
        <v>3</v>
      </c>
      <c r="W1020" s="3"/>
      <c r="X1020" s="8" t="s">
        <v>1215</v>
      </c>
      <c r="Y1020" s="12" t="n">
        <v>5500</v>
      </c>
      <c r="Z1020" s="5" t="s">
        <v>1324</v>
      </c>
      <c r="AA1020" s="5" t="s">
        <v>1325</v>
      </c>
      <c r="AB1020" s="13" t="str">
        <f aca="true" t="array" ref="AB1020:AB1020">LEFT(AA1020,LOOKUP(2^15,FIND(".",AA1020,ROW(INDIRECT("1:"&amp;LEN(AA1020)))))-1)</f>
        <v>NB_2023_016 - 20230425 - 1</v>
      </c>
      <c r="AC1020" s="5" t="s">
        <v>1326</v>
      </c>
      <c r="AD1020" s="13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0" t="s">
        <v>1355</v>
      </c>
      <c r="B1021" s="31"/>
      <c r="C1021" s="3" t="s">
        <v>1356</v>
      </c>
      <c r="D1021" s="5" t="s">
        <v>19</v>
      </c>
      <c r="E1021" s="5" t="s">
        <v>1319</v>
      </c>
      <c r="F1021" s="6" t="s">
        <v>1320</v>
      </c>
      <c r="G1021" s="5" t="s">
        <v>1321</v>
      </c>
      <c r="H1021" s="6" t="s">
        <v>56</v>
      </c>
      <c r="I1021" s="5" t="str">
        <f aca="false">CONCATENATE(E1021, "_",H1021)</f>
        <v>NLA_2023_018_013</v>
      </c>
      <c r="J1021" s="12" t="s">
        <v>52</v>
      </c>
      <c r="K1021" s="5" t="s">
        <v>1361</v>
      </c>
      <c r="L1021" s="8" t="s">
        <v>69</v>
      </c>
      <c r="M1021" s="15" t="s">
        <v>1323</v>
      </c>
      <c r="N1021" s="5" t="s">
        <v>246</v>
      </c>
      <c r="O1021" s="32" t="s">
        <v>1220</v>
      </c>
      <c r="P1021" s="1" t="s">
        <v>43</v>
      </c>
      <c r="Q1021" s="5" t="s">
        <v>1358</v>
      </c>
      <c r="R1021" s="5" t="s">
        <v>44</v>
      </c>
      <c r="S1021" s="12"/>
      <c r="T1021" s="5" t="s">
        <v>1265</v>
      </c>
      <c r="U1021" s="1" t="n">
        <v>1500</v>
      </c>
      <c r="V1021" s="12" t="n">
        <v>1</v>
      </c>
      <c r="W1021" s="3"/>
      <c r="X1021" s="8" t="s">
        <v>1215</v>
      </c>
      <c r="Y1021" s="12" t="n">
        <v>5500</v>
      </c>
      <c r="Z1021" s="5" t="s">
        <v>1324</v>
      </c>
      <c r="AA1021" s="5" t="s">
        <v>1325</v>
      </c>
      <c r="AB1021" s="13" t="str">
        <f aca="true" t="array" ref="AB1021:AB1021">LEFT(AA1021,LOOKUP(2^15,FIND(".",AA1021,ROW(INDIRECT("1:"&amp;LEN(AA1021)))))-1)</f>
        <v>NB_2023_016 - 20230425 - 1</v>
      </c>
      <c r="AC1021" s="5" t="s">
        <v>1326</v>
      </c>
      <c r="AD1021" s="13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0" t="s">
        <v>1355</v>
      </c>
      <c r="B1022" s="31"/>
      <c r="C1022" s="3" t="s">
        <v>1356</v>
      </c>
      <c r="D1022" s="5" t="s">
        <v>19</v>
      </c>
      <c r="E1022" s="5" t="s">
        <v>1319</v>
      </c>
      <c r="F1022" s="6" t="s">
        <v>1320</v>
      </c>
      <c r="G1022" s="5" t="s">
        <v>1321</v>
      </c>
      <c r="H1022" s="6" t="s">
        <v>230</v>
      </c>
      <c r="I1022" s="5" t="str">
        <f aca="false">CONCATENATE(E1022, "_",H1022)</f>
        <v>NLA_2023_018_020</v>
      </c>
      <c r="J1022" s="12" t="s">
        <v>52</v>
      </c>
      <c r="K1022" s="5" t="s">
        <v>1362</v>
      </c>
      <c r="L1022" s="8" t="s">
        <v>69</v>
      </c>
      <c r="M1022" s="15" t="s">
        <v>1323</v>
      </c>
      <c r="N1022" s="5" t="s">
        <v>246</v>
      </c>
      <c r="O1022" s="32" t="s">
        <v>1220</v>
      </c>
      <c r="P1022" s="1" t="s">
        <v>43</v>
      </c>
      <c r="Q1022" s="5" t="s">
        <v>1358</v>
      </c>
      <c r="R1022" s="5" t="s">
        <v>44</v>
      </c>
      <c r="S1022" s="12"/>
      <c r="T1022" s="5" t="s">
        <v>1265</v>
      </c>
      <c r="U1022" s="1" t="n">
        <v>1500</v>
      </c>
      <c r="V1022" s="12" t="n">
        <v>2</v>
      </c>
      <c r="W1022" s="3"/>
      <c r="X1022" s="8" t="s">
        <v>1215</v>
      </c>
      <c r="Y1022" s="12" t="n">
        <v>5500</v>
      </c>
      <c r="Z1022" s="5" t="s">
        <v>1324</v>
      </c>
      <c r="AA1022" s="5" t="s">
        <v>1325</v>
      </c>
      <c r="AB1022" s="13" t="str">
        <f aca="true" t="array" ref="AB1022:AB1022">LEFT(AA1022,LOOKUP(2^15,FIND(".",AA1022,ROW(INDIRECT("1:"&amp;LEN(AA1022)))))-1)</f>
        <v>NB_2023_016 - 20230425 - 1</v>
      </c>
      <c r="AC1022" s="5" t="s">
        <v>1326</v>
      </c>
      <c r="AD1022" s="13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0" t="s">
        <v>1355</v>
      </c>
      <c r="B1023" s="31"/>
      <c r="C1023" s="3" t="s">
        <v>1356</v>
      </c>
      <c r="D1023" s="5" t="s">
        <v>19</v>
      </c>
      <c r="E1023" s="5" t="s">
        <v>1319</v>
      </c>
      <c r="F1023" s="6" t="s">
        <v>1320</v>
      </c>
      <c r="G1023" s="5" t="s">
        <v>1321</v>
      </c>
      <c r="H1023" s="6" t="s">
        <v>235</v>
      </c>
      <c r="I1023" s="5" t="str">
        <f aca="false">CONCATENATE(E1023, "_",H1023)</f>
        <v>NLA_2023_018_023</v>
      </c>
      <c r="J1023" s="12" t="s">
        <v>38</v>
      </c>
      <c r="K1023" s="5" t="s">
        <v>1363</v>
      </c>
      <c r="L1023" s="8" t="s">
        <v>69</v>
      </c>
      <c r="M1023" s="15" t="s">
        <v>1323</v>
      </c>
      <c r="N1023" s="5" t="s">
        <v>246</v>
      </c>
      <c r="O1023" s="32" t="s">
        <v>1220</v>
      </c>
      <c r="P1023" s="1" t="s">
        <v>43</v>
      </c>
      <c r="Q1023" s="5" t="s">
        <v>1358</v>
      </c>
      <c r="R1023" s="5" t="s">
        <v>44</v>
      </c>
      <c r="S1023" s="12"/>
      <c r="T1023" s="5" t="s">
        <v>1263</v>
      </c>
      <c r="U1023" s="1" t="n">
        <v>1500</v>
      </c>
      <c r="V1023" s="12" t="n">
        <v>3</v>
      </c>
      <c r="W1023" s="3"/>
      <c r="X1023" s="8" t="s">
        <v>1215</v>
      </c>
      <c r="Y1023" s="12" t="n">
        <v>5500</v>
      </c>
      <c r="Z1023" s="5" t="s">
        <v>1324</v>
      </c>
      <c r="AA1023" s="5" t="s">
        <v>1325</v>
      </c>
      <c r="AB1023" s="13" t="str">
        <f aca="true" t="array" ref="AB1023:AB1023">LEFT(AA1023,LOOKUP(2^15,FIND(".",AA1023,ROW(INDIRECT("1:"&amp;LEN(AA1023)))))-1)</f>
        <v>NB_2023_016 - 20230425 - 1</v>
      </c>
      <c r="AC1023" s="5" t="s">
        <v>1326</v>
      </c>
      <c r="AD1023" s="13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0" t="s">
        <v>1355</v>
      </c>
      <c r="B1024" s="31"/>
      <c r="C1024" s="3" t="s">
        <v>1356</v>
      </c>
      <c r="D1024" s="5" t="s">
        <v>19</v>
      </c>
      <c r="E1024" s="5" t="s">
        <v>1319</v>
      </c>
      <c r="F1024" s="6" t="s">
        <v>1320</v>
      </c>
      <c r="G1024" s="5" t="s">
        <v>1319</v>
      </c>
      <c r="H1024" s="14" t="s">
        <v>64</v>
      </c>
      <c r="I1024" s="5" t="str">
        <f aca="false">CONCATENATE(E1024, "_",H1024)</f>
        <v>NLA_2023_018_Blank_1</v>
      </c>
      <c r="J1024" s="5" t="s">
        <v>52</v>
      </c>
      <c r="K1024" s="16" t="s">
        <v>64</v>
      </c>
      <c r="L1024" s="6" t="s">
        <v>46</v>
      </c>
      <c r="M1024" s="15" t="s">
        <v>46</v>
      </c>
      <c r="N1024" s="5" t="s">
        <v>65</v>
      </c>
      <c r="O1024" s="5" t="s">
        <v>46</v>
      </c>
      <c r="P1024" s="5" t="s">
        <v>46</v>
      </c>
      <c r="Q1024" s="5" t="s">
        <v>46</v>
      </c>
      <c r="R1024" s="5" t="s">
        <v>46</v>
      </c>
      <c r="S1024" s="5" t="s">
        <v>46</v>
      </c>
      <c r="T1024" s="5" t="s">
        <v>46</v>
      </c>
      <c r="U1024" s="5" t="s">
        <v>46</v>
      </c>
      <c r="V1024" s="1" t="n">
        <v>1</v>
      </c>
      <c r="W1024" s="3"/>
      <c r="X1024" s="5" t="s">
        <v>46</v>
      </c>
      <c r="Y1024" s="12" t="n">
        <v>5500</v>
      </c>
      <c r="Z1024" s="5" t="s">
        <v>1324</v>
      </c>
      <c r="AA1024" s="5" t="s">
        <v>1325</v>
      </c>
      <c r="AB1024" s="13" t="str">
        <f aca="true" t="array" ref="AB1024:AB1024">LEFT(AA1024,LOOKUP(2^15,FIND(".",AA1024,ROW(INDIRECT("1:"&amp;LEN(AA1024)))))-1)</f>
        <v>NB_2023_016 - 20230425 - 1</v>
      </c>
      <c r="AC1024" s="5" t="s">
        <v>1326</v>
      </c>
      <c r="AD1024" s="13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0" t="s">
        <v>1355</v>
      </c>
      <c r="B1025" s="31"/>
      <c r="C1025" s="3" t="s">
        <v>1356</v>
      </c>
      <c r="D1025" s="5" t="s">
        <v>19</v>
      </c>
      <c r="E1025" s="5" t="s">
        <v>1319</v>
      </c>
      <c r="F1025" s="6" t="s">
        <v>1320</v>
      </c>
      <c r="G1025" s="5" t="s">
        <v>1319</v>
      </c>
      <c r="H1025" s="14" t="s">
        <v>67</v>
      </c>
      <c r="I1025" s="5" t="str">
        <f aca="false">CONCATENATE(E1025, "_",H1025)</f>
        <v>NLA_2023_018_Blank_3</v>
      </c>
      <c r="J1025" s="5" t="s">
        <v>52</v>
      </c>
      <c r="K1025" s="16" t="s">
        <v>67</v>
      </c>
      <c r="L1025" s="6" t="s">
        <v>46</v>
      </c>
      <c r="M1025" s="15" t="s">
        <v>46</v>
      </c>
      <c r="N1025" s="5" t="s">
        <v>65</v>
      </c>
      <c r="O1025" s="5" t="s">
        <v>46</v>
      </c>
      <c r="P1025" s="5" t="s">
        <v>46</v>
      </c>
      <c r="Q1025" s="5" t="s">
        <v>46</v>
      </c>
      <c r="R1025" s="5" t="s">
        <v>46</v>
      </c>
      <c r="S1025" s="5" t="s">
        <v>46</v>
      </c>
      <c r="T1025" s="5" t="s">
        <v>46</v>
      </c>
      <c r="U1025" s="5" t="s">
        <v>46</v>
      </c>
      <c r="V1025" s="1" t="n">
        <v>3</v>
      </c>
      <c r="W1025" s="3"/>
      <c r="X1025" s="5" t="s">
        <v>46</v>
      </c>
      <c r="Y1025" s="12" t="n">
        <v>5500</v>
      </c>
      <c r="Z1025" s="5" t="s">
        <v>1324</v>
      </c>
      <c r="AA1025" s="5" t="s">
        <v>1325</v>
      </c>
      <c r="AB1025" s="13" t="str">
        <f aca="true" t="array" ref="AB1025:AB1025">LEFT(AA1025,LOOKUP(2^15,FIND(".",AA1025,ROW(INDIRECT("1:"&amp;LEN(AA1025)))))-1)</f>
        <v>NB_2023_016 - 20230425 - 1</v>
      </c>
      <c r="AC1025" s="5" t="s">
        <v>1326</v>
      </c>
      <c r="AD1025" s="13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0" t="s">
        <v>1355</v>
      </c>
      <c r="B1026" s="31"/>
      <c r="C1026" s="3" t="s">
        <v>1356</v>
      </c>
      <c r="D1026" s="5" t="s">
        <v>19</v>
      </c>
      <c r="E1026" s="5" t="s">
        <v>1319</v>
      </c>
      <c r="F1026" s="6" t="s">
        <v>1320</v>
      </c>
      <c r="G1026" s="5" t="s">
        <v>1319</v>
      </c>
      <c r="H1026" s="14" t="s">
        <v>221</v>
      </c>
      <c r="I1026" s="5" t="str">
        <f aca="false">CONCATENATE(E1026, "_",H1026)</f>
        <v>NLA_2023_018_Blank_4</v>
      </c>
      <c r="J1026" s="5" t="s">
        <v>52</v>
      </c>
      <c r="K1026" s="16" t="s">
        <v>221</v>
      </c>
      <c r="L1026" s="6" t="s">
        <v>46</v>
      </c>
      <c r="M1026" s="15" t="s">
        <v>46</v>
      </c>
      <c r="N1026" s="5" t="s">
        <v>65</v>
      </c>
      <c r="O1026" s="5" t="s">
        <v>46</v>
      </c>
      <c r="P1026" s="5" t="s">
        <v>46</v>
      </c>
      <c r="Q1026" s="5" t="s">
        <v>46</v>
      </c>
      <c r="R1026" s="5" t="s">
        <v>46</v>
      </c>
      <c r="S1026" s="5" t="s">
        <v>46</v>
      </c>
      <c r="T1026" s="5" t="s">
        <v>46</v>
      </c>
      <c r="U1026" s="5" t="s">
        <v>46</v>
      </c>
      <c r="V1026" s="1" t="n">
        <v>4</v>
      </c>
      <c r="W1026" s="3"/>
      <c r="X1026" s="5" t="s">
        <v>46</v>
      </c>
      <c r="Y1026" s="12" t="n">
        <v>5500</v>
      </c>
      <c r="Z1026" s="5" t="s">
        <v>1324</v>
      </c>
      <c r="AA1026" s="5" t="s">
        <v>1325</v>
      </c>
      <c r="AB1026" s="13" t="str">
        <f aca="true" t="array" ref="AB1026:AB1026">LEFT(AA1026,LOOKUP(2^15,FIND(".",AA1026,ROW(INDIRECT("1:"&amp;LEN(AA1026)))))-1)</f>
        <v>NB_2023_016 - 20230425 - 1</v>
      </c>
      <c r="AC1026" s="5" t="s">
        <v>1326</v>
      </c>
      <c r="AD1026" s="13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0" t="s">
        <v>1355</v>
      </c>
      <c r="B1027" s="31"/>
      <c r="C1027" s="3" t="s">
        <v>1356</v>
      </c>
      <c r="D1027" s="5" t="s">
        <v>19</v>
      </c>
      <c r="E1027" s="5" t="s">
        <v>1319</v>
      </c>
      <c r="F1027" s="6" t="s">
        <v>1320</v>
      </c>
      <c r="G1027" s="5" t="s">
        <v>1319</v>
      </c>
      <c r="H1027" s="14" t="s">
        <v>68</v>
      </c>
      <c r="I1027" s="5" t="str">
        <f aca="false">CONCATENATE(E1027, "_",H1027)</f>
        <v>NLA_2023_018_QC_C_1</v>
      </c>
      <c r="J1027" s="5" t="s">
        <v>52</v>
      </c>
      <c r="K1027" s="16" t="s">
        <v>68</v>
      </c>
      <c r="L1027" s="8" t="s">
        <v>69</v>
      </c>
      <c r="M1027" s="1" t="s">
        <v>46</v>
      </c>
      <c r="N1027" s="5" t="s">
        <v>70</v>
      </c>
      <c r="O1027" s="5" t="s">
        <v>46</v>
      </c>
      <c r="P1027" s="5" t="s">
        <v>71</v>
      </c>
      <c r="Q1027" s="5" t="s">
        <v>71</v>
      </c>
      <c r="R1027" s="5" t="s">
        <v>72</v>
      </c>
      <c r="S1027" s="5" t="s">
        <v>73</v>
      </c>
      <c r="T1027" s="5" t="s">
        <v>46</v>
      </c>
      <c r="U1027" s="5" t="n">
        <v>1000</v>
      </c>
      <c r="V1027" s="1" t="n">
        <v>1</v>
      </c>
      <c r="W1027" s="3"/>
      <c r="X1027" s="5" t="s">
        <v>74</v>
      </c>
      <c r="Y1027" s="12" t="n">
        <v>5500</v>
      </c>
      <c r="Z1027" s="5" t="s">
        <v>1324</v>
      </c>
      <c r="AA1027" s="5" t="s">
        <v>1325</v>
      </c>
      <c r="AB1027" s="13" t="str">
        <f aca="true" t="array" ref="AB1027:AB1027">LEFT(AA1027,LOOKUP(2^15,FIND(".",AA1027,ROW(INDIRECT("1:"&amp;LEN(AA1027)))))-1)</f>
        <v>NB_2023_016 - 20230425 - 1</v>
      </c>
      <c r="AC1027" s="5" t="s">
        <v>1326</v>
      </c>
      <c r="AD1027" s="13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0" t="s">
        <v>1355</v>
      </c>
      <c r="B1028" s="31"/>
      <c r="C1028" s="3" t="s">
        <v>1356</v>
      </c>
      <c r="D1028" s="5" t="s">
        <v>19</v>
      </c>
      <c r="E1028" s="5" t="s">
        <v>1319</v>
      </c>
      <c r="F1028" s="6" t="s">
        <v>1320</v>
      </c>
      <c r="G1028" s="5" t="s">
        <v>1319</v>
      </c>
      <c r="H1028" s="14" t="s">
        <v>75</v>
      </c>
      <c r="I1028" s="5" t="str">
        <f aca="false">CONCATENATE(E1028, "_",H1028)</f>
        <v>NLA_2023_018_QC_C_2</v>
      </c>
      <c r="J1028" s="5" t="s">
        <v>52</v>
      </c>
      <c r="K1028" s="16" t="s">
        <v>75</v>
      </c>
      <c r="L1028" s="8" t="s">
        <v>69</v>
      </c>
      <c r="M1028" s="1" t="s">
        <v>46</v>
      </c>
      <c r="N1028" s="5" t="s">
        <v>70</v>
      </c>
      <c r="O1028" s="5" t="s">
        <v>46</v>
      </c>
      <c r="P1028" s="5" t="s">
        <v>71</v>
      </c>
      <c r="Q1028" s="5" t="s">
        <v>71</v>
      </c>
      <c r="R1028" s="5" t="s">
        <v>72</v>
      </c>
      <c r="S1028" s="5" t="s">
        <v>73</v>
      </c>
      <c r="T1028" s="5" t="s">
        <v>46</v>
      </c>
      <c r="U1028" s="5" t="n">
        <v>1000</v>
      </c>
      <c r="V1028" s="1" t="n">
        <v>2</v>
      </c>
      <c r="W1028" s="3"/>
      <c r="X1028" s="5" t="s">
        <v>74</v>
      </c>
      <c r="Y1028" s="12" t="n">
        <v>5500</v>
      </c>
      <c r="Z1028" s="5" t="s">
        <v>1324</v>
      </c>
      <c r="AA1028" s="5" t="s">
        <v>1325</v>
      </c>
      <c r="AB1028" s="13" t="str">
        <f aca="true" t="array" ref="AB1028:AB1028">LEFT(AA1028,LOOKUP(2^15,FIND(".",AA1028,ROW(INDIRECT("1:"&amp;LEN(AA1028)))))-1)</f>
        <v>NB_2023_016 - 20230425 - 1</v>
      </c>
      <c r="AC1028" s="5" t="s">
        <v>1326</v>
      </c>
      <c r="AD1028" s="13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0" t="s">
        <v>1355</v>
      </c>
      <c r="B1029" s="31"/>
      <c r="C1029" s="3" t="s">
        <v>1356</v>
      </c>
      <c r="D1029" s="5" t="s">
        <v>19</v>
      </c>
      <c r="E1029" s="5" t="s">
        <v>1319</v>
      </c>
      <c r="F1029" s="6" t="s">
        <v>1320</v>
      </c>
      <c r="G1029" s="5" t="s">
        <v>1319</v>
      </c>
      <c r="H1029" s="14" t="s">
        <v>76</v>
      </c>
      <c r="I1029" s="5" t="str">
        <f aca="false">CONCATENATE(E1029, "_",H1029)</f>
        <v>NLA_2023_018_QC_C_3</v>
      </c>
      <c r="J1029" s="5" t="s">
        <v>52</v>
      </c>
      <c r="K1029" s="16" t="s">
        <v>76</v>
      </c>
      <c r="L1029" s="8" t="s">
        <v>69</v>
      </c>
      <c r="M1029" s="1" t="s">
        <v>46</v>
      </c>
      <c r="N1029" s="5" t="s">
        <v>70</v>
      </c>
      <c r="O1029" s="5" t="s">
        <v>46</v>
      </c>
      <c r="P1029" s="5" t="s">
        <v>71</v>
      </c>
      <c r="Q1029" s="5" t="s">
        <v>71</v>
      </c>
      <c r="R1029" s="5" t="s">
        <v>72</v>
      </c>
      <c r="S1029" s="5" t="s">
        <v>73</v>
      </c>
      <c r="T1029" s="5" t="s">
        <v>46</v>
      </c>
      <c r="U1029" s="5" t="n">
        <v>1000</v>
      </c>
      <c r="V1029" s="1" t="n">
        <v>3</v>
      </c>
      <c r="W1029" s="3"/>
      <c r="X1029" s="5" t="s">
        <v>74</v>
      </c>
      <c r="Y1029" s="12" t="n">
        <v>5500</v>
      </c>
      <c r="Z1029" s="5" t="s">
        <v>1324</v>
      </c>
      <c r="AA1029" s="5" t="s">
        <v>1325</v>
      </c>
      <c r="AB1029" s="13" t="str">
        <f aca="true" t="array" ref="AB1029:AB1029">LEFT(AA1029,LOOKUP(2^15,FIND(".",AA1029,ROW(INDIRECT("1:"&amp;LEN(AA1029)))))-1)</f>
        <v>NB_2023_016 - 20230425 - 1</v>
      </c>
      <c r="AC1029" s="5" t="s">
        <v>1326</v>
      </c>
      <c r="AD1029" s="13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0" t="s">
        <v>1355</v>
      </c>
      <c r="B1030" s="31"/>
      <c r="C1030" s="3" t="s">
        <v>1356</v>
      </c>
      <c r="D1030" s="5" t="s">
        <v>19</v>
      </c>
      <c r="E1030" s="5" t="s">
        <v>1319</v>
      </c>
      <c r="F1030" s="6" t="s">
        <v>1320</v>
      </c>
      <c r="G1030" s="5" t="s">
        <v>1319</v>
      </c>
      <c r="H1030" s="14" t="s">
        <v>222</v>
      </c>
      <c r="I1030" s="5" t="str">
        <f aca="false">CONCATENATE(E1030, "_",H1030)</f>
        <v>NLA_2023_018_QC_C_4</v>
      </c>
      <c r="J1030" s="5" t="s">
        <v>52</v>
      </c>
      <c r="K1030" s="16" t="s">
        <v>222</v>
      </c>
      <c r="L1030" s="8" t="s">
        <v>69</v>
      </c>
      <c r="M1030" s="1" t="s">
        <v>46</v>
      </c>
      <c r="N1030" s="5" t="s">
        <v>70</v>
      </c>
      <c r="O1030" s="5" t="s">
        <v>46</v>
      </c>
      <c r="P1030" s="5" t="s">
        <v>71</v>
      </c>
      <c r="Q1030" s="5" t="s">
        <v>71</v>
      </c>
      <c r="R1030" s="5" t="s">
        <v>72</v>
      </c>
      <c r="S1030" s="5" t="s">
        <v>73</v>
      </c>
      <c r="T1030" s="5" t="s">
        <v>46</v>
      </c>
      <c r="U1030" s="5" t="n">
        <v>1000</v>
      </c>
      <c r="V1030" s="1" t="n">
        <v>4</v>
      </c>
      <c r="W1030" s="3"/>
      <c r="X1030" s="5" t="s">
        <v>74</v>
      </c>
      <c r="Y1030" s="12" t="n">
        <v>5500</v>
      </c>
      <c r="Z1030" s="5" t="s">
        <v>1324</v>
      </c>
      <c r="AA1030" s="5" t="s">
        <v>1325</v>
      </c>
      <c r="AB1030" s="13" t="str">
        <f aca="true" t="array" ref="AB1030:AB1030">LEFT(AA1030,LOOKUP(2^15,FIND(".",AA1030,ROW(INDIRECT("1:"&amp;LEN(AA1030)))))-1)</f>
        <v>NB_2023_016 - 20230425 - 1</v>
      </c>
      <c r="AC1030" s="5" t="s">
        <v>1326</v>
      </c>
      <c r="AD1030" s="13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0" t="s">
        <v>1355</v>
      </c>
      <c r="B1031" s="31"/>
      <c r="C1031" s="3" t="s">
        <v>1356</v>
      </c>
      <c r="D1031" s="5" t="s">
        <v>19</v>
      </c>
      <c r="E1031" s="5" t="s">
        <v>1319</v>
      </c>
      <c r="F1031" s="6" t="s">
        <v>1320</v>
      </c>
      <c r="G1031" s="5" t="s">
        <v>1319</v>
      </c>
      <c r="H1031" s="14" t="s">
        <v>77</v>
      </c>
      <c r="I1031" s="5" t="str">
        <f aca="false">CONCATENATE(E1031, "_",H1031)</f>
        <v>NLA_2023_018_QC_P_1</v>
      </c>
      <c r="J1031" s="5" t="s">
        <v>52</v>
      </c>
      <c r="K1031" s="16" t="s">
        <v>77</v>
      </c>
      <c r="L1031" s="6" t="s">
        <v>69</v>
      </c>
      <c r="M1031" s="1" t="s">
        <v>46</v>
      </c>
      <c r="N1031" s="5" t="s">
        <v>78</v>
      </c>
      <c r="O1031" s="5" t="s">
        <v>46</v>
      </c>
      <c r="P1031" s="5" t="s">
        <v>79</v>
      </c>
      <c r="Q1031" s="5" t="s">
        <v>80</v>
      </c>
      <c r="R1031" s="5" t="s">
        <v>81</v>
      </c>
      <c r="S1031" s="5" t="s">
        <v>46</v>
      </c>
      <c r="T1031" s="5" t="s">
        <v>46</v>
      </c>
      <c r="U1031" s="5" t="s">
        <v>82</v>
      </c>
      <c r="V1031" s="1" t="n">
        <v>1</v>
      </c>
      <c r="W1031" s="3"/>
      <c r="X1031" s="5" t="s">
        <v>83</v>
      </c>
      <c r="Y1031" s="12" t="n">
        <v>5500</v>
      </c>
      <c r="Z1031" s="5" t="s">
        <v>1324</v>
      </c>
      <c r="AA1031" s="5" t="s">
        <v>1325</v>
      </c>
      <c r="AB1031" s="13" t="str">
        <f aca="true" t="array" ref="AB1031:AB1031">LEFT(AA1031,LOOKUP(2^15,FIND(".",AA1031,ROW(INDIRECT("1:"&amp;LEN(AA1031)))))-1)</f>
        <v>NB_2023_016 - 20230425 - 1</v>
      </c>
      <c r="AC1031" s="5" t="s">
        <v>1326</v>
      </c>
      <c r="AD1031" s="13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0" t="s">
        <v>1355</v>
      </c>
      <c r="B1032" s="31"/>
      <c r="C1032" s="3" t="s">
        <v>1356</v>
      </c>
      <c r="D1032" s="5" t="s">
        <v>19</v>
      </c>
      <c r="E1032" s="5" t="s">
        <v>1319</v>
      </c>
      <c r="F1032" s="6" t="s">
        <v>1320</v>
      </c>
      <c r="G1032" s="5" t="s">
        <v>1319</v>
      </c>
      <c r="H1032" s="14" t="s">
        <v>84</v>
      </c>
      <c r="I1032" s="5" t="str">
        <f aca="false">CONCATENATE(E1032, "_",H1032)</f>
        <v>NLA_2023_018_QC_P_2</v>
      </c>
      <c r="J1032" s="5" t="s">
        <v>52</v>
      </c>
      <c r="K1032" s="16" t="s">
        <v>84</v>
      </c>
      <c r="L1032" s="6" t="s">
        <v>69</v>
      </c>
      <c r="M1032" s="1" t="s">
        <v>46</v>
      </c>
      <c r="N1032" s="5" t="s">
        <v>78</v>
      </c>
      <c r="O1032" s="5" t="s">
        <v>46</v>
      </c>
      <c r="P1032" s="5" t="s">
        <v>79</v>
      </c>
      <c r="Q1032" s="5" t="s">
        <v>80</v>
      </c>
      <c r="R1032" s="5" t="s">
        <v>81</v>
      </c>
      <c r="S1032" s="5" t="s">
        <v>46</v>
      </c>
      <c r="T1032" s="5" t="s">
        <v>46</v>
      </c>
      <c r="U1032" s="5" t="s">
        <v>82</v>
      </c>
      <c r="V1032" s="1" t="n">
        <v>2</v>
      </c>
      <c r="W1032" s="3"/>
      <c r="X1032" s="5" t="s">
        <v>83</v>
      </c>
      <c r="Y1032" s="12" t="n">
        <v>5500</v>
      </c>
      <c r="Z1032" s="5" t="s">
        <v>1324</v>
      </c>
      <c r="AA1032" s="5" t="s">
        <v>1325</v>
      </c>
      <c r="AB1032" s="13" t="str">
        <f aca="true" t="array" ref="AB1032:AB1032">LEFT(AA1032,LOOKUP(2^15,FIND(".",AA1032,ROW(INDIRECT("1:"&amp;LEN(AA1032)))))-1)</f>
        <v>NB_2023_016 - 20230425 - 1</v>
      </c>
      <c r="AC1032" s="5" t="s">
        <v>1326</v>
      </c>
      <c r="AD1032" s="13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0" t="s">
        <v>1355</v>
      </c>
      <c r="B1033" s="31"/>
      <c r="C1033" s="3" t="s">
        <v>1356</v>
      </c>
      <c r="D1033" s="5" t="s">
        <v>19</v>
      </c>
      <c r="E1033" s="5" t="s">
        <v>1319</v>
      </c>
      <c r="F1033" s="6" t="s">
        <v>1320</v>
      </c>
      <c r="G1033" s="5" t="s">
        <v>1319</v>
      </c>
      <c r="H1033" s="14" t="s">
        <v>85</v>
      </c>
      <c r="I1033" s="5" t="str">
        <f aca="false">CONCATENATE(E1033, "_",H1033)</f>
        <v>NLA_2023_018_QC_P_3</v>
      </c>
      <c r="J1033" s="3" t="s">
        <v>52</v>
      </c>
      <c r="K1033" s="16" t="s">
        <v>85</v>
      </c>
      <c r="L1033" s="6" t="s">
        <v>69</v>
      </c>
      <c r="M1033" s="1" t="s">
        <v>46</v>
      </c>
      <c r="N1033" s="5" t="s">
        <v>78</v>
      </c>
      <c r="O1033" s="5" t="s">
        <v>46</v>
      </c>
      <c r="P1033" s="5" t="s">
        <v>79</v>
      </c>
      <c r="Q1033" s="5" t="s">
        <v>80</v>
      </c>
      <c r="R1033" s="5" t="s">
        <v>81</v>
      </c>
      <c r="S1033" s="5" t="s">
        <v>46</v>
      </c>
      <c r="T1033" s="5" t="s">
        <v>46</v>
      </c>
      <c r="U1033" s="5" t="s">
        <v>82</v>
      </c>
      <c r="V1033" s="1" t="n">
        <v>3</v>
      </c>
      <c r="W1033" s="3"/>
      <c r="X1033" s="5" t="s">
        <v>83</v>
      </c>
      <c r="Y1033" s="12" t="n">
        <v>5500</v>
      </c>
      <c r="Z1033" s="5" t="s">
        <v>1324</v>
      </c>
      <c r="AA1033" s="5" t="s">
        <v>1325</v>
      </c>
      <c r="AB1033" s="13" t="str">
        <f aca="true" t="array" ref="AB1033:AB1033">LEFT(AA1033,LOOKUP(2^15,FIND(".",AA1033,ROW(INDIRECT("1:"&amp;LEN(AA1033)))))-1)</f>
        <v>NB_2023_016 - 20230425 - 1</v>
      </c>
      <c r="AC1033" s="5" t="s">
        <v>1326</v>
      </c>
      <c r="AD1033" s="13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0" t="s">
        <v>1355</v>
      </c>
      <c r="B1034" s="31"/>
      <c r="C1034" s="3" t="s">
        <v>1356</v>
      </c>
      <c r="D1034" s="5" t="s">
        <v>19</v>
      </c>
      <c r="E1034" s="5" t="s">
        <v>1319</v>
      </c>
      <c r="F1034" s="6" t="s">
        <v>1320</v>
      </c>
      <c r="G1034" s="5" t="s">
        <v>1319</v>
      </c>
      <c r="H1034" s="14" t="s">
        <v>224</v>
      </c>
      <c r="I1034" s="5" t="str">
        <f aca="false">CONCATENATE(E1034, "_",H1034)</f>
        <v>NLA_2023_018_QC_P_4</v>
      </c>
      <c r="J1034" s="3" t="s">
        <v>52</v>
      </c>
      <c r="K1034" s="16" t="s">
        <v>224</v>
      </c>
      <c r="L1034" s="6" t="s">
        <v>69</v>
      </c>
      <c r="M1034" s="1" t="s">
        <v>46</v>
      </c>
      <c r="N1034" s="5" t="s">
        <v>78</v>
      </c>
      <c r="O1034" s="5" t="s">
        <v>46</v>
      </c>
      <c r="P1034" s="5" t="s">
        <v>79</v>
      </c>
      <c r="Q1034" s="5" t="s">
        <v>80</v>
      </c>
      <c r="R1034" s="5" t="s">
        <v>81</v>
      </c>
      <c r="S1034" s="5" t="s">
        <v>46</v>
      </c>
      <c r="T1034" s="5" t="s">
        <v>46</v>
      </c>
      <c r="U1034" s="5" t="s">
        <v>82</v>
      </c>
      <c r="V1034" s="1" t="n">
        <v>4</v>
      </c>
      <c r="W1034" s="3"/>
      <c r="X1034" s="5" t="s">
        <v>83</v>
      </c>
      <c r="Y1034" s="12" t="n">
        <v>5500</v>
      </c>
      <c r="Z1034" s="5" t="s">
        <v>1324</v>
      </c>
      <c r="AA1034" s="5" t="s">
        <v>1325</v>
      </c>
      <c r="AB1034" s="13" t="str">
        <f aca="true" t="array" ref="AB1034:AB1034">LEFT(AA1034,LOOKUP(2^15,FIND(".",AA1034,ROW(INDIRECT("1:"&amp;LEN(AA1034)))))-1)</f>
        <v>NB_2023_016 - 20230425 - 1</v>
      </c>
      <c r="AC1034" s="5" t="s">
        <v>1326</v>
      </c>
      <c r="AD1034" s="13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0" t="s">
        <v>1364</v>
      </c>
      <c r="B1035" s="31"/>
      <c r="C1035" s="3" t="s">
        <v>1365</v>
      </c>
      <c r="D1035" s="5" t="s">
        <v>19</v>
      </c>
      <c r="E1035" s="5" t="s">
        <v>1319</v>
      </c>
      <c r="F1035" s="6" t="s">
        <v>1320</v>
      </c>
      <c r="G1035" s="5" t="s">
        <v>1345</v>
      </c>
      <c r="H1035" s="6" t="s">
        <v>101</v>
      </c>
      <c r="I1035" s="5" t="str">
        <f aca="false">CONCATENATE(E1035, "_",H1035)</f>
        <v>NLA_2023_018_006</v>
      </c>
      <c r="J1035" s="5" t="s">
        <v>52</v>
      </c>
      <c r="K1035" s="5" t="s">
        <v>1366</v>
      </c>
      <c r="L1035" s="8" t="s">
        <v>69</v>
      </c>
      <c r="M1035" s="15" t="s">
        <v>1347</v>
      </c>
      <c r="N1035" s="5" t="s">
        <v>246</v>
      </c>
      <c r="O1035" s="32" t="s">
        <v>1220</v>
      </c>
      <c r="P1035" s="1" t="s">
        <v>43</v>
      </c>
      <c r="Q1035" s="5" t="s">
        <v>1358</v>
      </c>
      <c r="R1035" s="5" t="s">
        <v>44</v>
      </c>
      <c r="S1035" s="5"/>
      <c r="T1035" s="5" t="s">
        <v>1265</v>
      </c>
      <c r="U1035" s="1" t="n">
        <v>1500</v>
      </c>
      <c r="V1035" s="1" t="n">
        <v>2</v>
      </c>
      <c r="W1035" s="3"/>
      <c r="X1035" s="8" t="s">
        <v>1215</v>
      </c>
      <c r="Y1035" s="12" t="n">
        <v>5500</v>
      </c>
      <c r="Z1035" s="5" t="s">
        <v>1324</v>
      </c>
      <c r="AA1035" s="5" t="s">
        <v>1325</v>
      </c>
      <c r="AB1035" s="13" t="str">
        <f aca="true" t="array" ref="AB1035:AB1035">LEFT(AA1035,LOOKUP(2^15,FIND(".",AA1035,ROW(INDIRECT("1:"&amp;LEN(AA1035)))))-1)</f>
        <v>NB_2023_016 - 20230425 - 1</v>
      </c>
      <c r="AC1035" s="5" t="s">
        <v>1326</v>
      </c>
      <c r="AD1035" s="13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0" t="s">
        <v>1364</v>
      </c>
      <c r="B1036" s="31"/>
      <c r="C1036" s="3" t="s">
        <v>1365</v>
      </c>
      <c r="D1036" s="5" t="s">
        <v>19</v>
      </c>
      <c r="E1036" s="5" t="s">
        <v>1319</v>
      </c>
      <c r="F1036" s="6" t="s">
        <v>1320</v>
      </c>
      <c r="G1036" s="5" t="s">
        <v>1345</v>
      </c>
      <c r="H1036" s="6" t="s">
        <v>51</v>
      </c>
      <c r="I1036" s="5" t="str">
        <f aca="false">CONCATENATE(E1036, "_",H1036)</f>
        <v>NLA_2023_018_012</v>
      </c>
      <c r="J1036" s="5" t="s">
        <v>52</v>
      </c>
      <c r="K1036" s="5" t="s">
        <v>1367</v>
      </c>
      <c r="L1036" s="8" t="s">
        <v>69</v>
      </c>
      <c r="M1036" s="15" t="s">
        <v>1347</v>
      </c>
      <c r="N1036" s="5" t="s">
        <v>246</v>
      </c>
      <c r="O1036" s="32" t="s">
        <v>1220</v>
      </c>
      <c r="P1036" s="1" t="s">
        <v>43</v>
      </c>
      <c r="Q1036" s="5" t="s">
        <v>1358</v>
      </c>
      <c r="R1036" s="5" t="s">
        <v>44</v>
      </c>
      <c r="S1036" s="5"/>
      <c r="T1036" s="5" t="s">
        <v>1265</v>
      </c>
      <c r="U1036" s="1" t="n">
        <v>1500</v>
      </c>
      <c r="V1036" s="1" t="n">
        <v>1</v>
      </c>
      <c r="W1036" s="3"/>
      <c r="X1036" s="8" t="s">
        <v>1215</v>
      </c>
      <c r="Y1036" s="12" t="n">
        <v>5500</v>
      </c>
      <c r="Z1036" s="5" t="s">
        <v>1324</v>
      </c>
      <c r="AA1036" s="5" t="s">
        <v>1325</v>
      </c>
      <c r="AB1036" s="13" t="str">
        <f aca="true" t="array" ref="AB1036:AB1036">LEFT(AA1036,LOOKUP(2^15,FIND(".",AA1036,ROW(INDIRECT("1:"&amp;LEN(AA1036)))))-1)</f>
        <v>NB_2023_016 - 20230425 - 1</v>
      </c>
      <c r="AC1036" s="5" t="s">
        <v>1326</v>
      </c>
      <c r="AD1036" s="13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0" t="s">
        <v>1364</v>
      </c>
      <c r="B1037" s="31"/>
      <c r="C1037" s="3" t="s">
        <v>1365</v>
      </c>
      <c r="D1037" s="5" t="s">
        <v>19</v>
      </c>
      <c r="E1037" s="5" t="s">
        <v>1319</v>
      </c>
      <c r="F1037" s="6" t="s">
        <v>1320</v>
      </c>
      <c r="G1037" s="5" t="s">
        <v>1345</v>
      </c>
      <c r="H1037" s="6" t="s">
        <v>172</v>
      </c>
      <c r="I1037" s="5" t="str">
        <f aca="false">CONCATENATE(E1037, "_",H1037)</f>
        <v>NLA_2023_018_015</v>
      </c>
      <c r="J1037" s="12" t="s">
        <v>38</v>
      </c>
      <c r="K1037" s="5" t="s">
        <v>1368</v>
      </c>
      <c r="L1037" s="8" t="s">
        <v>69</v>
      </c>
      <c r="M1037" s="15" t="s">
        <v>1347</v>
      </c>
      <c r="N1037" s="5" t="s">
        <v>246</v>
      </c>
      <c r="O1037" s="32" t="s">
        <v>1220</v>
      </c>
      <c r="P1037" s="1" t="s">
        <v>43</v>
      </c>
      <c r="Q1037" s="5" t="s">
        <v>1358</v>
      </c>
      <c r="R1037" s="5" t="s">
        <v>44</v>
      </c>
      <c r="S1037" s="5"/>
      <c r="T1037" s="5" t="s">
        <v>1263</v>
      </c>
      <c r="U1037" s="1" t="n">
        <v>1500</v>
      </c>
      <c r="V1037" s="1" t="n">
        <v>2</v>
      </c>
      <c r="W1037" s="3"/>
      <c r="X1037" s="8" t="s">
        <v>1215</v>
      </c>
      <c r="Y1037" s="12" t="n">
        <v>5500</v>
      </c>
      <c r="Z1037" s="5" t="s">
        <v>1324</v>
      </c>
      <c r="AA1037" s="5" t="s">
        <v>1325</v>
      </c>
      <c r="AB1037" s="13" t="str">
        <f aca="true" t="array" ref="AB1037:AB1037">LEFT(AA1037,LOOKUP(2^15,FIND(".",AA1037,ROW(INDIRECT("1:"&amp;LEN(AA1037)))))-1)</f>
        <v>NB_2023_016 - 20230425 - 1</v>
      </c>
      <c r="AC1037" s="5" t="s">
        <v>1326</v>
      </c>
      <c r="AD1037" s="13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0" t="s">
        <v>1364</v>
      </c>
      <c r="B1038" s="31"/>
      <c r="C1038" s="3" t="s">
        <v>1365</v>
      </c>
      <c r="D1038" s="5" t="s">
        <v>19</v>
      </c>
      <c r="E1038" s="5" t="s">
        <v>1319</v>
      </c>
      <c r="F1038" s="6" t="s">
        <v>1320</v>
      </c>
      <c r="G1038" s="5" t="s">
        <v>1345</v>
      </c>
      <c r="H1038" s="6" t="s">
        <v>93</v>
      </c>
      <c r="I1038" s="5" t="str">
        <f aca="false">CONCATENATE(E1038, "_",H1038)</f>
        <v>NLA_2023_018_018</v>
      </c>
      <c r="J1038" s="12" t="s">
        <v>38</v>
      </c>
      <c r="K1038" s="5" t="s">
        <v>1369</v>
      </c>
      <c r="L1038" s="8" t="s">
        <v>69</v>
      </c>
      <c r="M1038" s="15" t="s">
        <v>1347</v>
      </c>
      <c r="N1038" s="5" t="s">
        <v>246</v>
      </c>
      <c r="O1038" s="32" t="s">
        <v>1220</v>
      </c>
      <c r="P1038" s="1" t="s">
        <v>43</v>
      </c>
      <c r="Q1038" s="5" t="s">
        <v>1358</v>
      </c>
      <c r="R1038" s="5" t="s">
        <v>44</v>
      </c>
      <c r="S1038" s="5"/>
      <c r="T1038" s="5" t="s">
        <v>1263</v>
      </c>
      <c r="U1038" s="1" t="n">
        <v>1500</v>
      </c>
      <c r="V1038" s="1" t="n">
        <v>3</v>
      </c>
      <c r="W1038" s="3"/>
      <c r="X1038" s="8" t="s">
        <v>1215</v>
      </c>
      <c r="Y1038" s="12" t="n">
        <v>5500</v>
      </c>
      <c r="Z1038" s="5" t="s">
        <v>1324</v>
      </c>
      <c r="AA1038" s="5" t="s">
        <v>1325</v>
      </c>
      <c r="AB1038" s="13" t="str">
        <f aca="true" t="array" ref="AB1038:AB1038">LEFT(AA1038,LOOKUP(2^15,FIND(".",AA1038,ROW(INDIRECT("1:"&amp;LEN(AA1038)))))-1)</f>
        <v>NB_2023_016 - 20230425 - 1</v>
      </c>
      <c r="AC1038" s="5" t="s">
        <v>1326</v>
      </c>
      <c r="AD1038" s="13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0" t="s">
        <v>1364</v>
      </c>
      <c r="B1039" s="31"/>
      <c r="C1039" s="3" t="s">
        <v>1365</v>
      </c>
      <c r="D1039" s="5" t="s">
        <v>19</v>
      </c>
      <c r="E1039" s="5" t="s">
        <v>1319</v>
      </c>
      <c r="F1039" s="6" t="s">
        <v>1320</v>
      </c>
      <c r="G1039" s="5" t="s">
        <v>1345</v>
      </c>
      <c r="H1039" s="6" t="s">
        <v>385</v>
      </c>
      <c r="I1039" s="5" t="str">
        <f aca="false">CONCATENATE(E1039, "_",H1039)</f>
        <v>NLA_2023_018_030</v>
      </c>
      <c r="J1039" s="12" t="s">
        <v>38</v>
      </c>
      <c r="K1039" s="5" t="s">
        <v>1370</v>
      </c>
      <c r="L1039" s="8" t="s">
        <v>69</v>
      </c>
      <c r="M1039" s="15" t="s">
        <v>1347</v>
      </c>
      <c r="N1039" s="5" t="s">
        <v>246</v>
      </c>
      <c r="O1039" s="32" t="s">
        <v>1220</v>
      </c>
      <c r="P1039" s="1" t="s">
        <v>43</v>
      </c>
      <c r="Q1039" s="5" t="s">
        <v>1358</v>
      </c>
      <c r="R1039" s="5" t="s">
        <v>44</v>
      </c>
      <c r="S1039" s="5"/>
      <c r="T1039" s="5" t="s">
        <v>1263</v>
      </c>
      <c r="U1039" s="1" t="n">
        <v>1500</v>
      </c>
      <c r="V1039" s="1" t="n">
        <v>1</v>
      </c>
      <c r="W1039" s="3"/>
      <c r="X1039" s="8" t="s">
        <v>1215</v>
      </c>
      <c r="Y1039" s="12" t="n">
        <v>5500</v>
      </c>
      <c r="Z1039" s="5" t="s">
        <v>1324</v>
      </c>
      <c r="AA1039" s="5" t="s">
        <v>1325</v>
      </c>
      <c r="AB1039" s="13" t="str">
        <f aca="true" t="array" ref="AB1039:AB1039">LEFT(AA1039,LOOKUP(2^15,FIND(".",AA1039,ROW(INDIRECT("1:"&amp;LEN(AA1039)))))-1)</f>
        <v>NB_2023_016 - 20230425 - 1</v>
      </c>
      <c r="AC1039" s="5" t="s">
        <v>1326</v>
      </c>
      <c r="AD1039" s="13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0" t="s">
        <v>1364</v>
      </c>
      <c r="B1040" s="31"/>
      <c r="C1040" s="3" t="s">
        <v>1365</v>
      </c>
      <c r="D1040" s="5" t="s">
        <v>19</v>
      </c>
      <c r="E1040" s="5" t="s">
        <v>1319</v>
      </c>
      <c r="F1040" s="6" t="s">
        <v>1320</v>
      </c>
      <c r="G1040" s="5" t="s">
        <v>1345</v>
      </c>
      <c r="H1040" s="6" t="s">
        <v>1371</v>
      </c>
      <c r="I1040" s="5" t="str">
        <f aca="false">CONCATENATE(E1040, "_",H1040)</f>
        <v>NLA_2023_018_037</v>
      </c>
      <c r="J1040" s="5" t="s">
        <v>52</v>
      </c>
      <c r="K1040" s="5" t="s">
        <v>1372</v>
      </c>
      <c r="L1040" s="8" t="s">
        <v>69</v>
      </c>
      <c r="M1040" s="15" t="s">
        <v>1347</v>
      </c>
      <c r="N1040" s="5" t="s">
        <v>246</v>
      </c>
      <c r="O1040" s="32" t="s">
        <v>1220</v>
      </c>
      <c r="P1040" s="1" t="s">
        <v>43</v>
      </c>
      <c r="Q1040" s="5" t="s">
        <v>1358</v>
      </c>
      <c r="R1040" s="5" t="s">
        <v>44</v>
      </c>
      <c r="S1040" s="5"/>
      <c r="T1040" s="5" t="s">
        <v>1265</v>
      </c>
      <c r="U1040" s="1" t="n">
        <v>1500</v>
      </c>
      <c r="V1040" s="1" t="n">
        <v>3</v>
      </c>
      <c r="W1040" s="3"/>
      <c r="X1040" s="8" t="s">
        <v>1215</v>
      </c>
      <c r="Y1040" s="12" t="n">
        <v>5500</v>
      </c>
      <c r="Z1040" s="5" t="s">
        <v>1324</v>
      </c>
      <c r="AA1040" s="5" t="s">
        <v>1325</v>
      </c>
      <c r="AB1040" s="13" t="str">
        <f aca="true" t="array" ref="AB1040:AB1040">LEFT(AA1040,LOOKUP(2^15,FIND(".",AA1040,ROW(INDIRECT("1:"&amp;LEN(AA1040)))))-1)</f>
        <v>NB_2023_016 - 20230425 - 1</v>
      </c>
      <c r="AC1040" s="5" t="s">
        <v>1326</v>
      </c>
      <c r="AD1040" s="13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0" t="s">
        <v>1364</v>
      </c>
      <c r="B1041" s="31"/>
      <c r="C1041" s="3" t="s">
        <v>1365</v>
      </c>
      <c r="D1041" s="5" t="s">
        <v>19</v>
      </c>
      <c r="E1041" s="5" t="s">
        <v>1319</v>
      </c>
      <c r="F1041" s="6" t="s">
        <v>1320</v>
      </c>
      <c r="G1041" s="5" t="s">
        <v>1319</v>
      </c>
      <c r="H1041" s="14" t="s">
        <v>64</v>
      </c>
      <c r="I1041" s="5" t="str">
        <f aca="false">CONCATENATE(E1041, "_",H1041)</f>
        <v>NLA_2023_018_Blank_1</v>
      </c>
      <c r="J1041" s="5" t="s">
        <v>52</v>
      </c>
      <c r="K1041" s="16" t="s">
        <v>64</v>
      </c>
      <c r="L1041" s="6" t="s">
        <v>46</v>
      </c>
      <c r="M1041" s="15" t="s">
        <v>46</v>
      </c>
      <c r="N1041" s="5" t="s">
        <v>65</v>
      </c>
      <c r="O1041" s="5" t="s">
        <v>46</v>
      </c>
      <c r="P1041" s="5" t="s">
        <v>46</v>
      </c>
      <c r="Q1041" s="5" t="s">
        <v>46</v>
      </c>
      <c r="R1041" s="5" t="s">
        <v>46</v>
      </c>
      <c r="S1041" s="5" t="s">
        <v>46</v>
      </c>
      <c r="T1041" s="5" t="s">
        <v>46</v>
      </c>
      <c r="U1041" s="5" t="s">
        <v>46</v>
      </c>
      <c r="V1041" s="1" t="n">
        <v>1</v>
      </c>
      <c r="W1041" s="3"/>
      <c r="X1041" s="5" t="s">
        <v>46</v>
      </c>
      <c r="Y1041" s="12" t="n">
        <v>5500</v>
      </c>
      <c r="Z1041" s="5" t="s">
        <v>1324</v>
      </c>
      <c r="AA1041" s="5" t="s">
        <v>1325</v>
      </c>
      <c r="AB1041" s="13" t="str">
        <f aca="true" t="array" ref="AB1041:AB1041">LEFT(AA1041,LOOKUP(2^15,FIND(".",AA1041,ROW(INDIRECT("1:"&amp;LEN(AA1041)))))-1)</f>
        <v>NB_2023_016 - 20230425 - 1</v>
      </c>
      <c r="AC1041" s="5" t="s">
        <v>1326</v>
      </c>
      <c r="AD1041" s="13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0" t="s">
        <v>1364</v>
      </c>
      <c r="B1042" s="31"/>
      <c r="C1042" s="3" t="s">
        <v>1365</v>
      </c>
      <c r="D1042" s="5" t="s">
        <v>19</v>
      </c>
      <c r="E1042" s="5" t="s">
        <v>1319</v>
      </c>
      <c r="F1042" s="6" t="s">
        <v>1320</v>
      </c>
      <c r="G1042" s="5" t="s">
        <v>1319</v>
      </c>
      <c r="H1042" s="14" t="s">
        <v>67</v>
      </c>
      <c r="I1042" s="5" t="str">
        <f aca="false">CONCATENATE(E1042, "_",H1042)</f>
        <v>NLA_2023_018_Blank_3</v>
      </c>
      <c r="J1042" s="5" t="s">
        <v>52</v>
      </c>
      <c r="K1042" s="16" t="s">
        <v>67</v>
      </c>
      <c r="L1042" s="6" t="s">
        <v>46</v>
      </c>
      <c r="M1042" s="15" t="s">
        <v>46</v>
      </c>
      <c r="N1042" s="5" t="s">
        <v>65</v>
      </c>
      <c r="O1042" s="5" t="s">
        <v>46</v>
      </c>
      <c r="P1042" s="5" t="s">
        <v>46</v>
      </c>
      <c r="Q1042" s="5" t="s">
        <v>46</v>
      </c>
      <c r="R1042" s="5" t="s">
        <v>46</v>
      </c>
      <c r="S1042" s="5" t="s">
        <v>46</v>
      </c>
      <c r="T1042" s="5" t="s">
        <v>46</v>
      </c>
      <c r="U1042" s="5" t="s">
        <v>46</v>
      </c>
      <c r="V1042" s="1" t="n">
        <v>3</v>
      </c>
      <c r="W1042" s="3"/>
      <c r="X1042" s="5" t="s">
        <v>46</v>
      </c>
      <c r="Y1042" s="12" t="n">
        <v>5500</v>
      </c>
      <c r="Z1042" s="5" t="s">
        <v>1324</v>
      </c>
      <c r="AA1042" s="5" t="s">
        <v>1325</v>
      </c>
      <c r="AB1042" s="13" t="str">
        <f aca="true" t="array" ref="AB1042:AB1042">LEFT(AA1042,LOOKUP(2^15,FIND(".",AA1042,ROW(INDIRECT("1:"&amp;LEN(AA1042)))))-1)</f>
        <v>NB_2023_016 - 20230425 - 1</v>
      </c>
      <c r="AC1042" s="5" t="s">
        <v>1326</v>
      </c>
      <c r="AD1042" s="13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0" t="s">
        <v>1364</v>
      </c>
      <c r="B1043" s="31"/>
      <c r="C1043" s="3" t="s">
        <v>1365</v>
      </c>
      <c r="D1043" s="5" t="s">
        <v>19</v>
      </c>
      <c r="E1043" s="5" t="s">
        <v>1319</v>
      </c>
      <c r="F1043" s="6" t="s">
        <v>1320</v>
      </c>
      <c r="G1043" s="5" t="s">
        <v>1319</v>
      </c>
      <c r="H1043" s="14" t="s">
        <v>221</v>
      </c>
      <c r="I1043" s="5" t="str">
        <f aca="false">CONCATENATE(E1043, "_",H1043)</f>
        <v>NLA_2023_018_Blank_4</v>
      </c>
      <c r="J1043" s="5" t="s">
        <v>52</v>
      </c>
      <c r="K1043" s="16" t="s">
        <v>221</v>
      </c>
      <c r="L1043" s="6" t="s">
        <v>46</v>
      </c>
      <c r="M1043" s="15" t="s">
        <v>46</v>
      </c>
      <c r="N1043" s="5" t="s">
        <v>65</v>
      </c>
      <c r="O1043" s="5" t="s">
        <v>46</v>
      </c>
      <c r="P1043" s="5" t="s">
        <v>46</v>
      </c>
      <c r="Q1043" s="5" t="s">
        <v>46</v>
      </c>
      <c r="R1043" s="5" t="s">
        <v>46</v>
      </c>
      <c r="S1043" s="5" t="s">
        <v>46</v>
      </c>
      <c r="T1043" s="5" t="s">
        <v>46</v>
      </c>
      <c r="U1043" s="5" t="s">
        <v>46</v>
      </c>
      <c r="V1043" s="1" t="n">
        <v>4</v>
      </c>
      <c r="W1043" s="3"/>
      <c r="X1043" s="5" t="s">
        <v>46</v>
      </c>
      <c r="Y1043" s="12" t="n">
        <v>5500</v>
      </c>
      <c r="Z1043" s="5" t="s">
        <v>1324</v>
      </c>
      <c r="AA1043" s="5" t="s">
        <v>1325</v>
      </c>
      <c r="AB1043" s="13" t="str">
        <f aca="true" t="array" ref="AB1043:AB1043">LEFT(AA1043,LOOKUP(2^15,FIND(".",AA1043,ROW(INDIRECT("1:"&amp;LEN(AA1043)))))-1)</f>
        <v>NB_2023_016 - 20230425 - 1</v>
      </c>
      <c r="AC1043" s="5" t="s">
        <v>1326</v>
      </c>
      <c r="AD1043" s="13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0" t="s">
        <v>1364</v>
      </c>
      <c r="B1044" s="31"/>
      <c r="C1044" s="3" t="s">
        <v>1365</v>
      </c>
      <c r="D1044" s="5" t="s">
        <v>19</v>
      </c>
      <c r="E1044" s="5" t="s">
        <v>1319</v>
      </c>
      <c r="F1044" s="6" t="s">
        <v>1320</v>
      </c>
      <c r="G1044" s="5" t="s">
        <v>1319</v>
      </c>
      <c r="H1044" s="14" t="s">
        <v>68</v>
      </c>
      <c r="I1044" s="5" t="str">
        <f aca="false">CONCATENATE(E1044, "_",H1044)</f>
        <v>NLA_2023_018_QC_C_1</v>
      </c>
      <c r="J1044" s="5" t="s">
        <v>52</v>
      </c>
      <c r="K1044" s="16" t="s">
        <v>68</v>
      </c>
      <c r="L1044" s="8" t="s">
        <v>69</v>
      </c>
      <c r="M1044" s="1" t="s">
        <v>46</v>
      </c>
      <c r="N1044" s="5" t="s">
        <v>70</v>
      </c>
      <c r="O1044" s="5" t="s">
        <v>46</v>
      </c>
      <c r="P1044" s="5" t="s">
        <v>71</v>
      </c>
      <c r="Q1044" s="5" t="s">
        <v>71</v>
      </c>
      <c r="R1044" s="5" t="s">
        <v>72</v>
      </c>
      <c r="S1044" s="5" t="s">
        <v>73</v>
      </c>
      <c r="T1044" s="5" t="s">
        <v>46</v>
      </c>
      <c r="U1044" s="5" t="n">
        <v>1000</v>
      </c>
      <c r="V1044" s="1" t="n">
        <v>1</v>
      </c>
      <c r="W1044" s="3"/>
      <c r="X1044" s="5" t="s">
        <v>74</v>
      </c>
      <c r="Y1044" s="12" t="n">
        <v>5500</v>
      </c>
      <c r="Z1044" s="5" t="s">
        <v>1324</v>
      </c>
      <c r="AA1044" s="5" t="s">
        <v>1325</v>
      </c>
      <c r="AB1044" s="13" t="str">
        <f aca="true" t="array" ref="AB1044:AB1044">LEFT(AA1044,LOOKUP(2^15,FIND(".",AA1044,ROW(INDIRECT("1:"&amp;LEN(AA1044)))))-1)</f>
        <v>NB_2023_016 - 20230425 - 1</v>
      </c>
      <c r="AC1044" s="5" t="s">
        <v>1326</v>
      </c>
      <c r="AD1044" s="13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0" t="s">
        <v>1364</v>
      </c>
      <c r="B1045" s="31"/>
      <c r="C1045" s="3" t="s">
        <v>1365</v>
      </c>
      <c r="D1045" s="5" t="s">
        <v>19</v>
      </c>
      <c r="E1045" s="5" t="s">
        <v>1319</v>
      </c>
      <c r="F1045" s="6" t="s">
        <v>1320</v>
      </c>
      <c r="G1045" s="5" t="s">
        <v>1319</v>
      </c>
      <c r="H1045" s="14" t="s">
        <v>75</v>
      </c>
      <c r="I1045" s="5" t="str">
        <f aca="false">CONCATENATE(E1045, "_",H1045)</f>
        <v>NLA_2023_018_QC_C_2</v>
      </c>
      <c r="J1045" s="5" t="s">
        <v>52</v>
      </c>
      <c r="K1045" s="16" t="s">
        <v>75</v>
      </c>
      <c r="L1045" s="8" t="s">
        <v>69</v>
      </c>
      <c r="M1045" s="1" t="s">
        <v>46</v>
      </c>
      <c r="N1045" s="5" t="s">
        <v>70</v>
      </c>
      <c r="O1045" s="5" t="s">
        <v>46</v>
      </c>
      <c r="P1045" s="5" t="s">
        <v>71</v>
      </c>
      <c r="Q1045" s="5" t="s">
        <v>71</v>
      </c>
      <c r="R1045" s="5" t="s">
        <v>72</v>
      </c>
      <c r="S1045" s="5" t="s">
        <v>73</v>
      </c>
      <c r="T1045" s="5" t="s">
        <v>46</v>
      </c>
      <c r="U1045" s="5" t="n">
        <v>1000</v>
      </c>
      <c r="V1045" s="1" t="n">
        <v>2</v>
      </c>
      <c r="W1045" s="3"/>
      <c r="X1045" s="5" t="s">
        <v>74</v>
      </c>
      <c r="Y1045" s="12" t="n">
        <v>5500</v>
      </c>
      <c r="Z1045" s="5" t="s">
        <v>1324</v>
      </c>
      <c r="AA1045" s="5" t="s">
        <v>1325</v>
      </c>
      <c r="AB1045" s="13" t="str">
        <f aca="true" t="array" ref="AB1045:AB1045">LEFT(AA1045,LOOKUP(2^15,FIND(".",AA1045,ROW(INDIRECT("1:"&amp;LEN(AA1045)))))-1)</f>
        <v>NB_2023_016 - 20230425 - 1</v>
      </c>
      <c r="AC1045" s="5" t="s">
        <v>1326</v>
      </c>
      <c r="AD1045" s="13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0" t="s">
        <v>1364</v>
      </c>
      <c r="B1046" s="31"/>
      <c r="C1046" s="3" t="s">
        <v>1365</v>
      </c>
      <c r="D1046" s="5" t="s">
        <v>19</v>
      </c>
      <c r="E1046" s="5" t="s">
        <v>1319</v>
      </c>
      <c r="F1046" s="6" t="s">
        <v>1320</v>
      </c>
      <c r="G1046" s="5" t="s">
        <v>1319</v>
      </c>
      <c r="H1046" s="14" t="s">
        <v>76</v>
      </c>
      <c r="I1046" s="5" t="str">
        <f aca="false">CONCATENATE(E1046, "_",H1046)</f>
        <v>NLA_2023_018_QC_C_3</v>
      </c>
      <c r="J1046" s="5" t="s">
        <v>52</v>
      </c>
      <c r="K1046" s="16" t="s">
        <v>76</v>
      </c>
      <c r="L1046" s="8" t="s">
        <v>69</v>
      </c>
      <c r="M1046" s="1" t="s">
        <v>46</v>
      </c>
      <c r="N1046" s="5" t="s">
        <v>70</v>
      </c>
      <c r="O1046" s="5" t="s">
        <v>46</v>
      </c>
      <c r="P1046" s="5" t="s">
        <v>71</v>
      </c>
      <c r="Q1046" s="5" t="s">
        <v>71</v>
      </c>
      <c r="R1046" s="5" t="s">
        <v>72</v>
      </c>
      <c r="S1046" s="5" t="s">
        <v>73</v>
      </c>
      <c r="T1046" s="5" t="s">
        <v>46</v>
      </c>
      <c r="U1046" s="5" t="n">
        <v>1000</v>
      </c>
      <c r="V1046" s="1" t="n">
        <v>3</v>
      </c>
      <c r="W1046" s="3"/>
      <c r="X1046" s="5" t="s">
        <v>74</v>
      </c>
      <c r="Y1046" s="12" t="n">
        <v>5500</v>
      </c>
      <c r="Z1046" s="5" t="s">
        <v>1324</v>
      </c>
      <c r="AA1046" s="5" t="s">
        <v>1325</v>
      </c>
      <c r="AB1046" s="13" t="str">
        <f aca="true" t="array" ref="AB1046:AB1046">LEFT(AA1046,LOOKUP(2^15,FIND(".",AA1046,ROW(INDIRECT("1:"&amp;LEN(AA1046)))))-1)</f>
        <v>NB_2023_016 - 20230425 - 1</v>
      </c>
      <c r="AC1046" s="5" t="s">
        <v>1326</v>
      </c>
      <c r="AD1046" s="13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0" t="s">
        <v>1364</v>
      </c>
      <c r="B1047" s="31"/>
      <c r="C1047" s="3" t="s">
        <v>1365</v>
      </c>
      <c r="D1047" s="5" t="s">
        <v>19</v>
      </c>
      <c r="E1047" s="5" t="s">
        <v>1319</v>
      </c>
      <c r="F1047" s="6" t="s">
        <v>1320</v>
      </c>
      <c r="G1047" s="5" t="s">
        <v>1319</v>
      </c>
      <c r="H1047" s="14" t="s">
        <v>222</v>
      </c>
      <c r="I1047" s="5" t="str">
        <f aca="false">CONCATENATE(E1047, "_",H1047)</f>
        <v>NLA_2023_018_QC_C_4</v>
      </c>
      <c r="J1047" s="5" t="s">
        <v>52</v>
      </c>
      <c r="K1047" s="16" t="s">
        <v>222</v>
      </c>
      <c r="L1047" s="8" t="s">
        <v>69</v>
      </c>
      <c r="M1047" s="1" t="s">
        <v>46</v>
      </c>
      <c r="N1047" s="5" t="s">
        <v>70</v>
      </c>
      <c r="O1047" s="5" t="s">
        <v>46</v>
      </c>
      <c r="P1047" s="5" t="s">
        <v>71</v>
      </c>
      <c r="Q1047" s="5" t="s">
        <v>71</v>
      </c>
      <c r="R1047" s="5" t="s">
        <v>72</v>
      </c>
      <c r="S1047" s="5" t="s">
        <v>73</v>
      </c>
      <c r="T1047" s="5" t="s">
        <v>46</v>
      </c>
      <c r="U1047" s="5" t="n">
        <v>1000</v>
      </c>
      <c r="V1047" s="1" t="n">
        <v>4</v>
      </c>
      <c r="W1047" s="3"/>
      <c r="X1047" s="5" t="s">
        <v>74</v>
      </c>
      <c r="Y1047" s="12" t="n">
        <v>5500</v>
      </c>
      <c r="Z1047" s="5" t="s">
        <v>1324</v>
      </c>
      <c r="AA1047" s="5" t="s">
        <v>1325</v>
      </c>
      <c r="AB1047" s="13" t="str">
        <f aca="true" t="array" ref="AB1047:AB1047">LEFT(AA1047,LOOKUP(2^15,FIND(".",AA1047,ROW(INDIRECT("1:"&amp;LEN(AA1047)))))-1)</f>
        <v>NB_2023_016 - 20230425 - 1</v>
      </c>
      <c r="AC1047" s="5" t="s">
        <v>1326</v>
      </c>
      <c r="AD1047" s="13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0" t="s">
        <v>1364</v>
      </c>
      <c r="B1048" s="31"/>
      <c r="C1048" s="3" t="s">
        <v>1365</v>
      </c>
      <c r="D1048" s="5" t="s">
        <v>19</v>
      </c>
      <c r="E1048" s="5" t="s">
        <v>1319</v>
      </c>
      <c r="F1048" s="6" t="s">
        <v>1320</v>
      </c>
      <c r="G1048" s="5" t="s">
        <v>1319</v>
      </c>
      <c r="H1048" s="14" t="s">
        <v>77</v>
      </c>
      <c r="I1048" s="5" t="str">
        <f aca="false">CONCATENATE(E1048, "_",H1048)</f>
        <v>NLA_2023_018_QC_P_1</v>
      </c>
      <c r="J1048" s="5" t="s">
        <v>52</v>
      </c>
      <c r="K1048" s="16" t="s">
        <v>77</v>
      </c>
      <c r="L1048" s="6" t="s">
        <v>69</v>
      </c>
      <c r="M1048" s="1" t="s">
        <v>46</v>
      </c>
      <c r="N1048" s="5" t="s">
        <v>78</v>
      </c>
      <c r="O1048" s="5" t="s">
        <v>46</v>
      </c>
      <c r="P1048" s="5" t="s">
        <v>79</v>
      </c>
      <c r="Q1048" s="5" t="s">
        <v>80</v>
      </c>
      <c r="R1048" s="5" t="s">
        <v>81</v>
      </c>
      <c r="S1048" s="5" t="s">
        <v>46</v>
      </c>
      <c r="T1048" s="5" t="s">
        <v>46</v>
      </c>
      <c r="U1048" s="5" t="s">
        <v>82</v>
      </c>
      <c r="V1048" s="1" t="n">
        <v>1</v>
      </c>
      <c r="W1048" s="3"/>
      <c r="X1048" s="5" t="s">
        <v>83</v>
      </c>
      <c r="Y1048" s="12" t="n">
        <v>5500</v>
      </c>
      <c r="Z1048" s="5" t="s">
        <v>1324</v>
      </c>
      <c r="AA1048" s="5" t="s">
        <v>1325</v>
      </c>
      <c r="AB1048" s="13" t="str">
        <f aca="true" t="array" ref="AB1048:AB1048">LEFT(AA1048,LOOKUP(2^15,FIND(".",AA1048,ROW(INDIRECT("1:"&amp;LEN(AA1048)))))-1)</f>
        <v>NB_2023_016 - 20230425 - 1</v>
      </c>
      <c r="AC1048" s="5" t="s">
        <v>1326</v>
      </c>
      <c r="AD1048" s="13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0" t="s">
        <v>1364</v>
      </c>
      <c r="B1049" s="31"/>
      <c r="C1049" s="3" t="s">
        <v>1365</v>
      </c>
      <c r="D1049" s="5" t="s">
        <v>19</v>
      </c>
      <c r="E1049" s="5" t="s">
        <v>1319</v>
      </c>
      <c r="F1049" s="6" t="s">
        <v>1320</v>
      </c>
      <c r="G1049" s="5" t="s">
        <v>1319</v>
      </c>
      <c r="H1049" s="14" t="s">
        <v>84</v>
      </c>
      <c r="I1049" s="5" t="str">
        <f aca="false">CONCATENATE(E1049, "_",H1049)</f>
        <v>NLA_2023_018_QC_P_2</v>
      </c>
      <c r="J1049" s="5" t="s">
        <v>52</v>
      </c>
      <c r="K1049" s="16" t="s">
        <v>84</v>
      </c>
      <c r="L1049" s="6" t="s">
        <v>69</v>
      </c>
      <c r="M1049" s="1" t="s">
        <v>46</v>
      </c>
      <c r="N1049" s="5" t="s">
        <v>78</v>
      </c>
      <c r="O1049" s="5" t="s">
        <v>46</v>
      </c>
      <c r="P1049" s="5" t="s">
        <v>79</v>
      </c>
      <c r="Q1049" s="5" t="s">
        <v>80</v>
      </c>
      <c r="R1049" s="5" t="s">
        <v>81</v>
      </c>
      <c r="S1049" s="5" t="s">
        <v>46</v>
      </c>
      <c r="T1049" s="5" t="s">
        <v>46</v>
      </c>
      <c r="U1049" s="5" t="s">
        <v>82</v>
      </c>
      <c r="V1049" s="1" t="n">
        <v>2</v>
      </c>
      <c r="W1049" s="3"/>
      <c r="X1049" s="5" t="s">
        <v>83</v>
      </c>
      <c r="Y1049" s="12" t="n">
        <v>5500</v>
      </c>
      <c r="Z1049" s="5" t="s">
        <v>1324</v>
      </c>
      <c r="AA1049" s="5" t="s">
        <v>1325</v>
      </c>
      <c r="AB1049" s="13" t="str">
        <f aca="true" t="array" ref="AB1049:AB1049">LEFT(AA1049,LOOKUP(2^15,FIND(".",AA1049,ROW(INDIRECT("1:"&amp;LEN(AA1049)))))-1)</f>
        <v>NB_2023_016 - 20230425 - 1</v>
      </c>
      <c r="AC1049" s="5" t="s">
        <v>1326</v>
      </c>
      <c r="AD1049" s="13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0" t="s">
        <v>1364</v>
      </c>
      <c r="B1050" s="31"/>
      <c r="C1050" s="3" t="s">
        <v>1365</v>
      </c>
      <c r="D1050" s="5" t="s">
        <v>19</v>
      </c>
      <c r="E1050" s="5" t="s">
        <v>1319</v>
      </c>
      <c r="F1050" s="6" t="s">
        <v>1320</v>
      </c>
      <c r="G1050" s="5" t="s">
        <v>1319</v>
      </c>
      <c r="H1050" s="14" t="s">
        <v>85</v>
      </c>
      <c r="I1050" s="5" t="str">
        <f aca="false">CONCATENATE(E1050, "_",H1050)</f>
        <v>NLA_2023_018_QC_P_3</v>
      </c>
      <c r="J1050" s="3" t="s">
        <v>52</v>
      </c>
      <c r="K1050" s="16" t="s">
        <v>85</v>
      </c>
      <c r="L1050" s="6" t="s">
        <v>69</v>
      </c>
      <c r="M1050" s="1" t="s">
        <v>46</v>
      </c>
      <c r="N1050" s="5" t="s">
        <v>78</v>
      </c>
      <c r="O1050" s="5" t="s">
        <v>46</v>
      </c>
      <c r="P1050" s="5" t="s">
        <v>79</v>
      </c>
      <c r="Q1050" s="5" t="s">
        <v>80</v>
      </c>
      <c r="R1050" s="5" t="s">
        <v>81</v>
      </c>
      <c r="S1050" s="5" t="s">
        <v>46</v>
      </c>
      <c r="T1050" s="5" t="s">
        <v>46</v>
      </c>
      <c r="U1050" s="5" t="s">
        <v>82</v>
      </c>
      <c r="V1050" s="1" t="n">
        <v>3</v>
      </c>
      <c r="W1050" s="3"/>
      <c r="X1050" s="5" t="s">
        <v>83</v>
      </c>
      <c r="Y1050" s="12" t="n">
        <v>5500</v>
      </c>
      <c r="Z1050" s="5" t="s">
        <v>1324</v>
      </c>
      <c r="AA1050" s="5" t="s">
        <v>1325</v>
      </c>
      <c r="AB1050" s="13" t="str">
        <f aca="true" t="array" ref="AB1050:AB1050">LEFT(AA1050,LOOKUP(2^15,FIND(".",AA1050,ROW(INDIRECT("1:"&amp;LEN(AA1050)))))-1)</f>
        <v>NB_2023_016 - 20230425 - 1</v>
      </c>
      <c r="AC1050" s="5" t="s">
        <v>1326</v>
      </c>
      <c r="AD1050" s="13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0" t="s">
        <v>1364</v>
      </c>
      <c r="B1051" s="31"/>
      <c r="C1051" s="3" t="s">
        <v>1365</v>
      </c>
      <c r="D1051" s="5" t="s">
        <v>19</v>
      </c>
      <c r="E1051" s="5" t="s">
        <v>1319</v>
      </c>
      <c r="F1051" s="6" t="s">
        <v>1320</v>
      </c>
      <c r="G1051" s="5" t="s">
        <v>1319</v>
      </c>
      <c r="H1051" s="14" t="s">
        <v>224</v>
      </c>
      <c r="I1051" s="5" t="str">
        <f aca="false">CONCATENATE(E1051, "_",H1051)</f>
        <v>NLA_2023_018_QC_P_4</v>
      </c>
      <c r="J1051" s="3" t="s">
        <v>52</v>
      </c>
      <c r="K1051" s="16" t="s">
        <v>224</v>
      </c>
      <c r="L1051" s="6" t="s">
        <v>69</v>
      </c>
      <c r="M1051" s="1" t="s">
        <v>46</v>
      </c>
      <c r="N1051" s="5" t="s">
        <v>78</v>
      </c>
      <c r="O1051" s="5" t="s">
        <v>46</v>
      </c>
      <c r="P1051" s="5" t="s">
        <v>79</v>
      </c>
      <c r="Q1051" s="5" t="s">
        <v>80</v>
      </c>
      <c r="R1051" s="5" t="s">
        <v>81</v>
      </c>
      <c r="S1051" s="5" t="s">
        <v>46</v>
      </c>
      <c r="T1051" s="5" t="s">
        <v>46</v>
      </c>
      <c r="U1051" s="5" t="s">
        <v>82</v>
      </c>
      <c r="V1051" s="1" t="n">
        <v>4</v>
      </c>
      <c r="W1051" s="3"/>
      <c r="X1051" s="5" t="s">
        <v>83</v>
      </c>
      <c r="Y1051" s="12" t="n">
        <v>5500</v>
      </c>
      <c r="Z1051" s="5" t="s">
        <v>1324</v>
      </c>
      <c r="AA1051" s="5" t="s">
        <v>1325</v>
      </c>
      <c r="AB1051" s="13" t="str">
        <f aca="true" t="array" ref="AB1051:AB1051">LEFT(AA1051,LOOKUP(2^15,FIND(".",AA1051,ROW(INDIRECT("1:"&amp;LEN(AA1051)))))-1)</f>
        <v>NB_2023_016 - 20230425 - 1</v>
      </c>
      <c r="AC1051" s="5" t="s">
        <v>1326</v>
      </c>
      <c r="AD1051" s="13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0" t="s">
        <v>1373</v>
      </c>
      <c r="B1052" s="31"/>
      <c r="C1052" s="3" t="s">
        <v>1374</v>
      </c>
      <c r="D1052" s="5" t="s">
        <v>14</v>
      </c>
      <c r="E1052" s="5" t="s">
        <v>186</v>
      </c>
      <c r="F1052" s="6" t="s">
        <v>187</v>
      </c>
      <c r="G1052" s="5" t="s">
        <v>1208</v>
      </c>
      <c r="H1052" s="24" t="s">
        <v>1209</v>
      </c>
      <c r="I1052" s="5" t="str">
        <f aca="false">CONCATENATE(E1052, "_",H1052)</f>
        <v>NLA_2022_001_006-1</v>
      </c>
      <c r="J1052" s="5" t="s">
        <v>38</v>
      </c>
      <c r="K1052" s="5" t="s">
        <v>1210</v>
      </c>
      <c r="L1052" s="8" t="s">
        <v>69</v>
      </c>
      <c r="M1052" s="6" t="s">
        <v>1211</v>
      </c>
      <c r="N1052" s="5" t="s">
        <v>246</v>
      </c>
      <c r="O1052" s="32" t="s">
        <v>1212</v>
      </c>
      <c r="P1052" s="5" t="s">
        <v>1213</v>
      </c>
      <c r="Q1052" s="5" t="s">
        <v>1214</v>
      </c>
      <c r="R1052" s="5" t="s">
        <v>72</v>
      </c>
      <c r="S1052" s="5" t="s">
        <v>73</v>
      </c>
      <c r="U1052" s="5" t="n">
        <v>1500</v>
      </c>
      <c r="V1052" s="1" t="n">
        <v>1</v>
      </c>
      <c r="W1052" s="5"/>
      <c r="X1052" s="8" t="s">
        <v>1215</v>
      </c>
      <c r="Y1052" s="1" t="n">
        <v>5500</v>
      </c>
      <c r="Z1052" s="5" t="s">
        <v>194</v>
      </c>
      <c r="AA1052" s="5" t="s">
        <v>195</v>
      </c>
      <c r="AB1052" s="13" t="str">
        <f aca="true" t="array" ref="AB1052:AB1052">LEFT(AA1052,LOOKUP(2^15,FIND(".",AA1052,ROW(INDIRECT("1:"&amp;LEN(AA1052)))))-1)</f>
        <v>NB_2022_006+007+010 - 25022022 - 1</v>
      </c>
      <c r="AC1052" s="5" t="s">
        <v>196</v>
      </c>
      <c r="AD1052" s="13" t="str">
        <f aca="true" t="array" ref="AD1052:AD1052">LEFT(AC1052,LOOKUP(2^15,FIND(".",AC1052,ROW(INDIRECT("1:"&amp;LEN(AC1052)))))-1)</f>
        <v>NB_2022_006+007+010 - 25022022 - 2</v>
      </c>
      <c r="AE1052" s="5" t="str">
        <f aca="false">CONCATENATE(AB1052, "-",H1052, ".mzML")</f>
        <v>NB_2022_006+007+010 - 25022022 - 1-006-1.mzML</v>
      </c>
      <c r="AF1052" s="5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0" t="s">
        <v>1373</v>
      </c>
      <c r="B1053" s="31"/>
      <c r="C1053" s="3" t="s">
        <v>1374</v>
      </c>
      <c r="D1053" s="5" t="s">
        <v>14</v>
      </c>
      <c r="E1053" s="5" t="s">
        <v>186</v>
      </c>
      <c r="F1053" s="6" t="s">
        <v>187</v>
      </c>
      <c r="G1053" s="5" t="s">
        <v>1208</v>
      </c>
      <c r="H1053" s="24" t="s">
        <v>1216</v>
      </c>
      <c r="I1053" s="5" t="str">
        <f aca="false">CONCATENATE(E1053, "_",H1053)</f>
        <v>NLA_2022_001_006-2</v>
      </c>
      <c r="J1053" s="5" t="s">
        <v>38</v>
      </c>
      <c r="K1053" s="5" t="s">
        <v>1210</v>
      </c>
      <c r="L1053" s="8" t="s">
        <v>69</v>
      </c>
      <c r="M1053" s="6" t="s">
        <v>1211</v>
      </c>
      <c r="N1053" s="5" t="s">
        <v>246</v>
      </c>
      <c r="O1053" s="32" t="s">
        <v>1212</v>
      </c>
      <c r="P1053" s="5" t="s">
        <v>1213</v>
      </c>
      <c r="Q1053" s="5" t="s">
        <v>1214</v>
      </c>
      <c r="R1053" s="5" t="s">
        <v>72</v>
      </c>
      <c r="S1053" s="5" t="s">
        <v>73</v>
      </c>
      <c r="U1053" s="5" t="n">
        <v>1500</v>
      </c>
      <c r="V1053" s="1" t="n">
        <v>2</v>
      </c>
      <c r="W1053" s="5"/>
      <c r="X1053" s="8" t="s">
        <v>1215</v>
      </c>
      <c r="Y1053" s="1" t="n">
        <v>5500</v>
      </c>
      <c r="Z1053" s="5" t="s">
        <v>194</v>
      </c>
      <c r="AA1053" s="5" t="s">
        <v>195</v>
      </c>
      <c r="AB1053" s="13" t="str">
        <f aca="true" t="array" ref="AB1053:AB1053">LEFT(AA1053,LOOKUP(2^15,FIND(".",AA1053,ROW(INDIRECT("1:"&amp;LEN(AA1053)))))-1)</f>
        <v>NB_2022_006+007+010 - 25022022 - 1</v>
      </c>
      <c r="AC1053" s="5" t="s">
        <v>196</v>
      </c>
      <c r="AD1053" s="13" t="str">
        <f aca="true" t="array" ref="AD1053:AD1053">LEFT(AC1053,LOOKUP(2^15,FIND(".",AC1053,ROW(INDIRECT("1:"&amp;LEN(AC1053)))))-1)</f>
        <v>NB_2022_006+007+010 - 25022022 - 2</v>
      </c>
      <c r="AE1053" s="5" t="str">
        <f aca="false">CONCATENATE(AB1053, "-",H1053, ".mzML")</f>
        <v>NB_2022_006+007+010 - 25022022 - 1-006-2.mzML</v>
      </c>
      <c r="AF1053" s="5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0" t="s">
        <v>1373</v>
      </c>
      <c r="B1054" s="31"/>
      <c r="C1054" s="3" t="s">
        <v>1374</v>
      </c>
      <c r="D1054" s="5" t="s">
        <v>14</v>
      </c>
      <c r="E1054" s="5" t="s">
        <v>186</v>
      </c>
      <c r="F1054" s="6" t="s">
        <v>187</v>
      </c>
      <c r="G1054" s="5" t="s">
        <v>1208</v>
      </c>
      <c r="H1054" s="24" t="s">
        <v>1217</v>
      </c>
      <c r="I1054" s="5" t="str">
        <f aca="false">CONCATENATE(E1054, "_",H1054)</f>
        <v>NLA_2022_001_006-3</v>
      </c>
      <c r="J1054" s="5" t="s">
        <v>38</v>
      </c>
      <c r="K1054" s="5" t="s">
        <v>1210</v>
      </c>
      <c r="L1054" s="8" t="s">
        <v>69</v>
      </c>
      <c r="M1054" s="6" t="s">
        <v>1211</v>
      </c>
      <c r="N1054" s="5" t="s">
        <v>246</v>
      </c>
      <c r="O1054" s="32" t="s">
        <v>1212</v>
      </c>
      <c r="P1054" s="5" t="s">
        <v>1213</v>
      </c>
      <c r="Q1054" s="5" t="s">
        <v>1214</v>
      </c>
      <c r="R1054" s="5" t="s">
        <v>72</v>
      </c>
      <c r="S1054" s="5" t="s">
        <v>73</v>
      </c>
      <c r="U1054" s="5" t="n">
        <v>1500</v>
      </c>
      <c r="V1054" s="1" t="n">
        <v>3</v>
      </c>
      <c r="W1054" s="5"/>
      <c r="X1054" s="8" t="s">
        <v>1215</v>
      </c>
      <c r="Y1054" s="1" t="n">
        <v>5500</v>
      </c>
      <c r="Z1054" s="5" t="s">
        <v>194</v>
      </c>
      <c r="AA1054" s="5" t="s">
        <v>195</v>
      </c>
      <c r="AB1054" s="13" t="str">
        <f aca="true" t="array" ref="AB1054:AB1054">LEFT(AA1054,LOOKUP(2^15,FIND(".",AA1054,ROW(INDIRECT("1:"&amp;LEN(AA1054)))))-1)</f>
        <v>NB_2022_006+007+010 - 25022022 - 1</v>
      </c>
      <c r="AC1054" s="5" t="s">
        <v>196</v>
      </c>
      <c r="AD1054" s="13" t="str">
        <f aca="true" t="array" ref="AD1054:AD1054">LEFT(AC1054,LOOKUP(2^15,FIND(".",AC1054,ROW(INDIRECT("1:"&amp;LEN(AC1054)))))-1)</f>
        <v>NB_2022_006+007+010 - 25022022 - 2</v>
      </c>
      <c r="AE1054" s="5" t="str">
        <f aca="false">CONCATENATE(AB1054, "-",H1054, ".mzML")</f>
        <v>NB_2022_006+007+010 - 25022022 - 1-006-3.mzML</v>
      </c>
      <c r="AF1054" s="5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0" t="s">
        <v>1373</v>
      </c>
      <c r="B1055" s="31"/>
      <c r="C1055" s="3" t="s">
        <v>1374</v>
      </c>
      <c r="D1055" s="5" t="s">
        <v>14</v>
      </c>
      <c r="E1055" s="5" t="s">
        <v>186</v>
      </c>
      <c r="F1055" s="6" t="s">
        <v>187</v>
      </c>
      <c r="G1055" s="5" t="s">
        <v>1208</v>
      </c>
      <c r="H1055" s="24" t="s">
        <v>1218</v>
      </c>
      <c r="I1055" s="5" t="str">
        <f aca="false">CONCATENATE(E1055, "_",H1055)</f>
        <v>NLA_2022_001_006-4</v>
      </c>
      <c r="J1055" s="5" t="s">
        <v>52</v>
      </c>
      <c r="K1055" s="5" t="s">
        <v>1219</v>
      </c>
      <c r="L1055" s="8" t="s">
        <v>69</v>
      </c>
      <c r="M1055" s="6" t="s">
        <v>1211</v>
      </c>
      <c r="N1055" s="5" t="s">
        <v>246</v>
      </c>
      <c r="O1055" s="32" t="s">
        <v>1220</v>
      </c>
      <c r="P1055" s="5" t="s">
        <v>1213</v>
      </c>
      <c r="Q1055" s="5" t="s">
        <v>1213</v>
      </c>
      <c r="R1055" s="5" t="s">
        <v>72</v>
      </c>
      <c r="S1055" s="5" t="s">
        <v>73</v>
      </c>
      <c r="U1055" s="5" t="n">
        <v>1500</v>
      </c>
      <c r="V1055" s="1" t="n">
        <v>1</v>
      </c>
      <c r="W1055" s="5"/>
      <c r="X1055" s="8" t="s">
        <v>1215</v>
      </c>
      <c r="Y1055" s="1" t="n">
        <v>5500</v>
      </c>
      <c r="Z1055" s="5" t="s">
        <v>194</v>
      </c>
      <c r="AA1055" s="5" t="s">
        <v>195</v>
      </c>
      <c r="AB1055" s="13" t="str">
        <f aca="true" t="array" ref="AB1055:AB1055">LEFT(AA1055,LOOKUP(2^15,FIND(".",AA1055,ROW(INDIRECT("1:"&amp;LEN(AA1055)))))-1)</f>
        <v>NB_2022_006+007+010 - 25022022 - 1</v>
      </c>
      <c r="AC1055" s="5" t="s">
        <v>196</v>
      </c>
      <c r="AD1055" s="13" t="str">
        <f aca="true" t="array" ref="AD1055:AD1055">LEFT(AC1055,LOOKUP(2^15,FIND(".",AC1055,ROW(INDIRECT("1:"&amp;LEN(AC1055)))))-1)</f>
        <v>NB_2022_006+007+010 - 25022022 - 2</v>
      </c>
      <c r="AE1055" s="5" t="str">
        <f aca="false">CONCATENATE(AB1055, "-",H1055, ".mzML")</f>
        <v>NB_2022_006+007+010 - 25022022 - 1-006-4.mzML</v>
      </c>
      <c r="AF1055" s="5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0" t="s">
        <v>1373</v>
      </c>
      <c r="B1056" s="31"/>
      <c r="C1056" s="3" t="s">
        <v>1374</v>
      </c>
      <c r="D1056" s="5" t="s">
        <v>14</v>
      </c>
      <c r="E1056" s="5" t="s">
        <v>186</v>
      </c>
      <c r="F1056" s="6" t="s">
        <v>187</v>
      </c>
      <c r="G1056" s="5" t="s">
        <v>1208</v>
      </c>
      <c r="H1056" s="24" t="s">
        <v>1221</v>
      </c>
      <c r="I1056" s="5" t="str">
        <f aca="false">CONCATENATE(E1056, "_",H1056)</f>
        <v>NLA_2022_001_006-5</v>
      </c>
      <c r="J1056" s="5" t="s">
        <v>52</v>
      </c>
      <c r="K1056" s="5" t="s">
        <v>1219</v>
      </c>
      <c r="L1056" s="8" t="s">
        <v>69</v>
      </c>
      <c r="M1056" s="6" t="s">
        <v>1211</v>
      </c>
      <c r="N1056" s="5" t="s">
        <v>246</v>
      </c>
      <c r="O1056" s="32" t="s">
        <v>1220</v>
      </c>
      <c r="P1056" s="5" t="s">
        <v>1213</v>
      </c>
      <c r="Q1056" s="5" t="s">
        <v>1213</v>
      </c>
      <c r="R1056" s="5" t="s">
        <v>72</v>
      </c>
      <c r="S1056" s="5" t="s">
        <v>73</v>
      </c>
      <c r="U1056" s="5" t="n">
        <v>1500</v>
      </c>
      <c r="V1056" s="1" t="n">
        <v>2</v>
      </c>
      <c r="W1056" s="5"/>
      <c r="X1056" s="8" t="s">
        <v>1215</v>
      </c>
      <c r="Y1056" s="1" t="n">
        <v>5500</v>
      </c>
      <c r="Z1056" s="5" t="s">
        <v>194</v>
      </c>
      <c r="AA1056" s="5" t="s">
        <v>195</v>
      </c>
      <c r="AB1056" s="13" t="str">
        <f aca="true" t="array" ref="AB1056:AB1056">LEFT(AA1056,LOOKUP(2^15,FIND(".",AA1056,ROW(INDIRECT("1:"&amp;LEN(AA1056)))))-1)</f>
        <v>NB_2022_006+007+010 - 25022022 - 1</v>
      </c>
      <c r="AC1056" s="5" t="s">
        <v>196</v>
      </c>
      <c r="AD1056" s="13" t="str">
        <f aca="true" t="array" ref="AD1056:AD1056">LEFT(AC1056,LOOKUP(2^15,FIND(".",AC1056,ROW(INDIRECT("1:"&amp;LEN(AC1056)))))-1)</f>
        <v>NB_2022_006+007+010 - 25022022 - 2</v>
      </c>
      <c r="AE1056" s="5" t="str">
        <f aca="false">CONCATENATE(AB1056, "-",H1056, ".mzML")</f>
        <v>NB_2022_006+007+010 - 25022022 - 1-006-5.mzML</v>
      </c>
      <c r="AF1056" s="5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0" t="s">
        <v>1373</v>
      </c>
      <c r="B1057" s="31"/>
      <c r="C1057" s="3" t="s">
        <v>1374</v>
      </c>
      <c r="D1057" s="5" t="s">
        <v>14</v>
      </c>
      <c r="E1057" s="5" t="s">
        <v>186</v>
      </c>
      <c r="F1057" s="6" t="s">
        <v>187</v>
      </c>
      <c r="G1057" s="5" t="s">
        <v>1208</v>
      </c>
      <c r="H1057" s="24" t="s">
        <v>1222</v>
      </c>
      <c r="I1057" s="5" t="str">
        <f aca="false">CONCATENATE(E1057, "_",H1057)</f>
        <v>NLA_2022_001_006-6</v>
      </c>
      <c r="J1057" s="5" t="s">
        <v>52</v>
      </c>
      <c r="K1057" s="5" t="s">
        <v>1219</v>
      </c>
      <c r="L1057" s="8" t="s">
        <v>69</v>
      </c>
      <c r="M1057" s="6" t="s">
        <v>1211</v>
      </c>
      <c r="N1057" s="5" t="s">
        <v>246</v>
      </c>
      <c r="O1057" s="32" t="s">
        <v>1220</v>
      </c>
      <c r="P1057" s="5" t="s">
        <v>1213</v>
      </c>
      <c r="Q1057" s="5" t="s">
        <v>1213</v>
      </c>
      <c r="R1057" s="5" t="s">
        <v>72</v>
      </c>
      <c r="S1057" s="5" t="s">
        <v>73</v>
      </c>
      <c r="U1057" s="5" t="n">
        <v>1500</v>
      </c>
      <c r="V1057" s="1" t="n">
        <v>3</v>
      </c>
      <c r="W1057" s="5"/>
      <c r="X1057" s="8" t="s">
        <v>1215</v>
      </c>
      <c r="Y1057" s="1" t="n">
        <v>5500</v>
      </c>
      <c r="Z1057" s="5" t="s">
        <v>194</v>
      </c>
      <c r="AA1057" s="5" t="s">
        <v>195</v>
      </c>
      <c r="AB1057" s="13" t="str">
        <f aca="true" t="array" ref="AB1057:AB1057">LEFT(AA1057,LOOKUP(2^15,FIND(".",AA1057,ROW(INDIRECT("1:"&amp;LEN(AA1057)))))-1)</f>
        <v>NB_2022_006+007+010 - 25022022 - 1</v>
      </c>
      <c r="AC1057" s="5" t="s">
        <v>196</v>
      </c>
      <c r="AD1057" s="13" t="str">
        <f aca="true" t="array" ref="AD1057:AD1057">LEFT(AC1057,LOOKUP(2^15,FIND(".",AC1057,ROW(INDIRECT("1:"&amp;LEN(AC1057)))))-1)</f>
        <v>NB_2022_006+007+010 - 25022022 - 2</v>
      </c>
      <c r="AE1057" s="5" t="str">
        <f aca="false">CONCATENATE(AB1057, "-",H1057, ".mzML")</f>
        <v>NB_2022_006+007+010 - 25022022 - 1-006-6.mzML</v>
      </c>
      <c r="AF1057" s="5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0" t="s">
        <v>1373</v>
      </c>
      <c r="B1058" s="31"/>
      <c r="C1058" s="3" t="s">
        <v>1374</v>
      </c>
      <c r="D1058" s="5" t="s">
        <v>14</v>
      </c>
      <c r="E1058" s="5" t="s">
        <v>186</v>
      </c>
      <c r="F1058" s="6" t="s">
        <v>187</v>
      </c>
      <c r="G1058" s="5" t="s">
        <v>203</v>
      </c>
      <c r="H1058" s="19" t="s">
        <v>64</v>
      </c>
      <c r="I1058" s="5" t="str">
        <f aca="false">CONCATENATE(E1058, "_",H1058)</f>
        <v>NLA_2022_001_Blank_1</v>
      </c>
      <c r="J1058" s="5" t="s">
        <v>52</v>
      </c>
      <c r="K1058" s="5" t="s">
        <v>64</v>
      </c>
      <c r="L1058" s="8" t="s">
        <v>46</v>
      </c>
      <c r="M1058" s="6" t="s">
        <v>46</v>
      </c>
      <c r="N1058" s="5" t="s">
        <v>65</v>
      </c>
      <c r="O1058" s="5" t="s">
        <v>46</v>
      </c>
      <c r="P1058" s="5" t="s">
        <v>46</v>
      </c>
      <c r="Q1058" s="5" t="s">
        <v>46</v>
      </c>
      <c r="R1058" s="5" t="s">
        <v>46</v>
      </c>
      <c r="S1058" s="5" t="s">
        <v>46</v>
      </c>
      <c r="T1058" s="5" t="s">
        <v>46</v>
      </c>
      <c r="U1058" s="5" t="s">
        <v>46</v>
      </c>
      <c r="V1058" s="1" t="n">
        <v>1</v>
      </c>
      <c r="W1058" s="5"/>
      <c r="X1058" s="5" t="s">
        <v>46</v>
      </c>
      <c r="Y1058" s="5" t="n">
        <v>5500</v>
      </c>
      <c r="Z1058" s="5" t="s">
        <v>194</v>
      </c>
      <c r="AA1058" s="5" t="s">
        <v>195</v>
      </c>
      <c r="AB1058" s="13" t="str">
        <f aca="true" t="array" ref="AB1058:AB1058">LEFT(AA1058,LOOKUP(2^15,FIND(".",AA1058,ROW(INDIRECT("1:"&amp;LEN(AA1058)))))-1)</f>
        <v>NB_2022_006+007+010 - 25022022 - 1</v>
      </c>
      <c r="AC1058" s="5" t="s">
        <v>196</v>
      </c>
      <c r="AD1058" s="13" t="str">
        <f aca="true" t="array" ref="AD1058:AD1058">LEFT(AC1058,LOOKUP(2^15,FIND(".",AC1058,ROW(INDIRECT("1:"&amp;LEN(AC1058)))))-1)</f>
        <v>NB_2022_006+007+010 - 25022022 - 2</v>
      </c>
      <c r="AE1058" s="5" t="str">
        <f aca="false">CONCATENATE(AB1058, "-",H1058, ".mzML")</f>
        <v>NB_2022_006+007+010 - 25022022 - 1-Blank_1.mzML</v>
      </c>
      <c r="AF1058" s="5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0" t="s">
        <v>1373</v>
      </c>
      <c r="B1059" s="31"/>
      <c r="C1059" s="3" t="s">
        <v>1374</v>
      </c>
      <c r="D1059" s="5" t="s">
        <v>14</v>
      </c>
      <c r="E1059" s="5" t="s">
        <v>186</v>
      </c>
      <c r="F1059" s="6" t="s">
        <v>187</v>
      </c>
      <c r="G1059" s="5" t="s">
        <v>203</v>
      </c>
      <c r="H1059" s="19" t="s">
        <v>66</v>
      </c>
      <c r="I1059" s="5" t="str">
        <f aca="false">CONCATENATE(E1059, "_",H1059)</f>
        <v>NLA_2022_001_Blank_2</v>
      </c>
      <c r="J1059" s="5" t="s">
        <v>52</v>
      </c>
      <c r="K1059" s="5" t="s">
        <v>66</v>
      </c>
      <c r="L1059" s="8" t="s">
        <v>46</v>
      </c>
      <c r="M1059" s="6" t="s">
        <v>46</v>
      </c>
      <c r="N1059" s="5" t="s">
        <v>65</v>
      </c>
      <c r="O1059" s="5" t="s">
        <v>46</v>
      </c>
      <c r="P1059" s="5" t="s">
        <v>46</v>
      </c>
      <c r="Q1059" s="5" t="s">
        <v>46</v>
      </c>
      <c r="R1059" s="5" t="s">
        <v>46</v>
      </c>
      <c r="S1059" s="5" t="s">
        <v>46</v>
      </c>
      <c r="T1059" s="5" t="s">
        <v>46</v>
      </c>
      <c r="U1059" s="5" t="s">
        <v>46</v>
      </c>
      <c r="V1059" s="1" t="n">
        <v>2</v>
      </c>
      <c r="W1059" s="5"/>
      <c r="X1059" s="5" t="s">
        <v>46</v>
      </c>
      <c r="Y1059" s="5" t="n">
        <v>5500</v>
      </c>
      <c r="Z1059" s="5" t="s">
        <v>194</v>
      </c>
      <c r="AA1059" s="5" t="s">
        <v>195</v>
      </c>
      <c r="AB1059" s="13" t="str">
        <f aca="true" t="array" ref="AB1059:AB1059">LEFT(AA1059,LOOKUP(2^15,FIND(".",AA1059,ROW(INDIRECT("1:"&amp;LEN(AA1059)))))-1)</f>
        <v>NB_2022_006+007+010 - 25022022 - 1</v>
      </c>
      <c r="AC1059" s="5" t="s">
        <v>196</v>
      </c>
      <c r="AD1059" s="13" t="str">
        <f aca="true" t="array" ref="AD1059:AD1059">LEFT(AC1059,LOOKUP(2^15,FIND(".",AC1059,ROW(INDIRECT("1:"&amp;LEN(AC1059)))))-1)</f>
        <v>NB_2022_006+007+010 - 25022022 - 2</v>
      </c>
      <c r="AE1059" s="5" t="str">
        <f aca="false">CONCATENATE(AB1059, "-",H1059, ".mzML")</f>
        <v>NB_2022_006+007+010 - 25022022 - 1-Blank_2.mzML</v>
      </c>
      <c r="AF1059" s="5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0" t="s">
        <v>1373</v>
      </c>
      <c r="B1060" s="31"/>
      <c r="C1060" s="3" t="s">
        <v>1374</v>
      </c>
      <c r="D1060" s="5" t="s">
        <v>14</v>
      </c>
      <c r="E1060" s="5" t="s">
        <v>186</v>
      </c>
      <c r="F1060" s="6" t="s">
        <v>187</v>
      </c>
      <c r="G1060" s="5" t="s">
        <v>203</v>
      </c>
      <c r="H1060" s="19" t="s">
        <v>67</v>
      </c>
      <c r="I1060" s="5" t="str">
        <f aca="false">CONCATENATE(E1060, "_",H1060)</f>
        <v>NLA_2022_001_Blank_3</v>
      </c>
      <c r="J1060" s="5" t="s">
        <v>52</v>
      </c>
      <c r="K1060" s="5" t="s">
        <v>67</v>
      </c>
      <c r="L1060" s="8" t="s">
        <v>46</v>
      </c>
      <c r="M1060" s="6" t="s">
        <v>46</v>
      </c>
      <c r="N1060" s="5" t="s">
        <v>65</v>
      </c>
      <c r="O1060" s="5" t="s">
        <v>46</v>
      </c>
      <c r="P1060" s="5" t="s">
        <v>46</v>
      </c>
      <c r="Q1060" s="5" t="s">
        <v>46</v>
      </c>
      <c r="R1060" s="5" t="s">
        <v>46</v>
      </c>
      <c r="S1060" s="5" t="s">
        <v>46</v>
      </c>
      <c r="T1060" s="5" t="s">
        <v>46</v>
      </c>
      <c r="U1060" s="5" t="s">
        <v>46</v>
      </c>
      <c r="V1060" s="1" t="n">
        <v>3</v>
      </c>
      <c r="W1060" s="5"/>
      <c r="X1060" s="5" t="s">
        <v>46</v>
      </c>
      <c r="Y1060" s="5" t="n">
        <v>5500</v>
      </c>
      <c r="Z1060" s="5" t="s">
        <v>194</v>
      </c>
      <c r="AA1060" s="5" t="s">
        <v>195</v>
      </c>
      <c r="AB1060" s="13" t="str">
        <f aca="true" t="array" ref="AB1060:AB1060">LEFT(AA1060,LOOKUP(2^15,FIND(".",AA1060,ROW(INDIRECT("1:"&amp;LEN(AA1060)))))-1)</f>
        <v>NB_2022_006+007+010 - 25022022 - 1</v>
      </c>
      <c r="AC1060" s="5" t="s">
        <v>196</v>
      </c>
      <c r="AD1060" s="13" t="str">
        <f aca="true" t="array" ref="AD1060:AD1060">LEFT(AC1060,LOOKUP(2^15,FIND(".",AC1060,ROW(INDIRECT("1:"&amp;LEN(AC1060)))))-1)</f>
        <v>NB_2022_006+007+010 - 25022022 - 2</v>
      </c>
      <c r="AE1060" s="5" t="str">
        <f aca="false">CONCATENATE(AB1060, "-",H1060, ".mzML")</f>
        <v>NB_2022_006+007+010 - 25022022 - 1-Blank_3.mzML</v>
      </c>
      <c r="AF1060" s="5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0" t="s">
        <v>1373</v>
      </c>
      <c r="B1061" s="31"/>
      <c r="C1061" s="3" t="s">
        <v>1374</v>
      </c>
      <c r="D1061" s="5" t="s">
        <v>14</v>
      </c>
      <c r="E1061" s="5" t="s">
        <v>186</v>
      </c>
      <c r="F1061" s="6" t="s">
        <v>187</v>
      </c>
      <c r="G1061" s="5" t="s">
        <v>203</v>
      </c>
      <c r="H1061" s="19" t="s">
        <v>68</v>
      </c>
      <c r="I1061" s="5" t="str">
        <f aca="false">CONCATENATE(E1061, "_",H1061)</f>
        <v>NLA_2022_001_QC_C_1</v>
      </c>
      <c r="J1061" s="5" t="s">
        <v>52</v>
      </c>
      <c r="K1061" s="5" t="s">
        <v>68</v>
      </c>
      <c r="L1061" s="8" t="s">
        <v>69</v>
      </c>
      <c r="M1061" s="1" t="s">
        <v>46</v>
      </c>
      <c r="N1061" s="5" t="s">
        <v>70</v>
      </c>
      <c r="O1061" s="5" t="s">
        <v>46</v>
      </c>
      <c r="P1061" s="5" t="s">
        <v>71</v>
      </c>
      <c r="Q1061" s="5" t="s">
        <v>71</v>
      </c>
      <c r="R1061" s="5" t="s">
        <v>72</v>
      </c>
      <c r="S1061" s="5" t="s">
        <v>73</v>
      </c>
      <c r="T1061" s="5" t="s">
        <v>46</v>
      </c>
      <c r="U1061" s="5" t="n">
        <v>1000</v>
      </c>
      <c r="V1061" s="1" t="n">
        <v>1</v>
      </c>
      <c r="W1061" s="5"/>
      <c r="X1061" s="5" t="s">
        <v>74</v>
      </c>
      <c r="Y1061" s="1" t="n">
        <v>5500</v>
      </c>
      <c r="Z1061" s="5" t="s">
        <v>194</v>
      </c>
      <c r="AA1061" s="5" t="s">
        <v>195</v>
      </c>
      <c r="AB1061" s="13" t="str">
        <f aca="true" t="array" ref="AB1061:AB1061">LEFT(AA1061,LOOKUP(2^15,FIND(".",AA1061,ROW(INDIRECT("1:"&amp;LEN(AA1061)))))-1)</f>
        <v>NB_2022_006+007+010 - 25022022 - 1</v>
      </c>
      <c r="AC1061" s="5" t="s">
        <v>196</v>
      </c>
      <c r="AD1061" s="13" t="str">
        <f aca="true" t="array" ref="AD1061:AD1061">LEFT(AC1061,LOOKUP(2^15,FIND(".",AC1061,ROW(INDIRECT("1:"&amp;LEN(AC1061)))))-1)</f>
        <v>NB_2022_006+007+010 - 25022022 - 2</v>
      </c>
      <c r="AE1061" s="5" t="str">
        <f aca="false">CONCATENATE(AB1061, "-",H1061, ".mzML")</f>
        <v>NB_2022_006+007+010 - 25022022 - 1-QC_C_1.mzML</v>
      </c>
      <c r="AF1061" s="5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0" t="s">
        <v>1373</v>
      </c>
      <c r="B1062" s="31"/>
      <c r="C1062" s="3" t="s">
        <v>1374</v>
      </c>
      <c r="D1062" s="5" t="s">
        <v>14</v>
      </c>
      <c r="E1062" s="5" t="s">
        <v>186</v>
      </c>
      <c r="F1062" s="6" t="s">
        <v>187</v>
      </c>
      <c r="G1062" s="5" t="s">
        <v>203</v>
      </c>
      <c r="H1062" s="19" t="s">
        <v>75</v>
      </c>
      <c r="I1062" s="5" t="str">
        <f aca="false">CONCATENATE(E1062, "_",H1062)</f>
        <v>NLA_2022_001_QC_C_2</v>
      </c>
      <c r="J1062" s="5" t="s">
        <v>52</v>
      </c>
      <c r="K1062" s="5" t="s">
        <v>75</v>
      </c>
      <c r="L1062" s="8" t="s">
        <v>69</v>
      </c>
      <c r="M1062" s="1" t="s">
        <v>46</v>
      </c>
      <c r="N1062" s="5" t="s">
        <v>70</v>
      </c>
      <c r="O1062" s="5" t="s">
        <v>46</v>
      </c>
      <c r="P1062" s="5" t="s">
        <v>71</v>
      </c>
      <c r="Q1062" s="5" t="s">
        <v>71</v>
      </c>
      <c r="R1062" s="5" t="s">
        <v>72</v>
      </c>
      <c r="S1062" s="5" t="s">
        <v>73</v>
      </c>
      <c r="T1062" s="5" t="s">
        <v>46</v>
      </c>
      <c r="U1062" s="5" t="n">
        <v>1000</v>
      </c>
      <c r="V1062" s="1" t="n">
        <v>2</v>
      </c>
      <c r="W1062" s="5"/>
      <c r="X1062" s="5" t="s">
        <v>74</v>
      </c>
      <c r="Y1062" s="1" t="n">
        <v>5500</v>
      </c>
      <c r="Z1062" s="5" t="s">
        <v>194</v>
      </c>
      <c r="AA1062" s="5" t="s">
        <v>195</v>
      </c>
      <c r="AB1062" s="13" t="str">
        <f aca="true" t="array" ref="AB1062:AB1062">LEFT(AA1062,LOOKUP(2^15,FIND(".",AA1062,ROW(INDIRECT("1:"&amp;LEN(AA1062)))))-1)</f>
        <v>NB_2022_006+007+010 - 25022022 - 1</v>
      </c>
      <c r="AC1062" s="5" t="s">
        <v>196</v>
      </c>
      <c r="AD1062" s="13" t="str">
        <f aca="true" t="array" ref="AD1062:AD1062">LEFT(AC1062,LOOKUP(2^15,FIND(".",AC1062,ROW(INDIRECT("1:"&amp;LEN(AC1062)))))-1)</f>
        <v>NB_2022_006+007+010 - 25022022 - 2</v>
      </c>
      <c r="AE1062" s="5" t="str">
        <f aca="false">CONCATENATE(AB1062, "-",H1062, ".mzML")</f>
        <v>NB_2022_006+007+010 - 25022022 - 1-QC_C_2.mzML</v>
      </c>
      <c r="AF1062" s="5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0" t="s">
        <v>1373</v>
      </c>
      <c r="B1063" s="31"/>
      <c r="C1063" s="3" t="s">
        <v>1374</v>
      </c>
      <c r="D1063" s="5" t="s">
        <v>14</v>
      </c>
      <c r="E1063" s="5" t="s">
        <v>186</v>
      </c>
      <c r="F1063" s="6" t="s">
        <v>187</v>
      </c>
      <c r="G1063" s="5" t="s">
        <v>203</v>
      </c>
      <c r="H1063" s="19" t="s">
        <v>76</v>
      </c>
      <c r="I1063" s="5" t="str">
        <f aca="false">CONCATENATE(E1063, "_",H1063)</f>
        <v>NLA_2022_001_QC_C_3</v>
      </c>
      <c r="J1063" s="5" t="s">
        <v>52</v>
      </c>
      <c r="K1063" s="5" t="s">
        <v>76</v>
      </c>
      <c r="L1063" s="8" t="s">
        <v>69</v>
      </c>
      <c r="M1063" s="1" t="s">
        <v>46</v>
      </c>
      <c r="N1063" s="5" t="s">
        <v>70</v>
      </c>
      <c r="O1063" s="5" t="s">
        <v>46</v>
      </c>
      <c r="P1063" s="5" t="s">
        <v>71</v>
      </c>
      <c r="Q1063" s="5" t="s">
        <v>71</v>
      </c>
      <c r="R1063" s="5" t="s">
        <v>72</v>
      </c>
      <c r="S1063" s="5" t="s">
        <v>73</v>
      </c>
      <c r="T1063" s="5" t="s">
        <v>46</v>
      </c>
      <c r="U1063" s="5" t="n">
        <v>1000</v>
      </c>
      <c r="V1063" s="1" t="n">
        <v>3</v>
      </c>
      <c r="W1063" s="5"/>
      <c r="X1063" s="5" t="s">
        <v>74</v>
      </c>
      <c r="Y1063" s="1" t="n">
        <v>5500</v>
      </c>
      <c r="Z1063" s="5" t="s">
        <v>194</v>
      </c>
      <c r="AA1063" s="5" t="s">
        <v>195</v>
      </c>
      <c r="AB1063" s="13" t="str">
        <f aca="true" t="array" ref="AB1063:AB1063">LEFT(AA1063,LOOKUP(2^15,FIND(".",AA1063,ROW(INDIRECT("1:"&amp;LEN(AA1063)))))-1)</f>
        <v>NB_2022_006+007+010 - 25022022 - 1</v>
      </c>
      <c r="AC1063" s="5" t="s">
        <v>196</v>
      </c>
      <c r="AD1063" s="13" t="str">
        <f aca="true" t="array" ref="AD1063:AD1063">LEFT(AC1063,LOOKUP(2^15,FIND(".",AC1063,ROW(INDIRECT("1:"&amp;LEN(AC1063)))))-1)</f>
        <v>NB_2022_006+007+010 - 25022022 - 2</v>
      </c>
      <c r="AE1063" s="5" t="str">
        <f aca="false">CONCATENATE(AB1063, "-",H1063, ".mzML")</f>
        <v>NB_2022_006+007+010 - 25022022 - 1-QC_C_3.mzML</v>
      </c>
      <c r="AF1063" s="5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0" t="s">
        <v>1373</v>
      </c>
      <c r="B1064" s="31"/>
      <c r="C1064" s="3" t="s">
        <v>1374</v>
      </c>
      <c r="D1064" s="5" t="s">
        <v>14</v>
      </c>
      <c r="E1064" s="5" t="s">
        <v>186</v>
      </c>
      <c r="F1064" s="6" t="s">
        <v>187</v>
      </c>
      <c r="G1064" s="5" t="s">
        <v>203</v>
      </c>
      <c r="H1064" s="19" t="s">
        <v>77</v>
      </c>
      <c r="I1064" s="5" t="str">
        <f aca="false">CONCATENATE(E1064, "_",H1064)</f>
        <v>NLA_2022_001_QC_P_1</v>
      </c>
      <c r="J1064" s="5" t="s">
        <v>52</v>
      </c>
      <c r="K1064" s="5" t="s">
        <v>77</v>
      </c>
      <c r="L1064" s="8" t="s">
        <v>69</v>
      </c>
      <c r="M1064" s="6" t="s">
        <v>46</v>
      </c>
      <c r="N1064" s="5" t="s">
        <v>78</v>
      </c>
      <c r="O1064" s="5" t="s">
        <v>46</v>
      </c>
      <c r="P1064" s="5" t="s">
        <v>79</v>
      </c>
      <c r="Q1064" s="5" t="s">
        <v>80</v>
      </c>
      <c r="R1064" s="5" t="s">
        <v>81</v>
      </c>
      <c r="S1064" s="5" t="s">
        <v>46</v>
      </c>
      <c r="T1064" s="5" t="s">
        <v>46</v>
      </c>
      <c r="U1064" s="5" t="s">
        <v>82</v>
      </c>
      <c r="V1064" s="1" t="n">
        <v>1</v>
      </c>
      <c r="W1064" s="5"/>
      <c r="X1064" s="5" t="s">
        <v>83</v>
      </c>
      <c r="Y1064" s="5" t="n">
        <v>5500</v>
      </c>
      <c r="Z1064" s="5" t="s">
        <v>194</v>
      </c>
      <c r="AA1064" s="5" t="s">
        <v>195</v>
      </c>
      <c r="AB1064" s="13" t="str">
        <f aca="true" t="array" ref="AB1064:AB1064">LEFT(AA1064,LOOKUP(2^15,FIND(".",AA1064,ROW(INDIRECT("1:"&amp;LEN(AA1064)))))-1)</f>
        <v>NB_2022_006+007+010 - 25022022 - 1</v>
      </c>
      <c r="AC1064" s="5" t="s">
        <v>196</v>
      </c>
      <c r="AD1064" s="13" t="str">
        <f aca="true" t="array" ref="AD1064:AD1064">LEFT(AC1064,LOOKUP(2^15,FIND(".",AC1064,ROW(INDIRECT("1:"&amp;LEN(AC1064)))))-1)</f>
        <v>NB_2022_006+007+010 - 25022022 - 2</v>
      </c>
      <c r="AE1064" s="5" t="str">
        <f aca="false">CONCATENATE(AB1064, "-",H1064, ".mzML")</f>
        <v>NB_2022_006+007+010 - 25022022 - 1-QC_P_1.mzML</v>
      </c>
      <c r="AF1064" s="5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0" t="s">
        <v>1373</v>
      </c>
      <c r="B1065" s="31"/>
      <c r="C1065" s="3" t="s">
        <v>1374</v>
      </c>
      <c r="D1065" s="5" t="s">
        <v>14</v>
      </c>
      <c r="E1065" s="5" t="s">
        <v>186</v>
      </c>
      <c r="F1065" s="6" t="s">
        <v>187</v>
      </c>
      <c r="G1065" s="5" t="s">
        <v>203</v>
      </c>
      <c r="H1065" s="19" t="s">
        <v>84</v>
      </c>
      <c r="I1065" s="5" t="str">
        <f aca="false">CONCATENATE(E1065, "_",H1065)</f>
        <v>NLA_2022_001_QC_P_2</v>
      </c>
      <c r="J1065" s="5" t="s">
        <v>52</v>
      </c>
      <c r="K1065" s="5" t="s">
        <v>84</v>
      </c>
      <c r="L1065" s="8" t="s">
        <v>69</v>
      </c>
      <c r="M1065" s="6" t="s">
        <v>46</v>
      </c>
      <c r="N1065" s="5" t="s">
        <v>78</v>
      </c>
      <c r="O1065" s="5" t="s">
        <v>46</v>
      </c>
      <c r="P1065" s="5" t="s">
        <v>79</v>
      </c>
      <c r="Q1065" s="5" t="s">
        <v>80</v>
      </c>
      <c r="R1065" s="5" t="s">
        <v>81</v>
      </c>
      <c r="S1065" s="5" t="s">
        <v>46</v>
      </c>
      <c r="T1065" s="5" t="s">
        <v>46</v>
      </c>
      <c r="U1065" s="5" t="s">
        <v>82</v>
      </c>
      <c r="V1065" s="1" t="n">
        <v>2</v>
      </c>
      <c r="W1065" s="5"/>
      <c r="X1065" s="5" t="s">
        <v>83</v>
      </c>
      <c r="Y1065" s="5" t="n">
        <v>5500</v>
      </c>
      <c r="Z1065" s="5" t="s">
        <v>194</v>
      </c>
      <c r="AA1065" s="5" t="s">
        <v>195</v>
      </c>
      <c r="AB1065" s="13" t="str">
        <f aca="true" t="array" ref="AB1065:AB1065">LEFT(AA1065,LOOKUP(2^15,FIND(".",AA1065,ROW(INDIRECT("1:"&amp;LEN(AA1065)))))-1)</f>
        <v>NB_2022_006+007+010 - 25022022 - 1</v>
      </c>
      <c r="AC1065" s="5" t="s">
        <v>196</v>
      </c>
      <c r="AD1065" s="13" t="str">
        <f aca="true" t="array" ref="AD1065:AD1065">LEFT(AC1065,LOOKUP(2^15,FIND(".",AC1065,ROW(INDIRECT("1:"&amp;LEN(AC1065)))))-1)</f>
        <v>NB_2022_006+007+010 - 25022022 - 2</v>
      </c>
      <c r="AE1065" s="5" t="str">
        <f aca="false">CONCATENATE(AB1065, "-",H1065, ".mzML")</f>
        <v>NB_2022_006+007+010 - 25022022 - 1-QC_P_2.mzML</v>
      </c>
      <c r="AF1065" s="5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0" t="s">
        <v>1373</v>
      </c>
      <c r="B1066" s="31"/>
      <c r="C1066" s="3" t="s">
        <v>1374</v>
      </c>
      <c r="D1066" s="5" t="s">
        <v>14</v>
      </c>
      <c r="E1066" s="5" t="s">
        <v>186</v>
      </c>
      <c r="F1066" s="6" t="s">
        <v>187</v>
      </c>
      <c r="G1066" s="5" t="s">
        <v>203</v>
      </c>
      <c r="H1066" s="19" t="s">
        <v>85</v>
      </c>
      <c r="I1066" s="5" t="str">
        <f aca="false">CONCATENATE(E1066, "_",H1066)</f>
        <v>NLA_2022_001_QC_P_3</v>
      </c>
      <c r="J1066" s="5" t="s">
        <v>52</v>
      </c>
      <c r="K1066" s="5" t="s">
        <v>85</v>
      </c>
      <c r="L1066" s="8" t="s">
        <v>69</v>
      </c>
      <c r="M1066" s="6" t="s">
        <v>46</v>
      </c>
      <c r="N1066" s="5" t="s">
        <v>78</v>
      </c>
      <c r="O1066" s="5" t="s">
        <v>46</v>
      </c>
      <c r="P1066" s="5" t="s">
        <v>79</v>
      </c>
      <c r="Q1066" s="5" t="s">
        <v>80</v>
      </c>
      <c r="R1066" s="5" t="s">
        <v>81</v>
      </c>
      <c r="S1066" s="5" t="s">
        <v>46</v>
      </c>
      <c r="T1066" s="5" t="s">
        <v>46</v>
      </c>
      <c r="U1066" s="5" t="s">
        <v>82</v>
      </c>
      <c r="V1066" s="1" t="n">
        <v>3</v>
      </c>
      <c r="W1066" s="5"/>
      <c r="X1066" s="5" t="s">
        <v>83</v>
      </c>
      <c r="Y1066" s="5" t="n">
        <v>5500</v>
      </c>
      <c r="Z1066" s="5" t="s">
        <v>194</v>
      </c>
      <c r="AA1066" s="5" t="s">
        <v>195</v>
      </c>
      <c r="AB1066" s="13" t="str">
        <f aca="true" t="array" ref="AB1066:AB1066">LEFT(AA1066,LOOKUP(2^15,FIND(".",AA1066,ROW(INDIRECT("1:"&amp;LEN(AA1066)))))-1)</f>
        <v>NB_2022_006+007+010 - 25022022 - 1</v>
      </c>
      <c r="AC1066" s="5" t="s">
        <v>196</v>
      </c>
      <c r="AD1066" s="13" t="str">
        <f aca="true" t="array" ref="AD1066:AD1066">LEFT(AC1066,LOOKUP(2^15,FIND(".",AC1066,ROW(INDIRECT("1:"&amp;LEN(AC1066)))))-1)</f>
        <v>NB_2022_006+007+010 - 25022022 - 2</v>
      </c>
      <c r="AE1066" s="5" t="str">
        <f aca="false">CONCATENATE(AB1066, "-",H1066, ".mzML")</f>
        <v>NB_2022_006+007+010 - 25022022 - 1-QC_P_3.mzML</v>
      </c>
      <c r="AF1066" s="5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0" t="s">
        <v>1373</v>
      </c>
      <c r="B1067" s="31"/>
      <c r="C1067" s="3" t="s">
        <v>1374</v>
      </c>
      <c r="D1067" s="5" t="s">
        <v>14</v>
      </c>
      <c r="E1067" s="5" t="s">
        <v>1225</v>
      </c>
      <c r="F1067" s="6" t="s">
        <v>1226</v>
      </c>
      <c r="G1067" s="5" t="s">
        <v>1227</v>
      </c>
      <c r="H1067" s="24" t="s">
        <v>227</v>
      </c>
      <c r="I1067" s="5" t="str">
        <f aca="false">CONCATENATE(E1067, "_",H1067)</f>
        <v>NLA_2022_006_019</v>
      </c>
      <c r="J1067" s="5" t="s">
        <v>38</v>
      </c>
      <c r="K1067" s="5" t="s">
        <v>1228</v>
      </c>
      <c r="L1067" s="8" t="s">
        <v>69</v>
      </c>
      <c r="M1067" s="6" t="s">
        <v>1229</v>
      </c>
      <c r="N1067" s="5" t="s">
        <v>246</v>
      </c>
      <c r="O1067" s="32" t="s">
        <v>1212</v>
      </c>
      <c r="P1067" s="33" t="s">
        <v>1213</v>
      </c>
      <c r="Q1067" s="33" t="s">
        <v>1214</v>
      </c>
      <c r="R1067" s="5" t="s">
        <v>72</v>
      </c>
      <c r="S1067" s="5"/>
      <c r="T1067" s="5"/>
      <c r="U1067" s="1" t="n">
        <v>1500</v>
      </c>
      <c r="V1067" s="1" t="n">
        <v>1</v>
      </c>
      <c r="W1067" s="5"/>
      <c r="X1067" s="8" t="s">
        <v>1215</v>
      </c>
      <c r="Y1067" s="1" t="n">
        <v>5500</v>
      </c>
      <c r="Z1067" s="5" t="s">
        <v>1230</v>
      </c>
      <c r="AA1067" s="5" t="s">
        <v>1231</v>
      </c>
      <c r="AB1067" s="13" t="str">
        <f aca="true" t="array" ref="AB1067:AB1067">LEFT(AA1067,LOOKUP(2^15,FIND(".",AA1067,ROW(INDIRECT("1:"&amp;LEN(AA1067)))))-1)</f>
        <v>NB_2022_025 - 13072022 - 1</v>
      </c>
      <c r="AC1067" s="5" t="s">
        <v>1232</v>
      </c>
      <c r="AD1067" s="13" t="str">
        <f aca="true" t="array" ref="AD1067:AD1067">LEFT(AC1067,LOOKUP(2^15,FIND(".",AC1067,ROW(INDIRECT("1:"&amp;LEN(AC1067)))))-1)</f>
        <v>NB_2022_025 - 13072022 - 2</v>
      </c>
      <c r="AE1067" s="5" t="str">
        <f aca="false">CONCATENATE(AB1067, "-",H1067, ".mzML")</f>
        <v>NB_2022_025 - 13072022 - 1-019.mzML</v>
      </c>
      <c r="AF1067" s="5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0" t="s">
        <v>1373</v>
      </c>
      <c r="B1068" s="31"/>
      <c r="C1068" s="3" t="s">
        <v>1374</v>
      </c>
      <c r="D1068" s="5" t="s">
        <v>14</v>
      </c>
      <c r="E1068" s="5" t="s">
        <v>1225</v>
      </c>
      <c r="F1068" s="6" t="s">
        <v>1226</v>
      </c>
      <c r="G1068" s="5" t="s">
        <v>1227</v>
      </c>
      <c r="H1068" s="24" t="s">
        <v>230</v>
      </c>
      <c r="I1068" s="5" t="str">
        <f aca="false">CONCATENATE(E1068, "_",H1068)</f>
        <v>NLA_2022_006_020</v>
      </c>
      <c r="J1068" s="5" t="s">
        <v>38</v>
      </c>
      <c r="K1068" s="5" t="s">
        <v>1228</v>
      </c>
      <c r="L1068" s="8" t="s">
        <v>69</v>
      </c>
      <c r="M1068" s="6" t="s">
        <v>1229</v>
      </c>
      <c r="N1068" s="5" t="s">
        <v>246</v>
      </c>
      <c r="O1068" s="32" t="s">
        <v>1212</v>
      </c>
      <c r="P1068" s="33" t="s">
        <v>1213</v>
      </c>
      <c r="Q1068" s="33" t="s">
        <v>1214</v>
      </c>
      <c r="R1068" s="5" t="s">
        <v>72</v>
      </c>
      <c r="S1068" s="5"/>
      <c r="T1068" s="5"/>
      <c r="U1068" s="1" t="n">
        <v>1500</v>
      </c>
      <c r="V1068" s="1" t="n">
        <v>2</v>
      </c>
      <c r="W1068" s="5"/>
      <c r="X1068" s="8" t="s">
        <v>1215</v>
      </c>
      <c r="Y1068" s="1" t="n">
        <v>5500</v>
      </c>
      <c r="Z1068" s="5" t="s">
        <v>1230</v>
      </c>
      <c r="AA1068" s="5" t="s">
        <v>1231</v>
      </c>
      <c r="AB1068" s="13" t="str">
        <f aca="true" t="array" ref="AB1068:AB1068">LEFT(AA1068,LOOKUP(2^15,FIND(".",AA1068,ROW(INDIRECT("1:"&amp;LEN(AA1068)))))-1)</f>
        <v>NB_2022_025 - 13072022 - 1</v>
      </c>
      <c r="AC1068" s="5" t="s">
        <v>1232</v>
      </c>
      <c r="AD1068" s="13" t="str">
        <f aca="true" t="array" ref="AD1068:AD1068">LEFT(AC1068,LOOKUP(2^15,FIND(".",AC1068,ROW(INDIRECT("1:"&amp;LEN(AC1068)))))-1)</f>
        <v>NB_2022_025 - 13072022 - 2</v>
      </c>
      <c r="AE1068" s="5" t="str">
        <f aca="false">CONCATENATE(AB1068, "-",H1068, ".mzML")</f>
        <v>NB_2022_025 - 13072022 - 1-020.mzML</v>
      </c>
      <c r="AF1068" s="5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0" t="s">
        <v>1373</v>
      </c>
      <c r="B1069" s="31"/>
      <c r="C1069" s="3" t="s">
        <v>1374</v>
      </c>
      <c r="D1069" s="5" t="s">
        <v>14</v>
      </c>
      <c r="E1069" s="5" t="s">
        <v>1225</v>
      </c>
      <c r="F1069" s="6" t="s">
        <v>1226</v>
      </c>
      <c r="G1069" s="5" t="s">
        <v>1227</v>
      </c>
      <c r="H1069" s="24" t="s">
        <v>62</v>
      </c>
      <c r="I1069" s="5" t="str">
        <f aca="false">CONCATENATE(E1069, "_",H1069)</f>
        <v>NLA_2022_006_021</v>
      </c>
      <c r="J1069" s="5" t="s">
        <v>38</v>
      </c>
      <c r="K1069" s="5" t="s">
        <v>1228</v>
      </c>
      <c r="L1069" s="8" t="s">
        <v>69</v>
      </c>
      <c r="M1069" s="6" t="s">
        <v>1229</v>
      </c>
      <c r="N1069" s="5" t="s">
        <v>246</v>
      </c>
      <c r="O1069" s="32" t="s">
        <v>1212</v>
      </c>
      <c r="P1069" s="33" t="s">
        <v>1213</v>
      </c>
      <c r="Q1069" s="33" t="s">
        <v>1214</v>
      </c>
      <c r="R1069" s="5" t="s">
        <v>72</v>
      </c>
      <c r="S1069" s="5"/>
      <c r="T1069" s="5"/>
      <c r="U1069" s="1" t="n">
        <v>1500</v>
      </c>
      <c r="V1069" s="1" t="n">
        <v>3</v>
      </c>
      <c r="W1069" s="5"/>
      <c r="X1069" s="8" t="s">
        <v>1215</v>
      </c>
      <c r="Y1069" s="1" t="n">
        <v>5500</v>
      </c>
      <c r="Z1069" s="5" t="s">
        <v>1230</v>
      </c>
      <c r="AA1069" s="5" t="s">
        <v>1231</v>
      </c>
      <c r="AB1069" s="13" t="str">
        <f aca="true" t="array" ref="AB1069:AB1069">LEFT(AA1069,LOOKUP(2^15,FIND(".",AA1069,ROW(INDIRECT("1:"&amp;LEN(AA1069)))))-1)</f>
        <v>NB_2022_025 - 13072022 - 1</v>
      </c>
      <c r="AC1069" s="5" t="s">
        <v>1232</v>
      </c>
      <c r="AD1069" s="13" t="str">
        <f aca="true" t="array" ref="AD1069:AD1069">LEFT(AC1069,LOOKUP(2^15,FIND(".",AC1069,ROW(INDIRECT("1:"&amp;LEN(AC1069)))))-1)</f>
        <v>NB_2022_025 - 13072022 - 2</v>
      </c>
      <c r="AE1069" s="5" t="str">
        <f aca="false">CONCATENATE(AB1069, "-",H1069, ".mzML")</f>
        <v>NB_2022_025 - 13072022 - 1-021.mzML</v>
      </c>
      <c r="AF1069" s="5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0" t="s">
        <v>1373</v>
      </c>
      <c r="B1070" s="31"/>
      <c r="C1070" s="3" t="s">
        <v>1374</v>
      </c>
      <c r="D1070" s="5" t="s">
        <v>14</v>
      </c>
      <c r="E1070" s="5" t="s">
        <v>1225</v>
      </c>
      <c r="F1070" s="6" t="s">
        <v>1226</v>
      </c>
      <c r="G1070" s="5" t="s">
        <v>1227</v>
      </c>
      <c r="H1070" s="24" t="s">
        <v>288</v>
      </c>
      <c r="I1070" s="5" t="str">
        <f aca="false">CONCATENATE(E1070, "_",H1070)</f>
        <v>NLA_2022_006_022</v>
      </c>
      <c r="J1070" s="5" t="s">
        <v>52</v>
      </c>
      <c r="K1070" s="5" t="s">
        <v>1233</v>
      </c>
      <c r="L1070" s="8" t="s">
        <v>69</v>
      </c>
      <c r="M1070" s="6" t="s">
        <v>1229</v>
      </c>
      <c r="N1070" s="5" t="s">
        <v>246</v>
      </c>
      <c r="O1070" s="32" t="s">
        <v>1220</v>
      </c>
      <c r="P1070" s="33" t="s">
        <v>1213</v>
      </c>
      <c r="Q1070" s="33" t="s">
        <v>1213</v>
      </c>
      <c r="R1070" s="5" t="s">
        <v>72</v>
      </c>
      <c r="S1070" s="5"/>
      <c r="T1070" s="5"/>
      <c r="U1070" s="1" t="n">
        <v>1500</v>
      </c>
      <c r="V1070" s="1" t="n">
        <v>1</v>
      </c>
      <c r="W1070" s="5"/>
      <c r="X1070" s="8" t="s">
        <v>1215</v>
      </c>
      <c r="Y1070" s="1" t="n">
        <v>5500</v>
      </c>
      <c r="Z1070" s="5" t="s">
        <v>1230</v>
      </c>
      <c r="AA1070" s="5" t="s">
        <v>1231</v>
      </c>
      <c r="AB1070" s="13" t="str">
        <f aca="true" t="array" ref="AB1070:AB1070">LEFT(AA1070,LOOKUP(2^15,FIND(".",AA1070,ROW(INDIRECT("1:"&amp;LEN(AA1070)))))-1)</f>
        <v>NB_2022_025 - 13072022 - 1</v>
      </c>
      <c r="AC1070" s="5" t="s">
        <v>1232</v>
      </c>
      <c r="AD1070" s="13" t="str">
        <f aca="true" t="array" ref="AD1070:AD1070">LEFT(AC1070,LOOKUP(2^15,FIND(".",AC1070,ROW(INDIRECT("1:"&amp;LEN(AC1070)))))-1)</f>
        <v>NB_2022_025 - 13072022 - 2</v>
      </c>
      <c r="AE1070" s="5" t="str">
        <f aca="false">CONCATENATE(AB1070, "-",H1070, ".mzML")</f>
        <v>NB_2022_025 - 13072022 - 1-022.mzML</v>
      </c>
      <c r="AF1070" s="5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0" t="s">
        <v>1373</v>
      </c>
      <c r="B1071" s="31"/>
      <c r="C1071" s="3" t="s">
        <v>1374</v>
      </c>
      <c r="D1071" s="5" t="s">
        <v>14</v>
      </c>
      <c r="E1071" s="5" t="s">
        <v>1225</v>
      </c>
      <c r="F1071" s="6" t="s">
        <v>1226</v>
      </c>
      <c r="G1071" s="5" t="s">
        <v>1227</v>
      </c>
      <c r="H1071" s="24" t="s">
        <v>235</v>
      </c>
      <c r="I1071" s="5" t="str">
        <f aca="false">CONCATENATE(E1071, "_",H1071)</f>
        <v>NLA_2022_006_023</v>
      </c>
      <c r="J1071" s="5" t="s">
        <v>52</v>
      </c>
      <c r="K1071" s="5" t="s">
        <v>1233</v>
      </c>
      <c r="L1071" s="8" t="s">
        <v>69</v>
      </c>
      <c r="M1071" s="6" t="s">
        <v>1229</v>
      </c>
      <c r="N1071" s="5" t="s">
        <v>246</v>
      </c>
      <c r="O1071" s="32" t="s">
        <v>1220</v>
      </c>
      <c r="P1071" s="33" t="s">
        <v>1213</v>
      </c>
      <c r="Q1071" s="33" t="s">
        <v>1213</v>
      </c>
      <c r="R1071" s="5" t="s">
        <v>72</v>
      </c>
      <c r="S1071" s="5"/>
      <c r="T1071" s="5"/>
      <c r="U1071" s="1" t="n">
        <v>1500</v>
      </c>
      <c r="V1071" s="1" t="n">
        <v>2</v>
      </c>
      <c r="W1071" s="5"/>
      <c r="X1071" s="8" t="s">
        <v>1215</v>
      </c>
      <c r="Y1071" s="1" t="n">
        <v>5500</v>
      </c>
      <c r="Z1071" s="5" t="s">
        <v>1230</v>
      </c>
      <c r="AA1071" s="5" t="s">
        <v>1231</v>
      </c>
      <c r="AB1071" s="13" t="str">
        <f aca="true" t="array" ref="AB1071:AB1071">LEFT(AA1071,LOOKUP(2^15,FIND(".",AA1071,ROW(INDIRECT("1:"&amp;LEN(AA1071)))))-1)</f>
        <v>NB_2022_025 - 13072022 - 1</v>
      </c>
      <c r="AC1071" s="5" t="s">
        <v>1232</v>
      </c>
      <c r="AD1071" s="13" t="str">
        <f aca="true" t="array" ref="AD1071:AD1071">LEFT(AC1071,LOOKUP(2^15,FIND(".",AC1071,ROW(INDIRECT("1:"&amp;LEN(AC1071)))))-1)</f>
        <v>NB_2022_025 - 13072022 - 2</v>
      </c>
      <c r="AE1071" s="5" t="str">
        <f aca="false">CONCATENATE(AB1071, "-",H1071, ".mzML")</f>
        <v>NB_2022_025 - 13072022 - 1-023.mzML</v>
      </c>
      <c r="AF1071" s="5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0" t="s">
        <v>1373</v>
      </c>
      <c r="B1072" s="31"/>
      <c r="C1072" s="3" t="s">
        <v>1374</v>
      </c>
      <c r="D1072" s="5" t="s">
        <v>14</v>
      </c>
      <c r="E1072" s="5" t="s">
        <v>1225</v>
      </c>
      <c r="F1072" s="6" t="s">
        <v>1226</v>
      </c>
      <c r="G1072" s="5" t="s">
        <v>1227</v>
      </c>
      <c r="H1072" s="24" t="s">
        <v>237</v>
      </c>
      <c r="I1072" s="5" t="str">
        <f aca="false">CONCATENATE(E1072, "_",H1072)</f>
        <v>NLA_2022_006_024</v>
      </c>
      <c r="J1072" s="5" t="s">
        <v>52</v>
      </c>
      <c r="K1072" s="5" t="s">
        <v>1233</v>
      </c>
      <c r="L1072" s="8" t="s">
        <v>69</v>
      </c>
      <c r="M1072" s="6" t="s">
        <v>1229</v>
      </c>
      <c r="N1072" s="5" t="s">
        <v>246</v>
      </c>
      <c r="O1072" s="32" t="s">
        <v>1220</v>
      </c>
      <c r="P1072" s="33" t="s">
        <v>1213</v>
      </c>
      <c r="Q1072" s="33" t="s">
        <v>1213</v>
      </c>
      <c r="R1072" s="5" t="s">
        <v>72</v>
      </c>
      <c r="S1072" s="5"/>
      <c r="T1072" s="5"/>
      <c r="U1072" s="1" t="n">
        <v>1500</v>
      </c>
      <c r="V1072" s="1" t="n">
        <v>3</v>
      </c>
      <c r="W1072" s="5"/>
      <c r="X1072" s="8" t="s">
        <v>1215</v>
      </c>
      <c r="Y1072" s="1" t="n">
        <v>5500</v>
      </c>
      <c r="Z1072" s="5" t="s">
        <v>1230</v>
      </c>
      <c r="AA1072" s="5" t="s">
        <v>1231</v>
      </c>
      <c r="AB1072" s="13" t="str">
        <f aca="true" t="array" ref="AB1072:AB1072">LEFT(AA1072,LOOKUP(2^15,FIND(".",AA1072,ROW(INDIRECT("1:"&amp;LEN(AA1072)))))-1)</f>
        <v>NB_2022_025 - 13072022 - 1</v>
      </c>
      <c r="AC1072" s="5" t="s">
        <v>1232</v>
      </c>
      <c r="AD1072" s="13" t="str">
        <f aca="true" t="array" ref="AD1072:AD1072">LEFT(AC1072,LOOKUP(2^15,FIND(".",AC1072,ROW(INDIRECT("1:"&amp;LEN(AC1072)))))-1)</f>
        <v>NB_2022_025 - 13072022 - 2</v>
      </c>
      <c r="AE1072" s="5" t="str">
        <f aca="false">CONCATENATE(AB1072, "-",H1072, ".mzML")</f>
        <v>NB_2022_025 - 13072022 - 1-024.mzML</v>
      </c>
      <c r="AF1072" s="5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0" t="s">
        <v>1373</v>
      </c>
      <c r="B1073" s="31"/>
      <c r="C1073" s="3" t="s">
        <v>1374</v>
      </c>
      <c r="D1073" s="5" t="s">
        <v>14</v>
      </c>
      <c r="E1073" s="5" t="s">
        <v>1225</v>
      </c>
      <c r="F1073" s="6" t="s">
        <v>1226</v>
      </c>
      <c r="G1073" s="5" t="s">
        <v>1225</v>
      </c>
      <c r="H1073" s="24" t="s">
        <v>64</v>
      </c>
      <c r="I1073" s="5" t="str">
        <f aca="false">CONCATENATE(E1073, "_",H1073)</f>
        <v>NLA_2022_006_Blank_1</v>
      </c>
      <c r="J1073" s="5" t="s">
        <v>52</v>
      </c>
      <c r="K1073" s="5" t="s">
        <v>280</v>
      </c>
      <c r="L1073" s="8" t="s">
        <v>46</v>
      </c>
      <c r="M1073" s="6" t="s">
        <v>46</v>
      </c>
      <c r="N1073" s="5" t="s">
        <v>65</v>
      </c>
      <c r="O1073" s="5" t="s">
        <v>46</v>
      </c>
      <c r="P1073" s="5" t="s">
        <v>46</v>
      </c>
      <c r="Q1073" s="5" t="s">
        <v>46</v>
      </c>
      <c r="R1073" s="5" t="s">
        <v>46</v>
      </c>
      <c r="S1073" s="5" t="s">
        <v>46</v>
      </c>
      <c r="T1073" s="5" t="s">
        <v>46</v>
      </c>
      <c r="U1073" s="5" t="s">
        <v>46</v>
      </c>
      <c r="V1073" s="1" t="n">
        <v>1</v>
      </c>
      <c r="W1073" s="5"/>
      <c r="X1073" s="5" t="s">
        <v>46</v>
      </c>
      <c r="Y1073" s="1" t="n">
        <v>5500</v>
      </c>
      <c r="Z1073" s="5" t="s">
        <v>1230</v>
      </c>
      <c r="AA1073" s="5" t="s">
        <v>1231</v>
      </c>
      <c r="AB1073" s="13" t="str">
        <f aca="true" t="array" ref="AB1073:AB1073">LEFT(AA1073,LOOKUP(2^15,FIND(".",AA1073,ROW(INDIRECT("1:"&amp;LEN(AA1073)))))-1)</f>
        <v>NB_2022_025 - 13072022 - 1</v>
      </c>
      <c r="AC1073" s="5" t="s">
        <v>1232</v>
      </c>
      <c r="AD1073" s="13" t="str">
        <f aca="true" t="array" ref="AD1073:AD1073">LEFT(AC1073,LOOKUP(2^15,FIND(".",AC1073,ROW(INDIRECT("1:"&amp;LEN(AC1073)))))-1)</f>
        <v>NB_2022_025 - 13072022 - 2</v>
      </c>
      <c r="AE1073" s="5" t="str">
        <f aca="false">CONCATENATE(AB1073, "-",H1073, ".mzML")</f>
        <v>NB_2022_025 - 13072022 - 1-Blank_1.mzML</v>
      </c>
      <c r="AF1073" s="5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0" t="s">
        <v>1373</v>
      </c>
      <c r="B1074" s="31"/>
      <c r="C1074" s="3" t="s">
        <v>1374</v>
      </c>
      <c r="D1074" s="5" t="s">
        <v>14</v>
      </c>
      <c r="E1074" s="5" t="s">
        <v>1225</v>
      </c>
      <c r="F1074" s="6" t="s">
        <v>1226</v>
      </c>
      <c r="G1074" s="5" t="s">
        <v>1225</v>
      </c>
      <c r="H1074" s="24" t="s">
        <v>66</v>
      </c>
      <c r="I1074" s="5" t="str">
        <f aca="false">CONCATENATE(E1074, "_",H1074)</f>
        <v>NLA_2022_006_Blank_2</v>
      </c>
      <c r="J1074" s="5" t="s">
        <v>52</v>
      </c>
      <c r="K1074" s="5" t="s">
        <v>280</v>
      </c>
      <c r="L1074" s="8" t="s">
        <v>46</v>
      </c>
      <c r="M1074" s="6" t="s">
        <v>46</v>
      </c>
      <c r="N1074" s="5" t="s">
        <v>65</v>
      </c>
      <c r="O1074" s="5" t="s">
        <v>46</v>
      </c>
      <c r="P1074" s="5" t="s">
        <v>46</v>
      </c>
      <c r="Q1074" s="5" t="s">
        <v>46</v>
      </c>
      <c r="R1074" s="5" t="s">
        <v>46</v>
      </c>
      <c r="S1074" s="5" t="s">
        <v>46</v>
      </c>
      <c r="T1074" s="5" t="s">
        <v>46</v>
      </c>
      <c r="U1074" s="5" t="s">
        <v>46</v>
      </c>
      <c r="V1074" s="1" t="n">
        <v>2</v>
      </c>
      <c r="W1074" s="5"/>
      <c r="X1074" s="5" t="s">
        <v>46</v>
      </c>
      <c r="Y1074" s="1" t="n">
        <v>5500</v>
      </c>
      <c r="Z1074" s="5" t="s">
        <v>1230</v>
      </c>
      <c r="AA1074" s="5" t="s">
        <v>1231</v>
      </c>
      <c r="AB1074" s="13" t="str">
        <f aca="true" t="array" ref="AB1074:AB1074">LEFT(AA1074,LOOKUP(2^15,FIND(".",AA1074,ROW(INDIRECT("1:"&amp;LEN(AA1074)))))-1)</f>
        <v>NB_2022_025 - 13072022 - 1</v>
      </c>
      <c r="AC1074" s="5" t="s">
        <v>1232</v>
      </c>
      <c r="AD1074" s="13" t="str">
        <f aca="true" t="array" ref="AD1074:AD1074">LEFT(AC1074,LOOKUP(2^15,FIND(".",AC1074,ROW(INDIRECT("1:"&amp;LEN(AC1074)))))-1)</f>
        <v>NB_2022_025 - 13072022 - 2</v>
      </c>
      <c r="AE1074" s="5" t="str">
        <f aca="false">CONCATENATE(AB1074, "-",H1074, ".mzML")</f>
        <v>NB_2022_025 - 13072022 - 1-Blank_2.mzML</v>
      </c>
      <c r="AF1074" s="5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0" t="s">
        <v>1373</v>
      </c>
      <c r="B1075" s="31"/>
      <c r="C1075" s="3" t="s">
        <v>1374</v>
      </c>
      <c r="D1075" s="5" t="s">
        <v>14</v>
      </c>
      <c r="E1075" s="5" t="s">
        <v>1225</v>
      </c>
      <c r="F1075" s="6" t="s">
        <v>1226</v>
      </c>
      <c r="G1075" s="5" t="s">
        <v>1225</v>
      </c>
      <c r="H1075" s="24" t="s">
        <v>67</v>
      </c>
      <c r="I1075" s="5" t="str">
        <f aca="false">CONCATENATE(E1075, "_",H1075)</f>
        <v>NLA_2022_006_Blank_3</v>
      </c>
      <c r="J1075" s="5" t="s">
        <v>52</v>
      </c>
      <c r="K1075" s="5" t="s">
        <v>280</v>
      </c>
      <c r="L1075" s="8" t="s">
        <v>46</v>
      </c>
      <c r="M1075" s="6" t="s">
        <v>46</v>
      </c>
      <c r="N1075" s="5" t="s">
        <v>65</v>
      </c>
      <c r="O1075" s="5" t="s">
        <v>46</v>
      </c>
      <c r="P1075" s="5" t="s">
        <v>46</v>
      </c>
      <c r="Q1075" s="5" t="s">
        <v>46</v>
      </c>
      <c r="R1075" s="5" t="s">
        <v>46</v>
      </c>
      <c r="S1075" s="5" t="s">
        <v>46</v>
      </c>
      <c r="T1075" s="5" t="s">
        <v>46</v>
      </c>
      <c r="U1075" s="5" t="s">
        <v>46</v>
      </c>
      <c r="V1075" s="1" t="n">
        <v>3</v>
      </c>
      <c r="W1075" s="5"/>
      <c r="X1075" s="5" t="s">
        <v>46</v>
      </c>
      <c r="Y1075" s="1" t="n">
        <v>5500</v>
      </c>
      <c r="Z1075" s="5" t="s">
        <v>1230</v>
      </c>
      <c r="AA1075" s="5" t="s">
        <v>1231</v>
      </c>
      <c r="AB1075" s="13" t="str">
        <f aca="true" t="array" ref="AB1075:AB1075">LEFT(AA1075,LOOKUP(2^15,FIND(".",AA1075,ROW(INDIRECT("1:"&amp;LEN(AA1075)))))-1)</f>
        <v>NB_2022_025 - 13072022 - 1</v>
      </c>
      <c r="AC1075" s="5" t="s">
        <v>1232</v>
      </c>
      <c r="AD1075" s="13" t="str">
        <f aca="true" t="array" ref="AD1075:AD1075">LEFT(AC1075,LOOKUP(2^15,FIND(".",AC1075,ROW(INDIRECT("1:"&amp;LEN(AC1075)))))-1)</f>
        <v>NB_2022_025 - 13072022 - 2</v>
      </c>
      <c r="AE1075" s="5" t="str">
        <f aca="false">CONCATENATE(AB1075, "-",H1075, ".mzML")</f>
        <v>NB_2022_025 - 13072022 - 1-Blank_3.mzML</v>
      </c>
      <c r="AF1075" s="5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0" t="s">
        <v>1373</v>
      </c>
      <c r="B1076" s="31"/>
      <c r="C1076" s="3" t="s">
        <v>1374</v>
      </c>
      <c r="D1076" s="5" t="s">
        <v>14</v>
      </c>
      <c r="E1076" s="5" t="s">
        <v>1225</v>
      </c>
      <c r="F1076" s="6" t="s">
        <v>1226</v>
      </c>
      <c r="G1076" s="5" t="s">
        <v>1225</v>
      </c>
      <c r="H1076" s="24" t="s">
        <v>221</v>
      </c>
      <c r="I1076" s="5" t="str">
        <f aca="false">CONCATENATE(E1076, "_",H1076)</f>
        <v>NLA_2022_006_Blank_4</v>
      </c>
      <c r="J1076" s="5" t="s">
        <v>52</v>
      </c>
      <c r="K1076" s="5" t="s">
        <v>280</v>
      </c>
      <c r="L1076" s="8" t="s">
        <v>46</v>
      </c>
      <c r="M1076" s="6" t="s">
        <v>46</v>
      </c>
      <c r="N1076" s="5" t="s">
        <v>65</v>
      </c>
      <c r="O1076" s="5" t="s">
        <v>46</v>
      </c>
      <c r="P1076" s="5" t="s">
        <v>46</v>
      </c>
      <c r="Q1076" s="5" t="s">
        <v>46</v>
      </c>
      <c r="R1076" s="5" t="s">
        <v>46</v>
      </c>
      <c r="S1076" s="5" t="s">
        <v>46</v>
      </c>
      <c r="T1076" s="5" t="s">
        <v>46</v>
      </c>
      <c r="U1076" s="5" t="s">
        <v>46</v>
      </c>
      <c r="V1076" s="1" t="n">
        <v>4</v>
      </c>
      <c r="W1076" s="5"/>
      <c r="X1076" s="5" t="s">
        <v>46</v>
      </c>
      <c r="Y1076" s="5" t="n">
        <v>5500</v>
      </c>
      <c r="Z1076" s="5" t="s">
        <v>1230</v>
      </c>
      <c r="AA1076" s="5" t="s">
        <v>1231</v>
      </c>
      <c r="AB1076" s="13" t="str">
        <f aca="true" t="array" ref="AB1076:AB1076">LEFT(AA1076,LOOKUP(2^15,FIND(".",AA1076,ROW(INDIRECT("1:"&amp;LEN(AA1076)))))-1)</f>
        <v>NB_2022_025 - 13072022 - 1</v>
      </c>
      <c r="AC1076" s="5" t="s">
        <v>1232</v>
      </c>
      <c r="AD1076" s="13" t="str">
        <f aca="true" t="array" ref="AD1076:AD1076">LEFT(AC1076,LOOKUP(2^15,FIND(".",AC1076,ROW(INDIRECT("1:"&amp;LEN(AC1076)))))-1)</f>
        <v>NB_2022_025 - 13072022 - 2</v>
      </c>
      <c r="AE1076" s="5" t="str">
        <f aca="false">CONCATENATE(AB1076, "-",H1076, ".mzML")</f>
        <v>NB_2022_025 - 13072022 - 1-Blank_4.mzML</v>
      </c>
      <c r="AF1076" s="5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0" t="s">
        <v>1373</v>
      </c>
      <c r="B1077" s="31"/>
      <c r="C1077" s="3" t="s">
        <v>1374</v>
      </c>
      <c r="D1077" s="5" t="s">
        <v>14</v>
      </c>
      <c r="E1077" s="5" t="s">
        <v>1225</v>
      </c>
      <c r="F1077" s="6" t="s">
        <v>1226</v>
      </c>
      <c r="G1077" s="5" t="s">
        <v>1225</v>
      </c>
      <c r="H1077" s="24" t="s">
        <v>68</v>
      </c>
      <c r="I1077" s="5" t="str">
        <f aca="false">CONCATENATE(E1077, "_",H1077)</f>
        <v>NLA_2022_006_QC_C_1</v>
      </c>
      <c r="J1077" s="5" t="s">
        <v>52</v>
      </c>
      <c r="K1077" s="5" t="s">
        <v>1234</v>
      </c>
      <c r="L1077" s="8" t="s">
        <v>69</v>
      </c>
      <c r="M1077" s="1" t="s">
        <v>46</v>
      </c>
      <c r="N1077" s="5" t="s">
        <v>70</v>
      </c>
      <c r="O1077" s="5" t="s">
        <v>46</v>
      </c>
      <c r="P1077" s="5" t="s">
        <v>71</v>
      </c>
      <c r="Q1077" s="5" t="s">
        <v>71</v>
      </c>
      <c r="R1077" s="5" t="s">
        <v>72</v>
      </c>
      <c r="S1077" s="5" t="s">
        <v>73</v>
      </c>
      <c r="T1077" s="5" t="s">
        <v>46</v>
      </c>
      <c r="U1077" s="5" t="n">
        <v>1000</v>
      </c>
      <c r="V1077" s="1" t="n">
        <v>1</v>
      </c>
      <c r="W1077" s="5"/>
      <c r="X1077" s="5" t="s">
        <v>74</v>
      </c>
      <c r="Y1077" s="5" t="n">
        <v>5500</v>
      </c>
      <c r="Z1077" s="5" t="s">
        <v>1230</v>
      </c>
      <c r="AA1077" s="5" t="s">
        <v>1231</v>
      </c>
      <c r="AB1077" s="13" t="str">
        <f aca="true" t="array" ref="AB1077:AB1077">LEFT(AA1077,LOOKUP(2^15,FIND(".",AA1077,ROW(INDIRECT("1:"&amp;LEN(AA1077)))))-1)</f>
        <v>NB_2022_025 - 13072022 - 1</v>
      </c>
      <c r="AC1077" s="5" t="s">
        <v>1232</v>
      </c>
      <c r="AD1077" s="13" t="str">
        <f aca="true" t="array" ref="AD1077:AD1077">LEFT(AC1077,LOOKUP(2^15,FIND(".",AC1077,ROW(INDIRECT("1:"&amp;LEN(AC1077)))))-1)</f>
        <v>NB_2022_025 - 13072022 - 2</v>
      </c>
      <c r="AE1077" s="5" t="str">
        <f aca="false">CONCATENATE(AB1077, "-",H1077, ".mzML")</f>
        <v>NB_2022_025 - 13072022 - 1-QC_C_1.mzML</v>
      </c>
      <c r="AF1077" s="5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0" t="s">
        <v>1373</v>
      </c>
      <c r="B1078" s="31"/>
      <c r="C1078" s="3" t="s">
        <v>1374</v>
      </c>
      <c r="D1078" s="5" t="s">
        <v>14</v>
      </c>
      <c r="E1078" s="5" t="s">
        <v>1225</v>
      </c>
      <c r="F1078" s="6" t="s">
        <v>1226</v>
      </c>
      <c r="G1078" s="5" t="s">
        <v>1225</v>
      </c>
      <c r="H1078" s="24" t="s">
        <v>75</v>
      </c>
      <c r="I1078" s="5" t="str">
        <f aca="false">CONCATENATE(E1078, "_",H1078)</f>
        <v>NLA_2022_006_QC_C_2</v>
      </c>
      <c r="J1078" s="5" t="s">
        <v>52</v>
      </c>
      <c r="K1078" s="5" t="s">
        <v>1234</v>
      </c>
      <c r="L1078" s="8" t="s">
        <v>69</v>
      </c>
      <c r="M1078" s="1" t="s">
        <v>46</v>
      </c>
      <c r="N1078" s="5" t="s">
        <v>70</v>
      </c>
      <c r="O1078" s="5" t="s">
        <v>46</v>
      </c>
      <c r="P1078" s="5" t="s">
        <v>71</v>
      </c>
      <c r="Q1078" s="5" t="s">
        <v>71</v>
      </c>
      <c r="R1078" s="5" t="s">
        <v>72</v>
      </c>
      <c r="S1078" s="5" t="s">
        <v>73</v>
      </c>
      <c r="T1078" s="5" t="s">
        <v>46</v>
      </c>
      <c r="U1078" s="5" t="n">
        <v>1000</v>
      </c>
      <c r="V1078" s="1" t="n">
        <v>2</v>
      </c>
      <c r="W1078" s="5"/>
      <c r="X1078" s="5" t="s">
        <v>74</v>
      </c>
      <c r="Y1078" s="5" t="n">
        <v>5500</v>
      </c>
      <c r="Z1078" s="5" t="s">
        <v>1230</v>
      </c>
      <c r="AA1078" s="5" t="s">
        <v>1231</v>
      </c>
      <c r="AB1078" s="13" t="str">
        <f aca="true" t="array" ref="AB1078:AB1078">LEFT(AA1078,LOOKUP(2^15,FIND(".",AA1078,ROW(INDIRECT("1:"&amp;LEN(AA1078)))))-1)</f>
        <v>NB_2022_025 - 13072022 - 1</v>
      </c>
      <c r="AC1078" s="5" t="s">
        <v>1232</v>
      </c>
      <c r="AD1078" s="13" t="str">
        <f aca="true" t="array" ref="AD1078:AD1078">LEFT(AC1078,LOOKUP(2^15,FIND(".",AC1078,ROW(INDIRECT("1:"&amp;LEN(AC1078)))))-1)</f>
        <v>NB_2022_025 - 13072022 - 2</v>
      </c>
      <c r="AE1078" s="5" t="str">
        <f aca="false">CONCATENATE(AB1078, "-",H1078, ".mzML")</f>
        <v>NB_2022_025 - 13072022 - 1-QC_C_2.mzML</v>
      </c>
      <c r="AF1078" s="5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0" t="s">
        <v>1373</v>
      </c>
      <c r="B1079" s="31"/>
      <c r="C1079" s="3" t="s">
        <v>1374</v>
      </c>
      <c r="D1079" s="5" t="s">
        <v>14</v>
      </c>
      <c r="E1079" s="5" t="s">
        <v>1225</v>
      </c>
      <c r="F1079" s="6" t="s">
        <v>1226</v>
      </c>
      <c r="G1079" s="5" t="s">
        <v>1225</v>
      </c>
      <c r="H1079" s="24" t="s">
        <v>76</v>
      </c>
      <c r="I1079" s="5" t="str">
        <f aca="false">CONCATENATE(E1079, "_",H1079)</f>
        <v>NLA_2022_006_QC_C_3</v>
      </c>
      <c r="J1079" s="5" t="s">
        <v>52</v>
      </c>
      <c r="K1079" s="5" t="s">
        <v>1234</v>
      </c>
      <c r="L1079" s="8" t="s">
        <v>69</v>
      </c>
      <c r="M1079" s="1" t="s">
        <v>46</v>
      </c>
      <c r="N1079" s="5" t="s">
        <v>70</v>
      </c>
      <c r="O1079" s="5" t="s">
        <v>46</v>
      </c>
      <c r="P1079" s="5" t="s">
        <v>71</v>
      </c>
      <c r="Q1079" s="5" t="s">
        <v>71</v>
      </c>
      <c r="R1079" s="5" t="s">
        <v>72</v>
      </c>
      <c r="S1079" s="5" t="s">
        <v>73</v>
      </c>
      <c r="T1079" s="5" t="s">
        <v>46</v>
      </c>
      <c r="U1079" s="5" t="n">
        <v>1000</v>
      </c>
      <c r="V1079" s="1" t="n">
        <v>3</v>
      </c>
      <c r="W1079" s="5"/>
      <c r="X1079" s="5" t="s">
        <v>74</v>
      </c>
      <c r="Y1079" s="5" t="n">
        <v>5500</v>
      </c>
      <c r="Z1079" s="5" t="s">
        <v>1230</v>
      </c>
      <c r="AA1079" s="5" t="s">
        <v>1231</v>
      </c>
      <c r="AB1079" s="13" t="str">
        <f aca="true" t="array" ref="AB1079:AB1079">LEFT(AA1079,LOOKUP(2^15,FIND(".",AA1079,ROW(INDIRECT("1:"&amp;LEN(AA1079)))))-1)</f>
        <v>NB_2022_025 - 13072022 - 1</v>
      </c>
      <c r="AC1079" s="5" t="s">
        <v>1232</v>
      </c>
      <c r="AD1079" s="13" t="str">
        <f aca="true" t="array" ref="AD1079:AD1079">LEFT(AC1079,LOOKUP(2^15,FIND(".",AC1079,ROW(INDIRECT("1:"&amp;LEN(AC1079)))))-1)</f>
        <v>NB_2022_025 - 13072022 - 2</v>
      </c>
      <c r="AE1079" s="5" t="str">
        <f aca="false">CONCATENATE(AB1079, "-",H1079, ".mzML")</f>
        <v>NB_2022_025 - 13072022 - 1-QC_C_3.mzML</v>
      </c>
      <c r="AF1079" s="5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0" t="s">
        <v>1373</v>
      </c>
      <c r="B1080" s="31"/>
      <c r="C1080" s="3" t="s">
        <v>1374</v>
      </c>
      <c r="D1080" s="5" t="s">
        <v>14</v>
      </c>
      <c r="E1080" s="5" t="s">
        <v>1225</v>
      </c>
      <c r="F1080" s="6" t="s">
        <v>1226</v>
      </c>
      <c r="G1080" s="5" t="s">
        <v>1225</v>
      </c>
      <c r="H1080" s="24" t="s">
        <v>222</v>
      </c>
      <c r="I1080" s="5" t="str">
        <f aca="false">CONCATENATE(E1080, "_",H1080)</f>
        <v>NLA_2022_006_QC_C_4</v>
      </c>
      <c r="J1080" s="5" t="s">
        <v>52</v>
      </c>
      <c r="K1080" s="5" t="s">
        <v>1234</v>
      </c>
      <c r="L1080" s="8" t="s">
        <v>69</v>
      </c>
      <c r="M1080" s="1" t="s">
        <v>46</v>
      </c>
      <c r="N1080" s="5" t="s">
        <v>70</v>
      </c>
      <c r="O1080" s="5" t="s">
        <v>46</v>
      </c>
      <c r="P1080" s="5" t="s">
        <v>71</v>
      </c>
      <c r="Q1080" s="5" t="s">
        <v>71</v>
      </c>
      <c r="R1080" s="5" t="s">
        <v>72</v>
      </c>
      <c r="S1080" s="5" t="s">
        <v>73</v>
      </c>
      <c r="T1080" s="5" t="s">
        <v>46</v>
      </c>
      <c r="U1080" s="5" t="n">
        <v>1000</v>
      </c>
      <c r="V1080" s="1" t="n">
        <v>4</v>
      </c>
      <c r="W1080" s="5"/>
      <c r="X1080" s="5" t="s">
        <v>74</v>
      </c>
      <c r="Y1080" s="5" t="n">
        <v>5500</v>
      </c>
      <c r="Z1080" s="5" t="s">
        <v>1230</v>
      </c>
      <c r="AA1080" s="5" t="s">
        <v>1231</v>
      </c>
      <c r="AB1080" s="13" t="str">
        <f aca="true" t="array" ref="AB1080:AB1080">LEFT(AA1080,LOOKUP(2^15,FIND(".",AA1080,ROW(INDIRECT("1:"&amp;LEN(AA1080)))))-1)</f>
        <v>NB_2022_025 - 13072022 - 1</v>
      </c>
      <c r="AC1080" s="5" t="s">
        <v>1232</v>
      </c>
      <c r="AD1080" s="13" t="str">
        <f aca="true" t="array" ref="AD1080:AD1080">LEFT(AC1080,LOOKUP(2^15,FIND(".",AC1080,ROW(INDIRECT("1:"&amp;LEN(AC1080)))))-1)</f>
        <v>NB_2022_025 - 13072022 - 2</v>
      </c>
      <c r="AE1080" s="5" t="str">
        <f aca="false">CONCATENATE(AB1080, "-",H1080, ".mzML")</f>
        <v>NB_2022_025 - 13072022 - 1-QC_C_4.mzML</v>
      </c>
      <c r="AF1080" s="5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0" t="s">
        <v>1373</v>
      </c>
      <c r="B1081" s="31"/>
      <c r="C1081" s="3" t="s">
        <v>1374</v>
      </c>
      <c r="D1081" s="5" t="s">
        <v>14</v>
      </c>
      <c r="E1081" s="5" t="s">
        <v>1225</v>
      </c>
      <c r="F1081" s="6" t="s">
        <v>1226</v>
      </c>
      <c r="G1081" s="5" t="s">
        <v>1225</v>
      </c>
      <c r="H1081" s="24" t="s">
        <v>77</v>
      </c>
      <c r="I1081" s="5" t="str">
        <f aca="false">CONCATENATE(E1081, "_",H1081)</f>
        <v>NLA_2022_006_QC_P_1</v>
      </c>
      <c r="J1081" s="5" t="s">
        <v>52</v>
      </c>
      <c r="K1081" s="5" t="s">
        <v>281</v>
      </c>
      <c r="L1081" s="8" t="s">
        <v>69</v>
      </c>
      <c r="M1081" s="6" t="s">
        <v>46</v>
      </c>
      <c r="N1081" s="5" t="s">
        <v>78</v>
      </c>
      <c r="O1081" s="5" t="s">
        <v>46</v>
      </c>
      <c r="P1081" s="5" t="s">
        <v>79</v>
      </c>
      <c r="Q1081" s="5" t="s">
        <v>80</v>
      </c>
      <c r="R1081" s="5" t="s">
        <v>81</v>
      </c>
      <c r="S1081" s="5" t="s">
        <v>46</v>
      </c>
      <c r="T1081" s="5" t="s">
        <v>46</v>
      </c>
      <c r="U1081" s="5" t="s">
        <v>82</v>
      </c>
      <c r="V1081" s="1" t="n">
        <v>1</v>
      </c>
      <c r="W1081" s="5"/>
      <c r="X1081" s="5" t="s">
        <v>83</v>
      </c>
      <c r="Y1081" s="5" t="n">
        <v>5500</v>
      </c>
      <c r="Z1081" s="5" t="s">
        <v>1230</v>
      </c>
      <c r="AA1081" s="5" t="s">
        <v>1231</v>
      </c>
      <c r="AB1081" s="13" t="str">
        <f aca="true" t="array" ref="AB1081:AB1081">LEFT(AA1081,LOOKUP(2^15,FIND(".",AA1081,ROW(INDIRECT("1:"&amp;LEN(AA1081)))))-1)</f>
        <v>NB_2022_025 - 13072022 - 1</v>
      </c>
      <c r="AC1081" s="5" t="s">
        <v>1232</v>
      </c>
      <c r="AD1081" s="13" t="str">
        <f aca="true" t="array" ref="AD1081:AD1081">LEFT(AC1081,LOOKUP(2^15,FIND(".",AC1081,ROW(INDIRECT("1:"&amp;LEN(AC1081)))))-1)</f>
        <v>NB_2022_025 - 13072022 - 2</v>
      </c>
      <c r="AE1081" s="5" t="str">
        <f aca="false">CONCATENATE(AB1081, "-",H1081, ".mzML")</f>
        <v>NB_2022_025 - 13072022 - 1-QC_P_1.mzML</v>
      </c>
      <c r="AF1081" s="5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0" t="s">
        <v>1373</v>
      </c>
      <c r="B1082" s="31"/>
      <c r="C1082" s="3" t="s">
        <v>1374</v>
      </c>
      <c r="D1082" s="5" t="s">
        <v>14</v>
      </c>
      <c r="E1082" s="5" t="s">
        <v>1225</v>
      </c>
      <c r="F1082" s="6" t="s">
        <v>1226</v>
      </c>
      <c r="G1082" s="5" t="s">
        <v>1225</v>
      </c>
      <c r="H1082" s="24" t="s">
        <v>84</v>
      </c>
      <c r="I1082" s="5" t="str">
        <f aca="false">CONCATENATE(E1082, "_",H1082)</f>
        <v>NLA_2022_006_QC_P_2</v>
      </c>
      <c r="J1082" s="5" t="s">
        <v>52</v>
      </c>
      <c r="K1082" s="5" t="s">
        <v>281</v>
      </c>
      <c r="L1082" s="8" t="s">
        <v>69</v>
      </c>
      <c r="M1082" s="6" t="s">
        <v>46</v>
      </c>
      <c r="N1082" s="5" t="s">
        <v>78</v>
      </c>
      <c r="O1082" s="5" t="s">
        <v>46</v>
      </c>
      <c r="P1082" s="5" t="s">
        <v>79</v>
      </c>
      <c r="Q1082" s="5" t="s">
        <v>80</v>
      </c>
      <c r="R1082" s="5" t="s">
        <v>81</v>
      </c>
      <c r="S1082" s="5" t="s">
        <v>46</v>
      </c>
      <c r="T1082" s="5" t="s">
        <v>46</v>
      </c>
      <c r="U1082" s="5" t="s">
        <v>82</v>
      </c>
      <c r="V1082" s="1" t="n">
        <v>2</v>
      </c>
      <c r="W1082" s="5"/>
      <c r="X1082" s="5" t="s">
        <v>83</v>
      </c>
      <c r="Y1082" s="5" t="n">
        <v>5500</v>
      </c>
      <c r="Z1082" s="5" t="s">
        <v>1230</v>
      </c>
      <c r="AA1082" s="5" t="s">
        <v>1231</v>
      </c>
      <c r="AB1082" s="13" t="str">
        <f aca="true" t="array" ref="AB1082:AB1082">LEFT(AA1082,LOOKUP(2^15,FIND(".",AA1082,ROW(INDIRECT("1:"&amp;LEN(AA1082)))))-1)</f>
        <v>NB_2022_025 - 13072022 - 1</v>
      </c>
      <c r="AC1082" s="5" t="s">
        <v>1232</v>
      </c>
      <c r="AD1082" s="13" t="str">
        <f aca="true" t="array" ref="AD1082:AD1082">LEFT(AC1082,LOOKUP(2^15,FIND(".",AC1082,ROW(INDIRECT("1:"&amp;LEN(AC1082)))))-1)</f>
        <v>NB_2022_025 - 13072022 - 2</v>
      </c>
      <c r="AE1082" s="5" t="str">
        <f aca="false">CONCATENATE(AB1082, "-",H1082, ".mzML")</f>
        <v>NB_2022_025 - 13072022 - 1-QC_P_2.mzML</v>
      </c>
      <c r="AF1082" s="5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0" t="s">
        <v>1373</v>
      </c>
      <c r="B1083" s="31"/>
      <c r="C1083" s="3" t="s">
        <v>1374</v>
      </c>
      <c r="D1083" s="5" t="s">
        <v>14</v>
      </c>
      <c r="E1083" s="5" t="s">
        <v>1225</v>
      </c>
      <c r="F1083" s="6" t="s">
        <v>1226</v>
      </c>
      <c r="G1083" s="5" t="s">
        <v>1225</v>
      </c>
      <c r="H1083" s="24" t="s">
        <v>85</v>
      </c>
      <c r="I1083" s="5" t="str">
        <f aca="false">CONCATENATE(E1083, "_",H1083)</f>
        <v>NLA_2022_006_QC_P_3</v>
      </c>
      <c r="J1083" s="5" t="s">
        <v>52</v>
      </c>
      <c r="K1083" s="5" t="s">
        <v>281</v>
      </c>
      <c r="L1083" s="8" t="s">
        <v>69</v>
      </c>
      <c r="M1083" s="6" t="s">
        <v>46</v>
      </c>
      <c r="N1083" s="5" t="s">
        <v>78</v>
      </c>
      <c r="O1083" s="5" t="s">
        <v>46</v>
      </c>
      <c r="P1083" s="5" t="s">
        <v>79</v>
      </c>
      <c r="Q1083" s="5" t="s">
        <v>80</v>
      </c>
      <c r="R1083" s="5" t="s">
        <v>81</v>
      </c>
      <c r="S1083" s="5" t="s">
        <v>46</v>
      </c>
      <c r="T1083" s="5" t="s">
        <v>46</v>
      </c>
      <c r="U1083" s="5" t="s">
        <v>82</v>
      </c>
      <c r="V1083" s="1" t="n">
        <v>3</v>
      </c>
      <c r="W1083" s="5"/>
      <c r="X1083" s="5" t="s">
        <v>83</v>
      </c>
      <c r="Y1083" s="5" t="n">
        <v>5500</v>
      </c>
      <c r="Z1083" s="5" t="s">
        <v>1230</v>
      </c>
      <c r="AA1083" s="5" t="s">
        <v>1231</v>
      </c>
      <c r="AB1083" s="13" t="str">
        <f aca="true" t="array" ref="AB1083:AB1083">LEFT(AA1083,LOOKUP(2^15,FIND(".",AA1083,ROW(INDIRECT("1:"&amp;LEN(AA1083)))))-1)</f>
        <v>NB_2022_025 - 13072022 - 1</v>
      </c>
      <c r="AC1083" s="5" t="s">
        <v>1232</v>
      </c>
      <c r="AD1083" s="13" t="str">
        <f aca="true" t="array" ref="AD1083:AD1083">LEFT(AC1083,LOOKUP(2^15,FIND(".",AC1083,ROW(INDIRECT("1:"&amp;LEN(AC1083)))))-1)</f>
        <v>NB_2022_025 - 13072022 - 2</v>
      </c>
      <c r="AE1083" s="5" t="str">
        <f aca="false">CONCATENATE(AB1083, "-",H1083, ".mzML")</f>
        <v>NB_2022_025 - 13072022 - 1-QC_P_3.mzML</v>
      </c>
      <c r="AF1083" s="5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0" t="s">
        <v>1373</v>
      </c>
      <c r="B1084" s="31"/>
      <c r="C1084" s="3" t="s">
        <v>1374</v>
      </c>
      <c r="D1084" s="5" t="s">
        <v>14</v>
      </c>
      <c r="E1084" s="5" t="s">
        <v>1225</v>
      </c>
      <c r="F1084" s="6" t="s">
        <v>1226</v>
      </c>
      <c r="G1084" s="5" t="s">
        <v>1225</v>
      </c>
      <c r="H1084" s="24" t="s">
        <v>224</v>
      </c>
      <c r="I1084" s="5" t="str">
        <f aca="false">CONCATENATE(E1084, "_",H1084)</f>
        <v>NLA_2022_006_QC_P_4</v>
      </c>
      <c r="J1084" s="5" t="s">
        <v>52</v>
      </c>
      <c r="K1084" s="5" t="s">
        <v>281</v>
      </c>
      <c r="L1084" s="8" t="s">
        <v>69</v>
      </c>
      <c r="M1084" s="6" t="s">
        <v>46</v>
      </c>
      <c r="N1084" s="5" t="s">
        <v>78</v>
      </c>
      <c r="O1084" s="5" t="s">
        <v>46</v>
      </c>
      <c r="P1084" s="5" t="s">
        <v>79</v>
      </c>
      <c r="Q1084" s="5" t="s">
        <v>80</v>
      </c>
      <c r="R1084" s="5" t="s">
        <v>81</v>
      </c>
      <c r="S1084" s="5" t="s">
        <v>46</v>
      </c>
      <c r="T1084" s="5" t="s">
        <v>46</v>
      </c>
      <c r="U1084" s="5" t="s">
        <v>82</v>
      </c>
      <c r="V1084" s="1" t="n">
        <v>4</v>
      </c>
      <c r="W1084" s="5"/>
      <c r="X1084" s="5" t="s">
        <v>83</v>
      </c>
      <c r="Y1084" s="5" t="n">
        <v>5500</v>
      </c>
      <c r="Z1084" s="5" t="s">
        <v>1230</v>
      </c>
      <c r="AA1084" s="5" t="s">
        <v>1231</v>
      </c>
      <c r="AB1084" s="13" t="str">
        <f aca="true" t="array" ref="AB1084:AB1084">LEFT(AA1084,LOOKUP(2^15,FIND(".",AA1084,ROW(INDIRECT("1:"&amp;LEN(AA1084)))))-1)</f>
        <v>NB_2022_025 - 13072022 - 1</v>
      </c>
      <c r="AC1084" s="5" t="s">
        <v>1232</v>
      </c>
      <c r="AD1084" s="13" t="str">
        <f aca="true" t="array" ref="AD1084:AD1084">LEFT(AC1084,LOOKUP(2^15,FIND(".",AC1084,ROW(INDIRECT("1:"&amp;LEN(AC1084)))))-1)</f>
        <v>NB_2022_025 - 13072022 - 2</v>
      </c>
      <c r="AE1084" s="5" t="str">
        <f aca="false">CONCATENATE(AB1084, "-",H1084, ".mzML")</f>
        <v>NB_2022_025 - 13072022 - 1-QC_P_4.mzML</v>
      </c>
      <c r="AF1084" s="5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0" t="s">
        <v>1373</v>
      </c>
      <c r="B1085" s="31"/>
      <c r="C1085" s="3" t="s">
        <v>1374</v>
      </c>
      <c r="D1085" s="5" t="s">
        <v>14</v>
      </c>
      <c r="E1085" s="5" t="s">
        <v>1247</v>
      </c>
      <c r="F1085" s="6" t="s">
        <v>110</v>
      </c>
      <c r="G1085" s="5" t="s">
        <v>1248</v>
      </c>
      <c r="H1085" s="14" t="s">
        <v>37</v>
      </c>
      <c r="I1085" s="5" t="str">
        <f aca="false">CONCATENATE(E1085, "_",H1085)</f>
        <v>NLA_2023_017_009</v>
      </c>
      <c r="J1085" s="12" t="s">
        <v>52</v>
      </c>
      <c r="K1085" s="12" t="s">
        <v>1249</v>
      </c>
      <c r="L1085" s="8" t="s">
        <v>69</v>
      </c>
      <c r="M1085" s="6" t="s">
        <v>1250</v>
      </c>
      <c r="N1085" s="5" t="s">
        <v>246</v>
      </c>
      <c r="O1085" s="32" t="s">
        <v>1220</v>
      </c>
      <c r="P1085" s="5" t="s">
        <v>1213</v>
      </c>
      <c r="Q1085" s="5" t="s">
        <v>1213</v>
      </c>
      <c r="R1085" s="5" t="s">
        <v>72</v>
      </c>
      <c r="S1085" s="12"/>
      <c r="U1085" s="1" t="n">
        <v>1500</v>
      </c>
      <c r="V1085" s="12" t="n">
        <v>1</v>
      </c>
      <c r="W1085" s="3" t="s">
        <v>1251</v>
      </c>
      <c r="X1085" s="8" t="s">
        <v>1215</v>
      </c>
      <c r="Y1085" s="12" t="n">
        <v>5500</v>
      </c>
      <c r="Z1085" s="5" t="s">
        <v>1252</v>
      </c>
      <c r="AA1085" s="5" t="s">
        <v>1253</v>
      </c>
      <c r="AB1085" s="13" t="str">
        <f aca="true" t="array" ref="AB1085:AB1085">LEFT(AA1085,LOOKUP(2^15,FIND(".",AA1085,ROW(INDIRECT("1:"&amp;LEN(AA1085)))))-1)</f>
        <v>NB_2023_041 - 20230920 - 1</v>
      </c>
      <c r="AC1085" s="5" t="s">
        <v>1254</v>
      </c>
      <c r="AD1085" s="13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0" t="s">
        <v>1373</v>
      </c>
      <c r="B1086" s="31"/>
      <c r="C1086" s="3" t="s">
        <v>1374</v>
      </c>
      <c r="D1086" s="5" t="s">
        <v>14</v>
      </c>
      <c r="E1086" s="5" t="s">
        <v>1247</v>
      </c>
      <c r="F1086" s="6" t="s">
        <v>110</v>
      </c>
      <c r="G1086" s="5" t="s">
        <v>1248</v>
      </c>
      <c r="H1086" s="14" t="s">
        <v>129</v>
      </c>
      <c r="I1086" s="5" t="str">
        <f aca="false">CONCATENATE(E1086, "_",H1086)</f>
        <v>NLA_2023_017_010</v>
      </c>
      <c r="J1086" s="12" t="s">
        <v>52</v>
      </c>
      <c r="K1086" s="12" t="s">
        <v>1249</v>
      </c>
      <c r="L1086" s="8" t="s">
        <v>69</v>
      </c>
      <c r="M1086" s="6" t="s">
        <v>1250</v>
      </c>
      <c r="N1086" s="5" t="s">
        <v>246</v>
      </c>
      <c r="O1086" s="32" t="s">
        <v>1220</v>
      </c>
      <c r="P1086" s="5" t="s">
        <v>1213</v>
      </c>
      <c r="Q1086" s="5" t="s">
        <v>1213</v>
      </c>
      <c r="R1086" s="5" t="s">
        <v>72</v>
      </c>
      <c r="S1086" s="12"/>
      <c r="U1086" s="1" t="n">
        <v>1500</v>
      </c>
      <c r="V1086" s="12" t="n">
        <v>2</v>
      </c>
      <c r="W1086" s="3" t="s">
        <v>1251</v>
      </c>
      <c r="X1086" s="8" t="s">
        <v>1215</v>
      </c>
      <c r="Y1086" s="12" t="n">
        <v>5500</v>
      </c>
      <c r="Z1086" s="5" t="s">
        <v>1252</v>
      </c>
      <c r="AA1086" s="5" t="s">
        <v>1253</v>
      </c>
      <c r="AB1086" s="13" t="str">
        <f aca="true" t="array" ref="AB1086:AB1086">LEFT(AA1086,LOOKUP(2^15,FIND(".",AA1086,ROW(INDIRECT("1:"&amp;LEN(AA1086)))))-1)</f>
        <v>NB_2023_041 - 20230920 - 1</v>
      </c>
      <c r="AC1086" s="5" t="s">
        <v>1254</v>
      </c>
      <c r="AD1086" s="13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0" t="s">
        <v>1373</v>
      </c>
      <c r="B1087" s="31"/>
      <c r="C1087" s="3" t="s">
        <v>1374</v>
      </c>
      <c r="D1087" s="5" t="s">
        <v>14</v>
      </c>
      <c r="E1087" s="5" t="s">
        <v>1247</v>
      </c>
      <c r="F1087" s="6" t="s">
        <v>110</v>
      </c>
      <c r="G1087" s="5" t="s">
        <v>1248</v>
      </c>
      <c r="H1087" s="14" t="s">
        <v>132</v>
      </c>
      <c r="I1087" s="5" t="str">
        <f aca="false">CONCATENATE(E1087, "_",H1087)</f>
        <v>NLA_2023_017_011</v>
      </c>
      <c r="J1087" s="12" t="s">
        <v>52</v>
      </c>
      <c r="K1087" s="12" t="s">
        <v>1249</v>
      </c>
      <c r="L1087" s="8" t="s">
        <v>69</v>
      </c>
      <c r="M1087" s="6" t="s">
        <v>1250</v>
      </c>
      <c r="N1087" s="5" t="s">
        <v>246</v>
      </c>
      <c r="O1087" s="32" t="s">
        <v>1220</v>
      </c>
      <c r="P1087" s="5" t="s">
        <v>1213</v>
      </c>
      <c r="Q1087" s="5" t="s">
        <v>1213</v>
      </c>
      <c r="R1087" s="5" t="s">
        <v>72</v>
      </c>
      <c r="S1087" s="12"/>
      <c r="U1087" s="1" t="n">
        <v>1500</v>
      </c>
      <c r="V1087" s="12" t="n">
        <v>3</v>
      </c>
      <c r="W1087" s="3" t="s">
        <v>1251</v>
      </c>
      <c r="X1087" s="8" t="s">
        <v>1215</v>
      </c>
      <c r="Y1087" s="12" t="n">
        <v>5500</v>
      </c>
      <c r="Z1087" s="5" t="s">
        <v>1252</v>
      </c>
      <c r="AA1087" s="5" t="s">
        <v>1253</v>
      </c>
      <c r="AB1087" s="13" t="str">
        <f aca="true" t="array" ref="AB1087:AB1087">LEFT(AA1087,LOOKUP(2^15,FIND(".",AA1087,ROW(INDIRECT("1:"&amp;LEN(AA1087)))))-1)</f>
        <v>NB_2023_041 - 20230920 - 1</v>
      </c>
      <c r="AC1087" s="5" t="s">
        <v>1254</v>
      </c>
      <c r="AD1087" s="13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0" t="s">
        <v>1373</v>
      </c>
      <c r="B1088" s="31"/>
      <c r="C1088" s="3" t="s">
        <v>1374</v>
      </c>
      <c r="D1088" s="5" t="s">
        <v>14</v>
      </c>
      <c r="E1088" s="5" t="s">
        <v>1247</v>
      </c>
      <c r="F1088" s="6" t="s">
        <v>110</v>
      </c>
      <c r="G1088" s="5" t="s">
        <v>1248</v>
      </c>
      <c r="H1088" s="14" t="s">
        <v>51</v>
      </c>
      <c r="I1088" s="5" t="str">
        <f aca="false">CONCATENATE(E1088, "_",H1088)</f>
        <v>NLA_2023_017_012</v>
      </c>
      <c r="J1088" s="12" t="s">
        <v>38</v>
      </c>
      <c r="K1088" s="5" t="s">
        <v>1255</v>
      </c>
      <c r="L1088" s="8" t="s">
        <v>69</v>
      </c>
      <c r="M1088" s="6" t="s">
        <v>1250</v>
      </c>
      <c r="N1088" s="5" t="s">
        <v>246</v>
      </c>
      <c r="O1088" s="32" t="s">
        <v>1212</v>
      </c>
      <c r="P1088" s="5" t="s">
        <v>1213</v>
      </c>
      <c r="Q1088" s="5" t="s">
        <v>1214</v>
      </c>
      <c r="R1088" s="5" t="s">
        <v>72</v>
      </c>
      <c r="S1088" s="5"/>
      <c r="U1088" s="1" t="n">
        <v>1500</v>
      </c>
      <c r="V1088" s="1" t="n">
        <v>1</v>
      </c>
      <c r="W1088" s="3" t="s">
        <v>1251</v>
      </c>
      <c r="X1088" s="8" t="s">
        <v>1215</v>
      </c>
      <c r="Y1088" s="12" t="n">
        <v>5500</v>
      </c>
      <c r="Z1088" s="5" t="s">
        <v>1252</v>
      </c>
      <c r="AA1088" s="5" t="s">
        <v>1253</v>
      </c>
      <c r="AB1088" s="13" t="str">
        <f aca="true" t="array" ref="AB1088:AB1088">LEFT(AA1088,LOOKUP(2^15,FIND(".",AA1088,ROW(INDIRECT("1:"&amp;LEN(AA1088)))))-1)</f>
        <v>NB_2023_041 - 20230920 - 1</v>
      </c>
      <c r="AC1088" s="5" t="s">
        <v>1254</v>
      </c>
      <c r="AD1088" s="13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0" t="s">
        <v>1373</v>
      </c>
      <c r="B1089" s="31"/>
      <c r="C1089" s="3" t="s">
        <v>1374</v>
      </c>
      <c r="D1089" s="5" t="s">
        <v>14</v>
      </c>
      <c r="E1089" s="5" t="s">
        <v>1247</v>
      </c>
      <c r="F1089" s="6" t="s">
        <v>110</v>
      </c>
      <c r="G1089" s="5" t="s">
        <v>1248</v>
      </c>
      <c r="H1089" s="14" t="s">
        <v>56</v>
      </c>
      <c r="I1089" s="5" t="str">
        <f aca="false">CONCATENATE(E1089, "_",H1089)</f>
        <v>NLA_2023_017_013</v>
      </c>
      <c r="J1089" s="12" t="s">
        <v>38</v>
      </c>
      <c r="K1089" s="5" t="s">
        <v>1255</v>
      </c>
      <c r="L1089" s="8" t="s">
        <v>69</v>
      </c>
      <c r="M1089" s="6" t="s">
        <v>1250</v>
      </c>
      <c r="N1089" s="5" t="s">
        <v>246</v>
      </c>
      <c r="O1089" s="32" t="s">
        <v>1212</v>
      </c>
      <c r="P1089" s="5" t="s">
        <v>1213</v>
      </c>
      <c r="Q1089" s="5" t="s">
        <v>1214</v>
      </c>
      <c r="R1089" s="5" t="s">
        <v>72</v>
      </c>
      <c r="S1089" s="5"/>
      <c r="U1089" s="1" t="n">
        <v>1500</v>
      </c>
      <c r="V1089" s="1" t="n">
        <v>2</v>
      </c>
      <c r="W1089" s="3" t="s">
        <v>1251</v>
      </c>
      <c r="X1089" s="8" t="s">
        <v>1215</v>
      </c>
      <c r="Y1089" s="12" t="n">
        <v>5500</v>
      </c>
      <c r="Z1089" s="5" t="s">
        <v>1252</v>
      </c>
      <c r="AA1089" s="5" t="s">
        <v>1253</v>
      </c>
      <c r="AB1089" s="13" t="str">
        <f aca="true" t="array" ref="AB1089:AB1089">LEFT(AA1089,LOOKUP(2^15,FIND(".",AA1089,ROW(INDIRECT("1:"&amp;LEN(AA1089)))))-1)</f>
        <v>NB_2023_041 - 20230920 - 1</v>
      </c>
      <c r="AC1089" s="5" t="s">
        <v>1254</v>
      </c>
      <c r="AD1089" s="13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0" t="s">
        <v>1373</v>
      </c>
      <c r="B1090" s="31"/>
      <c r="C1090" s="3" t="s">
        <v>1374</v>
      </c>
      <c r="D1090" s="5" t="s">
        <v>14</v>
      </c>
      <c r="E1090" s="5" t="s">
        <v>1247</v>
      </c>
      <c r="F1090" s="6" t="s">
        <v>110</v>
      </c>
      <c r="G1090" s="5" t="s">
        <v>1247</v>
      </c>
      <c r="H1090" s="14" t="s">
        <v>64</v>
      </c>
      <c r="I1090" s="5" t="str">
        <f aca="false">CONCATENATE(E1090, "_",H1090)</f>
        <v>NLA_2023_017_Blank_1</v>
      </c>
      <c r="J1090" s="5" t="s">
        <v>52</v>
      </c>
      <c r="K1090" s="5" t="s">
        <v>157</v>
      </c>
      <c r="L1090" s="6" t="s">
        <v>46</v>
      </c>
      <c r="M1090" s="15" t="s">
        <v>46</v>
      </c>
      <c r="N1090" s="5" t="s">
        <v>65</v>
      </c>
      <c r="O1090" s="5" t="s">
        <v>46</v>
      </c>
      <c r="P1090" s="5" t="s">
        <v>46</v>
      </c>
      <c r="Q1090" s="5" t="s">
        <v>46</v>
      </c>
      <c r="R1090" s="5" t="s">
        <v>46</v>
      </c>
      <c r="S1090" s="5" t="s">
        <v>46</v>
      </c>
      <c r="T1090" s="5" t="s">
        <v>46</v>
      </c>
      <c r="U1090" s="5" t="s">
        <v>46</v>
      </c>
      <c r="V1090" s="1" t="n">
        <v>1</v>
      </c>
      <c r="W1090" s="3" t="s">
        <v>1251</v>
      </c>
      <c r="X1090" s="5" t="s">
        <v>46</v>
      </c>
      <c r="Y1090" s="12" t="n">
        <v>5500</v>
      </c>
      <c r="Z1090" s="5" t="s">
        <v>1252</v>
      </c>
      <c r="AA1090" s="5" t="s">
        <v>1253</v>
      </c>
      <c r="AB1090" s="13" t="str">
        <f aca="true" t="array" ref="AB1090:AB1090">LEFT(AA1090,LOOKUP(2^15,FIND(".",AA1090,ROW(INDIRECT("1:"&amp;LEN(AA1090)))))-1)</f>
        <v>NB_2023_041 - 20230920 - 1</v>
      </c>
      <c r="AC1090" s="5" t="s">
        <v>1254</v>
      </c>
      <c r="AD1090" s="13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0" t="s">
        <v>1373</v>
      </c>
      <c r="B1091" s="31"/>
      <c r="C1091" s="3" t="s">
        <v>1374</v>
      </c>
      <c r="D1091" s="5" t="s">
        <v>14</v>
      </c>
      <c r="E1091" s="5" t="s">
        <v>1247</v>
      </c>
      <c r="F1091" s="6" t="s">
        <v>110</v>
      </c>
      <c r="G1091" s="5" t="s">
        <v>1247</v>
      </c>
      <c r="H1091" s="14" t="s">
        <v>66</v>
      </c>
      <c r="I1091" s="5" t="str">
        <f aca="false">CONCATENATE(E1091, "_",H1091)</f>
        <v>NLA_2023_017_Blank_2</v>
      </c>
      <c r="J1091" s="5" t="s">
        <v>52</v>
      </c>
      <c r="K1091" s="5" t="s">
        <v>165</v>
      </c>
      <c r="L1091" s="6" t="s">
        <v>46</v>
      </c>
      <c r="M1091" s="15" t="s">
        <v>46</v>
      </c>
      <c r="N1091" s="5" t="s">
        <v>65</v>
      </c>
      <c r="O1091" s="5" t="s">
        <v>46</v>
      </c>
      <c r="P1091" s="5" t="s">
        <v>46</v>
      </c>
      <c r="Q1091" s="5" t="s">
        <v>46</v>
      </c>
      <c r="R1091" s="5" t="s">
        <v>46</v>
      </c>
      <c r="S1091" s="5" t="s">
        <v>46</v>
      </c>
      <c r="T1091" s="5" t="s">
        <v>46</v>
      </c>
      <c r="U1091" s="5" t="s">
        <v>46</v>
      </c>
      <c r="V1091" s="1" t="n">
        <v>2</v>
      </c>
      <c r="W1091" s="3" t="s">
        <v>1251</v>
      </c>
      <c r="X1091" s="5" t="s">
        <v>46</v>
      </c>
      <c r="Y1091" s="12" t="n">
        <v>5500</v>
      </c>
      <c r="Z1091" s="5" t="s">
        <v>1252</v>
      </c>
      <c r="AA1091" s="5" t="s">
        <v>1253</v>
      </c>
      <c r="AB1091" s="13" t="str">
        <f aca="true" t="array" ref="AB1091:AB1091">LEFT(AA1091,LOOKUP(2^15,FIND(".",AA1091,ROW(INDIRECT("1:"&amp;LEN(AA1091)))))-1)</f>
        <v>NB_2023_041 - 20230920 - 1</v>
      </c>
      <c r="AC1091" s="5" t="s">
        <v>1254</v>
      </c>
      <c r="AD1091" s="13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0" t="s">
        <v>1373</v>
      </c>
      <c r="B1092" s="31"/>
      <c r="C1092" s="3" t="s">
        <v>1374</v>
      </c>
      <c r="D1092" s="5" t="s">
        <v>14</v>
      </c>
      <c r="E1092" s="5" t="s">
        <v>1247</v>
      </c>
      <c r="F1092" s="6" t="s">
        <v>110</v>
      </c>
      <c r="G1092" s="5" t="s">
        <v>1247</v>
      </c>
      <c r="H1092" s="14" t="s">
        <v>67</v>
      </c>
      <c r="I1092" s="5" t="str">
        <f aca="false">CONCATENATE(E1092, "_",H1092)</f>
        <v>NLA_2023_017_Blank_3</v>
      </c>
      <c r="J1092" s="5" t="s">
        <v>52</v>
      </c>
      <c r="K1092" s="5" t="s">
        <v>171</v>
      </c>
      <c r="L1092" s="6" t="s">
        <v>46</v>
      </c>
      <c r="M1092" s="15" t="s">
        <v>46</v>
      </c>
      <c r="N1092" s="5" t="s">
        <v>65</v>
      </c>
      <c r="O1092" s="5" t="s">
        <v>46</v>
      </c>
      <c r="P1092" s="5" t="s">
        <v>46</v>
      </c>
      <c r="Q1092" s="5" t="s">
        <v>46</v>
      </c>
      <c r="R1092" s="5" t="s">
        <v>46</v>
      </c>
      <c r="S1092" s="5" t="s">
        <v>46</v>
      </c>
      <c r="T1092" s="5" t="s">
        <v>46</v>
      </c>
      <c r="U1092" s="5" t="s">
        <v>46</v>
      </c>
      <c r="V1092" s="1" t="n">
        <v>3</v>
      </c>
      <c r="W1092" s="3" t="s">
        <v>1251</v>
      </c>
      <c r="X1092" s="5" t="s">
        <v>46</v>
      </c>
      <c r="Y1092" s="12" t="n">
        <v>5500</v>
      </c>
      <c r="Z1092" s="5" t="s">
        <v>1252</v>
      </c>
      <c r="AA1092" s="5" t="s">
        <v>1253</v>
      </c>
      <c r="AB1092" s="13" t="str">
        <f aca="true" t="array" ref="AB1092:AB1092">LEFT(AA1092,LOOKUP(2^15,FIND(".",AA1092,ROW(INDIRECT("1:"&amp;LEN(AA1092)))))-1)</f>
        <v>NB_2023_041 - 20230920 - 1</v>
      </c>
      <c r="AC1092" s="5" t="s">
        <v>1254</v>
      </c>
      <c r="AD1092" s="13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0" t="s">
        <v>1373</v>
      </c>
      <c r="B1093" s="31"/>
      <c r="C1093" s="3" t="s">
        <v>1374</v>
      </c>
      <c r="D1093" s="5" t="s">
        <v>14</v>
      </c>
      <c r="E1093" s="5" t="s">
        <v>1247</v>
      </c>
      <c r="F1093" s="6" t="s">
        <v>110</v>
      </c>
      <c r="G1093" s="5" t="s">
        <v>1247</v>
      </c>
      <c r="H1093" s="14" t="s">
        <v>221</v>
      </c>
      <c r="I1093" s="5" t="str">
        <f aca="false">CONCATENATE(E1093, "_",H1093)</f>
        <v>NLA_2023_017_Blank_4</v>
      </c>
      <c r="J1093" s="5" t="s">
        <v>52</v>
      </c>
      <c r="K1093" s="5" t="s">
        <v>1256</v>
      </c>
      <c r="L1093" s="6" t="s">
        <v>46</v>
      </c>
      <c r="M1093" s="15" t="s">
        <v>46</v>
      </c>
      <c r="N1093" s="5" t="s">
        <v>65</v>
      </c>
      <c r="O1093" s="5" t="s">
        <v>46</v>
      </c>
      <c r="P1093" s="5" t="s">
        <v>46</v>
      </c>
      <c r="Q1093" s="5" t="s">
        <v>46</v>
      </c>
      <c r="R1093" s="5" t="s">
        <v>46</v>
      </c>
      <c r="S1093" s="5" t="s">
        <v>46</v>
      </c>
      <c r="T1093" s="5" t="s">
        <v>46</v>
      </c>
      <c r="U1093" s="5" t="s">
        <v>46</v>
      </c>
      <c r="V1093" s="1" t="n">
        <v>4</v>
      </c>
      <c r="W1093" s="3" t="s">
        <v>1251</v>
      </c>
      <c r="X1093" s="5" t="s">
        <v>46</v>
      </c>
      <c r="Y1093" s="12" t="n">
        <v>5500</v>
      </c>
      <c r="Z1093" s="5" t="s">
        <v>1252</v>
      </c>
      <c r="AA1093" s="5" t="s">
        <v>1253</v>
      </c>
      <c r="AB1093" s="13" t="str">
        <f aca="true" t="array" ref="AB1093:AB1093">LEFT(AA1093,LOOKUP(2^15,FIND(".",AA1093,ROW(INDIRECT("1:"&amp;LEN(AA1093)))))-1)</f>
        <v>NB_2023_041 - 20230920 - 1</v>
      </c>
      <c r="AC1093" s="5" t="s">
        <v>1254</v>
      </c>
      <c r="AD1093" s="13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0" t="s">
        <v>1373</v>
      </c>
      <c r="B1094" s="31"/>
      <c r="C1094" s="3" t="s">
        <v>1374</v>
      </c>
      <c r="D1094" s="5" t="s">
        <v>14</v>
      </c>
      <c r="E1094" s="5" t="s">
        <v>1247</v>
      </c>
      <c r="F1094" s="6" t="s">
        <v>110</v>
      </c>
      <c r="G1094" s="5" t="s">
        <v>1247</v>
      </c>
      <c r="H1094" s="14" t="s">
        <v>68</v>
      </c>
      <c r="I1094" s="5" t="str">
        <f aca="false">CONCATENATE(E1094, "_",H1094)</f>
        <v>NLA_2023_017_QC_C_1</v>
      </c>
      <c r="J1094" s="5" t="s">
        <v>52</v>
      </c>
      <c r="K1094" s="5" t="s">
        <v>152</v>
      </c>
      <c r="L1094" s="8" t="s">
        <v>69</v>
      </c>
      <c r="M1094" s="1" t="s">
        <v>46</v>
      </c>
      <c r="N1094" s="5" t="s">
        <v>70</v>
      </c>
      <c r="O1094" s="5" t="s">
        <v>46</v>
      </c>
      <c r="P1094" s="5" t="s">
        <v>71</v>
      </c>
      <c r="Q1094" s="5" t="s">
        <v>71</v>
      </c>
      <c r="R1094" s="5" t="s">
        <v>72</v>
      </c>
      <c r="S1094" s="5" t="s">
        <v>73</v>
      </c>
      <c r="T1094" s="5" t="s">
        <v>46</v>
      </c>
      <c r="U1094" s="5" t="n">
        <v>1000</v>
      </c>
      <c r="V1094" s="1" t="n">
        <v>1</v>
      </c>
      <c r="W1094" s="3" t="s">
        <v>1251</v>
      </c>
      <c r="X1094" s="5" t="s">
        <v>74</v>
      </c>
      <c r="Y1094" s="12" t="n">
        <v>5500</v>
      </c>
      <c r="Z1094" s="5" t="s">
        <v>1252</v>
      </c>
      <c r="AA1094" s="5" t="s">
        <v>1253</v>
      </c>
      <c r="AB1094" s="13" t="str">
        <f aca="true" t="array" ref="AB1094:AB1094">LEFT(AA1094,LOOKUP(2^15,FIND(".",AA1094,ROW(INDIRECT("1:"&amp;LEN(AA1094)))))-1)</f>
        <v>NB_2023_041 - 20230920 - 1</v>
      </c>
      <c r="AC1094" s="5" t="s">
        <v>1254</v>
      </c>
      <c r="AD1094" s="13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0" t="s">
        <v>1373</v>
      </c>
      <c r="B1095" s="31"/>
      <c r="C1095" s="3" t="s">
        <v>1374</v>
      </c>
      <c r="D1095" s="5" t="s">
        <v>14</v>
      </c>
      <c r="E1095" s="5" t="s">
        <v>1247</v>
      </c>
      <c r="F1095" s="6" t="s">
        <v>110</v>
      </c>
      <c r="G1095" s="5" t="s">
        <v>1247</v>
      </c>
      <c r="H1095" s="14" t="s">
        <v>75</v>
      </c>
      <c r="I1095" s="5" t="str">
        <f aca="false">CONCATENATE(E1095, "_",H1095)</f>
        <v>NLA_2023_017_QC_C_2</v>
      </c>
      <c r="J1095" s="5" t="s">
        <v>52</v>
      </c>
      <c r="K1095" s="5" t="s">
        <v>164</v>
      </c>
      <c r="L1095" s="8" t="s">
        <v>69</v>
      </c>
      <c r="M1095" s="1" t="s">
        <v>46</v>
      </c>
      <c r="N1095" s="5" t="s">
        <v>70</v>
      </c>
      <c r="O1095" s="5" t="s">
        <v>46</v>
      </c>
      <c r="P1095" s="5" t="s">
        <v>71</v>
      </c>
      <c r="Q1095" s="5" t="s">
        <v>71</v>
      </c>
      <c r="R1095" s="5" t="s">
        <v>72</v>
      </c>
      <c r="S1095" s="5" t="s">
        <v>73</v>
      </c>
      <c r="T1095" s="5" t="s">
        <v>46</v>
      </c>
      <c r="U1095" s="5" t="n">
        <v>1000</v>
      </c>
      <c r="V1095" s="1" t="n">
        <v>2</v>
      </c>
      <c r="W1095" s="3" t="s">
        <v>1251</v>
      </c>
      <c r="X1095" s="5" t="s">
        <v>74</v>
      </c>
      <c r="Y1095" s="12" t="n">
        <v>5500</v>
      </c>
      <c r="Z1095" s="5" t="s">
        <v>1252</v>
      </c>
      <c r="AA1095" s="5" t="s">
        <v>1253</v>
      </c>
      <c r="AB1095" s="13" t="str">
        <f aca="true" t="array" ref="AB1095:AB1095">LEFT(AA1095,LOOKUP(2^15,FIND(".",AA1095,ROW(INDIRECT("1:"&amp;LEN(AA1095)))))-1)</f>
        <v>NB_2023_041 - 20230920 - 1</v>
      </c>
      <c r="AC1095" s="5" t="s">
        <v>1254</v>
      </c>
      <c r="AD1095" s="13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0" t="s">
        <v>1373</v>
      </c>
      <c r="B1096" s="31"/>
      <c r="C1096" s="3" t="s">
        <v>1374</v>
      </c>
      <c r="D1096" s="5" t="s">
        <v>14</v>
      </c>
      <c r="E1096" s="5" t="s">
        <v>1247</v>
      </c>
      <c r="F1096" s="6" t="s">
        <v>110</v>
      </c>
      <c r="G1096" s="5" t="s">
        <v>1247</v>
      </c>
      <c r="H1096" s="14" t="s">
        <v>76</v>
      </c>
      <c r="I1096" s="5" t="str">
        <f aca="false">CONCATENATE(E1096, "_",H1096)</f>
        <v>NLA_2023_017_QC_C_3</v>
      </c>
      <c r="J1096" s="5" t="s">
        <v>52</v>
      </c>
      <c r="K1096" s="5" t="s">
        <v>170</v>
      </c>
      <c r="L1096" s="8" t="s">
        <v>69</v>
      </c>
      <c r="M1096" s="1" t="s">
        <v>46</v>
      </c>
      <c r="N1096" s="5" t="s">
        <v>70</v>
      </c>
      <c r="O1096" s="5" t="s">
        <v>46</v>
      </c>
      <c r="P1096" s="5" t="s">
        <v>71</v>
      </c>
      <c r="Q1096" s="5" t="s">
        <v>71</v>
      </c>
      <c r="R1096" s="5" t="s">
        <v>72</v>
      </c>
      <c r="S1096" s="5" t="s">
        <v>73</v>
      </c>
      <c r="T1096" s="5" t="s">
        <v>46</v>
      </c>
      <c r="U1096" s="5" t="n">
        <v>1000</v>
      </c>
      <c r="V1096" s="1" t="n">
        <v>3</v>
      </c>
      <c r="W1096" s="3" t="s">
        <v>1251</v>
      </c>
      <c r="X1096" s="5" t="s">
        <v>74</v>
      </c>
      <c r="Y1096" s="12" t="n">
        <v>5500</v>
      </c>
      <c r="Z1096" s="5" t="s">
        <v>1252</v>
      </c>
      <c r="AA1096" s="5" t="s">
        <v>1253</v>
      </c>
      <c r="AB1096" s="13" t="str">
        <f aca="true" t="array" ref="AB1096:AB1096">LEFT(AA1096,LOOKUP(2^15,FIND(".",AA1096,ROW(INDIRECT("1:"&amp;LEN(AA1096)))))-1)</f>
        <v>NB_2023_041 - 20230920 - 1</v>
      </c>
      <c r="AC1096" s="5" t="s">
        <v>1254</v>
      </c>
      <c r="AD1096" s="13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0" t="s">
        <v>1373</v>
      </c>
      <c r="B1097" s="31"/>
      <c r="C1097" s="3" t="s">
        <v>1374</v>
      </c>
      <c r="D1097" s="5" t="s">
        <v>14</v>
      </c>
      <c r="E1097" s="5" t="s">
        <v>1247</v>
      </c>
      <c r="F1097" s="6" t="s">
        <v>110</v>
      </c>
      <c r="G1097" s="5" t="s">
        <v>1247</v>
      </c>
      <c r="H1097" s="14" t="s">
        <v>222</v>
      </c>
      <c r="I1097" s="5" t="str">
        <f aca="false">CONCATENATE(E1097, "_",H1097)</f>
        <v>NLA_2023_017_QC_C_4</v>
      </c>
      <c r="J1097" s="5" t="s">
        <v>52</v>
      </c>
      <c r="K1097" s="5" t="s">
        <v>1257</v>
      </c>
      <c r="L1097" s="8" t="s">
        <v>69</v>
      </c>
      <c r="M1097" s="1" t="s">
        <v>46</v>
      </c>
      <c r="N1097" s="5" t="s">
        <v>70</v>
      </c>
      <c r="O1097" s="5" t="s">
        <v>46</v>
      </c>
      <c r="P1097" s="5" t="s">
        <v>71</v>
      </c>
      <c r="Q1097" s="5" t="s">
        <v>71</v>
      </c>
      <c r="R1097" s="5" t="s">
        <v>72</v>
      </c>
      <c r="S1097" s="5" t="s">
        <v>73</v>
      </c>
      <c r="T1097" s="5" t="s">
        <v>46</v>
      </c>
      <c r="U1097" s="5" t="n">
        <v>1000</v>
      </c>
      <c r="V1097" s="1" t="n">
        <v>4</v>
      </c>
      <c r="W1097" s="3" t="s">
        <v>1251</v>
      </c>
      <c r="X1097" s="5" t="s">
        <v>74</v>
      </c>
      <c r="Y1097" s="12" t="n">
        <v>5500</v>
      </c>
      <c r="Z1097" s="5" t="s">
        <v>1252</v>
      </c>
      <c r="AA1097" s="5" t="s">
        <v>1253</v>
      </c>
      <c r="AB1097" s="13" t="str">
        <f aca="true" t="array" ref="AB1097:AB1097">LEFT(AA1097,LOOKUP(2^15,FIND(".",AA1097,ROW(INDIRECT("1:"&amp;LEN(AA1097)))))-1)</f>
        <v>NB_2023_041 - 20230920 - 1</v>
      </c>
      <c r="AC1097" s="5" t="s">
        <v>1254</v>
      </c>
      <c r="AD1097" s="13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0" t="s">
        <v>1373</v>
      </c>
      <c r="B1098" s="31"/>
      <c r="C1098" s="3" t="s">
        <v>1374</v>
      </c>
      <c r="D1098" s="5" t="s">
        <v>14</v>
      </c>
      <c r="E1098" s="5" t="s">
        <v>1247</v>
      </c>
      <c r="F1098" s="6" t="s">
        <v>110</v>
      </c>
      <c r="G1098" s="5" t="s">
        <v>1247</v>
      </c>
      <c r="H1098" s="14" t="s">
        <v>77</v>
      </c>
      <c r="I1098" s="5" t="str">
        <f aca="false">CONCATENATE(E1098, "_",H1098)</f>
        <v>NLA_2023_017_QC_P_1</v>
      </c>
      <c r="J1098" s="3" t="s">
        <v>52</v>
      </c>
      <c r="K1098" s="16" t="s">
        <v>77</v>
      </c>
      <c r="L1098" s="6" t="s">
        <v>69</v>
      </c>
      <c r="M1098" s="1" t="s">
        <v>46</v>
      </c>
      <c r="N1098" s="5" t="s">
        <v>78</v>
      </c>
      <c r="O1098" s="5" t="s">
        <v>46</v>
      </c>
      <c r="P1098" s="5" t="s">
        <v>79</v>
      </c>
      <c r="Q1098" s="5" t="s">
        <v>80</v>
      </c>
      <c r="R1098" s="5" t="s">
        <v>81</v>
      </c>
      <c r="S1098" s="5" t="s">
        <v>46</v>
      </c>
      <c r="T1098" s="5" t="s">
        <v>46</v>
      </c>
      <c r="U1098" s="5" t="s">
        <v>82</v>
      </c>
      <c r="V1098" s="1" t="n">
        <v>1</v>
      </c>
      <c r="W1098" s="3" t="s">
        <v>1251</v>
      </c>
      <c r="X1098" s="5" t="s">
        <v>83</v>
      </c>
      <c r="Y1098" s="12" t="n">
        <v>5500</v>
      </c>
      <c r="Z1098" s="5" t="s">
        <v>1252</v>
      </c>
      <c r="AA1098" s="5" t="s">
        <v>1253</v>
      </c>
      <c r="AB1098" s="13" t="str">
        <f aca="true" t="array" ref="AB1098:AB1098">LEFT(AA1098,LOOKUP(2^15,FIND(".",AA1098,ROW(INDIRECT("1:"&amp;LEN(AA1098)))))-1)</f>
        <v>NB_2023_041 - 20230920 - 1</v>
      </c>
      <c r="AC1098" s="5" t="s">
        <v>1254</v>
      </c>
      <c r="AD1098" s="13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0" t="s">
        <v>1373</v>
      </c>
      <c r="B1099" s="31"/>
      <c r="C1099" s="3" t="s">
        <v>1374</v>
      </c>
      <c r="D1099" s="5" t="s">
        <v>14</v>
      </c>
      <c r="E1099" s="5" t="s">
        <v>1247</v>
      </c>
      <c r="F1099" s="6" t="s">
        <v>110</v>
      </c>
      <c r="G1099" s="5" t="s">
        <v>1247</v>
      </c>
      <c r="H1099" s="14" t="s">
        <v>84</v>
      </c>
      <c r="I1099" s="5" t="str">
        <f aca="false">CONCATENATE(E1099, "_",H1099)</f>
        <v>NLA_2023_017_QC_P_2</v>
      </c>
      <c r="J1099" s="3" t="s">
        <v>52</v>
      </c>
      <c r="K1099" s="16" t="s">
        <v>84</v>
      </c>
      <c r="L1099" s="6" t="s">
        <v>69</v>
      </c>
      <c r="M1099" s="1" t="s">
        <v>46</v>
      </c>
      <c r="N1099" s="5" t="s">
        <v>78</v>
      </c>
      <c r="O1099" s="5" t="s">
        <v>46</v>
      </c>
      <c r="P1099" s="5" t="s">
        <v>79</v>
      </c>
      <c r="Q1099" s="5" t="s">
        <v>80</v>
      </c>
      <c r="R1099" s="5" t="s">
        <v>81</v>
      </c>
      <c r="S1099" s="5" t="s">
        <v>46</v>
      </c>
      <c r="T1099" s="5" t="s">
        <v>46</v>
      </c>
      <c r="U1099" s="5" t="s">
        <v>82</v>
      </c>
      <c r="V1099" s="1" t="n">
        <v>2</v>
      </c>
      <c r="W1099" s="3" t="s">
        <v>1251</v>
      </c>
      <c r="X1099" s="5" t="s">
        <v>83</v>
      </c>
      <c r="Y1099" s="12" t="n">
        <v>5500</v>
      </c>
      <c r="Z1099" s="5" t="s">
        <v>1252</v>
      </c>
      <c r="AA1099" s="5" t="s">
        <v>1253</v>
      </c>
      <c r="AB1099" s="13" t="str">
        <f aca="true" t="array" ref="AB1099:AB1099">LEFT(AA1099,LOOKUP(2^15,FIND(".",AA1099,ROW(INDIRECT("1:"&amp;LEN(AA1099)))))-1)</f>
        <v>NB_2023_041 - 20230920 - 1</v>
      </c>
      <c r="AC1099" s="5" t="s">
        <v>1254</v>
      </c>
      <c r="AD1099" s="13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0" t="s">
        <v>1375</v>
      </c>
      <c r="B1100" s="31"/>
      <c r="C1100" s="3" t="s">
        <v>1376</v>
      </c>
      <c r="D1100" s="5" t="s">
        <v>19</v>
      </c>
      <c r="E1100" s="5" t="s">
        <v>1225</v>
      </c>
      <c r="F1100" s="6" t="s">
        <v>1226</v>
      </c>
      <c r="G1100" s="5" t="s">
        <v>1237</v>
      </c>
      <c r="H1100" s="24" t="s">
        <v>445</v>
      </c>
      <c r="I1100" s="5" t="str">
        <f aca="false">CONCATENATE(E1100, "_",H1100)</f>
        <v>NLA_2022_006_031</v>
      </c>
      <c r="J1100" s="5" t="s">
        <v>38</v>
      </c>
      <c r="K1100" s="5" t="s">
        <v>1238</v>
      </c>
      <c r="L1100" s="8" t="s">
        <v>69</v>
      </c>
      <c r="M1100" s="6" t="s">
        <v>1239</v>
      </c>
      <c r="N1100" s="5" t="s">
        <v>246</v>
      </c>
      <c r="O1100" s="32" t="s">
        <v>1212</v>
      </c>
      <c r="P1100" s="33" t="s">
        <v>1213</v>
      </c>
      <c r="Q1100" s="33" t="s">
        <v>1214</v>
      </c>
      <c r="R1100" s="5" t="s">
        <v>72</v>
      </c>
      <c r="S1100" s="5"/>
      <c r="T1100" s="5" t="s">
        <v>1240</v>
      </c>
      <c r="U1100" s="1" t="n">
        <v>1500</v>
      </c>
      <c r="V1100" s="1" t="n">
        <v>1</v>
      </c>
      <c r="W1100" s="5"/>
      <c r="X1100" s="8" t="s">
        <v>1215</v>
      </c>
      <c r="Y1100" s="1" t="n">
        <v>5500</v>
      </c>
      <c r="Z1100" s="5" t="s">
        <v>1230</v>
      </c>
      <c r="AA1100" s="5" t="s">
        <v>1231</v>
      </c>
      <c r="AB1100" s="13" t="str">
        <f aca="true" t="array" ref="AB1100:AB1100">LEFT(AA1100,LOOKUP(2^15,FIND(".",AA1100,ROW(INDIRECT("1:"&amp;LEN(AA1100)))))-1)</f>
        <v>NB_2022_025 - 13072022 - 1</v>
      </c>
      <c r="AC1100" s="5" t="s">
        <v>1232</v>
      </c>
      <c r="AD1100" s="13" t="str">
        <f aca="true" t="array" ref="AD1100:AD1100">LEFT(AC1100,LOOKUP(2^15,FIND(".",AC1100,ROW(INDIRECT("1:"&amp;LEN(AC1100)))))-1)</f>
        <v>NB_2022_025 - 13072022 - 2</v>
      </c>
      <c r="AE1100" s="5" t="str">
        <f aca="false">CONCATENATE(AB1100, "-",H1100, ".mzML")</f>
        <v>NB_2022_025 - 13072022 - 1-031.mzML</v>
      </c>
      <c r="AF1100" s="5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0" t="s">
        <v>1375</v>
      </c>
      <c r="B1101" s="31"/>
      <c r="C1101" s="3" t="s">
        <v>1376</v>
      </c>
      <c r="D1101" s="5" t="s">
        <v>19</v>
      </c>
      <c r="E1101" s="5" t="s">
        <v>1225</v>
      </c>
      <c r="F1101" s="6" t="s">
        <v>1226</v>
      </c>
      <c r="G1101" s="5" t="s">
        <v>1237</v>
      </c>
      <c r="H1101" s="24" t="s">
        <v>1241</v>
      </c>
      <c r="I1101" s="5" t="str">
        <f aca="false">CONCATENATE(E1101, "_",H1101)</f>
        <v>NLA_2022_006_032</v>
      </c>
      <c r="J1101" s="5" t="s">
        <v>38</v>
      </c>
      <c r="K1101" s="5" t="s">
        <v>1238</v>
      </c>
      <c r="L1101" s="8" t="s">
        <v>69</v>
      </c>
      <c r="M1101" s="6" t="s">
        <v>1239</v>
      </c>
      <c r="N1101" s="5" t="s">
        <v>246</v>
      </c>
      <c r="O1101" s="32" t="s">
        <v>1212</v>
      </c>
      <c r="P1101" s="33" t="s">
        <v>1213</v>
      </c>
      <c r="Q1101" s="33" t="s">
        <v>1214</v>
      </c>
      <c r="R1101" s="5" t="s">
        <v>72</v>
      </c>
      <c r="S1101" s="5"/>
      <c r="T1101" s="5" t="s">
        <v>1240</v>
      </c>
      <c r="U1101" s="1" t="n">
        <v>1500</v>
      </c>
      <c r="V1101" s="1" t="n">
        <v>2</v>
      </c>
      <c r="W1101" s="5"/>
      <c r="X1101" s="8" t="s">
        <v>1215</v>
      </c>
      <c r="Y1101" s="1" t="n">
        <v>5500</v>
      </c>
      <c r="Z1101" s="5" t="s">
        <v>1230</v>
      </c>
      <c r="AA1101" s="5" t="s">
        <v>1231</v>
      </c>
      <c r="AB1101" s="13" t="str">
        <f aca="true" t="array" ref="AB1101:AB1101">LEFT(AA1101,LOOKUP(2^15,FIND(".",AA1101,ROW(INDIRECT("1:"&amp;LEN(AA1101)))))-1)</f>
        <v>NB_2022_025 - 13072022 - 1</v>
      </c>
      <c r="AC1101" s="5" t="s">
        <v>1232</v>
      </c>
      <c r="AD1101" s="13" t="str">
        <f aca="true" t="array" ref="AD1101:AD1101">LEFT(AC1101,LOOKUP(2^15,FIND(".",AC1101,ROW(INDIRECT("1:"&amp;LEN(AC1101)))))-1)</f>
        <v>NB_2022_025 - 13072022 - 2</v>
      </c>
      <c r="AE1101" s="5" t="str">
        <f aca="false">CONCATENATE(AB1101, "-",H1101, ".mzML")</f>
        <v>NB_2022_025 - 13072022 - 1-032.mzML</v>
      </c>
      <c r="AF1101" s="5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0" t="s">
        <v>1375</v>
      </c>
      <c r="B1102" s="31"/>
      <c r="C1102" s="3" t="s">
        <v>1376</v>
      </c>
      <c r="D1102" s="5" t="s">
        <v>19</v>
      </c>
      <c r="E1102" s="5" t="s">
        <v>1225</v>
      </c>
      <c r="F1102" s="6" t="s">
        <v>1226</v>
      </c>
      <c r="G1102" s="5" t="s">
        <v>1237</v>
      </c>
      <c r="H1102" s="24" t="s">
        <v>1063</v>
      </c>
      <c r="I1102" s="5" t="str">
        <f aca="false">CONCATENATE(E1102, "_",H1102)</f>
        <v>NLA_2022_006_033</v>
      </c>
      <c r="J1102" s="5" t="s">
        <v>38</v>
      </c>
      <c r="K1102" s="5" t="s">
        <v>1238</v>
      </c>
      <c r="L1102" s="8" t="s">
        <v>69</v>
      </c>
      <c r="M1102" s="6" t="s">
        <v>1239</v>
      </c>
      <c r="N1102" s="5" t="s">
        <v>246</v>
      </c>
      <c r="O1102" s="32" t="s">
        <v>1212</v>
      </c>
      <c r="P1102" s="33" t="s">
        <v>1213</v>
      </c>
      <c r="Q1102" s="33" t="s">
        <v>1214</v>
      </c>
      <c r="R1102" s="5" t="s">
        <v>72</v>
      </c>
      <c r="S1102" s="5"/>
      <c r="T1102" s="5" t="s">
        <v>1240</v>
      </c>
      <c r="U1102" s="1" t="n">
        <v>1500</v>
      </c>
      <c r="V1102" s="1" t="n">
        <v>3</v>
      </c>
      <c r="W1102" s="5"/>
      <c r="X1102" s="8" t="s">
        <v>1215</v>
      </c>
      <c r="Y1102" s="1" t="n">
        <v>5500</v>
      </c>
      <c r="Z1102" s="5" t="s">
        <v>1230</v>
      </c>
      <c r="AA1102" s="5" t="s">
        <v>1231</v>
      </c>
      <c r="AB1102" s="13" t="str">
        <f aca="true" t="array" ref="AB1102:AB1102">LEFT(AA1102,LOOKUP(2^15,FIND(".",AA1102,ROW(INDIRECT("1:"&amp;LEN(AA1102)))))-1)</f>
        <v>NB_2022_025 - 13072022 - 1</v>
      </c>
      <c r="AC1102" s="5" t="s">
        <v>1232</v>
      </c>
      <c r="AD1102" s="13" t="str">
        <f aca="true" t="array" ref="AD1102:AD1102">LEFT(AC1102,LOOKUP(2^15,FIND(".",AC1102,ROW(INDIRECT("1:"&amp;LEN(AC1102)))))-1)</f>
        <v>NB_2022_025 - 13072022 - 2</v>
      </c>
      <c r="AE1102" s="5" t="str">
        <f aca="false">CONCATENATE(AB1102, "-",H1102, ".mzML")</f>
        <v>NB_2022_025 - 13072022 - 1-033.mzML</v>
      </c>
      <c r="AF1102" s="5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0" t="s">
        <v>1375</v>
      </c>
      <c r="B1103" s="31"/>
      <c r="C1103" s="3" t="s">
        <v>1376</v>
      </c>
      <c r="D1103" s="5" t="s">
        <v>19</v>
      </c>
      <c r="E1103" s="5" t="s">
        <v>1225</v>
      </c>
      <c r="F1103" s="6" t="s">
        <v>1226</v>
      </c>
      <c r="G1103" s="5" t="s">
        <v>1237</v>
      </c>
      <c r="H1103" s="24" t="s">
        <v>920</v>
      </c>
      <c r="I1103" s="5" t="str">
        <f aca="false">CONCATENATE(E1103, "_",H1103)</f>
        <v>NLA_2022_006_034</v>
      </c>
      <c r="J1103" s="5" t="s">
        <v>52</v>
      </c>
      <c r="K1103" s="5" t="s">
        <v>1242</v>
      </c>
      <c r="L1103" s="8" t="s">
        <v>69</v>
      </c>
      <c r="M1103" s="6" t="s">
        <v>1239</v>
      </c>
      <c r="N1103" s="5" t="s">
        <v>246</v>
      </c>
      <c r="O1103" s="32" t="s">
        <v>1212</v>
      </c>
      <c r="P1103" s="33" t="s">
        <v>1213</v>
      </c>
      <c r="Q1103" s="33" t="s">
        <v>1214</v>
      </c>
      <c r="R1103" s="5" t="s">
        <v>72</v>
      </c>
      <c r="S1103" s="5"/>
      <c r="T1103" s="5" t="s">
        <v>1243</v>
      </c>
      <c r="U1103" s="1" t="n">
        <v>1500</v>
      </c>
      <c r="V1103" s="1" t="n">
        <v>1</v>
      </c>
      <c r="W1103" s="5"/>
      <c r="X1103" s="8" t="s">
        <v>1215</v>
      </c>
      <c r="Y1103" s="1" t="n">
        <v>5500</v>
      </c>
      <c r="Z1103" s="5" t="s">
        <v>1230</v>
      </c>
      <c r="AA1103" s="5" t="s">
        <v>1231</v>
      </c>
      <c r="AB1103" s="13" t="str">
        <f aca="true" t="array" ref="AB1103:AB1103">LEFT(AA1103,LOOKUP(2^15,FIND(".",AA1103,ROW(INDIRECT("1:"&amp;LEN(AA1103)))))-1)</f>
        <v>NB_2022_025 - 13072022 - 1</v>
      </c>
      <c r="AC1103" s="5" t="s">
        <v>1232</v>
      </c>
      <c r="AD1103" s="13" t="str">
        <f aca="true" t="array" ref="AD1103:AD1103">LEFT(AC1103,LOOKUP(2^15,FIND(".",AC1103,ROW(INDIRECT("1:"&amp;LEN(AC1103)))))-1)</f>
        <v>NB_2022_025 - 13072022 - 2</v>
      </c>
      <c r="AE1103" s="5" t="str">
        <f aca="false">CONCATENATE(AB1103, "-",H1103, ".mzML")</f>
        <v>NB_2022_025 - 13072022 - 1-034.mzML</v>
      </c>
      <c r="AF1103" s="5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0" t="s">
        <v>1375</v>
      </c>
      <c r="B1104" s="31"/>
      <c r="C1104" s="3" t="s">
        <v>1376</v>
      </c>
      <c r="D1104" s="5" t="s">
        <v>19</v>
      </c>
      <c r="E1104" s="5" t="s">
        <v>1225</v>
      </c>
      <c r="F1104" s="6" t="s">
        <v>1226</v>
      </c>
      <c r="G1104" s="5" t="s">
        <v>1237</v>
      </c>
      <c r="H1104" s="24" t="s">
        <v>1244</v>
      </c>
      <c r="I1104" s="5" t="str">
        <f aca="false">CONCATENATE(E1104, "_",H1104)</f>
        <v>NLA_2022_006_035</v>
      </c>
      <c r="J1104" s="5" t="s">
        <v>52</v>
      </c>
      <c r="K1104" s="5" t="s">
        <v>1242</v>
      </c>
      <c r="L1104" s="8" t="s">
        <v>69</v>
      </c>
      <c r="M1104" s="6" t="s">
        <v>1239</v>
      </c>
      <c r="N1104" s="5" t="s">
        <v>246</v>
      </c>
      <c r="O1104" s="32" t="s">
        <v>1212</v>
      </c>
      <c r="P1104" s="33" t="s">
        <v>1213</v>
      </c>
      <c r="Q1104" s="33" t="s">
        <v>1214</v>
      </c>
      <c r="R1104" s="5" t="s">
        <v>72</v>
      </c>
      <c r="S1104" s="5"/>
      <c r="T1104" s="5" t="s">
        <v>1243</v>
      </c>
      <c r="U1104" s="1" t="n">
        <v>1500</v>
      </c>
      <c r="V1104" s="1" t="n">
        <v>2</v>
      </c>
      <c r="W1104" s="5"/>
      <c r="X1104" s="8" t="s">
        <v>1215</v>
      </c>
      <c r="Y1104" s="1" t="n">
        <v>5500</v>
      </c>
      <c r="Z1104" s="5" t="s">
        <v>1230</v>
      </c>
      <c r="AA1104" s="5" t="s">
        <v>1231</v>
      </c>
      <c r="AB1104" s="13" t="str">
        <f aca="true" t="array" ref="AB1104:AB1104">LEFT(AA1104,LOOKUP(2^15,FIND(".",AA1104,ROW(INDIRECT("1:"&amp;LEN(AA1104)))))-1)</f>
        <v>NB_2022_025 - 13072022 - 1</v>
      </c>
      <c r="AC1104" s="5" t="s">
        <v>1232</v>
      </c>
      <c r="AD1104" s="13" t="str">
        <f aca="true" t="array" ref="AD1104:AD1104">LEFT(AC1104,LOOKUP(2^15,FIND(".",AC1104,ROW(INDIRECT("1:"&amp;LEN(AC1104)))))-1)</f>
        <v>NB_2022_025 - 13072022 - 2</v>
      </c>
      <c r="AE1104" s="5" t="str">
        <f aca="false">CONCATENATE(AB1104, "-",H1104, ".mzML")</f>
        <v>NB_2022_025 - 13072022 - 1-035.mzML</v>
      </c>
      <c r="AF1104" s="5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0" t="s">
        <v>1375</v>
      </c>
      <c r="B1105" s="31"/>
      <c r="C1105" s="3" t="s">
        <v>1376</v>
      </c>
      <c r="D1105" s="5" t="s">
        <v>19</v>
      </c>
      <c r="E1105" s="5" t="s">
        <v>1225</v>
      </c>
      <c r="F1105" s="6" t="s">
        <v>1226</v>
      </c>
      <c r="G1105" s="5" t="s">
        <v>1237</v>
      </c>
      <c r="H1105" s="24" t="s">
        <v>925</v>
      </c>
      <c r="I1105" s="5" t="str">
        <f aca="false">CONCATENATE(E1105, "_",H1105)</f>
        <v>NLA_2022_006_036</v>
      </c>
      <c r="J1105" s="5" t="s">
        <v>52</v>
      </c>
      <c r="K1105" s="5" t="s">
        <v>1242</v>
      </c>
      <c r="L1105" s="8" t="s">
        <v>69</v>
      </c>
      <c r="M1105" s="6" t="s">
        <v>1239</v>
      </c>
      <c r="N1105" s="5" t="s">
        <v>246</v>
      </c>
      <c r="O1105" s="32" t="s">
        <v>1212</v>
      </c>
      <c r="P1105" s="33" t="s">
        <v>1213</v>
      </c>
      <c r="Q1105" s="33" t="s">
        <v>1214</v>
      </c>
      <c r="R1105" s="5" t="s">
        <v>72</v>
      </c>
      <c r="S1105" s="5"/>
      <c r="T1105" s="5" t="s">
        <v>1243</v>
      </c>
      <c r="U1105" s="1" t="n">
        <v>1500</v>
      </c>
      <c r="V1105" s="1" t="n">
        <v>3</v>
      </c>
      <c r="W1105" s="5"/>
      <c r="X1105" s="8" t="s">
        <v>1215</v>
      </c>
      <c r="Y1105" s="1" t="n">
        <v>5500</v>
      </c>
      <c r="Z1105" s="5" t="s">
        <v>1230</v>
      </c>
      <c r="AA1105" s="5" t="s">
        <v>1231</v>
      </c>
      <c r="AB1105" s="13" t="str">
        <f aca="true" t="array" ref="AB1105:AB1105">LEFT(AA1105,LOOKUP(2^15,FIND(".",AA1105,ROW(INDIRECT("1:"&amp;LEN(AA1105)))))-1)</f>
        <v>NB_2022_025 - 13072022 - 1</v>
      </c>
      <c r="AC1105" s="5" t="s">
        <v>1232</v>
      </c>
      <c r="AD1105" s="13" t="str">
        <f aca="true" t="array" ref="AD1105:AD1105">LEFT(AC1105,LOOKUP(2^15,FIND(".",AC1105,ROW(INDIRECT("1:"&amp;LEN(AC1105)))))-1)</f>
        <v>NB_2022_025 - 13072022 - 2</v>
      </c>
      <c r="AE1105" s="5" t="str">
        <f aca="false">CONCATENATE(AB1105, "-",H1105, ".mzML")</f>
        <v>NB_2022_025 - 13072022 - 1-036.mzML</v>
      </c>
      <c r="AF1105" s="5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0" t="s">
        <v>1375</v>
      </c>
      <c r="B1106" s="31"/>
      <c r="C1106" s="3" t="s">
        <v>1376</v>
      </c>
      <c r="D1106" s="5" t="s">
        <v>19</v>
      </c>
      <c r="E1106" s="5" t="s">
        <v>1225</v>
      </c>
      <c r="F1106" s="6" t="s">
        <v>1226</v>
      </c>
      <c r="G1106" s="5" t="s">
        <v>1225</v>
      </c>
      <c r="H1106" s="24" t="s">
        <v>64</v>
      </c>
      <c r="I1106" s="5" t="str">
        <f aca="false">CONCATENATE(E1106, "_",H1106)</f>
        <v>NLA_2022_006_Blank_1</v>
      </c>
      <c r="J1106" s="5" t="s">
        <v>52</v>
      </c>
      <c r="K1106" s="5" t="s">
        <v>280</v>
      </c>
      <c r="L1106" s="8" t="s">
        <v>46</v>
      </c>
      <c r="M1106" s="6" t="s">
        <v>46</v>
      </c>
      <c r="N1106" s="5" t="s">
        <v>65</v>
      </c>
      <c r="O1106" s="5" t="s">
        <v>46</v>
      </c>
      <c r="P1106" s="5" t="s">
        <v>46</v>
      </c>
      <c r="Q1106" s="5" t="s">
        <v>46</v>
      </c>
      <c r="R1106" s="5" t="s">
        <v>46</v>
      </c>
      <c r="S1106" s="5" t="s">
        <v>46</v>
      </c>
      <c r="T1106" s="5" t="s">
        <v>46</v>
      </c>
      <c r="U1106" s="5" t="s">
        <v>46</v>
      </c>
      <c r="V1106" s="1" t="n">
        <v>1</v>
      </c>
      <c r="W1106" s="5"/>
      <c r="X1106" s="5" t="s">
        <v>46</v>
      </c>
      <c r="Y1106" s="5" t="n">
        <v>5500</v>
      </c>
      <c r="Z1106" s="5" t="s">
        <v>1230</v>
      </c>
      <c r="AA1106" s="5" t="s">
        <v>1231</v>
      </c>
      <c r="AB1106" s="13" t="str">
        <f aca="true" t="array" ref="AB1106:AB1106">LEFT(AA1106,LOOKUP(2^15,FIND(".",AA1106,ROW(INDIRECT("1:"&amp;LEN(AA1106)))))-1)</f>
        <v>NB_2022_025 - 13072022 - 1</v>
      </c>
      <c r="AC1106" s="5" t="s">
        <v>1232</v>
      </c>
      <c r="AD1106" s="13" t="str">
        <f aca="true" t="array" ref="AD1106:AD1106">LEFT(AC1106,LOOKUP(2^15,FIND(".",AC1106,ROW(INDIRECT("1:"&amp;LEN(AC1106)))))-1)</f>
        <v>NB_2022_025 - 13072022 - 2</v>
      </c>
      <c r="AE1106" s="5" t="str">
        <f aca="false">CONCATENATE(AB1106, "-",H1106, ".mzML")</f>
        <v>NB_2022_025 - 13072022 - 1-Blank_1.mzML</v>
      </c>
      <c r="AF1106" s="5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0" t="s">
        <v>1375</v>
      </c>
      <c r="B1107" s="31"/>
      <c r="C1107" s="3" t="s">
        <v>1376</v>
      </c>
      <c r="D1107" s="5" t="s">
        <v>19</v>
      </c>
      <c r="E1107" s="5" t="s">
        <v>1225</v>
      </c>
      <c r="F1107" s="6" t="s">
        <v>1226</v>
      </c>
      <c r="G1107" s="5" t="s">
        <v>1225</v>
      </c>
      <c r="H1107" s="24" t="s">
        <v>66</v>
      </c>
      <c r="I1107" s="5" t="str">
        <f aca="false">CONCATENATE(E1107, "_",H1107)</f>
        <v>NLA_2022_006_Blank_2</v>
      </c>
      <c r="J1107" s="5" t="s">
        <v>52</v>
      </c>
      <c r="K1107" s="5" t="s">
        <v>280</v>
      </c>
      <c r="L1107" s="8" t="s">
        <v>46</v>
      </c>
      <c r="M1107" s="6" t="s">
        <v>46</v>
      </c>
      <c r="N1107" s="5" t="s">
        <v>65</v>
      </c>
      <c r="O1107" s="5" t="s">
        <v>46</v>
      </c>
      <c r="P1107" s="5" t="s">
        <v>46</v>
      </c>
      <c r="Q1107" s="5" t="s">
        <v>46</v>
      </c>
      <c r="R1107" s="5" t="s">
        <v>46</v>
      </c>
      <c r="S1107" s="5" t="s">
        <v>46</v>
      </c>
      <c r="T1107" s="5" t="s">
        <v>46</v>
      </c>
      <c r="U1107" s="5" t="s">
        <v>46</v>
      </c>
      <c r="V1107" s="1" t="n">
        <v>2</v>
      </c>
      <c r="W1107" s="5"/>
      <c r="X1107" s="5" t="s">
        <v>46</v>
      </c>
      <c r="Y1107" s="1" t="n">
        <v>5500</v>
      </c>
      <c r="Z1107" s="5" t="s">
        <v>1230</v>
      </c>
      <c r="AA1107" s="5" t="s">
        <v>1231</v>
      </c>
      <c r="AB1107" s="13" t="str">
        <f aca="true" t="array" ref="AB1107:AB1107">LEFT(AA1107,LOOKUP(2^15,FIND(".",AA1107,ROW(INDIRECT("1:"&amp;LEN(AA1107)))))-1)</f>
        <v>NB_2022_025 - 13072022 - 1</v>
      </c>
      <c r="AC1107" s="5" t="s">
        <v>1232</v>
      </c>
      <c r="AD1107" s="13" t="str">
        <f aca="true" t="array" ref="AD1107:AD1107">LEFT(AC1107,LOOKUP(2^15,FIND(".",AC1107,ROW(INDIRECT("1:"&amp;LEN(AC1107)))))-1)</f>
        <v>NB_2022_025 - 13072022 - 2</v>
      </c>
      <c r="AE1107" s="5" t="str">
        <f aca="false">CONCATENATE(AB1107, "-",H1107, ".mzML")</f>
        <v>NB_2022_025 - 13072022 - 1-Blank_2.mzML</v>
      </c>
      <c r="AF1107" s="5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0" t="s">
        <v>1375</v>
      </c>
      <c r="B1108" s="31"/>
      <c r="C1108" s="3" t="s">
        <v>1376</v>
      </c>
      <c r="D1108" s="5" t="s">
        <v>19</v>
      </c>
      <c r="E1108" s="5" t="s">
        <v>1225</v>
      </c>
      <c r="F1108" s="6" t="s">
        <v>1226</v>
      </c>
      <c r="G1108" s="5" t="s">
        <v>1225</v>
      </c>
      <c r="H1108" s="24" t="s">
        <v>67</v>
      </c>
      <c r="I1108" s="5" t="str">
        <f aca="false">CONCATENATE(E1108, "_",H1108)</f>
        <v>NLA_2022_006_Blank_3</v>
      </c>
      <c r="J1108" s="5" t="s">
        <v>52</v>
      </c>
      <c r="K1108" s="5" t="s">
        <v>280</v>
      </c>
      <c r="L1108" s="8" t="s">
        <v>46</v>
      </c>
      <c r="M1108" s="6" t="s">
        <v>46</v>
      </c>
      <c r="N1108" s="5" t="s">
        <v>65</v>
      </c>
      <c r="O1108" s="5" t="s">
        <v>46</v>
      </c>
      <c r="P1108" s="5" t="s">
        <v>46</v>
      </c>
      <c r="Q1108" s="5" t="s">
        <v>46</v>
      </c>
      <c r="R1108" s="5" t="s">
        <v>46</v>
      </c>
      <c r="S1108" s="5" t="s">
        <v>46</v>
      </c>
      <c r="T1108" s="5" t="s">
        <v>46</v>
      </c>
      <c r="U1108" s="5" t="s">
        <v>46</v>
      </c>
      <c r="V1108" s="1" t="n">
        <v>3</v>
      </c>
      <c r="W1108" s="5"/>
      <c r="X1108" s="5" t="s">
        <v>46</v>
      </c>
      <c r="Y1108" s="1" t="n">
        <v>5500</v>
      </c>
      <c r="Z1108" s="5" t="s">
        <v>1230</v>
      </c>
      <c r="AA1108" s="5" t="s">
        <v>1231</v>
      </c>
      <c r="AB1108" s="13" t="str">
        <f aca="true" t="array" ref="AB1108:AB1108">LEFT(AA1108,LOOKUP(2^15,FIND(".",AA1108,ROW(INDIRECT("1:"&amp;LEN(AA1108)))))-1)</f>
        <v>NB_2022_025 - 13072022 - 1</v>
      </c>
      <c r="AC1108" s="5" t="s">
        <v>1232</v>
      </c>
      <c r="AD1108" s="13" t="str">
        <f aca="true" t="array" ref="AD1108:AD1108">LEFT(AC1108,LOOKUP(2^15,FIND(".",AC1108,ROW(INDIRECT("1:"&amp;LEN(AC1108)))))-1)</f>
        <v>NB_2022_025 - 13072022 - 2</v>
      </c>
      <c r="AE1108" s="5" t="str">
        <f aca="false">CONCATENATE(AB1108, "-",H1108, ".mzML")</f>
        <v>NB_2022_025 - 13072022 - 1-Blank_3.mzML</v>
      </c>
      <c r="AF1108" s="5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0" t="s">
        <v>1375</v>
      </c>
      <c r="B1109" s="31"/>
      <c r="C1109" s="3" t="s">
        <v>1376</v>
      </c>
      <c r="D1109" s="5" t="s">
        <v>19</v>
      </c>
      <c r="E1109" s="5" t="s">
        <v>1225</v>
      </c>
      <c r="F1109" s="6" t="s">
        <v>1226</v>
      </c>
      <c r="G1109" s="5" t="s">
        <v>1225</v>
      </c>
      <c r="H1109" s="24" t="s">
        <v>221</v>
      </c>
      <c r="I1109" s="5" t="str">
        <f aca="false">CONCATENATE(E1109, "_",H1109)</f>
        <v>NLA_2022_006_Blank_4</v>
      </c>
      <c r="J1109" s="5" t="s">
        <v>52</v>
      </c>
      <c r="K1109" s="5" t="s">
        <v>280</v>
      </c>
      <c r="L1109" s="8" t="s">
        <v>46</v>
      </c>
      <c r="M1109" s="6" t="s">
        <v>46</v>
      </c>
      <c r="N1109" s="5" t="s">
        <v>65</v>
      </c>
      <c r="O1109" s="5" t="s">
        <v>46</v>
      </c>
      <c r="P1109" s="5" t="s">
        <v>46</v>
      </c>
      <c r="Q1109" s="5" t="s">
        <v>46</v>
      </c>
      <c r="R1109" s="5" t="s">
        <v>46</v>
      </c>
      <c r="S1109" s="5" t="s">
        <v>46</v>
      </c>
      <c r="T1109" s="5" t="s">
        <v>46</v>
      </c>
      <c r="U1109" s="5" t="s">
        <v>46</v>
      </c>
      <c r="V1109" s="1" t="n">
        <v>4</v>
      </c>
      <c r="W1109" s="5"/>
      <c r="X1109" s="5" t="s">
        <v>46</v>
      </c>
      <c r="Y1109" s="1" t="n">
        <v>5500</v>
      </c>
      <c r="Z1109" s="5" t="s">
        <v>1230</v>
      </c>
      <c r="AA1109" s="5" t="s">
        <v>1231</v>
      </c>
      <c r="AB1109" s="13" t="str">
        <f aca="true" t="array" ref="AB1109:AB1109">LEFT(AA1109,LOOKUP(2^15,FIND(".",AA1109,ROW(INDIRECT("1:"&amp;LEN(AA1109)))))-1)</f>
        <v>NB_2022_025 - 13072022 - 1</v>
      </c>
      <c r="AC1109" s="5" t="s">
        <v>1232</v>
      </c>
      <c r="AD1109" s="13" t="str">
        <f aca="true" t="array" ref="AD1109:AD1109">LEFT(AC1109,LOOKUP(2^15,FIND(".",AC1109,ROW(INDIRECT("1:"&amp;LEN(AC1109)))))-1)</f>
        <v>NB_2022_025 - 13072022 - 2</v>
      </c>
      <c r="AE1109" s="5" t="str">
        <f aca="false">CONCATENATE(AB1109, "-",H1109, ".mzML")</f>
        <v>NB_2022_025 - 13072022 - 1-Blank_4.mzML</v>
      </c>
      <c r="AF1109" s="5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0" t="s">
        <v>1375</v>
      </c>
      <c r="B1110" s="31"/>
      <c r="C1110" s="3" t="s">
        <v>1376</v>
      </c>
      <c r="D1110" s="5" t="s">
        <v>19</v>
      </c>
      <c r="E1110" s="5" t="s">
        <v>1225</v>
      </c>
      <c r="F1110" s="6" t="s">
        <v>1226</v>
      </c>
      <c r="G1110" s="5" t="s">
        <v>1225</v>
      </c>
      <c r="H1110" s="24" t="s">
        <v>68</v>
      </c>
      <c r="I1110" s="5" t="str">
        <f aca="false">CONCATENATE(E1110, "_",H1110)</f>
        <v>NLA_2022_006_QC_C_1</v>
      </c>
      <c r="J1110" s="5" t="s">
        <v>52</v>
      </c>
      <c r="K1110" s="5" t="s">
        <v>1234</v>
      </c>
      <c r="L1110" s="8" t="s">
        <v>69</v>
      </c>
      <c r="M1110" s="1" t="s">
        <v>46</v>
      </c>
      <c r="N1110" s="5" t="s">
        <v>70</v>
      </c>
      <c r="O1110" s="5" t="s">
        <v>46</v>
      </c>
      <c r="P1110" s="5" t="s">
        <v>71</v>
      </c>
      <c r="Q1110" s="5" t="s">
        <v>71</v>
      </c>
      <c r="R1110" s="5" t="s">
        <v>72</v>
      </c>
      <c r="S1110" s="5" t="s">
        <v>73</v>
      </c>
      <c r="T1110" s="5" t="s">
        <v>46</v>
      </c>
      <c r="U1110" s="5" t="n">
        <v>1000</v>
      </c>
      <c r="V1110" s="1" t="n">
        <v>1</v>
      </c>
      <c r="W1110" s="5"/>
      <c r="X1110" s="5" t="s">
        <v>74</v>
      </c>
      <c r="Y1110" s="5" t="n">
        <v>5500</v>
      </c>
      <c r="Z1110" s="5" t="s">
        <v>1230</v>
      </c>
      <c r="AA1110" s="5" t="s">
        <v>1231</v>
      </c>
      <c r="AB1110" s="13" t="str">
        <f aca="true" t="array" ref="AB1110:AB1110">LEFT(AA1110,LOOKUP(2^15,FIND(".",AA1110,ROW(INDIRECT("1:"&amp;LEN(AA1110)))))-1)</f>
        <v>NB_2022_025 - 13072022 - 1</v>
      </c>
      <c r="AC1110" s="5" t="s">
        <v>1232</v>
      </c>
      <c r="AD1110" s="13" t="str">
        <f aca="true" t="array" ref="AD1110:AD1110">LEFT(AC1110,LOOKUP(2^15,FIND(".",AC1110,ROW(INDIRECT("1:"&amp;LEN(AC1110)))))-1)</f>
        <v>NB_2022_025 - 13072022 - 2</v>
      </c>
      <c r="AE1110" s="5" t="str">
        <f aca="false">CONCATENATE(AB1110, "-",H1110, ".mzML")</f>
        <v>NB_2022_025 - 13072022 - 1-QC_C_1.mzML</v>
      </c>
      <c r="AF1110" s="5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0" t="s">
        <v>1375</v>
      </c>
      <c r="B1111" s="31"/>
      <c r="C1111" s="3" t="s">
        <v>1376</v>
      </c>
      <c r="D1111" s="5" t="s">
        <v>19</v>
      </c>
      <c r="E1111" s="5" t="s">
        <v>1225</v>
      </c>
      <c r="F1111" s="6" t="s">
        <v>1226</v>
      </c>
      <c r="G1111" s="5" t="s">
        <v>1225</v>
      </c>
      <c r="H1111" s="24" t="s">
        <v>75</v>
      </c>
      <c r="I1111" s="5" t="str">
        <f aca="false">CONCATENATE(E1111, "_",H1111)</f>
        <v>NLA_2022_006_QC_C_2</v>
      </c>
      <c r="J1111" s="5" t="s">
        <v>52</v>
      </c>
      <c r="K1111" s="5" t="s">
        <v>1234</v>
      </c>
      <c r="L1111" s="8" t="s">
        <v>69</v>
      </c>
      <c r="M1111" s="1" t="s">
        <v>46</v>
      </c>
      <c r="N1111" s="5" t="s">
        <v>70</v>
      </c>
      <c r="O1111" s="5" t="s">
        <v>46</v>
      </c>
      <c r="P1111" s="5" t="s">
        <v>71</v>
      </c>
      <c r="Q1111" s="5" t="s">
        <v>71</v>
      </c>
      <c r="R1111" s="5" t="s">
        <v>72</v>
      </c>
      <c r="S1111" s="5" t="s">
        <v>73</v>
      </c>
      <c r="T1111" s="5" t="s">
        <v>46</v>
      </c>
      <c r="U1111" s="5" t="n">
        <v>1000</v>
      </c>
      <c r="V1111" s="1" t="n">
        <v>2</v>
      </c>
      <c r="W1111" s="5"/>
      <c r="X1111" s="5" t="s">
        <v>74</v>
      </c>
      <c r="Y1111" s="5" t="n">
        <v>5500</v>
      </c>
      <c r="Z1111" s="5" t="s">
        <v>1230</v>
      </c>
      <c r="AA1111" s="5" t="s">
        <v>1231</v>
      </c>
      <c r="AB1111" s="13" t="str">
        <f aca="true" t="array" ref="AB1111:AB1111">LEFT(AA1111,LOOKUP(2^15,FIND(".",AA1111,ROW(INDIRECT("1:"&amp;LEN(AA1111)))))-1)</f>
        <v>NB_2022_025 - 13072022 - 1</v>
      </c>
      <c r="AC1111" s="5" t="s">
        <v>1232</v>
      </c>
      <c r="AD1111" s="13" t="str">
        <f aca="true" t="array" ref="AD1111:AD1111">LEFT(AC1111,LOOKUP(2^15,FIND(".",AC1111,ROW(INDIRECT("1:"&amp;LEN(AC1111)))))-1)</f>
        <v>NB_2022_025 - 13072022 - 2</v>
      </c>
      <c r="AE1111" s="5" t="str">
        <f aca="false">CONCATENATE(AB1111, "-",H1111, ".mzML")</f>
        <v>NB_2022_025 - 13072022 - 1-QC_C_2.mzML</v>
      </c>
      <c r="AF1111" s="5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0" t="s">
        <v>1375</v>
      </c>
      <c r="B1112" s="31"/>
      <c r="C1112" s="3" t="s">
        <v>1376</v>
      </c>
      <c r="D1112" s="5" t="s">
        <v>19</v>
      </c>
      <c r="E1112" s="5" t="s">
        <v>1225</v>
      </c>
      <c r="F1112" s="6" t="s">
        <v>1226</v>
      </c>
      <c r="G1112" s="5" t="s">
        <v>1225</v>
      </c>
      <c r="H1112" s="24" t="s">
        <v>76</v>
      </c>
      <c r="I1112" s="5" t="str">
        <f aca="false">CONCATENATE(E1112, "_",H1112)</f>
        <v>NLA_2022_006_QC_C_3</v>
      </c>
      <c r="J1112" s="5" t="s">
        <v>52</v>
      </c>
      <c r="K1112" s="5" t="s">
        <v>1234</v>
      </c>
      <c r="L1112" s="8" t="s">
        <v>69</v>
      </c>
      <c r="M1112" s="1" t="s">
        <v>46</v>
      </c>
      <c r="N1112" s="5" t="s">
        <v>70</v>
      </c>
      <c r="O1112" s="5" t="s">
        <v>46</v>
      </c>
      <c r="P1112" s="5" t="s">
        <v>71</v>
      </c>
      <c r="Q1112" s="5" t="s">
        <v>71</v>
      </c>
      <c r="R1112" s="5" t="s">
        <v>72</v>
      </c>
      <c r="S1112" s="5" t="s">
        <v>73</v>
      </c>
      <c r="T1112" s="5" t="s">
        <v>46</v>
      </c>
      <c r="U1112" s="5" t="n">
        <v>1000</v>
      </c>
      <c r="V1112" s="1" t="n">
        <v>3</v>
      </c>
      <c r="W1112" s="5"/>
      <c r="X1112" s="5" t="s">
        <v>74</v>
      </c>
      <c r="Y1112" s="5" t="n">
        <v>5500</v>
      </c>
      <c r="Z1112" s="5" t="s">
        <v>1230</v>
      </c>
      <c r="AA1112" s="5" t="s">
        <v>1231</v>
      </c>
      <c r="AB1112" s="13" t="str">
        <f aca="true" t="array" ref="AB1112:AB1112">LEFT(AA1112,LOOKUP(2^15,FIND(".",AA1112,ROW(INDIRECT("1:"&amp;LEN(AA1112)))))-1)</f>
        <v>NB_2022_025 - 13072022 - 1</v>
      </c>
      <c r="AC1112" s="5" t="s">
        <v>1232</v>
      </c>
      <c r="AD1112" s="13" t="str">
        <f aca="true" t="array" ref="AD1112:AD1112">LEFT(AC1112,LOOKUP(2^15,FIND(".",AC1112,ROW(INDIRECT("1:"&amp;LEN(AC1112)))))-1)</f>
        <v>NB_2022_025 - 13072022 - 2</v>
      </c>
      <c r="AE1112" s="5" t="str">
        <f aca="false">CONCATENATE(AB1112, "-",H1112, ".mzML")</f>
        <v>NB_2022_025 - 13072022 - 1-QC_C_3.mzML</v>
      </c>
      <c r="AF1112" s="5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0" t="s">
        <v>1375</v>
      </c>
      <c r="B1113" s="31"/>
      <c r="C1113" s="3" t="s">
        <v>1376</v>
      </c>
      <c r="D1113" s="5" t="s">
        <v>19</v>
      </c>
      <c r="E1113" s="5" t="s">
        <v>1225</v>
      </c>
      <c r="F1113" s="6" t="s">
        <v>1226</v>
      </c>
      <c r="G1113" s="5" t="s">
        <v>1225</v>
      </c>
      <c r="H1113" s="24" t="s">
        <v>222</v>
      </c>
      <c r="I1113" s="5" t="str">
        <f aca="false">CONCATENATE(E1113, "_",H1113)</f>
        <v>NLA_2022_006_QC_C_4</v>
      </c>
      <c r="J1113" s="5" t="s">
        <v>52</v>
      </c>
      <c r="K1113" s="5" t="s">
        <v>1234</v>
      </c>
      <c r="L1113" s="8" t="s">
        <v>69</v>
      </c>
      <c r="M1113" s="1" t="s">
        <v>46</v>
      </c>
      <c r="N1113" s="5" t="s">
        <v>70</v>
      </c>
      <c r="O1113" s="5" t="s">
        <v>46</v>
      </c>
      <c r="P1113" s="5" t="s">
        <v>71</v>
      </c>
      <c r="Q1113" s="5" t="s">
        <v>71</v>
      </c>
      <c r="R1113" s="5" t="s">
        <v>72</v>
      </c>
      <c r="S1113" s="5" t="s">
        <v>73</v>
      </c>
      <c r="T1113" s="5" t="s">
        <v>46</v>
      </c>
      <c r="U1113" s="5" t="n">
        <v>1000</v>
      </c>
      <c r="V1113" s="1" t="n">
        <v>4</v>
      </c>
      <c r="W1113" s="5"/>
      <c r="X1113" s="5" t="s">
        <v>74</v>
      </c>
      <c r="Y1113" s="5" t="n">
        <v>5500</v>
      </c>
      <c r="Z1113" s="5" t="s">
        <v>1230</v>
      </c>
      <c r="AA1113" s="5" t="s">
        <v>1231</v>
      </c>
      <c r="AB1113" s="13" t="str">
        <f aca="true" t="array" ref="AB1113:AB1113">LEFT(AA1113,LOOKUP(2^15,FIND(".",AA1113,ROW(INDIRECT("1:"&amp;LEN(AA1113)))))-1)</f>
        <v>NB_2022_025 - 13072022 - 1</v>
      </c>
      <c r="AC1113" s="5" t="s">
        <v>1232</v>
      </c>
      <c r="AD1113" s="13" t="str">
        <f aca="true" t="array" ref="AD1113:AD1113">LEFT(AC1113,LOOKUP(2^15,FIND(".",AC1113,ROW(INDIRECT("1:"&amp;LEN(AC1113)))))-1)</f>
        <v>NB_2022_025 - 13072022 - 2</v>
      </c>
      <c r="AE1113" s="5" t="str">
        <f aca="false">CONCATENATE(AB1113, "-",H1113, ".mzML")</f>
        <v>NB_2022_025 - 13072022 - 1-QC_C_4.mzML</v>
      </c>
      <c r="AF1113" s="5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0" t="s">
        <v>1375</v>
      </c>
      <c r="B1114" s="31"/>
      <c r="C1114" s="3" t="s">
        <v>1376</v>
      </c>
      <c r="D1114" s="5" t="s">
        <v>19</v>
      </c>
      <c r="E1114" s="5" t="s">
        <v>1225</v>
      </c>
      <c r="F1114" s="6" t="s">
        <v>1226</v>
      </c>
      <c r="G1114" s="5" t="s">
        <v>1225</v>
      </c>
      <c r="H1114" s="24" t="s">
        <v>77</v>
      </c>
      <c r="I1114" s="5" t="str">
        <f aca="false">CONCATENATE(E1114, "_",H1114)</f>
        <v>NLA_2022_006_QC_P_1</v>
      </c>
      <c r="J1114" s="5" t="s">
        <v>52</v>
      </c>
      <c r="K1114" s="5" t="s">
        <v>281</v>
      </c>
      <c r="L1114" s="8" t="s">
        <v>69</v>
      </c>
      <c r="M1114" s="6" t="s">
        <v>46</v>
      </c>
      <c r="N1114" s="5" t="s">
        <v>78</v>
      </c>
      <c r="O1114" s="5" t="s">
        <v>46</v>
      </c>
      <c r="P1114" s="5" t="s">
        <v>79</v>
      </c>
      <c r="Q1114" s="5" t="s">
        <v>80</v>
      </c>
      <c r="R1114" s="5" t="s">
        <v>81</v>
      </c>
      <c r="S1114" s="5" t="s">
        <v>46</v>
      </c>
      <c r="T1114" s="5" t="s">
        <v>46</v>
      </c>
      <c r="U1114" s="5" t="s">
        <v>82</v>
      </c>
      <c r="V1114" s="1" t="n">
        <v>1</v>
      </c>
      <c r="W1114" s="5"/>
      <c r="X1114" s="5" t="s">
        <v>83</v>
      </c>
      <c r="Y1114" s="5" t="n">
        <v>5500</v>
      </c>
      <c r="Z1114" s="5" t="s">
        <v>1230</v>
      </c>
      <c r="AA1114" s="5" t="s">
        <v>1231</v>
      </c>
      <c r="AB1114" s="13" t="str">
        <f aca="true" t="array" ref="AB1114:AB1114">LEFT(AA1114,LOOKUP(2^15,FIND(".",AA1114,ROW(INDIRECT("1:"&amp;LEN(AA1114)))))-1)</f>
        <v>NB_2022_025 - 13072022 - 1</v>
      </c>
      <c r="AC1114" s="5" t="s">
        <v>1232</v>
      </c>
      <c r="AD1114" s="13" t="str">
        <f aca="true" t="array" ref="AD1114:AD1114">LEFT(AC1114,LOOKUP(2^15,FIND(".",AC1114,ROW(INDIRECT("1:"&amp;LEN(AC1114)))))-1)</f>
        <v>NB_2022_025 - 13072022 - 2</v>
      </c>
      <c r="AE1114" s="5" t="str">
        <f aca="false">CONCATENATE(AB1114, "-",H1114, ".mzML")</f>
        <v>NB_2022_025 - 13072022 - 1-QC_P_1.mzML</v>
      </c>
      <c r="AF1114" s="5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0" t="s">
        <v>1375</v>
      </c>
      <c r="B1115" s="31"/>
      <c r="C1115" s="3" t="s">
        <v>1376</v>
      </c>
      <c r="D1115" s="5" t="s">
        <v>19</v>
      </c>
      <c r="E1115" s="5" t="s">
        <v>1225</v>
      </c>
      <c r="F1115" s="6" t="s">
        <v>1226</v>
      </c>
      <c r="G1115" s="5" t="s">
        <v>1225</v>
      </c>
      <c r="H1115" s="24" t="s">
        <v>84</v>
      </c>
      <c r="I1115" s="5" t="str">
        <f aca="false">CONCATENATE(E1115, "_",H1115)</f>
        <v>NLA_2022_006_QC_P_2</v>
      </c>
      <c r="J1115" s="5" t="s">
        <v>52</v>
      </c>
      <c r="K1115" s="5" t="s">
        <v>281</v>
      </c>
      <c r="L1115" s="8" t="s">
        <v>69</v>
      </c>
      <c r="M1115" s="6" t="s">
        <v>46</v>
      </c>
      <c r="N1115" s="5" t="s">
        <v>78</v>
      </c>
      <c r="O1115" s="5" t="s">
        <v>46</v>
      </c>
      <c r="P1115" s="5" t="s">
        <v>79</v>
      </c>
      <c r="Q1115" s="5" t="s">
        <v>80</v>
      </c>
      <c r="R1115" s="5" t="s">
        <v>81</v>
      </c>
      <c r="S1115" s="5" t="s">
        <v>46</v>
      </c>
      <c r="T1115" s="5" t="s">
        <v>46</v>
      </c>
      <c r="U1115" s="5" t="s">
        <v>82</v>
      </c>
      <c r="V1115" s="1" t="n">
        <v>2</v>
      </c>
      <c r="W1115" s="5"/>
      <c r="X1115" s="5" t="s">
        <v>83</v>
      </c>
      <c r="Y1115" s="5" t="n">
        <v>5500</v>
      </c>
      <c r="Z1115" s="5" t="s">
        <v>1230</v>
      </c>
      <c r="AA1115" s="5" t="s">
        <v>1231</v>
      </c>
      <c r="AB1115" s="13" t="str">
        <f aca="true" t="array" ref="AB1115:AB1115">LEFT(AA1115,LOOKUP(2^15,FIND(".",AA1115,ROW(INDIRECT("1:"&amp;LEN(AA1115)))))-1)</f>
        <v>NB_2022_025 - 13072022 - 1</v>
      </c>
      <c r="AC1115" s="5" t="s">
        <v>1232</v>
      </c>
      <c r="AD1115" s="13" t="str">
        <f aca="true" t="array" ref="AD1115:AD1115">LEFT(AC1115,LOOKUP(2^15,FIND(".",AC1115,ROW(INDIRECT("1:"&amp;LEN(AC1115)))))-1)</f>
        <v>NB_2022_025 - 13072022 - 2</v>
      </c>
      <c r="AE1115" s="5" t="str">
        <f aca="false">CONCATENATE(AB1115, "-",H1115, ".mzML")</f>
        <v>NB_2022_025 - 13072022 - 1-QC_P_2.mzML</v>
      </c>
      <c r="AF1115" s="5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0" t="s">
        <v>1375</v>
      </c>
      <c r="B1116" s="31"/>
      <c r="C1116" s="3" t="s">
        <v>1376</v>
      </c>
      <c r="D1116" s="5" t="s">
        <v>19</v>
      </c>
      <c r="E1116" s="5" t="s">
        <v>1225</v>
      </c>
      <c r="F1116" s="6" t="s">
        <v>1226</v>
      </c>
      <c r="G1116" s="5" t="s">
        <v>1225</v>
      </c>
      <c r="H1116" s="24" t="s">
        <v>85</v>
      </c>
      <c r="I1116" s="5" t="str">
        <f aca="false">CONCATENATE(E1116, "_",H1116)</f>
        <v>NLA_2022_006_QC_P_3</v>
      </c>
      <c r="J1116" s="5" t="s">
        <v>52</v>
      </c>
      <c r="K1116" s="5" t="s">
        <v>281</v>
      </c>
      <c r="L1116" s="8" t="s">
        <v>69</v>
      </c>
      <c r="M1116" s="6" t="s">
        <v>46</v>
      </c>
      <c r="N1116" s="5" t="s">
        <v>78</v>
      </c>
      <c r="O1116" s="5" t="s">
        <v>46</v>
      </c>
      <c r="P1116" s="5" t="s">
        <v>79</v>
      </c>
      <c r="Q1116" s="5" t="s">
        <v>80</v>
      </c>
      <c r="R1116" s="5" t="s">
        <v>81</v>
      </c>
      <c r="S1116" s="5" t="s">
        <v>46</v>
      </c>
      <c r="T1116" s="5" t="s">
        <v>46</v>
      </c>
      <c r="U1116" s="5" t="s">
        <v>82</v>
      </c>
      <c r="V1116" s="1" t="n">
        <v>3</v>
      </c>
      <c r="W1116" s="5"/>
      <c r="X1116" s="5" t="s">
        <v>83</v>
      </c>
      <c r="Y1116" s="5" t="n">
        <v>5500</v>
      </c>
      <c r="Z1116" s="5" t="s">
        <v>1230</v>
      </c>
      <c r="AA1116" s="5" t="s">
        <v>1231</v>
      </c>
      <c r="AB1116" s="13" t="str">
        <f aca="true" t="array" ref="AB1116:AB1116">LEFT(AA1116,LOOKUP(2^15,FIND(".",AA1116,ROW(INDIRECT("1:"&amp;LEN(AA1116)))))-1)</f>
        <v>NB_2022_025 - 13072022 - 1</v>
      </c>
      <c r="AC1116" s="5" t="s">
        <v>1232</v>
      </c>
      <c r="AD1116" s="13" t="str">
        <f aca="true" t="array" ref="AD1116:AD1116">LEFT(AC1116,LOOKUP(2^15,FIND(".",AC1116,ROW(INDIRECT("1:"&amp;LEN(AC1116)))))-1)</f>
        <v>NB_2022_025 - 13072022 - 2</v>
      </c>
      <c r="AE1116" s="5" t="str">
        <f aca="false">CONCATENATE(AB1116, "-",H1116, ".mzML")</f>
        <v>NB_2022_025 - 13072022 - 1-QC_P_3.mzML</v>
      </c>
      <c r="AF1116" s="5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0" t="s">
        <v>1375</v>
      </c>
      <c r="B1117" s="31"/>
      <c r="C1117" s="3" t="s">
        <v>1376</v>
      </c>
      <c r="D1117" s="5" t="s">
        <v>19</v>
      </c>
      <c r="E1117" s="5" t="s">
        <v>1225</v>
      </c>
      <c r="F1117" s="6" t="s">
        <v>1226</v>
      </c>
      <c r="G1117" s="5" t="s">
        <v>1225</v>
      </c>
      <c r="H1117" s="24" t="s">
        <v>224</v>
      </c>
      <c r="I1117" s="5" t="str">
        <f aca="false">CONCATENATE(E1117, "_",H1117)</f>
        <v>NLA_2022_006_QC_P_4</v>
      </c>
      <c r="J1117" s="5" t="s">
        <v>52</v>
      </c>
      <c r="K1117" s="5" t="s">
        <v>281</v>
      </c>
      <c r="L1117" s="8" t="s">
        <v>69</v>
      </c>
      <c r="M1117" s="6" t="s">
        <v>46</v>
      </c>
      <c r="N1117" s="5" t="s">
        <v>78</v>
      </c>
      <c r="O1117" s="5" t="s">
        <v>46</v>
      </c>
      <c r="P1117" s="5" t="s">
        <v>79</v>
      </c>
      <c r="Q1117" s="5" t="s">
        <v>80</v>
      </c>
      <c r="R1117" s="5" t="s">
        <v>81</v>
      </c>
      <c r="S1117" s="5" t="s">
        <v>46</v>
      </c>
      <c r="T1117" s="5" t="s">
        <v>46</v>
      </c>
      <c r="U1117" s="5" t="s">
        <v>82</v>
      </c>
      <c r="V1117" s="1" t="n">
        <v>4</v>
      </c>
      <c r="W1117" s="5"/>
      <c r="X1117" s="5" t="s">
        <v>83</v>
      </c>
      <c r="Y1117" s="5" t="n">
        <v>5500</v>
      </c>
      <c r="Z1117" s="5" t="s">
        <v>1230</v>
      </c>
      <c r="AA1117" s="5" t="s">
        <v>1231</v>
      </c>
      <c r="AB1117" s="13" t="str">
        <f aca="true" t="array" ref="AB1117:AB1117">LEFT(AA1117,LOOKUP(2^15,FIND(".",AA1117,ROW(INDIRECT("1:"&amp;LEN(AA1117)))))-1)</f>
        <v>NB_2022_025 - 13072022 - 1</v>
      </c>
      <c r="AC1117" s="5" t="s">
        <v>1232</v>
      </c>
      <c r="AD1117" s="13" t="str">
        <f aca="true" t="array" ref="AD1117:AD1117">LEFT(AC1117,LOOKUP(2^15,FIND(".",AC1117,ROW(INDIRECT("1:"&amp;LEN(AC1117)))))-1)</f>
        <v>NB_2022_025 - 13072022 - 2</v>
      </c>
      <c r="AE1117" s="5" t="str">
        <f aca="false">CONCATENATE(AB1117, "-",H1117, ".mzML")</f>
        <v>NB_2022_025 - 13072022 - 1-QC_P_4.mzML</v>
      </c>
      <c r="AF1117" s="5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0" t="s">
        <v>1375</v>
      </c>
      <c r="B1118" s="31"/>
      <c r="C1118" s="3" t="s">
        <v>1376</v>
      </c>
      <c r="D1118" s="5" t="s">
        <v>19</v>
      </c>
      <c r="E1118" s="5" t="s">
        <v>1277</v>
      </c>
      <c r="F1118" s="6" t="s">
        <v>1278</v>
      </c>
      <c r="G1118" s="5" t="s">
        <v>1279</v>
      </c>
      <c r="H1118" s="24" t="s">
        <v>108</v>
      </c>
      <c r="I1118" s="5" t="str">
        <f aca="false">CONCATENATE(E1118, "_",H1118)</f>
        <v>NLA_2022_013_001</v>
      </c>
      <c r="J1118" s="5" t="s">
        <v>38</v>
      </c>
      <c r="K1118" s="5" t="s">
        <v>1280</v>
      </c>
      <c r="L1118" s="8" t="s">
        <v>69</v>
      </c>
      <c r="M1118" s="6" t="s">
        <v>1281</v>
      </c>
      <c r="N1118" s="5" t="s">
        <v>246</v>
      </c>
      <c r="O1118" s="32" t="s">
        <v>1212</v>
      </c>
      <c r="P1118" s="5" t="s">
        <v>1282</v>
      </c>
      <c r="Q1118" s="5" t="s">
        <v>1282</v>
      </c>
      <c r="R1118" s="5" t="s">
        <v>44</v>
      </c>
      <c r="S1118" s="5"/>
      <c r="T1118" s="5" t="s">
        <v>1240</v>
      </c>
      <c r="U1118" s="1" t="n">
        <v>1500</v>
      </c>
      <c r="V1118" s="1" t="n">
        <v>1</v>
      </c>
      <c r="W1118" s="5"/>
      <c r="X1118" s="8" t="s">
        <v>1215</v>
      </c>
      <c r="Y1118" s="1" t="n">
        <v>5500</v>
      </c>
      <c r="Z1118" s="5" t="s">
        <v>1283</v>
      </c>
      <c r="AA1118" s="5" t="s">
        <v>1284</v>
      </c>
      <c r="AB1118" s="13" t="str">
        <f aca="true" t="array" ref="AB1118:AB1118">LEFT(AA1118,LOOKUP(2^15,FIND(".",AA1118,ROW(INDIRECT("1:"&amp;LEN(AA1118)))))-1)</f>
        <v>NB_2022_061 - 22122022 - 1</v>
      </c>
      <c r="AC1118" s="5" t="s">
        <v>1285</v>
      </c>
      <c r="AD1118" s="13" t="str">
        <f aca="true" t="array" ref="AD1118:AD1118">LEFT(AC1118,LOOKUP(2^15,FIND(".",AC1118,ROW(INDIRECT("1:"&amp;LEN(AC1118)))))-1)</f>
        <v>NB_2022_061 - 22122022 - 2</v>
      </c>
      <c r="AE1118" s="5" t="str">
        <f aca="false">CONCATENATE(AB1118, "-",H1118, ".mzML")</f>
        <v>NB_2022_061 - 22122022 - 1-001.mzML</v>
      </c>
      <c r="AF1118" s="5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0" t="s">
        <v>1375</v>
      </c>
      <c r="B1119" s="31"/>
      <c r="C1119" s="3" t="s">
        <v>1376</v>
      </c>
      <c r="D1119" s="5" t="s">
        <v>19</v>
      </c>
      <c r="E1119" s="5" t="s">
        <v>1277</v>
      </c>
      <c r="F1119" s="6" t="s">
        <v>1278</v>
      </c>
      <c r="G1119" s="5" t="s">
        <v>1279</v>
      </c>
      <c r="H1119" s="24" t="s">
        <v>88</v>
      </c>
      <c r="I1119" s="5" t="str">
        <f aca="false">CONCATENATE(E1119, "_",H1119)</f>
        <v>NLA_2022_013_002</v>
      </c>
      <c r="J1119" s="5" t="s">
        <v>38</v>
      </c>
      <c r="K1119" s="5" t="s">
        <v>1286</v>
      </c>
      <c r="L1119" s="8" t="s">
        <v>69</v>
      </c>
      <c r="M1119" s="6" t="s">
        <v>1281</v>
      </c>
      <c r="N1119" s="5" t="s">
        <v>246</v>
      </c>
      <c r="O1119" s="32" t="s">
        <v>1212</v>
      </c>
      <c r="P1119" s="5" t="s">
        <v>1282</v>
      </c>
      <c r="Q1119" s="5" t="s">
        <v>1282</v>
      </c>
      <c r="R1119" s="5" t="s">
        <v>44</v>
      </c>
      <c r="S1119" s="5"/>
      <c r="T1119" s="5" t="s">
        <v>1240</v>
      </c>
      <c r="U1119" s="1" t="n">
        <v>1500</v>
      </c>
      <c r="V1119" s="1" t="n">
        <v>2</v>
      </c>
      <c r="W1119" s="5"/>
      <c r="X1119" s="8" t="s">
        <v>1215</v>
      </c>
      <c r="Y1119" s="1" t="n">
        <v>5500</v>
      </c>
      <c r="Z1119" s="5" t="s">
        <v>1283</v>
      </c>
      <c r="AA1119" s="5" t="s">
        <v>1284</v>
      </c>
      <c r="AB1119" s="13" t="str">
        <f aca="true" t="array" ref="AB1119:AB1119">LEFT(AA1119,LOOKUP(2^15,FIND(".",AA1119,ROW(INDIRECT("1:"&amp;LEN(AA1119)))))-1)</f>
        <v>NB_2022_061 - 22122022 - 1</v>
      </c>
      <c r="AC1119" s="5" t="s">
        <v>1285</v>
      </c>
      <c r="AD1119" s="13" t="str">
        <f aca="true" t="array" ref="AD1119:AD1119">LEFT(AC1119,LOOKUP(2^15,FIND(".",AC1119,ROW(INDIRECT("1:"&amp;LEN(AC1119)))))-1)</f>
        <v>NB_2022_061 - 22122022 - 2</v>
      </c>
      <c r="AE1119" s="5" t="str">
        <f aca="false">CONCATENATE(AB1119, "-",H1119, ".mzML")</f>
        <v>NB_2022_061 - 22122022 - 1-002.mzML</v>
      </c>
      <c r="AF1119" s="5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0" t="s">
        <v>1375</v>
      </c>
      <c r="B1120" s="31"/>
      <c r="C1120" s="3" t="s">
        <v>1376</v>
      </c>
      <c r="D1120" s="5" t="s">
        <v>19</v>
      </c>
      <c r="E1120" s="5" t="s">
        <v>1277</v>
      </c>
      <c r="F1120" s="6" t="s">
        <v>1278</v>
      </c>
      <c r="G1120" s="5" t="s">
        <v>1279</v>
      </c>
      <c r="H1120" s="24" t="s">
        <v>97</v>
      </c>
      <c r="I1120" s="5" t="str">
        <f aca="false">CONCATENATE(E1120, "_",H1120)</f>
        <v>NLA_2022_013_003</v>
      </c>
      <c r="J1120" s="5" t="s">
        <v>38</v>
      </c>
      <c r="K1120" s="5" t="s">
        <v>1287</v>
      </c>
      <c r="L1120" s="8" t="s">
        <v>69</v>
      </c>
      <c r="M1120" s="6" t="s">
        <v>1281</v>
      </c>
      <c r="N1120" s="5" t="s">
        <v>246</v>
      </c>
      <c r="O1120" s="32" t="s">
        <v>1212</v>
      </c>
      <c r="P1120" s="5" t="s">
        <v>1282</v>
      </c>
      <c r="Q1120" s="5" t="s">
        <v>1282</v>
      </c>
      <c r="R1120" s="5" t="s">
        <v>44</v>
      </c>
      <c r="S1120" s="5"/>
      <c r="T1120" s="5" t="s">
        <v>1240</v>
      </c>
      <c r="U1120" s="1" t="n">
        <v>1500</v>
      </c>
      <c r="V1120" s="1" t="n">
        <v>3</v>
      </c>
      <c r="W1120" s="5"/>
      <c r="X1120" s="8" t="s">
        <v>1215</v>
      </c>
      <c r="Y1120" s="1" t="n">
        <v>5500</v>
      </c>
      <c r="Z1120" s="5" t="s">
        <v>1283</v>
      </c>
      <c r="AA1120" s="5" t="s">
        <v>1284</v>
      </c>
      <c r="AB1120" s="13" t="str">
        <f aca="true" t="array" ref="AB1120:AB1120">LEFT(AA1120,LOOKUP(2^15,FIND(".",AA1120,ROW(INDIRECT("1:"&amp;LEN(AA1120)))))-1)</f>
        <v>NB_2022_061 - 22122022 - 1</v>
      </c>
      <c r="AC1120" s="5" t="s">
        <v>1285</v>
      </c>
      <c r="AD1120" s="13" t="str">
        <f aca="true" t="array" ref="AD1120:AD1120">LEFT(AC1120,LOOKUP(2^15,FIND(".",AC1120,ROW(INDIRECT("1:"&amp;LEN(AC1120)))))-1)</f>
        <v>NB_2022_061 - 22122022 - 2</v>
      </c>
      <c r="AE1120" s="5" t="str">
        <f aca="false">CONCATENATE(AB1120, "-",H1120, ".mzML")</f>
        <v>NB_2022_061 - 22122022 - 1-003.mzML</v>
      </c>
      <c r="AF1120" s="5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0" t="s">
        <v>1375</v>
      </c>
      <c r="B1121" s="31"/>
      <c r="C1121" s="3" t="s">
        <v>1376</v>
      </c>
      <c r="D1121" s="5" t="s">
        <v>19</v>
      </c>
      <c r="E1121" s="5" t="s">
        <v>1277</v>
      </c>
      <c r="F1121" s="6" t="s">
        <v>1278</v>
      </c>
      <c r="G1121" s="5" t="s">
        <v>1279</v>
      </c>
      <c r="H1121" s="24" t="s">
        <v>99</v>
      </c>
      <c r="I1121" s="5" t="str">
        <f aca="false">CONCATENATE(E1121, "_",H1121)</f>
        <v>NLA_2022_013_004</v>
      </c>
      <c r="J1121" s="35" t="s">
        <v>52</v>
      </c>
      <c r="K1121" s="5" t="s">
        <v>1288</v>
      </c>
      <c r="L1121" s="8" t="s">
        <v>69</v>
      </c>
      <c r="M1121" s="6" t="s">
        <v>1281</v>
      </c>
      <c r="N1121" s="5" t="s">
        <v>246</v>
      </c>
      <c r="O1121" s="32" t="s">
        <v>1212</v>
      </c>
      <c r="P1121" s="5" t="s">
        <v>1282</v>
      </c>
      <c r="Q1121" s="5" t="s">
        <v>1282</v>
      </c>
      <c r="R1121" s="5" t="s">
        <v>44</v>
      </c>
      <c r="S1121" s="5"/>
      <c r="T1121" s="5" t="s">
        <v>1243</v>
      </c>
      <c r="U1121" s="1" t="n">
        <v>1500</v>
      </c>
      <c r="V1121" s="1" t="n">
        <v>1</v>
      </c>
      <c r="W1121" s="5"/>
      <c r="X1121" s="8" t="s">
        <v>1215</v>
      </c>
      <c r="Y1121" s="1" t="n">
        <v>5500</v>
      </c>
      <c r="Z1121" s="5" t="s">
        <v>1283</v>
      </c>
      <c r="AA1121" s="5" t="s">
        <v>1284</v>
      </c>
      <c r="AB1121" s="13" t="str">
        <f aca="true" t="array" ref="AB1121:AB1121">LEFT(AA1121,LOOKUP(2^15,FIND(".",AA1121,ROW(INDIRECT("1:"&amp;LEN(AA1121)))))-1)</f>
        <v>NB_2022_061 - 22122022 - 1</v>
      </c>
      <c r="AC1121" s="5" t="s">
        <v>1285</v>
      </c>
      <c r="AD1121" s="13" t="str">
        <f aca="true" t="array" ref="AD1121:AD1121">LEFT(AC1121,LOOKUP(2^15,FIND(".",AC1121,ROW(INDIRECT("1:"&amp;LEN(AC1121)))))-1)</f>
        <v>NB_2022_061 - 22122022 - 2</v>
      </c>
      <c r="AE1121" s="5" t="str">
        <f aca="false">CONCATENATE(AB1121, "-",H1121, ".mzML")</f>
        <v>NB_2022_061 - 22122022 - 1-004.mzML</v>
      </c>
      <c r="AF1121" s="5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0" t="s">
        <v>1375</v>
      </c>
      <c r="B1122" s="31"/>
      <c r="C1122" s="3" t="s">
        <v>1376</v>
      </c>
      <c r="D1122" s="5" t="s">
        <v>19</v>
      </c>
      <c r="E1122" s="5" t="s">
        <v>1277</v>
      </c>
      <c r="F1122" s="6" t="s">
        <v>1278</v>
      </c>
      <c r="G1122" s="5" t="s">
        <v>1279</v>
      </c>
      <c r="H1122" s="24" t="s">
        <v>91</v>
      </c>
      <c r="I1122" s="5" t="str">
        <f aca="false">CONCATENATE(E1122, "_",H1122)</f>
        <v>NLA_2022_013_005</v>
      </c>
      <c r="J1122" s="35" t="s">
        <v>52</v>
      </c>
      <c r="K1122" s="5" t="s">
        <v>1289</v>
      </c>
      <c r="L1122" s="8" t="s">
        <v>69</v>
      </c>
      <c r="M1122" s="6" t="s">
        <v>1281</v>
      </c>
      <c r="N1122" s="5" t="s">
        <v>246</v>
      </c>
      <c r="O1122" s="32" t="s">
        <v>1212</v>
      </c>
      <c r="P1122" s="5" t="s">
        <v>1282</v>
      </c>
      <c r="Q1122" s="5" t="s">
        <v>1282</v>
      </c>
      <c r="R1122" s="5" t="s">
        <v>44</v>
      </c>
      <c r="S1122" s="5"/>
      <c r="T1122" s="5" t="s">
        <v>1243</v>
      </c>
      <c r="U1122" s="1" t="n">
        <v>1500</v>
      </c>
      <c r="V1122" s="1" t="n">
        <v>2</v>
      </c>
      <c r="W1122" s="5"/>
      <c r="X1122" s="8" t="s">
        <v>1215</v>
      </c>
      <c r="Y1122" s="1" t="n">
        <v>5500</v>
      </c>
      <c r="Z1122" s="5" t="s">
        <v>1283</v>
      </c>
      <c r="AA1122" s="5" t="s">
        <v>1284</v>
      </c>
      <c r="AB1122" s="13" t="str">
        <f aca="true" t="array" ref="AB1122:AB1122">LEFT(AA1122,LOOKUP(2^15,FIND(".",AA1122,ROW(INDIRECT("1:"&amp;LEN(AA1122)))))-1)</f>
        <v>NB_2022_061 - 22122022 - 1</v>
      </c>
      <c r="AC1122" s="5" t="s">
        <v>1285</v>
      </c>
      <c r="AD1122" s="13" t="str">
        <f aca="true" t="array" ref="AD1122:AD1122">LEFT(AC1122,LOOKUP(2^15,FIND(".",AC1122,ROW(INDIRECT("1:"&amp;LEN(AC1122)))))-1)</f>
        <v>NB_2022_061 - 22122022 - 2</v>
      </c>
      <c r="AE1122" s="5" t="str">
        <f aca="false">CONCATENATE(AB1122, "-",H1122, ".mzML")</f>
        <v>NB_2022_061 - 22122022 - 1-005.mzML</v>
      </c>
      <c r="AF1122" s="5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0" t="s">
        <v>1375</v>
      </c>
      <c r="B1123" s="31"/>
      <c r="C1123" s="3" t="s">
        <v>1376</v>
      </c>
      <c r="D1123" s="5" t="s">
        <v>19</v>
      </c>
      <c r="E1123" s="5" t="s">
        <v>1277</v>
      </c>
      <c r="F1123" s="6" t="s">
        <v>1278</v>
      </c>
      <c r="G1123" s="5" t="s">
        <v>1279</v>
      </c>
      <c r="H1123" s="24" t="s">
        <v>101</v>
      </c>
      <c r="I1123" s="5" t="str">
        <f aca="false">CONCATENATE(E1123, "_",H1123)</f>
        <v>NLA_2022_013_006</v>
      </c>
      <c r="J1123" s="35" t="s">
        <v>52</v>
      </c>
      <c r="K1123" s="5" t="s">
        <v>1290</v>
      </c>
      <c r="L1123" s="8" t="s">
        <v>69</v>
      </c>
      <c r="M1123" s="6" t="s">
        <v>1281</v>
      </c>
      <c r="N1123" s="5" t="s">
        <v>246</v>
      </c>
      <c r="O1123" s="32" t="s">
        <v>1212</v>
      </c>
      <c r="P1123" s="5" t="s">
        <v>1282</v>
      </c>
      <c r="Q1123" s="5" t="s">
        <v>1282</v>
      </c>
      <c r="R1123" s="5" t="s">
        <v>44</v>
      </c>
      <c r="S1123" s="5"/>
      <c r="T1123" s="5" t="s">
        <v>1243</v>
      </c>
      <c r="U1123" s="1" t="n">
        <v>1500</v>
      </c>
      <c r="V1123" s="1" t="n">
        <v>3</v>
      </c>
      <c r="W1123" s="5"/>
      <c r="X1123" s="8" t="s">
        <v>1215</v>
      </c>
      <c r="Y1123" s="1" t="n">
        <v>5500</v>
      </c>
      <c r="Z1123" s="5" t="s">
        <v>1283</v>
      </c>
      <c r="AA1123" s="5" t="s">
        <v>1284</v>
      </c>
      <c r="AB1123" s="13" t="str">
        <f aca="true" t="array" ref="AB1123:AB1123">LEFT(AA1123,LOOKUP(2^15,FIND(".",AA1123,ROW(INDIRECT("1:"&amp;LEN(AA1123)))))-1)</f>
        <v>NB_2022_061 - 22122022 - 1</v>
      </c>
      <c r="AC1123" s="5" t="s">
        <v>1285</v>
      </c>
      <c r="AD1123" s="13" t="str">
        <f aca="true" t="array" ref="AD1123:AD1123">LEFT(AC1123,LOOKUP(2^15,FIND(".",AC1123,ROW(INDIRECT("1:"&amp;LEN(AC1123)))))-1)</f>
        <v>NB_2022_061 - 22122022 - 2</v>
      </c>
      <c r="AE1123" s="5" t="str">
        <f aca="false">CONCATENATE(AB1123, "-",H1123, ".mzML")</f>
        <v>NB_2022_061 - 22122022 - 1-006.mzML</v>
      </c>
      <c r="AF1123" s="5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0" t="s">
        <v>1375</v>
      </c>
      <c r="B1124" s="31"/>
      <c r="C1124" s="3" t="s">
        <v>1376</v>
      </c>
      <c r="D1124" s="5" t="s">
        <v>19</v>
      </c>
      <c r="E1124" s="5" t="s">
        <v>1277</v>
      </c>
      <c r="F1124" s="6" t="s">
        <v>1278</v>
      </c>
      <c r="G1124" s="5" t="s">
        <v>1293</v>
      </c>
      <c r="H1124" s="24" t="s">
        <v>227</v>
      </c>
      <c r="I1124" s="5" t="str">
        <f aca="false">CONCATENATE(E1124, "_",H1124)</f>
        <v>NLA_2022_013_019</v>
      </c>
      <c r="J1124" s="35" t="s">
        <v>38</v>
      </c>
      <c r="K1124" s="5" t="s">
        <v>1294</v>
      </c>
      <c r="L1124" s="8" t="s">
        <v>69</v>
      </c>
      <c r="M1124" s="6" t="s">
        <v>1295</v>
      </c>
      <c r="N1124" s="5" t="s">
        <v>246</v>
      </c>
      <c r="O1124" s="32" t="s">
        <v>1212</v>
      </c>
      <c r="P1124" s="5" t="s">
        <v>1213</v>
      </c>
      <c r="Q1124" s="5" t="s">
        <v>1214</v>
      </c>
      <c r="R1124" s="5" t="s">
        <v>72</v>
      </c>
      <c r="S1124" s="5"/>
      <c r="T1124" s="5" t="s">
        <v>1240</v>
      </c>
      <c r="U1124" s="1" t="n">
        <v>1500</v>
      </c>
      <c r="V1124" s="1" t="n">
        <v>1</v>
      </c>
      <c r="W1124" s="5"/>
      <c r="X1124" s="8" t="s">
        <v>1215</v>
      </c>
      <c r="Y1124" s="1" t="n">
        <v>5500</v>
      </c>
      <c r="Z1124" s="5" t="s">
        <v>1283</v>
      </c>
      <c r="AA1124" s="5" t="s">
        <v>1284</v>
      </c>
      <c r="AB1124" s="13" t="str">
        <f aca="true" t="array" ref="AB1124:AB1124">LEFT(AA1124,LOOKUP(2^15,FIND(".",AA1124,ROW(INDIRECT("1:"&amp;LEN(AA1124)))))-1)</f>
        <v>NB_2022_061 - 22122022 - 1</v>
      </c>
      <c r="AC1124" s="5" t="s">
        <v>1285</v>
      </c>
      <c r="AD1124" s="13" t="str">
        <f aca="true" t="array" ref="AD1124:AD1124">LEFT(AC1124,LOOKUP(2^15,FIND(".",AC1124,ROW(INDIRECT("1:"&amp;LEN(AC1124)))))-1)</f>
        <v>NB_2022_061 - 22122022 - 2</v>
      </c>
      <c r="AE1124" s="5" t="str">
        <f aca="false">CONCATENATE(AB1124, "-",H1124, ".mzML")</f>
        <v>NB_2022_061 - 22122022 - 1-019.mzML</v>
      </c>
      <c r="AF1124" s="5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0" t="s">
        <v>1375</v>
      </c>
      <c r="B1125" s="31"/>
      <c r="C1125" s="3" t="s">
        <v>1376</v>
      </c>
      <c r="D1125" s="5" t="s">
        <v>19</v>
      </c>
      <c r="E1125" s="5" t="s">
        <v>1277</v>
      </c>
      <c r="F1125" s="6" t="s">
        <v>1278</v>
      </c>
      <c r="G1125" s="5" t="s">
        <v>1293</v>
      </c>
      <c r="H1125" s="24" t="s">
        <v>230</v>
      </c>
      <c r="I1125" s="5" t="str">
        <f aca="false">CONCATENATE(E1125, "_",H1125)</f>
        <v>NLA_2022_013_020</v>
      </c>
      <c r="J1125" s="35" t="s">
        <v>38</v>
      </c>
      <c r="K1125" s="5" t="s">
        <v>1296</v>
      </c>
      <c r="L1125" s="8" t="s">
        <v>69</v>
      </c>
      <c r="M1125" s="6" t="s">
        <v>1295</v>
      </c>
      <c r="N1125" s="5" t="s">
        <v>246</v>
      </c>
      <c r="O1125" s="32" t="s">
        <v>1212</v>
      </c>
      <c r="P1125" s="5" t="s">
        <v>1213</v>
      </c>
      <c r="Q1125" s="5" t="s">
        <v>1214</v>
      </c>
      <c r="R1125" s="5" t="s">
        <v>72</v>
      </c>
      <c r="S1125" s="5"/>
      <c r="T1125" s="5" t="s">
        <v>1240</v>
      </c>
      <c r="U1125" s="1" t="n">
        <v>1500</v>
      </c>
      <c r="V1125" s="1" t="n">
        <v>2</v>
      </c>
      <c r="W1125" s="5"/>
      <c r="X1125" s="8" t="s">
        <v>1215</v>
      </c>
      <c r="Y1125" s="1" t="n">
        <v>5500</v>
      </c>
      <c r="Z1125" s="5" t="s">
        <v>1283</v>
      </c>
      <c r="AA1125" s="5" t="s">
        <v>1284</v>
      </c>
      <c r="AB1125" s="13" t="str">
        <f aca="true" t="array" ref="AB1125:AB1125">LEFT(AA1125,LOOKUP(2^15,FIND(".",AA1125,ROW(INDIRECT("1:"&amp;LEN(AA1125)))))-1)</f>
        <v>NB_2022_061 - 22122022 - 1</v>
      </c>
      <c r="AC1125" s="5" t="s">
        <v>1285</v>
      </c>
      <c r="AD1125" s="13" t="str">
        <f aca="true" t="array" ref="AD1125:AD1125">LEFT(AC1125,LOOKUP(2^15,FIND(".",AC1125,ROW(INDIRECT("1:"&amp;LEN(AC1125)))))-1)</f>
        <v>NB_2022_061 - 22122022 - 2</v>
      </c>
      <c r="AE1125" s="5" t="str">
        <f aca="false">CONCATENATE(AB1125, "-",H1125, ".mzML")</f>
        <v>NB_2022_061 - 22122022 - 1-020.mzML</v>
      </c>
      <c r="AF1125" s="5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0" t="s">
        <v>1375</v>
      </c>
      <c r="B1126" s="31"/>
      <c r="C1126" s="3" t="s">
        <v>1376</v>
      </c>
      <c r="D1126" s="5" t="s">
        <v>19</v>
      </c>
      <c r="E1126" s="5" t="s">
        <v>1277</v>
      </c>
      <c r="F1126" s="6" t="s">
        <v>1278</v>
      </c>
      <c r="G1126" s="5" t="s">
        <v>1293</v>
      </c>
      <c r="H1126" s="24" t="s">
        <v>62</v>
      </c>
      <c r="I1126" s="5" t="str">
        <f aca="false">CONCATENATE(E1126, "_",H1126)</f>
        <v>NLA_2022_013_021</v>
      </c>
      <c r="J1126" s="35" t="s">
        <v>52</v>
      </c>
      <c r="K1126" s="5" t="s">
        <v>1297</v>
      </c>
      <c r="L1126" s="8" t="s">
        <v>69</v>
      </c>
      <c r="M1126" s="6" t="s">
        <v>1295</v>
      </c>
      <c r="N1126" s="5" t="s">
        <v>246</v>
      </c>
      <c r="O1126" s="32" t="s">
        <v>1212</v>
      </c>
      <c r="P1126" s="5" t="s">
        <v>1213</v>
      </c>
      <c r="Q1126" s="5" t="s">
        <v>1214</v>
      </c>
      <c r="R1126" s="5" t="s">
        <v>72</v>
      </c>
      <c r="S1126" s="5"/>
      <c r="T1126" s="5" t="s">
        <v>1243</v>
      </c>
      <c r="U1126" s="1" t="n">
        <v>1500</v>
      </c>
      <c r="V1126" s="1" t="n">
        <v>1</v>
      </c>
      <c r="W1126" s="5"/>
      <c r="X1126" s="8" t="s">
        <v>1215</v>
      </c>
      <c r="Y1126" s="1" t="n">
        <v>5500</v>
      </c>
      <c r="Z1126" s="5" t="s">
        <v>1283</v>
      </c>
      <c r="AA1126" s="5" t="s">
        <v>1284</v>
      </c>
      <c r="AB1126" s="13" t="str">
        <f aca="true" t="array" ref="AB1126:AB1126">LEFT(AA1126,LOOKUP(2^15,FIND(".",AA1126,ROW(INDIRECT("1:"&amp;LEN(AA1126)))))-1)</f>
        <v>NB_2022_061 - 22122022 - 1</v>
      </c>
      <c r="AC1126" s="5" t="s">
        <v>1285</v>
      </c>
      <c r="AD1126" s="13" t="str">
        <f aca="true" t="array" ref="AD1126:AD1126">LEFT(AC1126,LOOKUP(2^15,FIND(".",AC1126,ROW(INDIRECT("1:"&amp;LEN(AC1126)))))-1)</f>
        <v>NB_2022_061 - 22122022 - 2</v>
      </c>
      <c r="AE1126" s="5" t="str">
        <f aca="false">CONCATENATE(AB1126, "-",H1126, ".mzML")</f>
        <v>NB_2022_061 - 22122022 - 1-021.mzML</v>
      </c>
      <c r="AF1126" s="5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0" t="s">
        <v>1375</v>
      </c>
      <c r="B1127" s="31"/>
      <c r="C1127" s="3" t="s">
        <v>1376</v>
      </c>
      <c r="D1127" s="5" t="s">
        <v>19</v>
      </c>
      <c r="E1127" s="5" t="s">
        <v>1277</v>
      </c>
      <c r="F1127" s="6" t="s">
        <v>1278</v>
      </c>
      <c r="G1127" s="5" t="s">
        <v>1293</v>
      </c>
      <c r="H1127" s="24" t="s">
        <v>288</v>
      </c>
      <c r="I1127" s="5" t="str">
        <f aca="false">CONCATENATE(E1127, "_",H1127)</f>
        <v>NLA_2022_013_022</v>
      </c>
      <c r="J1127" s="35" t="s">
        <v>52</v>
      </c>
      <c r="K1127" s="5" t="s">
        <v>1298</v>
      </c>
      <c r="L1127" s="8" t="s">
        <v>69</v>
      </c>
      <c r="M1127" s="6" t="s">
        <v>1295</v>
      </c>
      <c r="N1127" s="5" t="s">
        <v>246</v>
      </c>
      <c r="O1127" s="32" t="s">
        <v>1212</v>
      </c>
      <c r="P1127" s="5" t="s">
        <v>1213</v>
      </c>
      <c r="Q1127" s="5" t="s">
        <v>1214</v>
      </c>
      <c r="R1127" s="5" t="s">
        <v>72</v>
      </c>
      <c r="S1127" s="5"/>
      <c r="T1127" s="5" t="s">
        <v>1243</v>
      </c>
      <c r="U1127" s="1" t="n">
        <v>1500</v>
      </c>
      <c r="V1127" s="1" t="n">
        <v>2</v>
      </c>
      <c r="W1127" s="5"/>
      <c r="X1127" s="8" t="s">
        <v>1215</v>
      </c>
      <c r="Y1127" s="1" t="n">
        <v>5500</v>
      </c>
      <c r="Z1127" s="5" t="s">
        <v>1283</v>
      </c>
      <c r="AA1127" s="5" t="s">
        <v>1284</v>
      </c>
      <c r="AB1127" s="13" t="str">
        <f aca="true" t="array" ref="AB1127:AB1127">LEFT(AA1127,LOOKUP(2^15,FIND(".",AA1127,ROW(INDIRECT("1:"&amp;LEN(AA1127)))))-1)</f>
        <v>NB_2022_061 - 22122022 - 1</v>
      </c>
      <c r="AC1127" s="5" t="s">
        <v>1285</v>
      </c>
      <c r="AD1127" s="13" t="str">
        <f aca="true" t="array" ref="AD1127:AD1127">LEFT(AC1127,LOOKUP(2^15,FIND(".",AC1127,ROW(INDIRECT("1:"&amp;LEN(AC1127)))))-1)</f>
        <v>NB_2022_061 - 22122022 - 2</v>
      </c>
      <c r="AE1127" s="5" t="str">
        <f aca="false">CONCATENATE(AB1127, "-",H1127, ".mzML")</f>
        <v>NB_2022_061 - 22122022 - 1-022.mzML</v>
      </c>
      <c r="AF1127" s="5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0" t="s">
        <v>1375</v>
      </c>
      <c r="B1128" s="31"/>
      <c r="C1128" s="3" t="s">
        <v>1376</v>
      </c>
      <c r="D1128" s="5" t="s">
        <v>19</v>
      </c>
      <c r="E1128" s="5" t="s">
        <v>1277</v>
      </c>
      <c r="F1128" s="6" t="s">
        <v>1278</v>
      </c>
      <c r="G1128" s="5" t="s">
        <v>1277</v>
      </c>
      <c r="H1128" s="24" t="s">
        <v>64</v>
      </c>
      <c r="I1128" s="5" t="str">
        <f aca="false">CONCATENATE(E1128, "_",H1128)</f>
        <v>NLA_2022_013_Blank_1</v>
      </c>
      <c r="J1128" s="35" t="s">
        <v>52</v>
      </c>
      <c r="K1128" s="5" t="n">
        <v>1</v>
      </c>
      <c r="L1128" s="8" t="s">
        <v>46</v>
      </c>
      <c r="M1128" s="6" t="s">
        <v>46</v>
      </c>
      <c r="N1128" s="5" t="s">
        <v>65</v>
      </c>
      <c r="O1128" s="5" t="s">
        <v>46</v>
      </c>
      <c r="P1128" s="5" t="s">
        <v>46</v>
      </c>
      <c r="Q1128" s="5" t="s">
        <v>46</v>
      </c>
      <c r="R1128" s="5" t="s">
        <v>46</v>
      </c>
      <c r="S1128" s="5" t="s">
        <v>46</v>
      </c>
      <c r="T1128" s="5" t="s">
        <v>46</v>
      </c>
      <c r="U1128" s="5" t="s">
        <v>46</v>
      </c>
      <c r="V1128" s="1" t="n">
        <v>1</v>
      </c>
      <c r="W1128" s="5"/>
      <c r="X1128" s="5" t="s">
        <v>46</v>
      </c>
      <c r="Y1128" s="5" t="n">
        <v>5500</v>
      </c>
      <c r="Z1128" s="5" t="s">
        <v>1283</v>
      </c>
      <c r="AA1128" s="5" t="s">
        <v>1284</v>
      </c>
      <c r="AB1128" s="13" t="str">
        <f aca="true" t="array" ref="AB1128:AB1128">LEFT(AA1128,LOOKUP(2^15,FIND(".",AA1128,ROW(INDIRECT("1:"&amp;LEN(AA1128)))))-1)</f>
        <v>NB_2022_061 - 22122022 - 1</v>
      </c>
      <c r="AC1128" s="5" t="s">
        <v>1285</v>
      </c>
      <c r="AD1128" s="13" t="str">
        <f aca="true" t="array" ref="AD1128:AD1128">LEFT(AC1128,LOOKUP(2^15,FIND(".",AC1128,ROW(INDIRECT("1:"&amp;LEN(AC1128)))))-1)</f>
        <v>NB_2022_061 - 22122022 - 2</v>
      </c>
      <c r="AE1128" s="5" t="str">
        <f aca="false">CONCATENATE(AB1128, "-",H1128, ".mzML")</f>
        <v>NB_2022_061 - 22122022 - 1-Blank_1.mzML</v>
      </c>
      <c r="AF1128" s="5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0" t="s">
        <v>1375</v>
      </c>
      <c r="B1129" s="31"/>
      <c r="C1129" s="3" t="s">
        <v>1376</v>
      </c>
      <c r="D1129" s="5" t="s">
        <v>19</v>
      </c>
      <c r="E1129" s="5" t="s">
        <v>1277</v>
      </c>
      <c r="F1129" s="6" t="s">
        <v>1278</v>
      </c>
      <c r="G1129" s="5" t="s">
        <v>1277</v>
      </c>
      <c r="H1129" s="24" t="s">
        <v>66</v>
      </c>
      <c r="I1129" s="5" t="str">
        <f aca="false">CONCATENATE(E1129, "_",H1129)</f>
        <v>NLA_2022_013_Blank_2</v>
      </c>
      <c r="J1129" s="35" t="s">
        <v>52</v>
      </c>
      <c r="K1129" s="5" t="n">
        <v>2</v>
      </c>
      <c r="L1129" s="8" t="s">
        <v>46</v>
      </c>
      <c r="M1129" s="6" t="s">
        <v>46</v>
      </c>
      <c r="N1129" s="5" t="s">
        <v>65</v>
      </c>
      <c r="O1129" s="5" t="s">
        <v>46</v>
      </c>
      <c r="P1129" s="5" t="s">
        <v>46</v>
      </c>
      <c r="Q1129" s="5" t="s">
        <v>46</v>
      </c>
      <c r="R1129" s="5" t="s">
        <v>46</v>
      </c>
      <c r="S1129" s="5" t="s">
        <v>46</v>
      </c>
      <c r="T1129" s="5" t="s">
        <v>46</v>
      </c>
      <c r="U1129" s="5" t="s">
        <v>46</v>
      </c>
      <c r="V1129" s="1" t="n">
        <v>2</v>
      </c>
      <c r="W1129" s="5"/>
      <c r="X1129" s="5" t="s">
        <v>46</v>
      </c>
      <c r="Y1129" s="1" t="n">
        <v>5500</v>
      </c>
      <c r="Z1129" s="5" t="s">
        <v>1283</v>
      </c>
      <c r="AA1129" s="5" t="s">
        <v>1284</v>
      </c>
      <c r="AB1129" s="13" t="str">
        <f aca="true" t="array" ref="AB1129:AB1129">LEFT(AA1129,LOOKUP(2^15,FIND(".",AA1129,ROW(INDIRECT("1:"&amp;LEN(AA1129)))))-1)</f>
        <v>NB_2022_061 - 22122022 - 1</v>
      </c>
      <c r="AC1129" s="5" t="s">
        <v>1285</v>
      </c>
      <c r="AD1129" s="13" t="str">
        <f aca="true" t="array" ref="AD1129:AD1129">LEFT(AC1129,LOOKUP(2^15,FIND(".",AC1129,ROW(INDIRECT("1:"&amp;LEN(AC1129)))))-1)</f>
        <v>NB_2022_061 - 22122022 - 2</v>
      </c>
      <c r="AE1129" s="5" t="str">
        <f aca="false">CONCATENATE(AB1129, "-",H1129, ".mzML")</f>
        <v>NB_2022_061 - 22122022 - 1-Blank_2.mzML</v>
      </c>
      <c r="AF1129" s="5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0" t="s">
        <v>1375</v>
      </c>
      <c r="B1130" s="31"/>
      <c r="C1130" s="3" t="s">
        <v>1376</v>
      </c>
      <c r="D1130" s="5" t="s">
        <v>19</v>
      </c>
      <c r="E1130" s="5" t="s">
        <v>1277</v>
      </c>
      <c r="F1130" s="6" t="s">
        <v>1278</v>
      </c>
      <c r="G1130" s="5" t="s">
        <v>1277</v>
      </c>
      <c r="H1130" s="24" t="s">
        <v>67</v>
      </c>
      <c r="I1130" s="5" t="str">
        <f aca="false">CONCATENATE(E1130, "_",H1130)</f>
        <v>NLA_2022_013_Blank_3</v>
      </c>
      <c r="J1130" s="35" t="s">
        <v>52</v>
      </c>
      <c r="K1130" s="5" t="n">
        <v>3</v>
      </c>
      <c r="L1130" s="8" t="s">
        <v>46</v>
      </c>
      <c r="M1130" s="6" t="s">
        <v>46</v>
      </c>
      <c r="N1130" s="5" t="s">
        <v>65</v>
      </c>
      <c r="O1130" s="5" t="s">
        <v>46</v>
      </c>
      <c r="P1130" s="5" t="s">
        <v>46</v>
      </c>
      <c r="Q1130" s="5" t="s">
        <v>46</v>
      </c>
      <c r="R1130" s="5" t="s">
        <v>46</v>
      </c>
      <c r="S1130" s="5" t="s">
        <v>46</v>
      </c>
      <c r="T1130" s="5" t="s">
        <v>46</v>
      </c>
      <c r="U1130" s="5" t="s">
        <v>46</v>
      </c>
      <c r="V1130" s="1" t="n">
        <v>3</v>
      </c>
      <c r="W1130" s="5"/>
      <c r="X1130" s="5" t="s">
        <v>46</v>
      </c>
      <c r="Y1130" s="1" t="n">
        <v>5500</v>
      </c>
      <c r="Z1130" s="5" t="s">
        <v>1283</v>
      </c>
      <c r="AA1130" s="5" t="s">
        <v>1284</v>
      </c>
      <c r="AB1130" s="13" t="str">
        <f aca="true" t="array" ref="AB1130:AB1130">LEFT(AA1130,LOOKUP(2^15,FIND(".",AA1130,ROW(INDIRECT("1:"&amp;LEN(AA1130)))))-1)</f>
        <v>NB_2022_061 - 22122022 - 1</v>
      </c>
      <c r="AC1130" s="5" t="s">
        <v>1285</v>
      </c>
      <c r="AD1130" s="13" t="str">
        <f aca="true" t="array" ref="AD1130:AD1130">LEFT(AC1130,LOOKUP(2^15,FIND(".",AC1130,ROW(INDIRECT("1:"&amp;LEN(AC1130)))))-1)</f>
        <v>NB_2022_061 - 22122022 - 2</v>
      </c>
      <c r="AE1130" s="5" t="str">
        <f aca="false">CONCATENATE(AB1130, "-",H1130, ".mzML")</f>
        <v>NB_2022_061 - 22122022 - 1-Blank_3.mzML</v>
      </c>
      <c r="AF1130" s="5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0" t="s">
        <v>1375</v>
      </c>
      <c r="B1131" s="31"/>
      <c r="C1131" s="3" t="s">
        <v>1376</v>
      </c>
      <c r="D1131" s="5" t="s">
        <v>19</v>
      </c>
      <c r="E1131" s="5" t="s">
        <v>1277</v>
      </c>
      <c r="F1131" s="6" t="s">
        <v>1278</v>
      </c>
      <c r="G1131" s="5" t="s">
        <v>1277</v>
      </c>
      <c r="H1131" s="24" t="s">
        <v>68</v>
      </c>
      <c r="I1131" s="5" t="str">
        <f aca="false">CONCATENATE(E1131, "_",H1131)</f>
        <v>NLA_2022_013_QC_C_1</v>
      </c>
      <c r="J1131" s="35" t="s">
        <v>52</v>
      </c>
      <c r="K1131" s="5" t="n">
        <v>1</v>
      </c>
      <c r="L1131" s="8" t="s">
        <v>69</v>
      </c>
      <c r="M1131" s="1" t="s">
        <v>46</v>
      </c>
      <c r="N1131" s="5" t="s">
        <v>70</v>
      </c>
      <c r="O1131" s="5" t="s">
        <v>46</v>
      </c>
      <c r="P1131" s="5" t="s">
        <v>71</v>
      </c>
      <c r="Q1131" s="5" t="s">
        <v>71</v>
      </c>
      <c r="R1131" s="5" t="s">
        <v>72</v>
      </c>
      <c r="S1131" s="5" t="s">
        <v>73</v>
      </c>
      <c r="T1131" s="5" t="s">
        <v>46</v>
      </c>
      <c r="U1131" s="5" t="n">
        <v>1000</v>
      </c>
      <c r="V1131" s="1" t="n">
        <v>1</v>
      </c>
      <c r="W1131" s="5"/>
      <c r="X1131" s="5" t="s">
        <v>74</v>
      </c>
      <c r="Y1131" s="5" t="n">
        <v>5500</v>
      </c>
      <c r="Z1131" s="5" t="s">
        <v>1283</v>
      </c>
      <c r="AA1131" s="5" t="s">
        <v>1284</v>
      </c>
      <c r="AB1131" s="13" t="str">
        <f aca="true" t="array" ref="AB1131:AB1131">LEFT(AA1131,LOOKUP(2^15,FIND(".",AA1131,ROW(INDIRECT("1:"&amp;LEN(AA1131)))))-1)</f>
        <v>NB_2022_061 - 22122022 - 1</v>
      </c>
      <c r="AC1131" s="5" t="s">
        <v>1285</v>
      </c>
      <c r="AD1131" s="13" t="str">
        <f aca="true" t="array" ref="AD1131:AD1131">LEFT(AC1131,LOOKUP(2^15,FIND(".",AC1131,ROW(INDIRECT("1:"&amp;LEN(AC1131)))))-1)</f>
        <v>NB_2022_061 - 22122022 - 2</v>
      </c>
      <c r="AE1131" s="5" t="str">
        <f aca="false">CONCATENATE(AB1131, "-",H1131, ".mzML")</f>
        <v>NB_2022_061 - 22122022 - 1-QC_C_1.mzML</v>
      </c>
      <c r="AF1131" s="5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0" t="s">
        <v>1375</v>
      </c>
      <c r="B1132" s="31"/>
      <c r="C1132" s="3" t="s">
        <v>1376</v>
      </c>
      <c r="D1132" s="5" t="s">
        <v>19</v>
      </c>
      <c r="E1132" s="5" t="s">
        <v>1277</v>
      </c>
      <c r="F1132" s="6" t="s">
        <v>1278</v>
      </c>
      <c r="G1132" s="5" t="s">
        <v>1277</v>
      </c>
      <c r="H1132" s="24" t="s">
        <v>75</v>
      </c>
      <c r="I1132" s="5" t="str">
        <f aca="false">CONCATENATE(E1132, "_",H1132)</f>
        <v>NLA_2022_013_QC_C_2</v>
      </c>
      <c r="J1132" s="35" t="s">
        <v>52</v>
      </c>
      <c r="K1132" s="5" t="n">
        <v>2</v>
      </c>
      <c r="L1132" s="8" t="s">
        <v>69</v>
      </c>
      <c r="M1132" s="1" t="s">
        <v>46</v>
      </c>
      <c r="N1132" s="5" t="s">
        <v>70</v>
      </c>
      <c r="O1132" s="5" t="s">
        <v>46</v>
      </c>
      <c r="P1132" s="5" t="s">
        <v>71</v>
      </c>
      <c r="Q1132" s="5" t="s">
        <v>71</v>
      </c>
      <c r="R1132" s="5" t="s">
        <v>72</v>
      </c>
      <c r="S1132" s="5" t="s">
        <v>73</v>
      </c>
      <c r="T1132" s="5" t="s">
        <v>46</v>
      </c>
      <c r="U1132" s="5" t="n">
        <v>1000</v>
      </c>
      <c r="V1132" s="1" t="n">
        <v>2</v>
      </c>
      <c r="W1132" s="5"/>
      <c r="X1132" s="5" t="s">
        <v>74</v>
      </c>
      <c r="Y1132" s="5" t="n">
        <v>5500</v>
      </c>
      <c r="Z1132" s="5" t="s">
        <v>1283</v>
      </c>
      <c r="AA1132" s="5" t="s">
        <v>1284</v>
      </c>
      <c r="AB1132" s="13" t="str">
        <f aca="true" t="array" ref="AB1132:AB1132">LEFT(AA1132,LOOKUP(2^15,FIND(".",AA1132,ROW(INDIRECT("1:"&amp;LEN(AA1132)))))-1)</f>
        <v>NB_2022_061 - 22122022 - 1</v>
      </c>
      <c r="AC1132" s="5" t="s">
        <v>1285</v>
      </c>
      <c r="AD1132" s="13" t="str">
        <f aca="true" t="array" ref="AD1132:AD1132">LEFT(AC1132,LOOKUP(2^15,FIND(".",AC1132,ROW(INDIRECT("1:"&amp;LEN(AC1132)))))-1)</f>
        <v>NB_2022_061 - 22122022 - 2</v>
      </c>
      <c r="AE1132" s="5" t="str">
        <f aca="false">CONCATENATE(AB1132, "-",H1132, ".mzML")</f>
        <v>NB_2022_061 - 22122022 - 1-QC_C_2.mzML</v>
      </c>
      <c r="AF1132" s="5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0" t="s">
        <v>1375</v>
      </c>
      <c r="B1133" s="31"/>
      <c r="C1133" s="3" t="s">
        <v>1376</v>
      </c>
      <c r="D1133" s="5" t="s">
        <v>19</v>
      </c>
      <c r="E1133" s="5" t="s">
        <v>1277</v>
      </c>
      <c r="F1133" s="6" t="s">
        <v>1278</v>
      </c>
      <c r="G1133" s="5" t="s">
        <v>1277</v>
      </c>
      <c r="H1133" s="24" t="s">
        <v>76</v>
      </c>
      <c r="I1133" s="5" t="str">
        <f aca="false">CONCATENATE(E1133, "_",H1133)</f>
        <v>NLA_2022_013_QC_C_3</v>
      </c>
      <c r="J1133" s="35" t="s">
        <v>52</v>
      </c>
      <c r="K1133" s="5" t="n">
        <v>3</v>
      </c>
      <c r="L1133" s="8" t="s">
        <v>69</v>
      </c>
      <c r="M1133" s="1" t="s">
        <v>46</v>
      </c>
      <c r="N1133" s="5" t="s">
        <v>70</v>
      </c>
      <c r="O1133" s="5" t="s">
        <v>46</v>
      </c>
      <c r="P1133" s="5" t="s">
        <v>71</v>
      </c>
      <c r="Q1133" s="5" t="s">
        <v>71</v>
      </c>
      <c r="R1133" s="5" t="s">
        <v>72</v>
      </c>
      <c r="S1133" s="5" t="s">
        <v>73</v>
      </c>
      <c r="T1133" s="5" t="s">
        <v>46</v>
      </c>
      <c r="U1133" s="5" t="n">
        <v>1000</v>
      </c>
      <c r="V1133" s="1" t="n">
        <v>3</v>
      </c>
      <c r="W1133" s="5"/>
      <c r="X1133" s="5" t="s">
        <v>74</v>
      </c>
      <c r="Y1133" s="5" t="n">
        <v>5500</v>
      </c>
      <c r="Z1133" s="5" t="s">
        <v>1283</v>
      </c>
      <c r="AA1133" s="5" t="s">
        <v>1284</v>
      </c>
      <c r="AB1133" s="13" t="str">
        <f aca="true" t="array" ref="AB1133:AB1133">LEFT(AA1133,LOOKUP(2^15,FIND(".",AA1133,ROW(INDIRECT("1:"&amp;LEN(AA1133)))))-1)</f>
        <v>NB_2022_061 - 22122022 - 1</v>
      </c>
      <c r="AC1133" s="5" t="s">
        <v>1285</v>
      </c>
      <c r="AD1133" s="13" t="str">
        <f aca="true" t="array" ref="AD1133:AD1133">LEFT(AC1133,LOOKUP(2^15,FIND(".",AC1133,ROW(INDIRECT("1:"&amp;LEN(AC1133)))))-1)</f>
        <v>NB_2022_061 - 22122022 - 2</v>
      </c>
      <c r="AE1133" s="5" t="str">
        <f aca="false">CONCATENATE(AB1133, "-",H1133, ".mzML")</f>
        <v>NB_2022_061 - 22122022 - 1-QC_C_3.mzML</v>
      </c>
      <c r="AF1133" s="5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0" t="s">
        <v>1375</v>
      </c>
      <c r="B1134" s="31"/>
      <c r="C1134" s="3" t="s">
        <v>1376</v>
      </c>
      <c r="D1134" s="5" t="s">
        <v>19</v>
      </c>
      <c r="E1134" s="5" t="s">
        <v>1277</v>
      </c>
      <c r="F1134" s="6" t="s">
        <v>1278</v>
      </c>
      <c r="G1134" s="5" t="s">
        <v>1277</v>
      </c>
      <c r="H1134" s="24" t="s">
        <v>77</v>
      </c>
      <c r="I1134" s="5" t="str">
        <f aca="false">CONCATENATE(E1134, "_",H1134)</f>
        <v>NLA_2022_013_QC_P_1</v>
      </c>
      <c r="J1134" s="35" t="s">
        <v>52</v>
      </c>
      <c r="K1134" s="5" t="n">
        <v>1</v>
      </c>
      <c r="L1134" s="8" t="s">
        <v>69</v>
      </c>
      <c r="M1134" s="6" t="s">
        <v>46</v>
      </c>
      <c r="N1134" s="5" t="s">
        <v>78</v>
      </c>
      <c r="O1134" s="5" t="s">
        <v>46</v>
      </c>
      <c r="P1134" s="5" t="s">
        <v>79</v>
      </c>
      <c r="Q1134" s="5" t="s">
        <v>80</v>
      </c>
      <c r="R1134" s="5" t="s">
        <v>81</v>
      </c>
      <c r="S1134" s="5" t="s">
        <v>46</v>
      </c>
      <c r="T1134" s="5" t="s">
        <v>46</v>
      </c>
      <c r="U1134" s="5" t="s">
        <v>82</v>
      </c>
      <c r="V1134" s="1" t="n">
        <v>1</v>
      </c>
      <c r="W1134" s="5"/>
      <c r="X1134" s="5" t="s">
        <v>83</v>
      </c>
      <c r="Y1134" s="5" t="n">
        <v>5500</v>
      </c>
      <c r="Z1134" s="5" t="s">
        <v>1283</v>
      </c>
      <c r="AA1134" s="5" t="s">
        <v>1284</v>
      </c>
      <c r="AB1134" s="13" t="str">
        <f aca="true" t="array" ref="AB1134:AB1134">LEFT(AA1134,LOOKUP(2^15,FIND(".",AA1134,ROW(INDIRECT("1:"&amp;LEN(AA1134)))))-1)</f>
        <v>NB_2022_061 - 22122022 - 1</v>
      </c>
      <c r="AC1134" s="5" t="s">
        <v>1285</v>
      </c>
      <c r="AD1134" s="13" t="str">
        <f aca="true" t="array" ref="AD1134:AD1134">LEFT(AC1134,LOOKUP(2^15,FIND(".",AC1134,ROW(INDIRECT("1:"&amp;LEN(AC1134)))))-1)</f>
        <v>NB_2022_061 - 22122022 - 2</v>
      </c>
      <c r="AE1134" s="5" t="str">
        <f aca="false">CONCATENATE(AB1134, "-",H1134, ".mzML")</f>
        <v>NB_2022_061 - 22122022 - 1-QC_P_1.mzML</v>
      </c>
      <c r="AF1134" s="5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0" t="s">
        <v>1375</v>
      </c>
      <c r="B1135" s="31"/>
      <c r="C1135" s="3" t="s">
        <v>1376</v>
      </c>
      <c r="D1135" s="5" t="s">
        <v>19</v>
      </c>
      <c r="E1135" s="5" t="s">
        <v>1277</v>
      </c>
      <c r="F1135" s="6" t="s">
        <v>1278</v>
      </c>
      <c r="G1135" s="5" t="s">
        <v>1277</v>
      </c>
      <c r="H1135" s="24" t="s">
        <v>84</v>
      </c>
      <c r="I1135" s="5" t="str">
        <f aca="false">CONCATENATE(E1135, "_",H1135)</f>
        <v>NLA_2022_013_QC_P_2</v>
      </c>
      <c r="J1135" s="35" t="s">
        <v>52</v>
      </c>
      <c r="K1135" s="5" t="n">
        <v>2</v>
      </c>
      <c r="L1135" s="8" t="s">
        <v>69</v>
      </c>
      <c r="M1135" s="6" t="s">
        <v>46</v>
      </c>
      <c r="N1135" s="5" t="s">
        <v>78</v>
      </c>
      <c r="O1135" s="5" t="s">
        <v>46</v>
      </c>
      <c r="P1135" s="5" t="s">
        <v>79</v>
      </c>
      <c r="Q1135" s="5" t="s">
        <v>80</v>
      </c>
      <c r="R1135" s="5" t="s">
        <v>81</v>
      </c>
      <c r="S1135" s="5" t="s">
        <v>46</v>
      </c>
      <c r="T1135" s="5" t="s">
        <v>46</v>
      </c>
      <c r="U1135" s="5" t="s">
        <v>82</v>
      </c>
      <c r="V1135" s="1" t="n">
        <v>2</v>
      </c>
      <c r="W1135" s="5"/>
      <c r="X1135" s="5" t="s">
        <v>83</v>
      </c>
      <c r="Y1135" s="5" t="n">
        <v>5500</v>
      </c>
      <c r="Z1135" s="5" t="s">
        <v>1283</v>
      </c>
      <c r="AA1135" s="5" t="s">
        <v>1284</v>
      </c>
      <c r="AB1135" s="13" t="str">
        <f aca="true" t="array" ref="AB1135:AB1135">LEFT(AA1135,LOOKUP(2^15,FIND(".",AA1135,ROW(INDIRECT("1:"&amp;LEN(AA1135)))))-1)</f>
        <v>NB_2022_061 - 22122022 - 1</v>
      </c>
      <c r="AC1135" s="5" t="s">
        <v>1285</v>
      </c>
      <c r="AD1135" s="13" t="str">
        <f aca="true" t="array" ref="AD1135:AD1135">LEFT(AC1135,LOOKUP(2^15,FIND(".",AC1135,ROW(INDIRECT("1:"&amp;LEN(AC1135)))))-1)</f>
        <v>NB_2022_061 - 22122022 - 2</v>
      </c>
      <c r="AE1135" s="5" t="str">
        <f aca="false">CONCATENATE(AB1135, "-",H1135, ".mzML")</f>
        <v>NB_2022_061 - 22122022 - 1-QC_P_2.mzML</v>
      </c>
      <c r="AF1135" s="5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0" t="s">
        <v>1375</v>
      </c>
      <c r="B1136" s="31"/>
      <c r="C1136" s="3" t="s">
        <v>1376</v>
      </c>
      <c r="D1136" s="5" t="s">
        <v>19</v>
      </c>
      <c r="E1136" s="5" t="s">
        <v>1277</v>
      </c>
      <c r="F1136" s="6" t="s">
        <v>1278</v>
      </c>
      <c r="G1136" s="5" t="s">
        <v>1277</v>
      </c>
      <c r="H1136" s="24" t="s">
        <v>85</v>
      </c>
      <c r="I1136" s="5" t="str">
        <f aca="false">CONCATENATE(E1136, "_",H1136)</f>
        <v>NLA_2022_013_QC_P_3</v>
      </c>
      <c r="J1136" s="35" t="s">
        <v>52</v>
      </c>
      <c r="K1136" s="5" t="n">
        <v>3</v>
      </c>
      <c r="L1136" s="8" t="s">
        <v>69</v>
      </c>
      <c r="M1136" s="6" t="s">
        <v>46</v>
      </c>
      <c r="N1136" s="5" t="s">
        <v>78</v>
      </c>
      <c r="O1136" s="5" t="s">
        <v>46</v>
      </c>
      <c r="P1136" s="5" t="s">
        <v>79</v>
      </c>
      <c r="Q1136" s="5" t="s">
        <v>80</v>
      </c>
      <c r="R1136" s="5" t="s">
        <v>81</v>
      </c>
      <c r="S1136" s="5" t="s">
        <v>46</v>
      </c>
      <c r="T1136" s="5" t="s">
        <v>46</v>
      </c>
      <c r="U1136" s="5" t="s">
        <v>82</v>
      </c>
      <c r="V1136" s="1" t="n">
        <v>3</v>
      </c>
      <c r="W1136" s="5"/>
      <c r="X1136" s="5" t="s">
        <v>83</v>
      </c>
      <c r="Y1136" s="5" t="n">
        <v>5500</v>
      </c>
      <c r="Z1136" s="5" t="s">
        <v>1283</v>
      </c>
      <c r="AA1136" s="5" t="s">
        <v>1284</v>
      </c>
      <c r="AB1136" s="13" t="str">
        <f aca="true" t="array" ref="AB1136:AB1136">LEFT(AA1136,LOOKUP(2^15,FIND(".",AA1136,ROW(INDIRECT("1:"&amp;LEN(AA1136)))))-1)</f>
        <v>NB_2022_061 - 22122022 - 1</v>
      </c>
      <c r="AC1136" s="5" t="s">
        <v>1285</v>
      </c>
      <c r="AD1136" s="13" t="str">
        <f aca="true" t="array" ref="AD1136:AD1136">LEFT(AC1136,LOOKUP(2^15,FIND(".",AC1136,ROW(INDIRECT("1:"&amp;LEN(AC1136)))))-1)</f>
        <v>NB_2022_061 - 22122022 - 2</v>
      </c>
      <c r="AE1136" s="5" t="str">
        <f aca="false">CONCATENATE(AB1136, "-",H1136, ".mzML")</f>
        <v>NB_2022_061 - 22122022 - 1-QC_P_3.mzML</v>
      </c>
      <c r="AF1136" s="5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0" t="s">
        <v>1377</v>
      </c>
      <c r="B1137" s="31"/>
      <c r="C1137" s="3" t="s">
        <v>1378</v>
      </c>
      <c r="D1137" s="5" t="s">
        <v>19</v>
      </c>
      <c r="E1137" s="5" t="s">
        <v>1277</v>
      </c>
      <c r="F1137" s="6" t="s">
        <v>1278</v>
      </c>
      <c r="G1137" s="5" t="s">
        <v>1301</v>
      </c>
      <c r="H1137" s="24" t="s">
        <v>139</v>
      </c>
      <c r="I1137" s="5" t="str">
        <f aca="false">CONCATENATE(E1137, "_",H1137)</f>
        <v>NLA_2022_013_007</v>
      </c>
      <c r="J1137" s="35" t="s">
        <v>38</v>
      </c>
      <c r="K1137" s="5" t="s">
        <v>1302</v>
      </c>
      <c r="L1137" s="8" t="s">
        <v>69</v>
      </c>
      <c r="M1137" s="6" t="s">
        <v>1303</v>
      </c>
      <c r="N1137" s="5" t="s">
        <v>246</v>
      </c>
      <c r="O1137" s="32" t="s">
        <v>1220</v>
      </c>
      <c r="P1137" s="5" t="s">
        <v>1213</v>
      </c>
      <c r="Q1137" s="5" t="s">
        <v>1213</v>
      </c>
      <c r="R1137" s="5" t="s">
        <v>72</v>
      </c>
      <c r="S1137" s="5"/>
      <c r="T1137" s="5" t="s">
        <v>1263</v>
      </c>
      <c r="U1137" s="1" t="n">
        <v>1500</v>
      </c>
      <c r="V1137" s="1" t="n">
        <v>1</v>
      </c>
      <c r="W1137" s="5"/>
      <c r="X1137" s="8" t="s">
        <v>1215</v>
      </c>
      <c r="Y1137" s="1" t="n">
        <v>5500</v>
      </c>
      <c r="Z1137" s="5" t="s">
        <v>1283</v>
      </c>
      <c r="AA1137" s="5" t="s">
        <v>1284</v>
      </c>
      <c r="AB1137" s="13" t="str">
        <f aca="true" t="array" ref="AB1137:AB1137">LEFT(AA1137,LOOKUP(2^15,FIND(".",AA1137,ROW(INDIRECT("1:"&amp;LEN(AA1137)))))-1)</f>
        <v>NB_2022_061 - 22122022 - 1</v>
      </c>
      <c r="AC1137" s="5" t="s">
        <v>1285</v>
      </c>
      <c r="AD1137" s="13" t="str">
        <f aca="true" t="array" ref="AD1137:AD1137">LEFT(AC1137,LOOKUP(2^15,FIND(".",AC1137,ROW(INDIRECT("1:"&amp;LEN(AC1137)))))-1)</f>
        <v>NB_2022_061 - 22122022 - 2</v>
      </c>
      <c r="AE1137" s="5" t="str">
        <f aca="false">CONCATENATE(AB1137, "-",H1137, ".mzML")</f>
        <v>NB_2022_061 - 22122022 - 1-007.mzML</v>
      </c>
      <c r="AF1137" s="5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0" t="s">
        <v>1377</v>
      </c>
      <c r="B1138" s="31"/>
      <c r="C1138" s="3" t="s">
        <v>1378</v>
      </c>
      <c r="D1138" s="5" t="s">
        <v>19</v>
      </c>
      <c r="E1138" s="5" t="s">
        <v>1277</v>
      </c>
      <c r="F1138" s="6" t="s">
        <v>1278</v>
      </c>
      <c r="G1138" s="5" t="s">
        <v>1301</v>
      </c>
      <c r="H1138" s="24" t="s">
        <v>142</v>
      </c>
      <c r="I1138" s="5" t="str">
        <f aca="false">CONCATENATE(E1138, "_",H1138)</f>
        <v>NLA_2022_013_008</v>
      </c>
      <c r="J1138" s="35" t="s">
        <v>38</v>
      </c>
      <c r="K1138" s="5" t="s">
        <v>1304</v>
      </c>
      <c r="L1138" s="8" t="s">
        <v>69</v>
      </c>
      <c r="M1138" s="6" t="s">
        <v>1303</v>
      </c>
      <c r="N1138" s="5" t="s">
        <v>246</v>
      </c>
      <c r="O1138" s="32" t="s">
        <v>1220</v>
      </c>
      <c r="P1138" s="5" t="s">
        <v>1213</v>
      </c>
      <c r="Q1138" s="5" t="s">
        <v>1213</v>
      </c>
      <c r="R1138" s="5" t="s">
        <v>72</v>
      </c>
      <c r="S1138" s="5"/>
      <c r="T1138" s="5" t="s">
        <v>1263</v>
      </c>
      <c r="U1138" s="1" t="n">
        <v>1500</v>
      </c>
      <c r="V1138" s="1" t="n">
        <v>2</v>
      </c>
      <c r="W1138" s="5"/>
      <c r="X1138" s="8" t="s">
        <v>1215</v>
      </c>
      <c r="Y1138" s="1" t="n">
        <v>5500</v>
      </c>
      <c r="Z1138" s="5" t="s">
        <v>1283</v>
      </c>
      <c r="AA1138" s="5" t="s">
        <v>1284</v>
      </c>
      <c r="AB1138" s="13" t="str">
        <f aca="true" t="array" ref="AB1138:AB1138">LEFT(AA1138,LOOKUP(2^15,FIND(".",AA1138,ROW(INDIRECT("1:"&amp;LEN(AA1138)))))-1)</f>
        <v>NB_2022_061 - 22122022 - 1</v>
      </c>
      <c r="AC1138" s="5" t="s">
        <v>1285</v>
      </c>
      <c r="AD1138" s="13" t="str">
        <f aca="true" t="array" ref="AD1138:AD1138">LEFT(AC1138,LOOKUP(2^15,FIND(".",AC1138,ROW(INDIRECT("1:"&amp;LEN(AC1138)))))-1)</f>
        <v>NB_2022_061 - 22122022 - 2</v>
      </c>
      <c r="AE1138" s="5" t="str">
        <f aca="false">CONCATENATE(AB1138, "-",H1138, ".mzML")</f>
        <v>NB_2022_061 - 22122022 - 1-008.mzML</v>
      </c>
      <c r="AF1138" s="5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0" t="s">
        <v>1377</v>
      </c>
      <c r="B1139" s="31"/>
      <c r="C1139" s="3" t="s">
        <v>1378</v>
      </c>
      <c r="D1139" s="5" t="s">
        <v>19</v>
      </c>
      <c r="E1139" s="5" t="s">
        <v>1277</v>
      </c>
      <c r="F1139" s="6" t="s">
        <v>1278</v>
      </c>
      <c r="G1139" s="5" t="s">
        <v>1301</v>
      </c>
      <c r="H1139" s="24" t="s">
        <v>37</v>
      </c>
      <c r="I1139" s="5" t="str">
        <f aca="false">CONCATENATE(E1139, "_",H1139)</f>
        <v>NLA_2022_013_009</v>
      </c>
      <c r="J1139" s="35" t="s">
        <v>38</v>
      </c>
      <c r="K1139" s="5" t="s">
        <v>1305</v>
      </c>
      <c r="L1139" s="8" t="s">
        <v>69</v>
      </c>
      <c r="M1139" s="6" t="s">
        <v>1303</v>
      </c>
      <c r="N1139" s="5" t="s">
        <v>246</v>
      </c>
      <c r="O1139" s="32" t="s">
        <v>1220</v>
      </c>
      <c r="P1139" s="5" t="s">
        <v>1213</v>
      </c>
      <c r="Q1139" s="5" t="s">
        <v>1213</v>
      </c>
      <c r="R1139" s="5" t="s">
        <v>72</v>
      </c>
      <c r="S1139" s="5"/>
      <c r="T1139" s="5" t="s">
        <v>1263</v>
      </c>
      <c r="U1139" s="1" t="n">
        <v>1500</v>
      </c>
      <c r="V1139" s="1" t="n">
        <v>3</v>
      </c>
      <c r="W1139" s="5"/>
      <c r="X1139" s="8" t="s">
        <v>1215</v>
      </c>
      <c r="Y1139" s="1" t="n">
        <v>5500</v>
      </c>
      <c r="Z1139" s="5" t="s">
        <v>1283</v>
      </c>
      <c r="AA1139" s="5" t="s">
        <v>1284</v>
      </c>
      <c r="AB1139" s="13" t="str">
        <f aca="true" t="array" ref="AB1139:AB1139">LEFT(AA1139,LOOKUP(2^15,FIND(".",AA1139,ROW(INDIRECT("1:"&amp;LEN(AA1139)))))-1)</f>
        <v>NB_2022_061 - 22122022 - 1</v>
      </c>
      <c r="AC1139" s="5" t="s">
        <v>1285</v>
      </c>
      <c r="AD1139" s="13" t="str">
        <f aca="true" t="array" ref="AD1139:AD1139">LEFT(AC1139,LOOKUP(2^15,FIND(".",AC1139,ROW(INDIRECT("1:"&amp;LEN(AC1139)))))-1)</f>
        <v>NB_2022_061 - 22122022 - 2</v>
      </c>
      <c r="AE1139" s="5" t="str">
        <f aca="false">CONCATENATE(AB1139, "-",H1139, ".mzML")</f>
        <v>NB_2022_061 - 22122022 - 1-009.mzML</v>
      </c>
      <c r="AF1139" s="5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0" t="s">
        <v>1377</v>
      </c>
      <c r="B1140" s="31"/>
      <c r="C1140" s="3" t="s">
        <v>1378</v>
      </c>
      <c r="D1140" s="5" t="s">
        <v>19</v>
      </c>
      <c r="E1140" s="5" t="s">
        <v>1277</v>
      </c>
      <c r="F1140" s="6" t="s">
        <v>1278</v>
      </c>
      <c r="G1140" s="5" t="s">
        <v>1301</v>
      </c>
      <c r="H1140" s="24" t="s">
        <v>129</v>
      </c>
      <c r="I1140" s="5" t="str">
        <f aca="false">CONCATENATE(E1140, "_",H1140)</f>
        <v>NLA_2022_013_010</v>
      </c>
      <c r="J1140" s="35" t="s">
        <v>52</v>
      </c>
      <c r="K1140" s="5" t="s">
        <v>1306</v>
      </c>
      <c r="L1140" s="8" t="s">
        <v>69</v>
      </c>
      <c r="M1140" s="6" t="s">
        <v>1303</v>
      </c>
      <c r="N1140" s="5" t="s">
        <v>246</v>
      </c>
      <c r="O1140" s="32" t="s">
        <v>1220</v>
      </c>
      <c r="P1140" s="5" t="s">
        <v>1213</v>
      </c>
      <c r="Q1140" s="5" t="s">
        <v>1213</v>
      </c>
      <c r="R1140" s="5" t="s">
        <v>72</v>
      </c>
      <c r="S1140" s="5"/>
      <c r="T1140" s="5" t="s">
        <v>1265</v>
      </c>
      <c r="U1140" s="1" t="n">
        <v>1500</v>
      </c>
      <c r="V1140" s="1" t="n">
        <v>1</v>
      </c>
      <c r="W1140" s="5"/>
      <c r="X1140" s="8" t="s">
        <v>1215</v>
      </c>
      <c r="Y1140" s="1" t="n">
        <v>5500</v>
      </c>
      <c r="Z1140" s="5" t="s">
        <v>1283</v>
      </c>
      <c r="AA1140" s="5" t="s">
        <v>1284</v>
      </c>
      <c r="AB1140" s="13" t="str">
        <f aca="true" t="array" ref="AB1140:AB1140">LEFT(AA1140,LOOKUP(2^15,FIND(".",AA1140,ROW(INDIRECT("1:"&amp;LEN(AA1140)))))-1)</f>
        <v>NB_2022_061 - 22122022 - 1</v>
      </c>
      <c r="AC1140" s="5" t="s">
        <v>1285</v>
      </c>
      <c r="AD1140" s="13" t="str">
        <f aca="true" t="array" ref="AD1140:AD1140">LEFT(AC1140,LOOKUP(2^15,FIND(".",AC1140,ROW(INDIRECT("1:"&amp;LEN(AC1140)))))-1)</f>
        <v>NB_2022_061 - 22122022 - 2</v>
      </c>
      <c r="AE1140" s="5" t="str">
        <f aca="false">CONCATENATE(AB1140, "-",H1140, ".mzML")</f>
        <v>NB_2022_061 - 22122022 - 1-010.mzML</v>
      </c>
      <c r="AF1140" s="5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0" t="s">
        <v>1377</v>
      </c>
      <c r="B1141" s="31"/>
      <c r="C1141" s="3" t="s">
        <v>1378</v>
      </c>
      <c r="D1141" s="5" t="s">
        <v>19</v>
      </c>
      <c r="E1141" s="5" t="s">
        <v>1277</v>
      </c>
      <c r="F1141" s="6" t="s">
        <v>1278</v>
      </c>
      <c r="G1141" s="5" t="s">
        <v>1301</v>
      </c>
      <c r="H1141" s="24" t="s">
        <v>132</v>
      </c>
      <c r="I1141" s="5" t="str">
        <f aca="false">CONCATENATE(E1141, "_",H1141)</f>
        <v>NLA_2022_013_011</v>
      </c>
      <c r="J1141" s="35" t="s">
        <v>52</v>
      </c>
      <c r="K1141" s="5" t="s">
        <v>1307</v>
      </c>
      <c r="L1141" s="8" t="s">
        <v>69</v>
      </c>
      <c r="M1141" s="6" t="s">
        <v>1303</v>
      </c>
      <c r="N1141" s="5" t="s">
        <v>246</v>
      </c>
      <c r="O1141" s="32" t="s">
        <v>1220</v>
      </c>
      <c r="P1141" s="5" t="s">
        <v>1213</v>
      </c>
      <c r="Q1141" s="5" t="s">
        <v>1213</v>
      </c>
      <c r="R1141" s="5" t="s">
        <v>72</v>
      </c>
      <c r="S1141" s="5"/>
      <c r="T1141" s="5" t="s">
        <v>1265</v>
      </c>
      <c r="U1141" s="1" t="n">
        <v>1500</v>
      </c>
      <c r="V1141" s="1" t="n">
        <v>2</v>
      </c>
      <c r="W1141" s="5"/>
      <c r="X1141" s="8" t="s">
        <v>1215</v>
      </c>
      <c r="Y1141" s="1" t="n">
        <v>5500</v>
      </c>
      <c r="Z1141" s="5" t="s">
        <v>1283</v>
      </c>
      <c r="AA1141" s="5" t="s">
        <v>1284</v>
      </c>
      <c r="AB1141" s="13" t="str">
        <f aca="true" t="array" ref="AB1141:AB1141">LEFT(AA1141,LOOKUP(2^15,FIND(".",AA1141,ROW(INDIRECT("1:"&amp;LEN(AA1141)))))-1)</f>
        <v>NB_2022_061 - 22122022 - 1</v>
      </c>
      <c r="AC1141" s="5" t="s">
        <v>1285</v>
      </c>
      <c r="AD1141" s="13" t="str">
        <f aca="true" t="array" ref="AD1141:AD1141">LEFT(AC1141,LOOKUP(2^15,FIND(".",AC1141,ROW(INDIRECT("1:"&amp;LEN(AC1141)))))-1)</f>
        <v>NB_2022_061 - 22122022 - 2</v>
      </c>
      <c r="AE1141" s="5" t="str">
        <f aca="false">CONCATENATE(AB1141, "-",H1141, ".mzML")</f>
        <v>NB_2022_061 - 22122022 - 1-011.mzML</v>
      </c>
      <c r="AF1141" s="5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0" t="s">
        <v>1377</v>
      </c>
      <c r="B1142" s="31"/>
      <c r="C1142" s="3" t="s">
        <v>1378</v>
      </c>
      <c r="D1142" s="5" t="s">
        <v>19</v>
      </c>
      <c r="E1142" s="5" t="s">
        <v>1277</v>
      </c>
      <c r="F1142" s="6" t="s">
        <v>1278</v>
      </c>
      <c r="G1142" s="5" t="s">
        <v>1301</v>
      </c>
      <c r="H1142" s="24" t="s">
        <v>51</v>
      </c>
      <c r="I1142" s="5" t="str">
        <f aca="false">CONCATENATE(E1142, "_",H1142)</f>
        <v>NLA_2022_013_012</v>
      </c>
      <c r="J1142" s="35" t="s">
        <v>52</v>
      </c>
      <c r="K1142" s="5" t="s">
        <v>1308</v>
      </c>
      <c r="L1142" s="8" t="s">
        <v>69</v>
      </c>
      <c r="M1142" s="6" t="s">
        <v>1303</v>
      </c>
      <c r="N1142" s="5" t="s">
        <v>246</v>
      </c>
      <c r="O1142" s="32" t="s">
        <v>1220</v>
      </c>
      <c r="P1142" s="5" t="s">
        <v>1213</v>
      </c>
      <c r="Q1142" s="5" t="s">
        <v>1213</v>
      </c>
      <c r="R1142" s="5" t="s">
        <v>72</v>
      </c>
      <c r="S1142" s="5"/>
      <c r="T1142" s="5" t="s">
        <v>1265</v>
      </c>
      <c r="U1142" s="1" t="n">
        <v>1500</v>
      </c>
      <c r="V1142" s="1" t="n">
        <v>3</v>
      </c>
      <c r="W1142" s="5"/>
      <c r="X1142" s="8" t="s">
        <v>1215</v>
      </c>
      <c r="Y1142" s="1" t="n">
        <v>5500</v>
      </c>
      <c r="Z1142" s="5" t="s">
        <v>1283</v>
      </c>
      <c r="AA1142" s="5" t="s">
        <v>1284</v>
      </c>
      <c r="AB1142" s="13" t="str">
        <f aca="true" t="array" ref="AB1142:AB1142">LEFT(AA1142,LOOKUP(2^15,FIND(".",AA1142,ROW(INDIRECT("1:"&amp;LEN(AA1142)))))-1)</f>
        <v>NB_2022_061 - 22122022 - 1</v>
      </c>
      <c r="AC1142" s="5" t="s">
        <v>1285</v>
      </c>
      <c r="AD1142" s="13" t="str">
        <f aca="true" t="array" ref="AD1142:AD1142">LEFT(AC1142,LOOKUP(2^15,FIND(".",AC1142,ROW(INDIRECT("1:"&amp;LEN(AC1142)))))-1)</f>
        <v>NB_2022_061 - 22122022 - 2</v>
      </c>
      <c r="AE1142" s="5" t="str">
        <f aca="false">CONCATENATE(AB1142, "-",H1142, ".mzML")</f>
        <v>NB_2022_061 - 22122022 - 1-012.mzML</v>
      </c>
      <c r="AF1142" s="5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0" t="s">
        <v>1377</v>
      </c>
      <c r="B1143" s="31"/>
      <c r="C1143" s="3" t="s">
        <v>1378</v>
      </c>
      <c r="D1143" s="5" t="s">
        <v>19</v>
      </c>
      <c r="E1143" s="5" t="s">
        <v>1277</v>
      </c>
      <c r="F1143" s="6" t="s">
        <v>1278</v>
      </c>
      <c r="G1143" s="5" t="s">
        <v>1293</v>
      </c>
      <c r="H1143" s="24" t="s">
        <v>56</v>
      </c>
      <c r="I1143" s="5" t="str">
        <f aca="false">CONCATENATE(E1143, "_",H1143)</f>
        <v>NLA_2022_013_013</v>
      </c>
      <c r="J1143" s="35" t="s">
        <v>38</v>
      </c>
      <c r="K1143" s="5" t="s">
        <v>1311</v>
      </c>
      <c r="L1143" s="8" t="s">
        <v>69</v>
      </c>
      <c r="M1143" s="6" t="s">
        <v>1295</v>
      </c>
      <c r="N1143" s="5" t="s">
        <v>246</v>
      </c>
      <c r="O1143" s="32" t="s">
        <v>1220</v>
      </c>
      <c r="P1143" s="5" t="s">
        <v>1213</v>
      </c>
      <c r="Q1143" s="5" t="s">
        <v>1213</v>
      </c>
      <c r="R1143" s="5" t="s">
        <v>72</v>
      </c>
      <c r="S1143" s="5"/>
      <c r="T1143" s="5" t="s">
        <v>1263</v>
      </c>
      <c r="U1143" s="1" t="n">
        <v>1500</v>
      </c>
      <c r="V1143" s="1" t="n">
        <v>1</v>
      </c>
      <c r="W1143" s="5"/>
      <c r="X1143" s="8" t="s">
        <v>1215</v>
      </c>
      <c r="Y1143" s="1" t="n">
        <v>5500</v>
      </c>
      <c r="Z1143" s="5" t="s">
        <v>1283</v>
      </c>
      <c r="AA1143" s="5" t="s">
        <v>1284</v>
      </c>
      <c r="AB1143" s="13" t="str">
        <f aca="true" t="array" ref="AB1143:AB1143">LEFT(AA1143,LOOKUP(2^15,FIND(".",AA1143,ROW(INDIRECT("1:"&amp;LEN(AA1143)))))-1)</f>
        <v>NB_2022_061 - 22122022 - 1</v>
      </c>
      <c r="AC1143" s="5" t="s">
        <v>1285</v>
      </c>
      <c r="AD1143" s="13" t="str">
        <f aca="true" t="array" ref="AD1143:AD1143">LEFT(AC1143,LOOKUP(2^15,FIND(".",AC1143,ROW(INDIRECT("1:"&amp;LEN(AC1143)))))-1)</f>
        <v>NB_2022_061 - 22122022 - 2</v>
      </c>
      <c r="AE1143" s="5" t="str">
        <f aca="false">CONCATENATE(AB1143, "-",H1143, ".mzML")</f>
        <v>NB_2022_061 - 22122022 - 1-013.mzML</v>
      </c>
      <c r="AF1143" s="5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0" t="s">
        <v>1377</v>
      </c>
      <c r="B1144" s="31"/>
      <c r="C1144" s="3" t="s">
        <v>1378</v>
      </c>
      <c r="D1144" s="5" t="s">
        <v>19</v>
      </c>
      <c r="E1144" s="5" t="s">
        <v>1277</v>
      </c>
      <c r="F1144" s="6" t="s">
        <v>1278</v>
      </c>
      <c r="G1144" s="5" t="s">
        <v>1293</v>
      </c>
      <c r="H1144" s="24" t="s">
        <v>58</v>
      </c>
      <c r="I1144" s="5" t="str">
        <f aca="false">CONCATENATE(E1144, "_",H1144)</f>
        <v>NLA_2022_013_014</v>
      </c>
      <c r="J1144" s="35" t="s">
        <v>38</v>
      </c>
      <c r="K1144" s="5" t="s">
        <v>1312</v>
      </c>
      <c r="L1144" s="8" t="s">
        <v>69</v>
      </c>
      <c r="M1144" s="6" t="s">
        <v>1295</v>
      </c>
      <c r="N1144" s="5" t="s">
        <v>246</v>
      </c>
      <c r="O1144" s="32" t="s">
        <v>1220</v>
      </c>
      <c r="P1144" s="5" t="s">
        <v>1213</v>
      </c>
      <c r="Q1144" s="5" t="s">
        <v>1213</v>
      </c>
      <c r="R1144" s="5" t="s">
        <v>72</v>
      </c>
      <c r="S1144" s="5"/>
      <c r="T1144" s="5" t="s">
        <v>1263</v>
      </c>
      <c r="U1144" s="1" t="n">
        <v>1500</v>
      </c>
      <c r="V1144" s="1" t="n">
        <v>2</v>
      </c>
      <c r="W1144" s="5"/>
      <c r="X1144" s="8" t="s">
        <v>1215</v>
      </c>
      <c r="Y1144" s="1" t="n">
        <v>5500</v>
      </c>
      <c r="Z1144" s="5" t="s">
        <v>1283</v>
      </c>
      <c r="AA1144" s="5" t="s">
        <v>1284</v>
      </c>
      <c r="AB1144" s="13" t="str">
        <f aca="true" t="array" ref="AB1144:AB1144">LEFT(AA1144,LOOKUP(2^15,FIND(".",AA1144,ROW(INDIRECT("1:"&amp;LEN(AA1144)))))-1)</f>
        <v>NB_2022_061 - 22122022 - 1</v>
      </c>
      <c r="AC1144" s="5" t="s">
        <v>1285</v>
      </c>
      <c r="AD1144" s="13" t="str">
        <f aca="true" t="array" ref="AD1144:AD1144">LEFT(AC1144,LOOKUP(2^15,FIND(".",AC1144,ROW(INDIRECT("1:"&amp;LEN(AC1144)))))-1)</f>
        <v>NB_2022_061 - 22122022 - 2</v>
      </c>
      <c r="AE1144" s="5" t="str">
        <f aca="false">CONCATENATE(AB1144, "-",H1144, ".mzML")</f>
        <v>NB_2022_061 - 22122022 - 1-014.mzML</v>
      </c>
      <c r="AF1144" s="5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0" t="s">
        <v>1377</v>
      </c>
      <c r="B1145" s="31"/>
      <c r="C1145" s="3" t="s">
        <v>1378</v>
      </c>
      <c r="D1145" s="5" t="s">
        <v>19</v>
      </c>
      <c r="E1145" s="5" t="s">
        <v>1277</v>
      </c>
      <c r="F1145" s="6" t="s">
        <v>1278</v>
      </c>
      <c r="G1145" s="5" t="s">
        <v>1293</v>
      </c>
      <c r="H1145" s="24" t="s">
        <v>172</v>
      </c>
      <c r="I1145" s="5" t="str">
        <f aca="false">CONCATENATE(E1145, "_",H1145)</f>
        <v>NLA_2022_013_015</v>
      </c>
      <c r="J1145" s="35" t="s">
        <v>38</v>
      </c>
      <c r="K1145" s="5" t="s">
        <v>1313</v>
      </c>
      <c r="L1145" s="8" t="s">
        <v>69</v>
      </c>
      <c r="M1145" s="6" t="s">
        <v>1295</v>
      </c>
      <c r="N1145" s="5" t="s">
        <v>246</v>
      </c>
      <c r="O1145" s="32" t="s">
        <v>1220</v>
      </c>
      <c r="P1145" s="5" t="s">
        <v>1213</v>
      </c>
      <c r="Q1145" s="5" t="s">
        <v>1213</v>
      </c>
      <c r="R1145" s="5" t="s">
        <v>72</v>
      </c>
      <c r="S1145" s="5"/>
      <c r="T1145" s="5" t="s">
        <v>1263</v>
      </c>
      <c r="U1145" s="1" t="n">
        <v>1500</v>
      </c>
      <c r="V1145" s="1" t="n">
        <v>3</v>
      </c>
      <c r="W1145" s="5"/>
      <c r="X1145" s="8" t="s">
        <v>1215</v>
      </c>
      <c r="Y1145" s="1" t="n">
        <v>5500</v>
      </c>
      <c r="Z1145" s="5" t="s">
        <v>1283</v>
      </c>
      <c r="AA1145" s="5" t="s">
        <v>1284</v>
      </c>
      <c r="AB1145" s="13" t="str">
        <f aca="true" t="array" ref="AB1145:AB1145">LEFT(AA1145,LOOKUP(2^15,FIND(".",AA1145,ROW(INDIRECT("1:"&amp;LEN(AA1145)))))-1)</f>
        <v>NB_2022_061 - 22122022 - 1</v>
      </c>
      <c r="AC1145" s="5" t="s">
        <v>1285</v>
      </c>
      <c r="AD1145" s="13" t="str">
        <f aca="true" t="array" ref="AD1145:AD1145">LEFT(AC1145,LOOKUP(2^15,FIND(".",AC1145,ROW(INDIRECT("1:"&amp;LEN(AC1145)))))-1)</f>
        <v>NB_2022_061 - 22122022 - 2</v>
      </c>
      <c r="AE1145" s="5" t="str">
        <f aca="false">CONCATENATE(AB1145, "-",H1145, ".mzML")</f>
        <v>NB_2022_061 - 22122022 - 1-015.mzML</v>
      </c>
      <c r="AF1145" s="5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0" t="s">
        <v>1377</v>
      </c>
      <c r="B1146" s="31"/>
      <c r="C1146" s="3" t="s">
        <v>1378</v>
      </c>
      <c r="D1146" s="5" t="s">
        <v>19</v>
      </c>
      <c r="E1146" s="5" t="s">
        <v>1277</v>
      </c>
      <c r="F1146" s="6" t="s">
        <v>1278</v>
      </c>
      <c r="G1146" s="5" t="s">
        <v>1293</v>
      </c>
      <c r="H1146" s="24" t="s">
        <v>60</v>
      </c>
      <c r="I1146" s="5" t="str">
        <f aca="false">CONCATENATE(E1146, "_",H1146)</f>
        <v>NLA_2022_013_016</v>
      </c>
      <c r="J1146" s="35" t="s">
        <v>52</v>
      </c>
      <c r="K1146" s="5" t="s">
        <v>1314</v>
      </c>
      <c r="L1146" s="8" t="s">
        <v>69</v>
      </c>
      <c r="M1146" s="6" t="s">
        <v>1295</v>
      </c>
      <c r="N1146" s="5" t="s">
        <v>246</v>
      </c>
      <c r="O1146" s="32" t="s">
        <v>1220</v>
      </c>
      <c r="P1146" s="5" t="s">
        <v>1213</v>
      </c>
      <c r="Q1146" s="5" t="s">
        <v>1213</v>
      </c>
      <c r="R1146" s="5" t="s">
        <v>72</v>
      </c>
      <c r="S1146" s="5"/>
      <c r="T1146" s="5" t="s">
        <v>1265</v>
      </c>
      <c r="U1146" s="1" t="n">
        <v>1500</v>
      </c>
      <c r="V1146" s="1" t="n">
        <v>1</v>
      </c>
      <c r="W1146" s="5"/>
      <c r="X1146" s="8" t="s">
        <v>1215</v>
      </c>
      <c r="Y1146" s="1" t="n">
        <v>5500</v>
      </c>
      <c r="Z1146" s="5" t="s">
        <v>1283</v>
      </c>
      <c r="AA1146" s="5" t="s">
        <v>1284</v>
      </c>
      <c r="AB1146" s="13" t="str">
        <f aca="true" t="array" ref="AB1146:AB1146">LEFT(AA1146,LOOKUP(2^15,FIND(".",AA1146,ROW(INDIRECT("1:"&amp;LEN(AA1146)))))-1)</f>
        <v>NB_2022_061 - 22122022 - 1</v>
      </c>
      <c r="AC1146" s="5" t="s">
        <v>1285</v>
      </c>
      <c r="AD1146" s="13" t="str">
        <f aca="true" t="array" ref="AD1146:AD1146">LEFT(AC1146,LOOKUP(2^15,FIND(".",AC1146,ROW(INDIRECT("1:"&amp;LEN(AC1146)))))-1)</f>
        <v>NB_2022_061 - 22122022 - 2</v>
      </c>
      <c r="AE1146" s="5" t="str">
        <f aca="false">CONCATENATE(AB1146, "-",H1146, ".mzML")</f>
        <v>NB_2022_061 - 22122022 - 1-016.mzML</v>
      </c>
      <c r="AF1146" s="5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0" t="s">
        <v>1377</v>
      </c>
      <c r="B1147" s="31"/>
      <c r="C1147" s="3" t="s">
        <v>1378</v>
      </c>
      <c r="D1147" s="5" t="s">
        <v>19</v>
      </c>
      <c r="E1147" s="5" t="s">
        <v>1277</v>
      </c>
      <c r="F1147" s="6" t="s">
        <v>1278</v>
      </c>
      <c r="G1147" s="5" t="s">
        <v>1293</v>
      </c>
      <c r="H1147" s="24" t="s">
        <v>181</v>
      </c>
      <c r="I1147" s="5" t="str">
        <f aca="false">CONCATENATE(E1147, "_",H1147)</f>
        <v>NLA_2022_013_017</v>
      </c>
      <c r="J1147" s="35" t="s">
        <v>52</v>
      </c>
      <c r="K1147" s="5" t="s">
        <v>1315</v>
      </c>
      <c r="L1147" s="8" t="s">
        <v>69</v>
      </c>
      <c r="M1147" s="6" t="s">
        <v>1295</v>
      </c>
      <c r="N1147" s="5" t="s">
        <v>246</v>
      </c>
      <c r="O1147" s="32" t="s">
        <v>1220</v>
      </c>
      <c r="P1147" s="5" t="s">
        <v>1213</v>
      </c>
      <c r="Q1147" s="5" t="s">
        <v>1213</v>
      </c>
      <c r="R1147" s="5" t="s">
        <v>72</v>
      </c>
      <c r="S1147" s="5"/>
      <c r="T1147" s="5" t="s">
        <v>1265</v>
      </c>
      <c r="U1147" s="1" t="n">
        <v>1500</v>
      </c>
      <c r="V1147" s="1" t="n">
        <v>2</v>
      </c>
      <c r="W1147" s="5"/>
      <c r="X1147" s="8" t="s">
        <v>1215</v>
      </c>
      <c r="Y1147" s="1" t="n">
        <v>5500</v>
      </c>
      <c r="Z1147" s="5" t="s">
        <v>1283</v>
      </c>
      <c r="AA1147" s="5" t="s">
        <v>1284</v>
      </c>
      <c r="AB1147" s="13" t="str">
        <f aca="true" t="array" ref="AB1147:AB1147">LEFT(AA1147,LOOKUP(2^15,FIND(".",AA1147,ROW(INDIRECT("1:"&amp;LEN(AA1147)))))-1)</f>
        <v>NB_2022_061 - 22122022 - 1</v>
      </c>
      <c r="AC1147" s="5" t="s">
        <v>1285</v>
      </c>
      <c r="AD1147" s="13" t="str">
        <f aca="true" t="array" ref="AD1147:AD1147">LEFT(AC1147,LOOKUP(2^15,FIND(".",AC1147,ROW(INDIRECT("1:"&amp;LEN(AC1147)))))-1)</f>
        <v>NB_2022_061 - 22122022 - 2</v>
      </c>
      <c r="AE1147" s="5" t="str">
        <f aca="false">CONCATENATE(AB1147, "-",H1147, ".mzML")</f>
        <v>NB_2022_061 - 22122022 - 1-017.mzML</v>
      </c>
      <c r="AF1147" s="5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0" t="s">
        <v>1377</v>
      </c>
      <c r="B1148" s="31"/>
      <c r="C1148" s="3" t="s">
        <v>1378</v>
      </c>
      <c r="D1148" s="5" t="s">
        <v>19</v>
      </c>
      <c r="E1148" s="5" t="s">
        <v>1277</v>
      </c>
      <c r="F1148" s="6" t="s">
        <v>1278</v>
      </c>
      <c r="G1148" s="5" t="s">
        <v>1293</v>
      </c>
      <c r="H1148" s="24" t="s">
        <v>93</v>
      </c>
      <c r="I1148" s="5" t="str">
        <f aca="false">CONCATENATE(E1148, "_",H1148)</f>
        <v>NLA_2022_013_018</v>
      </c>
      <c r="J1148" s="35" t="s">
        <v>52</v>
      </c>
      <c r="K1148" s="5" t="s">
        <v>1316</v>
      </c>
      <c r="L1148" s="8" t="s">
        <v>69</v>
      </c>
      <c r="M1148" s="6" t="s">
        <v>1295</v>
      </c>
      <c r="N1148" s="5" t="s">
        <v>246</v>
      </c>
      <c r="O1148" s="32" t="s">
        <v>1220</v>
      </c>
      <c r="P1148" s="5" t="s">
        <v>1213</v>
      </c>
      <c r="Q1148" s="5" t="s">
        <v>1213</v>
      </c>
      <c r="R1148" s="5" t="s">
        <v>72</v>
      </c>
      <c r="S1148" s="5"/>
      <c r="T1148" s="5" t="s">
        <v>1265</v>
      </c>
      <c r="U1148" s="1" t="n">
        <v>1500</v>
      </c>
      <c r="V1148" s="1" t="n">
        <v>3</v>
      </c>
      <c r="W1148" s="5"/>
      <c r="X1148" s="8" t="s">
        <v>1215</v>
      </c>
      <c r="Y1148" s="1" t="n">
        <v>5500</v>
      </c>
      <c r="Z1148" s="5" t="s">
        <v>1283</v>
      </c>
      <c r="AA1148" s="5" t="s">
        <v>1284</v>
      </c>
      <c r="AB1148" s="13" t="str">
        <f aca="true" t="array" ref="AB1148:AB1148">LEFT(AA1148,LOOKUP(2^15,FIND(".",AA1148,ROW(INDIRECT("1:"&amp;LEN(AA1148)))))-1)</f>
        <v>NB_2022_061 - 22122022 - 1</v>
      </c>
      <c r="AC1148" s="5" t="s">
        <v>1285</v>
      </c>
      <c r="AD1148" s="13" t="str">
        <f aca="true" t="array" ref="AD1148:AD1148">LEFT(AC1148,LOOKUP(2^15,FIND(".",AC1148,ROW(INDIRECT("1:"&amp;LEN(AC1148)))))-1)</f>
        <v>NB_2022_061 - 22122022 - 2</v>
      </c>
      <c r="AE1148" s="5" t="str">
        <f aca="false">CONCATENATE(AB1148, "-",H1148, ".mzML")</f>
        <v>NB_2022_061 - 22122022 - 1-018.mzML</v>
      </c>
      <c r="AF1148" s="5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0" t="s">
        <v>1377</v>
      </c>
      <c r="B1149" s="31"/>
      <c r="C1149" s="3" t="s">
        <v>1378</v>
      </c>
      <c r="D1149" s="5" t="s">
        <v>19</v>
      </c>
      <c r="E1149" s="5" t="s">
        <v>1277</v>
      </c>
      <c r="F1149" s="6" t="s">
        <v>1278</v>
      </c>
      <c r="G1149" s="5" t="s">
        <v>1277</v>
      </c>
      <c r="H1149" s="24" t="s">
        <v>64</v>
      </c>
      <c r="I1149" s="5" t="str">
        <f aca="false">CONCATENATE(E1149, "_",H1149)</f>
        <v>NLA_2022_013_Blank_1</v>
      </c>
      <c r="J1149" s="35" t="s">
        <v>52</v>
      </c>
      <c r="K1149" s="5" t="n">
        <v>1</v>
      </c>
      <c r="L1149" s="8" t="s">
        <v>46</v>
      </c>
      <c r="M1149" s="6" t="s">
        <v>46</v>
      </c>
      <c r="N1149" s="5" t="s">
        <v>65</v>
      </c>
      <c r="O1149" s="5" t="s">
        <v>46</v>
      </c>
      <c r="P1149" s="5" t="s">
        <v>46</v>
      </c>
      <c r="Q1149" s="5" t="s">
        <v>46</v>
      </c>
      <c r="R1149" s="5" t="s">
        <v>46</v>
      </c>
      <c r="S1149" s="5" t="s">
        <v>46</v>
      </c>
      <c r="T1149" s="5" t="s">
        <v>46</v>
      </c>
      <c r="U1149" s="5" t="s">
        <v>46</v>
      </c>
      <c r="V1149" s="1" t="n">
        <v>1</v>
      </c>
      <c r="W1149" s="5"/>
      <c r="X1149" s="5" t="s">
        <v>46</v>
      </c>
      <c r="Y1149" s="1" t="n">
        <v>5500</v>
      </c>
      <c r="Z1149" s="5" t="s">
        <v>1283</v>
      </c>
      <c r="AA1149" s="5" t="s">
        <v>1284</v>
      </c>
      <c r="AB1149" s="13" t="str">
        <f aca="true" t="array" ref="AB1149:AB1149">LEFT(AA1149,LOOKUP(2^15,FIND(".",AA1149,ROW(INDIRECT("1:"&amp;LEN(AA1149)))))-1)</f>
        <v>NB_2022_061 - 22122022 - 1</v>
      </c>
      <c r="AC1149" s="5" t="s">
        <v>1285</v>
      </c>
      <c r="AD1149" s="13" t="str">
        <f aca="true" t="array" ref="AD1149:AD1149">LEFT(AC1149,LOOKUP(2^15,FIND(".",AC1149,ROW(INDIRECT("1:"&amp;LEN(AC1149)))))-1)</f>
        <v>NB_2022_061 - 22122022 - 2</v>
      </c>
      <c r="AE1149" s="5" t="str">
        <f aca="false">CONCATENATE(AB1149, "-",H1149, ".mzML")</f>
        <v>NB_2022_061 - 22122022 - 1-Blank_1.mzML</v>
      </c>
      <c r="AF1149" s="5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0" t="s">
        <v>1377</v>
      </c>
      <c r="B1150" s="31"/>
      <c r="C1150" s="3" t="s">
        <v>1378</v>
      </c>
      <c r="D1150" s="5" t="s">
        <v>19</v>
      </c>
      <c r="E1150" s="5" t="s">
        <v>1277</v>
      </c>
      <c r="F1150" s="6" t="s">
        <v>1278</v>
      </c>
      <c r="G1150" s="5" t="s">
        <v>1277</v>
      </c>
      <c r="H1150" s="24" t="s">
        <v>66</v>
      </c>
      <c r="I1150" s="5" t="str">
        <f aca="false">CONCATENATE(E1150, "_",H1150)</f>
        <v>NLA_2022_013_Blank_2</v>
      </c>
      <c r="J1150" s="35" t="s">
        <v>52</v>
      </c>
      <c r="K1150" s="5" t="n">
        <v>2</v>
      </c>
      <c r="L1150" s="8" t="s">
        <v>46</v>
      </c>
      <c r="M1150" s="6" t="s">
        <v>46</v>
      </c>
      <c r="N1150" s="5" t="s">
        <v>65</v>
      </c>
      <c r="O1150" s="5" t="s">
        <v>46</v>
      </c>
      <c r="P1150" s="5" t="s">
        <v>46</v>
      </c>
      <c r="Q1150" s="5" t="s">
        <v>46</v>
      </c>
      <c r="R1150" s="5" t="s">
        <v>46</v>
      </c>
      <c r="S1150" s="5" t="s">
        <v>46</v>
      </c>
      <c r="T1150" s="5" t="s">
        <v>46</v>
      </c>
      <c r="U1150" s="5" t="s">
        <v>46</v>
      </c>
      <c r="V1150" s="1" t="n">
        <v>2</v>
      </c>
      <c r="W1150" s="5"/>
      <c r="X1150" s="5" t="s">
        <v>46</v>
      </c>
      <c r="Y1150" s="1" t="n">
        <v>5500</v>
      </c>
      <c r="Z1150" s="5" t="s">
        <v>1283</v>
      </c>
      <c r="AA1150" s="5" t="s">
        <v>1284</v>
      </c>
      <c r="AB1150" s="13" t="str">
        <f aca="true" t="array" ref="AB1150:AB1150">LEFT(AA1150,LOOKUP(2^15,FIND(".",AA1150,ROW(INDIRECT("1:"&amp;LEN(AA1150)))))-1)</f>
        <v>NB_2022_061 - 22122022 - 1</v>
      </c>
      <c r="AC1150" s="5" t="s">
        <v>1285</v>
      </c>
      <c r="AD1150" s="13" t="str">
        <f aca="true" t="array" ref="AD1150:AD1150">LEFT(AC1150,LOOKUP(2^15,FIND(".",AC1150,ROW(INDIRECT("1:"&amp;LEN(AC1150)))))-1)</f>
        <v>NB_2022_061 - 22122022 - 2</v>
      </c>
      <c r="AE1150" s="5" t="str">
        <f aca="false">CONCATENATE(AB1150, "-",H1150, ".mzML")</f>
        <v>NB_2022_061 - 22122022 - 1-Blank_2.mzML</v>
      </c>
      <c r="AF1150" s="5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0" t="s">
        <v>1377</v>
      </c>
      <c r="B1151" s="31"/>
      <c r="C1151" s="3" t="s">
        <v>1378</v>
      </c>
      <c r="D1151" s="5" t="s">
        <v>19</v>
      </c>
      <c r="E1151" s="5" t="s">
        <v>1277</v>
      </c>
      <c r="F1151" s="6" t="s">
        <v>1278</v>
      </c>
      <c r="G1151" s="5" t="s">
        <v>1277</v>
      </c>
      <c r="H1151" s="24" t="s">
        <v>67</v>
      </c>
      <c r="I1151" s="5" t="str">
        <f aca="false">CONCATENATE(E1151, "_",H1151)</f>
        <v>NLA_2022_013_Blank_3</v>
      </c>
      <c r="J1151" s="35" t="s">
        <v>52</v>
      </c>
      <c r="K1151" s="5" t="n">
        <v>3</v>
      </c>
      <c r="L1151" s="8" t="s">
        <v>46</v>
      </c>
      <c r="M1151" s="6" t="s">
        <v>46</v>
      </c>
      <c r="N1151" s="5" t="s">
        <v>65</v>
      </c>
      <c r="O1151" s="5" t="s">
        <v>46</v>
      </c>
      <c r="P1151" s="5" t="s">
        <v>46</v>
      </c>
      <c r="Q1151" s="5" t="s">
        <v>46</v>
      </c>
      <c r="R1151" s="5" t="s">
        <v>46</v>
      </c>
      <c r="S1151" s="5" t="s">
        <v>46</v>
      </c>
      <c r="T1151" s="5" t="s">
        <v>46</v>
      </c>
      <c r="U1151" s="5" t="s">
        <v>46</v>
      </c>
      <c r="V1151" s="1" t="n">
        <v>3</v>
      </c>
      <c r="W1151" s="5"/>
      <c r="X1151" s="5" t="s">
        <v>46</v>
      </c>
      <c r="Y1151" s="1" t="n">
        <v>5500</v>
      </c>
      <c r="Z1151" s="5" t="s">
        <v>1283</v>
      </c>
      <c r="AA1151" s="5" t="s">
        <v>1284</v>
      </c>
      <c r="AB1151" s="13" t="str">
        <f aca="true" t="array" ref="AB1151:AB1151">LEFT(AA1151,LOOKUP(2^15,FIND(".",AA1151,ROW(INDIRECT("1:"&amp;LEN(AA1151)))))-1)</f>
        <v>NB_2022_061 - 22122022 - 1</v>
      </c>
      <c r="AC1151" s="5" t="s">
        <v>1285</v>
      </c>
      <c r="AD1151" s="13" t="str">
        <f aca="true" t="array" ref="AD1151:AD1151">LEFT(AC1151,LOOKUP(2^15,FIND(".",AC1151,ROW(INDIRECT("1:"&amp;LEN(AC1151)))))-1)</f>
        <v>NB_2022_061 - 22122022 - 2</v>
      </c>
      <c r="AE1151" s="5" t="str">
        <f aca="false">CONCATENATE(AB1151, "-",H1151, ".mzML")</f>
        <v>NB_2022_061 - 22122022 - 1-Blank_3.mzML</v>
      </c>
      <c r="AF1151" s="5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0" t="s">
        <v>1377</v>
      </c>
      <c r="B1152" s="31"/>
      <c r="C1152" s="3" t="s">
        <v>1378</v>
      </c>
      <c r="D1152" s="5" t="s">
        <v>19</v>
      </c>
      <c r="E1152" s="5" t="s">
        <v>1277</v>
      </c>
      <c r="F1152" s="6" t="s">
        <v>1278</v>
      </c>
      <c r="G1152" s="5" t="s">
        <v>1277</v>
      </c>
      <c r="H1152" s="24" t="s">
        <v>68</v>
      </c>
      <c r="I1152" s="5" t="str">
        <f aca="false">CONCATENATE(E1152, "_",H1152)</f>
        <v>NLA_2022_013_QC_C_1</v>
      </c>
      <c r="J1152" s="35" t="s">
        <v>52</v>
      </c>
      <c r="K1152" s="5" t="n">
        <v>1</v>
      </c>
      <c r="L1152" s="8" t="s">
        <v>69</v>
      </c>
      <c r="M1152" s="1" t="s">
        <v>46</v>
      </c>
      <c r="N1152" s="5" t="s">
        <v>70</v>
      </c>
      <c r="O1152" s="5" t="s">
        <v>46</v>
      </c>
      <c r="P1152" s="5" t="s">
        <v>71</v>
      </c>
      <c r="Q1152" s="5" t="s">
        <v>71</v>
      </c>
      <c r="R1152" s="5" t="s">
        <v>72</v>
      </c>
      <c r="S1152" s="5" t="s">
        <v>73</v>
      </c>
      <c r="T1152" s="5" t="s">
        <v>46</v>
      </c>
      <c r="U1152" s="5" t="n">
        <v>1000</v>
      </c>
      <c r="V1152" s="1" t="n">
        <v>1</v>
      </c>
      <c r="W1152" s="5"/>
      <c r="X1152" s="5" t="s">
        <v>74</v>
      </c>
      <c r="Y1152" s="5" t="n">
        <v>5500</v>
      </c>
      <c r="Z1152" s="5" t="s">
        <v>1283</v>
      </c>
      <c r="AA1152" s="5" t="s">
        <v>1284</v>
      </c>
      <c r="AB1152" s="13" t="str">
        <f aca="true" t="array" ref="AB1152:AB1152">LEFT(AA1152,LOOKUP(2^15,FIND(".",AA1152,ROW(INDIRECT("1:"&amp;LEN(AA1152)))))-1)</f>
        <v>NB_2022_061 - 22122022 - 1</v>
      </c>
      <c r="AC1152" s="5" t="s">
        <v>1285</v>
      </c>
      <c r="AD1152" s="13" t="str">
        <f aca="true" t="array" ref="AD1152:AD1152">LEFT(AC1152,LOOKUP(2^15,FIND(".",AC1152,ROW(INDIRECT("1:"&amp;LEN(AC1152)))))-1)</f>
        <v>NB_2022_061 - 22122022 - 2</v>
      </c>
      <c r="AE1152" s="5" t="str">
        <f aca="false">CONCATENATE(AB1152, "-",H1152, ".mzML")</f>
        <v>NB_2022_061 - 22122022 - 1-QC_C_1.mzML</v>
      </c>
      <c r="AF1152" s="5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0" t="s">
        <v>1377</v>
      </c>
      <c r="B1153" s="31"/>
      <c r="C1153" s="3" t="s">
        <v>1378</v>
      </c>
      <c r="D1153" s="5" t="s">
        <v>19</v>
      </c>
      <c r="E1153" s="5" t="s">
        <v>1277</v>
      </c>
      <c r="F1153" s="6" t="s">
        <v>1278</v>
      </c>
      <c r="G1153" s="5" t="s">
        <v>1277</v>
      </c>
      <c r="H1153" s="24" t="s">
        <v>75</v>
      </c>
      <c r="I1153" s="5" t="str">
        <f aca="false">CONCATENATE(E1153, "_",H1153)</f>
        <v>NLA_2022_013_QC_C_2</v>
      </c>
      <c r="J1153" s="35" t="s">
        <v>52</v>
      </c>
      <c r="K1153" s="5" t="n">
        <v>2</v>
      </c>
      <c r="L1153" s="8" t="s">
        <v>69</v>
      </c>
      <c r="M1153" s="1" t="s">
        <v>46</v>
      </c>
      <c r="N1153" s="5" t="s">
        <v>70</v>
      </c>
      <c r="O1153" s="5" t="s">
        <v>46</v>
      </c>
      <c r="P1153" s="5" t="s">
        <v>71</v>
      </c>
      <c r="Q1153" s="5" t="s">
        <v>71</v>
      </c>
      <c r="R1153" s="5" t="s">
        <v>72</v>
      </c>
      <c r="S1153" s="5" t="s">
        <v>73</v>
      </c>
      <c r="T1153" s="5" t="s">
        <v>46</v>
      </c>
      <c r="U1153" s="5" t="n">
        <v>1000</v>
      </c>
      <c r="V1153" s="1" t="n">
        <v>2</v>
      </c>
      <c r="W1153" s="5"/>
      <c r="X1153" s="5" t="s">
        <v>74</v>
      </c>
      <c r="Y1153" s="5" t="n">
        <v>5500</v>
      </c>
      <c r="Z1153" s="5" t="s">
        <v>1283</v>
      </c>
      <c r="AA1153" s="5" t="s">
        <v>1284</v>
      </c>
      <c r="AB1153" s="13" t="str">
        <f aca="true" t="array" ref="AB1153:AB1153">LEFT(AA1153,LOOKUP(2^15,FIND(".",AA1153,ROW(INDIRECT("1:"&amp;LEN(AA1153)))))-1)</f>
        <v>NB_2022_061 - 22122022 - 1</v>
      </c>
      <c r="AC1153" s="5" t="s">
        <v>1285</v>
      </c>
      <c r="AD1153" s="13" t="str">
        <f aca="true" t="array" ref="AD1153:AD1153">LEFT(AC1153,LOOKUP(2^15,FIND(".",AC1153,ROW(INDIRECT("1:"&amp;LEN(AC1153)))))-1)</f>
        <v>NB_2022_061 - 22122022 - 2</v>
      </c>
      <c r="AE1153" s="5" t="str">
        <f aca="false">CONCATENATE(AB1153, "-",H1153, ".mzML")</f>
        <v>NB_2022_061 - 22122022 - 1-QC_C_2.mzML</v>
      </c>
      <c r="AF1153" s="5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0" t="s">
        <v>1377</v>
      </c>
      <c r="B1154" s="31"/>
      <c r="C1154" s="3" t="s">
        <v>1378</v>
      </c>
      <c r="D1154" s="5" t="s">
        <v>19</v>
      </c>
      <c r="E1154" s="5" t="s">
        <v>1277</v>
      </c>
      <c r="F1154" s="6" t="s">
        <v>1278</v>
      </c>
      <c r="G1154" s="5" t="s">
        <v>1277</v>
      </c>
      <c r="H1154" s="24" t="s">
        <v>76</v>
      </c>
      <c r="I1154" s="5" t="str">
        <f aca="false">CONCATENATE(E1154, "_",H1154)</f>
        <v>NLA_2022_013_QC_C_3</v>
      </c>
      <c r="J1154" s="35" t="s">
        <v>52</v>
      </c>
      <c r="K1154" s="5" t="n">
        <v>3</v>
      </c>
      <c r="L1154" s="8" t="s">
        <v>69</v>
      </c>
      <c r="M1154" s="1" t="s">
        <v>46</v>
      </c>
      <c r="N1154" s="5" t="s">
        <v>70</v>
      </c>
      <c r="O1154" s="5" t="s">
        <v>46</v>
      </c>
      <c r="P1154" s="5" t="s">
        <v>71</v>
      </c>
      <c r="Q1154" s="5" t="s">
        <v>71</v>
      </c>
      <c r="R1154" s="5" t="s">
        <v>72</v>
      </c>
      <c r="S1154" s="5" t="s">
        <v>73</v>
      </c>
      <c r="T1154" s="5" t="s">
        <v>46</v>
      </c>
      <c r="U1154" s="5" t="n">
        <v>1000</v>
      </c>
      <c r="V1154" s="1" t="n">
        <v>3</v>
      </c>
      <c r="W1154" s="5"/>
      <c r="X1154" s="5" t="s">
        <v>74</v>
      </c>
      <c r="Y1154" s="5" t="n">
        <v>5500</v>
      </c>
      <c r="Z1154" s="5" t="s">
        <v>1283</v>
      </c>
      <c r="AA1154" s="5" t="s">
        <v>1284</v>
      </c>
      <c r="AB1154" s="13" t="str">
        <f aca="true" t="array" ref="AB1154:AB1154">LEFT(AA1154,LOOKUP(2^15,FIND(".",AA1154,ROW(INDIRECT("1:"&amp;LEN(AA1154)))))-1)</f>
        <v>NB_2022_061 - 22122022 - 1</v>
      </c>
      <c r="AC1154" s="5" t="s">
        <v>1285</v>
      </c>
      <c r="AD1154" s="13" t="str">
        <f aca="true" t="array" ref="AD1154:AD1154">LEFT(AC1154,LOOKUP(2^15,FIND(".",AC1154,ROW(INDIRECT("1:"&amp;LEN(AC1154)))))-1)</f>
        <v>NB_2022_061 - 22122022 - 2</v>
      </c>
      <c r="AE1154" s="5" t="str">
        <f aca="false">CONCATENATE(AB1154, "-",H1154, ".mzML")</f>
        <v>NB_2022_061 - 22122022 - 1-QC_C_3.mzML</v>
      </c>
      <c r="AF1154" s="5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0" t="s">
        <v>1377</v>
      </c>
      <c r="B1155" s="31"/>
      <c r="C1155" s="3" t="s">
        <v>1378</v>
      </c>
      <c r="D1155" s="5" t="s">
        <v>19</v>
      </c>
      <c r="E1155" s="5" t="s">
        <v>1277</v>
      </c>
      <c r="F1155" s="6" t="s">
        <v>1278</v>
      </c>
      <c r="G1155" s="5" t="s">
        <v>1277</v>
      </c>
      <c r="H1155" s="24" t="s">
        <v>77</v>
      </c>
      <c r="I1155" s="5" t="str">
        <f aca="false">CONCATENATE(E1155, "_",H1155)</f>
        <v>NLA_2022_013_QC_P_1</v>
      </c>
      <c r="J1155" s="35" t="s">
        <v>52</v>
      </c>
      <c r="K1155" s="5" t="n">
        <v>1</v>
      </c>
      <c r="L1155" s="8" t="s">
        <v>69</v>
      </c>
      <c r="M1155" s="6" t="s">
        <v>46</v>
      </c>
      <c r="N1155" s="5" t="s">
        <v>78</v>
      </c>
      <c r="O1155" s="5" t="s">
        <v>46</v>
      </c>
      <c r="P1155" s="5" t="s">
        <v>79</v>
      </c>
      <c r="Q1155" s="5" t="s">
        <v>80</v>
      </c>
      <c r="R1155" s="5" t="s">
        <v>81</v>
      </c>
      <c r="S1155" s="5" t="s">
        <v>46</v>
      </c>
      <c r="T1155" s="5" t="s">
        <v>46</v>
      </c>
      <c r="U1155" s="5" t="s">
        <v>82</v>
      </c>
      <c r="V1155" s="1" t="n">
        <v>1</v>
      </c>
      <c r="W1155" s="5"/>
      <c r="X1155" s="5" t="s">
        <v>83</v>
      </c>
      <c r="Y1155" s="5" t="n">
        <v>5500</v>
      </c>
      <c r="Z1155" s="5" t="s">
        <v>1283</v>
      </c>
      <c r="AA1155" s="5" t="s">
        <v>1284</v>
      </c>
      <c r="AB1155" s="13" t="str">
        <f aca="true" t="array" ref="AB1155:AB1155">LEFT(AA1155,LOOKUP(2^15,FIND(".",AA1155,ROW(INDIRECT("1:"&amp;LEN(AA1155)))))-1)</f>
        <v>NB_2022_061 - 22122022 - 1</v>
      </c>
      <c r="AC1155" s="5" t="s">
        <v>1285</v>
      </c>
      <c r="AD1155" s="13" t="str">
        <f aca="true" t="array" ref="AD1155:AD1155">LEFT(AC1155,LOOKUP(2^15,FIND(".",AC1155,ROW(INDIRECT("1:"&amp;LEN(AC1155)))))-1)</f>
        <v>NB_2022_061 - 22122022 - 2</v>
      </c>
      <c r="AE1155" s="5" t="str">
        <f aca="false">CONCATENATE(AB1155, "-",H1155, ".mzML")</f>
        <v>NB_2022_061 - 22122022 - 1-QC_P_1.mzML</v>
      </c>
      <c r="AF1155" s="5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0" t="s">
        <v>1377</v>
      </c>
      <c r="B1156" s="31"/>
      <c r="C1156" s="3" t="s">
        <v>1378</v>
      </c>
      <c r="D1156" s="5" t="s">
        <v>19</v>
      </c>
      <c r="E1156" s="5" t="s">
        <v>1277</v>
      </c>
      <c r="F1156" s="6" t="s">
        <v>1278</v>
      </c>
      <c r="G1156" s="5" t="s">
        <v>1277</v>
      </c>
      <c r="H1156" s="24" t="s">
        <v>84</v>
      </c>
      <c r="I1156" s="5" t="str">
        <f aca="false">CONCATENATE(E1156, "_",H1156)</f>
        <v>NLA_2022_013_QC_P_2</v>
      </c>
      <c r="J1156" s="35" t="s">
        <v>52</v>
      </c>
      <c r="K1156" s="5" t="n">
        <v>2</v>
      </c>
      <c r="L1156" s="8" t="s">
        <v>69</v>
      </c>
      <c r="M1156" s="6" t="s">
        <v>46</v>
      </c>
      <c r="N1156" s="5" t="s">
        <v>78</v>
      </c>
      <c r="O1156" s="5" t="s">
        <v>46</v>
      </c>
      <c r="P1156" s="5" t="s">
        <v>79</v>
      </c>
      <c r="Q1156" s="5" t="s">
        <v>80</v>
      </c>
      <c r="R1156" s="5" t="s">
        <v>81</v>
      </c>
      <c r="S1156" s="5" t="s">
        <v>46</v>
      </c>
      <c r="T1156" s="5" t="s">
        <v>46</v>
      </c>
      <c r="U1156" s="5" t="s">
        <v>82</v>
      </c>
      <c r="V1156" s="1" t="n">
        <v>2</v>
      </c>
      <c r="W1156" s="5"/>
      <c r="X1156" s="5" t="s">
        <v>83</v>
      </c>
      <c r="Y1156" s="5" t="n">
        <v>5500</v>
      </c>
      <c r="Z1156" s="5" t="s">
        <v>1283</v>
      </c>
      <c r="AA1156" s="5" t="s">
        <v>1284</v>
      </c>
      <c r="AB1156" s="13" t="str">
        <f aca="true" t="array" ref="AB1156:AB1156">LEFT(AA1156,LOOKUP(2^15,FIND(".",AA1156,ROW(INDIRECT("1:"&amp;LEN(AA1156)))))-1)</f>
        <v>NB_2022_061 - 22122022 - 1</v>
      </c>
      <c r="AC1156" s="5" t="s">
        <v>1285</v>
      </c>
      <c r="AD1156" s="13" t="str">
        <f aca="true" t="array" ref="AD1156:AD1156">LEFT(AC1156,LOOKUP(2^15,FIND(".",AC1156,ROW(INDIRECT("1:"&amp;LEN(AC1156)))))-1)</f>
        <v>NB_2022_061 - 22122022 - 2</v>
      </c>
      <c r="AE1156" s="5" t="str">
        <f aca="false">CONCATENATE(AB1156, "-",H1156, ".mzML")</f>
        <v>NB_2022_061 - 22122022 - 1-QC_P_2.mzML</v>
      </c>
      <c r="AF1156" s="5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0" t="s">
        <v>1377</v>
      </c>
      <c r="B1157" s="31"/>
      <c r="C1157" s="3" t="s">
        <v>1378</v>
      </c>
      <c r="D1157" s="5" t="s">
        <v>19</v>
      </c>
      <c r="E1157" s="5" t="s">
        <v>1277</v>
      </c>
      <c r="F1157" s="6" t="s">
        <v>1278</v>
      </c>
      <c r="G1157" s="5" t="s">
        <v>1277</v>
      </c>
      <c r="H1157" s="24" t="s">
        <v>85</v>
      </c>
      <c r="I1157" s="5" t="str">
        <f aca="false">CONCATENATE(E1157, "_",H1157)</f>
        <v>NLA_2022_013_QC_P_3</v>
      </c>
      <c r="J1157" s="35" t="s">
        <v>52</v>
      </c>
      <c r="K1157" s="5" t="n">
        <v>3</v>
      </c>
      <c r="L1157" s="8" t="s">
        <v>69</v>
      </c>
      <c r="M1157" s="6" t="s">
        <v>46</v>
      </c>
      <c r="N1157" s="5" t="s">
        <v>78</v>
      </c>
      <c r="O1157" s="5" t="s">
        <v>46</v>
      </c>
      <c r="P1157" s="5" t="s">
        <v>79</v>
      </c>
      <c r="Q1157" s="5" t="s">
        <v>80</v>
      </c>
      <c r="R1157" s="5" t="s">
        <v>81</v>
      </c>
      <c r="S1157" s="5" t="s">
        <v>46</v>
      </c>
      <c r="T1157" s="5" t="s">
        <v>46</v>
      </c>
      <c r="U1157" s="5" t="s">
        <v>82</v>
      </c>
      <c r="V1157" s="1" t="n">
        <v>3</v>
      </c>
      <c r="W1157" s="5"/>
      <c r="X1157" s="5" t="s">
        <v>83</v>
      </c>
      <c r="Y1157" s="5" t="n">
        <v>5500</v>
      </c>
      <c r="Z1157" s="5" t="s">
        <v>1283</v>
      </c>
      <c r="AA1157" s="5" t="s">
        <v>1284</v>
      </c>
      <c r="AB1157" s="13" t="str">
        <f aca="true" t="array" ref="AB1157:AB1157">LEFT(AA1157,LOOKUP(2^15,FIND(".",AA1157,ROW(INDIRECT("1:"&amp;LEN(AA1157)))))-1)</f>
        <v>NB_2022_061 - 22122022 - 1</v>
      </c>
      <c r="AC1157" s="5" t="s">
        <v>1285</v>
      </c>
      <c r="AD1157" s="13" t="str">
        <f aca="true" t="array" ref="AD1157:AD1157">LEFT(AC1157,LOOKUP(2^15,FIND(".",AC1157,ROW(INDIRECT("1:"&amp;LEN(AC1157)))))-1)</f>
        <v>NB_2022_061 - 22122022 - 2</v>
      </c>
      <c r="AE1157" s="5" t="str">
        <f aca="false">CONCATENATE(AB1157, "-",H1157, ".mzML")</f>
        <v>NB_2022_061 - 22122022 - 1-QC_P_3.mzML</v>
      </c>
      <c r="AF1157" s="5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0" t="s">
        <v>1377</v>
      </c>
      <c r="B1158" s="31"/>
      <c r="C1158" s="3" t="s">
        <v>1378</v>
      </c>
      <c r="D1158" s="5" t="s">
        <v>19</v>
      </c>
      <c r="E1158" s="5" t="s">
        <v>1247</v>
      </c>
      <c r="F1158" s="6" t="s">
        <v>110</v>
      </c>
      <c r="G1158" s="5" t="s">
        <v>1260</v>
      </c>
      <c r="H1158" s="14" t="s">
        <v>108</v>
      </c>
      <c r="I1158" s="5" t="str">
        <f aca="false">CONCATENATE(E1158, "_",H1158)</f>
        <v>NLA_2023_017_001</v>
      </c>
      <c r="J1158" s="12" t="s">
        <v>38</v>
      </c>
      <c r="K1158" s="12" t="s">
        <v>1261</v>
      </c>
      <c r="L1158" s="8" t="s">
        <v>69</v>
      </c>
      <c r="M1158" s="6" t="s">
        <v>1262</v>
      </c>
      <c r="N1158" s="5" t="s">
        <v>246</v>
      </c>
      <c r="O1158" s="32" t="s">
        <v>1220</v>
      </c>
      <c r="P1158" s="5" t="s">
        <v>1213</v>
      </c>
      <c r="Q1158" s="5" t="s">
        <v>1213</v>
      </c>
      <c r="R1158" s="5" t="s">
        <v>72</v>
      </c>
      <c r="S1158" s="12"/>
      <c r="T1158" s="5" t="s">
        <v>1263</v>
      </c>
      <c r="U1158" s="1" t="n">
        <v>1500</v>
      </c>
      <c r="V1158" s="12" t="n">
        <v>1</v>
      </c>
      <c r="W1158" s="3" t="s">
        <v>1251</v>
      </c>
      <c r="X1158" s="8" t="s">
        <v>1215</v>
      </c>
      <c r="Y1158" s="12" t="n">
        <v>5500</v>
      </c>
      <c r="Z1158" s="5" t="s">
        <v>1252</v>
      </c>
      <c r="AA1158" s="5" t="s">
        <v>1253</v>
      </c>
      <c r="AB1158" s="5" t="s">
        <v>1253</v>
      </c>
      <c r="AC1158" s="5" t="s">
        <v>1254</v>
      </c>
      <c r="AD1158" s="13" t="str">
        <f aca="true" t="array" ref="AD1158:AD1158">LEFT(AC1158,LOOKUP(2^15,FIND(".",AC1158,ROW(INDIRECT("1:"&amp;LEN(AC1158)))))-1)</f>
        <v>NB_2023_041 - 20230920 - 2</v>
      </c>
      <c r="AE1158" s="34" t="str">
        <f aca="false">CONCATENATE(AB1158, "-",H1158, ".mzML")</f>
        <v>NB_2023_041 - 20230920 - 1.wiff-001.mzML</v>
      </c>
      <c r="AF1158" s="34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0" t="s">
        <v>1377</v>
      </c>
      <c r="B1159" s="31"/>
      <c r="C1159" s="3" t="s">
        <v>1378</v>
      </c>
      <c r="D1159" s="5" t="s">
        <v>19</v>
      </c>
      <c r="E1159" s="5" t="s">
        <v>1247</v>
      </c>
      <c r="F1159" s="6" t="s">
        <v>110</v>
      </c>
      <c r="G1159" s="5" t="s">
        <v>1260</v>
      </c>
      <c r="H1159" s="14" t="s">
        <v>88</v>
      </c>
      <c r="I1159" s="5" t="str">
        <f aca="false">CONCATENATE(E1159, "_",H1159)</f>
        <v>NLA_2023_017_002</v>
      </c>
      <c r="J1159" s="12" t="s">
        <v>52</v>
      </c>
      <c r="K1159" s="12" t="s">
        <v>1264</v>
      </c>
      <c r="L1159" s="8" t="s">
        <v>69</v>
      </c>
      <c r="M1159" s="6" t="s">
        <v>1262</v>
      </c>
      <c r="N1159" s="5" t="s">
        <v>246</v>
      </c>
      <c r="O1159" s="32" t="s">
        <v>1220</v>
      </c>
      <c r="P1159" s="5" t="s">
        <v>1213</v>
      </c>
      <c r="Q1159" s="5" t="s">
        <v>1213</v>
      </c>
      <c r="R1159" s="5" t="s">
        <v>72</v>
      </c>
      <c r="S1159" s="12"/>
      <c r="T1159" s="5" t="s">
        <v>1265</v>
      </c>
      <c r="U1159" s="1" t="n">
        <v>1500</v>
      </c>
      <c r="V1159" s="12" t="n">
        <v>1</v>
      </c>
      <c r="W1159" s="3" t="s">
        <v>1251</v>
      </c>
      <c r="X1159" s="8" t="s">
        <v>1215</v>
      </c>
      <c r="Y1159" s="12" t="n">
        <v>5500</v>
      </c>
      <c r="Z1159" s="5" t="s">
        <v>1252</v>
      </c>
      <c r="AA1159" s="5" t="s">
        <v>1253</v>
      </c>
      <c r="AB1159" s="13" t="str">
        <f aca="true" t="array" ref="AB1159:AB1159">LEFT(AA1159,LOOKUP(2^15,FIND(".",AA1159,ROW(INDIRECT("1:"&amp;LEN(AA1159)))))-1)</f>
        <v>NB_2023_041 - 20230920 - 1</v>
      </c>
      <c r="AC1159" s="5" t="s">
        <v>1254</v>
      </c>
      <c r="AD1159" s="13" t="str">
        <f aca="true" t="array" ref="AD1159:AD1159">LEFT(AC1159,LOOKUP(2^15,FIND(".",AC1159,ROW(INDIRECT("1:"&amp;LEN(AC1159)))))-1)</f>
        <v>NB_2023_041 - 20230920 - 2</v>
      </c>
      <c r="AE1159" s="34" t="str">
        <f aca="false">CONCATENATE(AB1159, "-",H1159, ".mzML")</f>
        <v>NB_2023_041 - 20230920 - 1-002.mzML</v>
      </c>
      <c r="AF1159" s="34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0" t="s">
        <v>1377</v>
      </c>
      <c r="B1160" s="31"/>
      <c r="C1160" s="3" t="s">
        <v>1378</v>
      </c>
      <c r="D1160" s="5" t="s">
        <v>19</v>
      </c>
      <c r="E1160" s="5" t="s">
        <v>1247</v>
      </c>
      <c r="F1160" s="6" t="s">
        <v>110</v>
      </c>
      <c r="G1160" s="5" t="s">
        <v>1247</v>
      </c>
      <c r="H1160" s="14" t="s">
        <v>64</v>
      </c>
      <c r="I1160" s="5" t="str">
        <f aca="false">CONCATENATE(E1160, "_",H1160)</f>
        <v>NLA_2023_017_Blank_1</v>
      </c>
      <c r="J1160" s="5" t="s">
        <v>52</v>
      </c>
      <c r="K1160" s="5" t="s">
        <v>157</v>
      </c>
      <c r="L1160" s="6" t="s">
        <v>46</v>
      </c>
      <c r="M1160" s="15" t="s">
        <v>46</v>
      </c>
      <c r="N1160" s="5" t="s">
        <v>65</v>
      </c>
      <c r="O1160" s="5" t="s">
        <v>46</v>
      </c>
      <c r="P1160" s="5" t="s">
        <v>46</v>
      </c>
      <c r="Q1160" s="5" t="s">
        <v>46</v>
      </c>
      <c r="R1160" s="5" t="s">
        <v>46</v>
      </c>
      <c r="S1160" s="5" t="s">
        <v>46</v>
      </c>
      <c r="T1160" s="5" t="s">
        <v>46</v>
      </c>
      <c r="U1160" s="5" t="s">
        <v>46</v>
      </c>
      <c r="V1160" s="1" t="n">
        <v>1</v>
      </c>
      <c r="W1160" s="3" t="s">
        <v>1251</v>
      </c>
      <c r="X1160" s="5" t="s">
        <v>46</v>
      </c>
      <c r="Y1160" s="12" t="n">
        <v>5500</v>
      </c>
      <c r="Z1160" s="5" t="s">
        <v>1252</v>
      </c>
      <c r="AA1160" s="5" t="s">
        <v>1253</v>
      </c>
      <c r="AB1160" s="13" t="str">
        <f aca="true" t="array" ref="AB1160:AB1160">LEFT(AA1160,LOOKUP(2^15,FIND(".",AA1160,ROW(INDIRECT("1:"&amp;LEN(AA1160)))))-1)</f>
        <v>NB_2023_041 - 20230920 - 1</v>
      </c>
      <c r="AC1160" s="5" t="s">
        <v>1254</v>
      </c>
      <c r="AD1160" s="13" t="str">
        <f aca="true" t="array" ref="AD1160:AD1160">LEFT(AC1160,LOOKUP(2^15,FIND(".",AC1160,ROW(INDIRECT("1:"&amp;LEN(AC1160)))))-1)</f>
        <v>NB_2023_041 - 20230920 - 2</v>
      </c>
      <c r="AE1160" s="34" t="str">
        <f aca="false">CONCATENATE(AB1160, "-",H1160, ".mzML")</f>
        <v>NB_2023_041 - 20230920 - 1-Blank_1.mzML</v>
      </c>
      <c r="AF1160" s="34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0" t="s">
        <v>1377</v>
      </c>
      <c r="B1161" s="31"/>
      <c r="C1161" s="3" t="s">
        <v>1378</v>
      </c>
      <c r="D1161" s="5" t="s">
        <v>19</v>
      </c>
      <c r="E1161" s="5" t="s">
        <v>1247</v>
      </c>
      <c r="F1161" s="6" t="s">
        <v>110</v>
      </c>
      <c r="G1161" s="5" t="s">
        <v>1247</v>
      </c>
      <c r="H1161" s="14" t="s">
        <v>66</v>
      </c>
      <c r="I1161" s="5" t="str">
        <f aca="false">CONCATENATE(E1161, "_",H1161)</f>
        <v>NLA_2023_017_Blank_2</v>
      </c>
      <c r="J1161" s="5" t="s">
        <v>52</v>
      </c>
      <c r="K1161" s="5" t="s">
        <v>165</v>
      </c>
      <c r="L1161" s="6" t="s">
        <v>46</v>
      </c>
      <c r="M1161" s="15" t="s">
        <v>46</v>
      </c>
      <c r="N1161" s="5" t="s">
        <v>65</v>
      </c>
      <c r="O1161" s="5" t="s">
        <v>46</v>
      </c>
      <c r="P1161" s="5" t="s">
        <v>46</v>
      </c>
      <c r="Q1161" s="5" t="s">
        <v>46</v>
      </c>
      <c r="R1161" s="5" t="s">
        <v>46</v>
      </c>
      <c r="S1161" s="5" t="s">
        <v>46</v>
      </c>
      <c r="T1161" s="5" t="s">
        <v>46</v>
      </c>
      <c r="U1161" s="5" t="s">
        <v>46</v>
      </c>
      <c r="V1161" s="1" t="n">
        <v>2</v>
      </c>
      <c r="W1161" s="3" t="s">
        <v>1251</v>
      </c>
      <c r="X1161" s="5" t="s">
        <v>46</v>
      </c>
      <c r="Y1161" s="12" t="n">
        <v>5500</v>
      </c>
      <c r="Z1161" s="5" t="s">
        <v>1252</v>
      </c>
      <c r="AA1161" s="5" t="s">
        <v>1253</v>
      </c>
      <c r="AB1161" s="13" t="str">
        <f aca="true" t="array" ref="AB1161:AB1161">LEFT(AA1161,LOOKUP(2^15,FIND(".",AA1161,ROW(INDIRECT("1:"&amp;LEN(AA1161)))))-1)</f>
        <v>NB_2023_041 - 20230920 - 1</v>
      </c>
      <c r="AC1161" s="5" t="s">
        <v>1254</v>
      </c>
      <c r="AD1161" s="13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0" t="s">
        <v>1377</v>
      </c>
      <c r="B1162" s="31"/>
      <c r="C1162" s="3" t="s">
        <v>1378</v>
      </c>
      <c r="D1162" s="5" t="s">
        <v>19</v>
      </c>
      <c r="E1162" s="5" t="s">
        <v>1247</v>
      </c>
      <c r="F1162" s="6" t="s">
        <v>110</v>
      </c>
      <c r="G1162" s="5" t="s">
        <v>1247</v>
      </c>
      <c r="H1162" s="14" t="s">
        <v>67</v>
      </c>
      <c r="I1162" s="5" t="str">
        <f aca="false">CONCATENATE(E1162, "_",H1162)</f>
        <v>NLA_2023_017_Blank_3</v>
      </c>
      <c r="J1162" s="5" t="s">
        <v>52</v>
      </c>
      <c r="K1162" s="5" t="s">
        <v>171</v>
      </c>
      <c r="L1162" s="6" t="s">
        <v>46</v>
      </c>
      <c r="M1162" s="15" t="s">
        <v>46</v>
      </c>
      <c r="N1162" s="5" t="s">
        <v>65</v>
      </c>
      <c r="O1162" s="5" t="s">
        <v>46</v>
      </c>
      <c r="P1162" s="5" t="s">
        <v>46</v>
      </c>
      <c r="Q1162" s="5" t="s">
        <v>46</v>
      </c>
      <c r="R1162" s="5" t="s">
        <v>46</v>
      </c>
      <c r="S1162" s="5" t="s">
        <v>46</v>
      </c>
      <c r="T1162" s="5" t="s">
        <v>46</v>
      </c>
      <c r="U1162" s="5" t="s">
        <v>46</v>
      </c>
      <c r="V1162" s="1" t="n">
        <v>3</v>
      </c>
      <c r="W1162" s="3" t="s">
        <v>1251</v>
      </c>
      <c r="X1162" s="5" t="s">
        <v>46</v>
      </c>
      <c r="Y1162" s="12" t="n">
        <v>5500</v>
      </c>
      <c r="Z1162" s="5" t="s">
        <v>1252</v>
      </c>
      <c r="AA1162" s="5" t="s">
        <v>1253</v>
      </c>
      <c r="AB1162" s="13" t="str">
        <f aca="true" t="array" ref="AB1162:AB1162">LEFT(AA1162,LOOKUP(2^15,FIND(".",AA1162,ROW(INDIRECT("1:"&amp;LEN(AA1162)))))-1)</f>
        <v>NB_2023_041 - 20230920 - 1</v>
      </c>
      <c r="AC1162" s="5" t="s">
        <v>1254</v>
      </c>
      <c r="AD1162" s="13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0" t="s">
        <v>1377</v>
      </c>
      <c r="B1163" s="31"/>
      <c r="C1163" s="3" t="s">
        <v>1378</v>
      </c>
      <c r="D1163" s="5" t="s">
        <v>19</v>
      </c>
      <c r="E1163" s="5" t="s">
        <v>1247</v>
      </c>
      <c r="F1163" s="6" t="s">
        <v>110</v>
      </c>
      <c r="G1163" s="5" t="s">
        <v>1247</v>
      </c>
      <c r="H1163" s="14" t="s">
        <v>221</v>
      </c>
      <c r="I1163" s="5" t="str">
        <f aca="false">CONCATENATE(E1163, "_",H1163)</f>
        <v>NLA_2023_017_Blank_4</v>
      </c>
      <c r="J1163" s="5" t="s">
        <v>52</v>
      </c>
      <c r="K1163" s="5" t="s">
        <v>1256</v>
      </c>
      <c r="L1163" s="6" t="s">
        <v>46</v>
      </c>
      <c r="M1163" s="15" t="s">
        <v>46</v>
      </c>
      <c r="N1163" s="5" t="s">
        <v>65</v>
      </c>
      <c r="O1163" s="5" t="s">
        <v>46</v>
      </c>
      <c r="P1163" s="5" t="s">
        <v>46</v>
      </c>
      <c r="Q1163" s="5" t="s">
        <v>46</v>
      </c>
      <c r="R1163" s="5" t="s">
        <v>46</v>
      </c>
      <c r="S1163" s="5" t="s">
        <v>46</v>
      </c>
      <c r="T1163" s="5" t="s">
        <v>46</v>
      </c>
      <c r="U1163" s="5" t="s">
        <v>46</v>
      </c>
      <c r="V1163" s="1" t="n">
        <v>4</v>
      </c>
      <c r="W1163" s="3" t="s">
        <v>1251</v>
      </c>
      <c r="X1163" s="5" t="s">
        <v>46</v>
      </c>
      <c r="Y1163" s="12" t="n">
        <v>5500</v>
      </c>
      <c r="Z1163" s="5" t="s">
        <v>1252</v>
      </c>
      <c r="AA1163" s="5" t="s">
        <v>1253</v>
      </c>
      <c r="AB1163" s="13" t="str">
        <f aca="true" t="array" ref="AB1163:AB1163">LEFT(AA1163,LOOKUP(2^15,FIND(".",AA1163,ROW(INDIRECT("1:"&amp;LEN(AA1163)))))-1)</f>
        <v>NB_2023_041 - 20230920 - 1</v>
      </c>
      <c r="AC1163" s="5" t="s">
        <v>1254</v>
      </c>
      <c r="AD1163" s="13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0" t="s">
        <v>1377</v>
      </c>
      <c r="B1164" s="31"/>
      <c r="C1164" s="3" t="s">
        <v>1378</v>
      </c>
      <c r="D1164" s="5" t="s">
        <v>19</v>
      </c>
      <c r="E1164" s="5" t="s">
        <v>1247</v>
      </c>
      <c r="F1164" s="6" t="s">
        <v>110</v>
      </c>
      <c r="G1164" s="5" t="s">
        <v>1247</v>
      </c>
      <c r="H1164" s="14" t="s">
        <v>68</v>
      </c>
      <c r="I1164" s="5" t="str">
        <f aca="false">CONCATENATE(E1164, "_",H1164)</f>
        <v>NLA_2023_017_QC_C_1</v>
      </c>
      <c r="J1164" s="5" t="s">
        <v>52</v>
      </c>
      <c r="K1164" s="5" t="s">
        <v>152</v>
      </c>
      <c r="L1164" s="8" t="s">
        <v>69</v>
      </c>
      <c r="M1164" s="1" t="s">
        <v>46</v>
      </c>
      <c r="N1164" s="5" t="s">
        <v>70</v>
      </c>
      <c r="O1164" s="5" t="s">
        <v>46</v>
      </c>
      <c r="P1164" s="5" t="s">
        <v>71</v>
      </c>
      <c r="Q1164" s="5" t="s">
        <v>71</v>
      </c>
      <c r="R1164" s="5" t="s">
        <v>72</v>
      </c>
      <c r="S1164" s="5" t="s">
        <v>73</v>
      </c>
      <c r="T1164" s="5" t="s">
        <v>46</v>
      </c>
      <c r="U1164" s="5" t="n">
        <v>1000</v>
      </c>
      <c r="V1164" s="1" t="n">
        <v>1</v>
      </c>
      <c r="W1164" s="3" t="s">
        <v>1251</v>
      </c>
      <c r="X1164" s="5" t="s">
        <v>74</v>
      </c>
      <c r="Y1164" s="12" t="n">
        <v>5500</v>
      </c>
      <c r="Z1164" s="5" t="s">
        <v>1252</v>
      </c>
      <c r="AA1164" s="5" t="s">
        <v>1253</v>
      </c>
      <c r="AB1164" s="13" t="str">
        <f aca="true" t="array" ref="AB1164:AB1164">LEFT(AA1164,LOOKUP(2^15,FIND(".",AA1164,ROW(INDIRECT("1:"&amp;LEN(AA1164)))))-1)</f>
        <v>NB_2023_041 - 20230920 - 1</v>
      </c>
      <c r="AC1164" s="5" t="s">
        <v>1254</v>
      </c>
      <c r="AD1164" s="13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0" t="s">
        <v>1377</v>
      </c>
      <c r="B1165" s="31"/>
      <c r="C1165" s="3" t="s">
        <v>1378</v>
      </c>
      <c r="D1165" s="5" t="s">
        <v>19</v>
      </c>
      <c r="E1165" s="5" t="s">
        <v>1247</v>
      </c>
      <c r="F1165" s="6" t="s">
        <v>110</v>
      </c>
      <c r="G1165" s="5" t="s">
        <v>1247</v>
      </c>
      <c r="H1165" s="14" t="s">
        <v>75</v>
      </c>
      <c r="I1165" s="5" t="str">
        <f aca="false">CONCATENATE(E1165, "_",H1165)</f>
        <v>NLA_2023_017_QC_C_2</v>
      </c>
      <c r="J1165" s="5" t="s">
        <v>52</v>
      </c>
      <c r="K1165" s="5" t="s">
        <v>164</v>
      </c>
      <c r="L1165" s="8" t="s">
        <v>69</v>
      </c>
      <c r="M1165" s="1" t="s">
        <v>46</v>
      </c>
      <c r="N1165" s="5" t="s">
        <v>70</v>
      </c>
      <c r="O1165" s="5" t="s">
        <v>46</v>
      </c>
      <c r="P1165" s="5" t="s">
        <v>71</v>
      </c>
      <c r="Q1165" s="5" t="s">
        <v>71</v>
      </c>
      <c r="R1165" s="5" t="s">
        <v>72</v>
      </c>
      <c r="S1165" s="5" t="s">
        <v>73</v>
      </c>
      <c r="T1165" s="5" t="s">
        <v>46</v>
      </c>
      <c r="U1165" s="5" t="n">
        <v>1000</v>
      </c>
      <c r="V1165" s="1" t="n">
        <v>2</v>
      </c>
      <c r="W1165" s="3" t="s">
        <v>1251</v>
      </c>
      <c r="X1165" s="5" t="s">
        <v>74</v>
      </c>
      <c r="Y1165" s="12" t="n">
        <v>5500</v>
      </c>
      <c r="Z1165" s="5" t="s">
        <v>1252</v>
      </c>
      <c r="AA1165" s="5" t="s">
        <v>1253</v>
      </c>
      <c r="AB1165" s="13" t="str">
        <f aca="true" t="array" ref="AB1165:AB1165">LEFT(AA1165,LOOKUP(2^15,FIND(".",AA1165,ROW(INDIRECT("1:"&amp;LEN(AA1165)))))-1)</f>
        <v>NB_2023_041 - 20230920 - 1</v>
      </c>
      <c r="AC1165" s="5" t="s">
        <v>1254</v>
      </c>
      <c r="AD1165" s="13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0" t="s">
        <v>1377</v>
      </c>
      <c r="B1166" s="31"/>
      <c r="C1166" s="3" t="s">
        <v>1378</v>
      </c>
      <c r="D1166" s="5" t="s">
        <v>19</v>
      </c>
      <c r="E1166" s="5" t="s">
        <v>1247</v>
      </c>
      <c r="F1166" s="6" t="s">
        <v>110</v>
      </c>
      <c r="G1166" s="5" t="s">
        <v>1247</v>
      </c>
      <c r="H1166" s="14" t="s">
        <v>76</v>
      </c>
      <c r="I1166" s="5" t="str">
        <f aca="false">CONCATENATE(E1166, "_",H1166)</f>
        <v>NLA_2023_017_QC_C_3</v>
      </c>
      <c r="J1166" s="5" t="s">
        <v>52</v>
      </c>
      <c r="K1166" s="5" t="s">
        <v>170</v>
      </c>
      <c r="L1166" s="8" t="s">
        <v>69</v>
      </c>
      <c r="M1166" s="1" t="s">
        <v>46</v>
      </c>
      <c r="N1166" s="5" t="s">
        <v>70</v>
      </c>
      <c r="O1166" s="5" t="s">
        <v>46</v>
      </c>
      <c r="P1166" s="5" t="s">
        <v>71</v>
      </c>
      <c r="Q1166" s="5" t="s">
        <v>71</v>
      </c>
      <c r="R1166" s="5" t="s">
        <v>72</v>
      </c>
      <c r="S1166" s="5" t="s">
        <v>73</v>
      </c>
      <c r="T1166" s="5" t="s">
        <v>46</v>
      </c>
      <c r="U1166" s="5" t="n">
        <v>1000</v>
      </c>
      <c r="V1166" s="1" t="n">
        <v>3</v>
      </c>
      <c r="W1166" s="3" t="s">
        <v>1251</v>
      </c>
      <c r="X1166" s="5" t="s">
        <v>74</v>
      </c>
      <c r="Y1166" s="12" t="n">
        <v>5500</v>
      </c>
      <c r="Z1166" s="5" t="s">
        <v>1252</v>
      </c>
      <c r="AA1166" s="5" t="s">
        <v>1253</v>
      </c>
      <c r="AB1166" s="13" t="str">
        <f aca="true" t="array" ref="AB1166:AB1166">LEFT(AA1166,LOOKUP(2^15,FIND(".",AA1166,ROW(INDIRECT("1:"&amp;LEN(AA1166)))))-1)</f>
        <v>NB_2023_041 - 20230920 - 1</v>
      </c>
      <c r="AC1166" s="5" t="s">
        <v>1254</v>
      </c>
      <c r="AD1166" s="13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0" t="s">
        <v>1377</v>
      </c>
      <c r="B1167" s="31"/>
      <c r="C1167" s="3" t="s">
        <v>1378</v>
      </c>
      <c r="D1167" s="5" t="s">
        <v>19</v>
      </c>
      <c r="E1167" s="5" t="s">
        <v>1247</v>
      </c>
      <c r="F1167" s="6" t="s">
        <v>110</v>
      </c>
      <c r="G1167" s="5" t="s">
        <v>1247</v>
      </c>
      <c r="H1167" s="14" t="s">
        <v>222</v>
      </c>
      <c r="I1167" s="5" t="str">
        <f aca="false">CONCATENATE(E1167, "_",H1167)</f>
        <v>NLA_2023_017_QC_C_4</v>
      </c>
      <c r="J1167" s="5" t="s">
        <v>52</v>
      </c>
      <c r="K1167" s="5" t="s">
        <v>1257</v>
      </c>
      <c r="L1167" s="8" t="s">
        <v>69</v>
      </c>
      <c r="M1167" s="1" t="s">
        <v>46</v>
      </c>
      <c r="N1167" s="5" t="s">
        <v>70</v>
      </c>
      <c r="O1167" s="5" t="s">
        <v>46</v>
      </c>
      <c r="P1167" s="5" t="s">
        <v>71</v>
      </c>
      <c r="Q1167" s="5" t="s">
        <v>71</v>
      </c>
      <c r="R1167" s="5" t="s">
        <v>72</v>
      </c>
      <c r="S1167" s="5" t="s">
        <v>73</v>
      </c>
      <c r="T1167" s="5" t="s">
        <v>46</v>
      </c>
      <c r="U1167" s="5" t="n">
        <v>1000</v>
      </c>
      <c r="V1167" s="1" t="n">
        <v>4</v>
      </c>
      <c r="W1167" s="3" t="s">
        <v>1251</v>
      </c>
      <c r="X1167" s="5" t="s">
        <v>74</v>
      </c>
      <c r="Y1167" s="12" t="n">
        <v>5500</v>
      </c>
      <c r="Z1167" s="5" t="s">
        <v>1252</v>
      </c>
      <c r="AA1167" s="5" t="s">
        <v>1253</v>
      </c>
      <c r="AB1167" s="13" t="str">
        <f aca="true" t="array" ref="AB1167:AB1167">LEFT(AA1167,LOOKUP(2^15,FIND(".",AA1167,ROW(INDIRECT("1:"&amp;LEN(AA1167)))))-1)</f>
        <v>NB_2023_041 - 20230920 - 1</v>
      </c>
      <c r="AC1167" s="5" t="s">
        <v>1254</v>
      </c>
      <c r="AD1167" s="13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0" t="s">
        <v>1377</v>
      </c>
      <c r="B1168" s="31"/>
      <c r="C1168" s="3" t="s">
        <v>1378</v>
      </c>
      <c r="D1168" s="5" t="s">
        <v>19</v>
      </c>
      <c r="E1168" s="5" t="s">
        <v>1247</v>
      </c>
      <c r="F1168" s="6" t="s">
        <v>110</v>
      </c>
      <c r="G1168" s="5" t="s">
        <v>1247</v>
      </c>
      <c r="H1168" s="14" t="s">
        <v>77</v>
      </c>
      <c r="I1168" s="5" t="str">
        <f aca="false">CONCATENATE(E1168, "_",H1168)</f>
        <v>NLA_2023_017_QC_P_1</v>
      </c>
      <c r="J1168" s="3" t="s">
        <v>52</v>
      </c>
      <c r="K1168" s="16" t="s">
        <v>77</v>
      </c>
      <c r="L1168" s="6" t="s">
        <v>69</v>
      </c>
      <c r="M1168" s="1" t="s">
        <v>46</v>
      </c>
      <c r="N1168" s="5" t="s">
        <v>78</v>
      </c>
      <c r="O1168" s="5" t="s">
        <v>46</v>
      </c>
      <c r="P1168" s="5" t="s">
        <v>79</v>
      </c>
      <c r="Q1168" s="5" t="s">
        <v>80</v>
      </c>
      <c r="R1168" s="5" t="s">
        <v>81</v>
      </c>
      <c r="S1168" s="5" t="s">
        <v>46</v>
      </c>
      <c r="T1168" s="5" t="s">
        <v>46</v>
      </c>
      <c r="U1168" s="5" t="s">
        <v>82</v>
      </c>
      <c r="V1168" s="1" t="n">
        <v>1</v>
      </c>
      <c r="W1168" s="3" t="s">
        <v>1251</v>
      </c>
      <c r="X1168" s="5" t="s">
        <v>83</v>
      </c>
      <c r="Y1168" s="12" t="n">
        <v>5500</v>
      </c>
      <c r="Z1168" s="5" t="s">
        <v>1252</v>
      </c>
      <c r="AA1168" s="5" t="s">
        <v>1253</v>
      </c>
      <c r="AB1168" s="13" t="str">
        <f aca="true" t="array" ref="AB1168:AB1168">LEFT(AA1168,LOOKUP(2^15,FIND(".",AA1168,ROW(INDIRECT("1:"&amp;LEN(AA1168)))))-1)</f>
        <v>NB_2023_041 - 20230920 - 1</v>
      </c>
      <c r="AC1168" s="5" t="s">
        <v>1254</v>
      </c>
      <c r="AD1168" s="13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0" t="s">
        <v>1377</v>
      </c>
      <c r="B1169" s="31"/>
      <c r="C1169" s="3" t="s">
        <v>1378</v>
      </c>
      <c r="D1169" s="5" t="s">
        <v>19</v>
      </c>
      <c r="E1169" s="5" t="s">
        <v>1247</v>
      </c>
      <c r="F1169" s="6" t="s">
        <v>110</v>
      </c>
      <c r="G1169" s="5" t="s">
        <v>1247</v>
      </c>
      <c r="H1169" s="14" t="s">
        <v>84</v>
      </c>
      <c r="I1169" s="5" t="str">
        <f aca="false">CONCATENATE(E1169, "_",H1169)</f>
        <v>NLA_2023_017_QC_P_2</v>
      </c>
      <c r="J1169" s="3" t="s">
        <v>52</v>
      </c>
      <c r="K1169" s="16" t="s">
        <v>84</v>
      </c>
      <c r="L1169" s="6" t="s">
        <v>69</v>
      </c>
      <c r="M1169" s="1" t="s">
        <v>46</v>
      </c>
      <c r="N1169" s="5" t="s">
        <v>78</v>
      </c>
      <c r="O1169" s="5" t="s">
        <v>46</v>
      </c>
      <c r="P1169" s="5" t="s">
        <v>79</v>
      </c>
      <c r="Q1169" s="5" t="s">
        <v>80</v>
      </c>
      <c r="R1169" s="5" t="s">
        <v>81</v>
      </c>
      <c r="S1169" s="5" t="s">
        <v>46</v>
      </c>
      <c r="T1169" s="5" t="s">
        <v>46</v>
      </c>
      <c r="U1169" s="5" t="s">
        <v>82</v>
      </c>
      <c r="V1169" s="1" t="n">
        <v>2</v>
      </c>
      <c r="W1169" s="3" t="s">
        <v>1251</v>
      </c>
      <c r="X1169" s="5" t="s">
        <v>83</v>
      </c>
      <c r="Y1169" s="12" t="n">
        <v>5500</v>
      </c>
      <c r="Z1169" s="5" t="s">
        <v>1252</v>
      </c>
      <c r="AA1169" s="5" t="s">
        <v>1253</v>
      </c>
      <c r="AB1169" s="13" t="str">
        <f aca="true" t="array" ref="AB1169:AB1169">LEFT(AA1169,LOOKUP(2^15,FIND(".",AA1169,ROW(INDIRECT("1:"&amp;LEN(AA1169)))))-1)</f>
        <v>NB_2023_041 - 20230920 - 1</v>
      </c>
      <c r="AC1169" s="5" t="s">
        <v>1254</v>
      </c>
      <c r="AD1169" s="13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0" t="s">
        <v>1379</v>
      </c>
      <c r="B1170" s="31"/>
      <c r="C1170" s="3" t="s">
        <v>1380</v>
      </c>
      <c r="D1170" s="5" t="s">
        <v>19</v>
      </c>
      <c r="E1170" s="5" t="s">
        <v>1319</v>
      </c>
      <c r="F1170" s="6" t="s">
        <v>1320</v>
      </c>
      <c r="G1170" s="5" t="s">
        <v>1321</v>
      </c>
      <c r="H1170" s="6" t="s">
        <v>108</v>
      </c>
      <c r="I1170" s="5" t="str">
        <f aca="false">CONCATENATE(E1170, "_",H1170)</f>
        <v>NLA_2023_018_001</v>
      </c>
      <c r="J1170" s="12" t="s">
        <v>38</v>
      </c>
      <c r="K1170" s="5" t="s">
        <v>1357</v>
      </c>
      <c r="L1170" s="8" t="s">
        <v>69</v>
      </c>
      <c r="M1170" s="15" t="s">
        <v>1323</v>
      </c>
      <c r="N1170" s="5" t="s">
        <v>246</v>
      </c>
      <c r="O1170" s="32" t="s">
        <v>1220</v>
      </c>
      <c r="P1170" s="1" t="s">
        <v>43</v>
      </c>
      <c r="Q1170" s="5" t="s">
        <v>1358</v>
      </c>
      <c r="R1170" s="5" t="s">
        <v>44</v>
      </c>
      <c r="S1170" s="12"/>
      <c r="T1170" s="5" t="s">
        <v>1263</v>
      </c>
      <c r="U1170" s="1" t="n">
        <v>1500</v>
      </c>
      <c r="V1170" s="12" t="n">
        <v>1</v>
      </c>
      <c r="W1170" s="3"/>
      <c r="X1170" s="8" t="s">
        <v>1215</v>
      </c>
      <c r="Y1170" s="12" t="n">
        <v>5500</v>
      </c>
      <c r="Z1170" s="5" t="s">
        <v>1324</v>
      </c>
      <c r="AA1170" s="5" t="s">
        <v>1325</v>
      </c>
      <c r="AB1170" s="13" t="str">
        <f aca="true" t="array" ref="AB1170:AB1170">LEFT(AA1170,LOOKUP(2^15,FIND(".",AA1170,ROW(INDIRECT("1:"&amp;LEN(AA1170)))))-1)</f>
        <v>NB_2023_016 - 20230425 - 1</v>
      </c>
      <c r="AC1170" s="5" t="s">
        <v>1326</v>
      </c>
      <c r="AD1170" s="13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0" t="s">
        <v>1379</v>
      </c>
      <c r="B1171" s="31"/>
      <c r="C1171" s="3" t="s">
        <v>1380</v>
      </c>
      <c r="D1171" s="5" t="s">
        <v>19</v>
      </c>
      <c r="E1171" s="5" t="s">
        <v>1319</v>
      </c>
      <c r="F1171" s="6" t="s">
        <v>1320</v>
      </c>
      <c r="G1171" s="5" t="s">
        <v>1345</v>
      </c>
      <c r="H1171" s="6" t="s">
        <v>101</v>
      </c>
      <c r="I1171" s="5" t="str">
        <f aca="false">CONCATENATE(E1171, "_",H1171)</f>
        <v>NLA_2023_018_006</v>
      </c>
      <c r="J1171" s="5" t="s">
        <v>52</v>
      </c>
      <c r="K1171" s="5" t="s">
        <v>1366</v>
      </c>
      <c r="L1171" s="8" t="s">
        <v>69</v>
      </c>
      <c r="M1171" s="15" t="s">
        <v>1347</v>
      </c>
      <c r="N1171" s="5" t="s">
        <v>246</v>
      </c>
      <c r="O1171" s="32" t="s">
        <v>1220</v>
      </c>
      <c r="P1171" s="1" t="s">
        <v>43</v>
      </c>
      <c r="Q1171" s="5" t="s">
        <v>1358</v>
      </c>
      <c r="R1171" s="5" t="s">
        <v>44</v>
      </c>
      <c r="T1171" s="5" t="s">
        <v>1265</v>
      </c>
      <c r="U1171" s="1" t="n">
        <v>1500</v>
      </c>
      <c r="V1171" s="1" t="n">
        <v>2</v>
      </c>
      <c r="W1171" s="3"/>
      <c r="X1171" s="8" t="s">
        <v>1215</v>
      </c>
      <c r="Y1171" s="12" t="n">
        <v>5500</v>
      </c>
      <c r="Z1171" s="5" t="s">
        <v>1324</v>
      </c>
      <c r="AA1171" s="5" t="s">
        <v>1325</v>
      </c>
      <c r="AB1171" s="13" t="str">
        <f aca="true" t="array" ref="AB1171:AB1171">LEFT(AA1171,LOOKUP(2^15,FIND(".",AA1171,ROW(INDIRECT("1:"&amp;LEN(AA1171)))))-1)</f>
        <v>NB_2023_016 - 20230425 - 1</v>
      </c>
      <c r="AC1171" s="5" t="s">
        <v>1326</v>
      </c>
      <c r="AD1171" s="13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0" t="s">
        <v>1379</v>
      </c>
      <c r="B1172" s="31"/>
      <c r="C1172" s="3" t="s">
        <v>1380</v>
      </c>
      <c r="D1172" s="5" t="s">
        <v>19</v>
      </c>
      <c r="E1172" s="5" t="s">
        <v>1319</v>
      </c>
      <c r="F1172" s="6" t="s">
        <v>1320</v>
      </c>
      <c r="G1172" s="5" t="s">
        <v>1321</v>
      </c>
      <c r="H1172" s="6" t="s">
        <v>139</v>
      </c>
      <c r="I1172" s="5" t="str">
        <f aca="false">CONCATENATE(E1172, "_",H1172)</f>
        <v>NLA_2023_018_007</v>
      </c>
      <c r="J1172" s="12" t="s">
        <v>38</v>
      </c>
      <c r="K1172" s="5" t="s">
        <v>1359</v>
      </c>
      <c r="L1172" s="8" t="s">
        <v>69</v>
      </c>
      <c r="M1172" s="15" t="s">
        <v>1323</v>
      </c>
      <c r="N1172" s="5" t="s">
        <v>246</v>
      </c>
      <c r="O1172" s="32" t="s">
        <v>1220</v>
      </c>
      <c r="P1172" s="1" t="s">
        <v>43</v>
      </c>
      <c r="Q1172" s="5" t="s">
        <v>1358</v>
      </c>
      <c r="R1172" s="5" t="s">
        <v>44</v>
      </c>
      <c r="S1172" s="12"/>
      <c r="T1172" s="5" t="s">
        <v>1263</v>
      </c>
      <c r="U1172" s="1" t="n">
        <v>1500</v>
      </c>
      <c r="V1172" s="12" t="n">
        <v>2</v>
      </c>
      <c r="W1172" s="3"/>
      <c r="X1172" s="8" t="s">
        <v>1215</v>
      </c>
      <c r="Y1172" s="12" t="n">
        <v>5500</v>
      </c>
      <c r="Z1172" s="5" t="s">
        <v>1324</v>
      </c>
      <c r="AA1172" s="5" t="s">
        <v>1325</v>
      </c>
      <c r="AB1172" s="13" t="str">
        <f aca="true" t="array" ref="AB1172:AB1172">LEFT(AA1172,LOOKUP(2^15,FIND(".",AA1172,ROW(INDIRECT("1:"&amp;LEN(AA1172)))))-1)</f>
        <v>NB_2023_016 - 20230425 - 1</v>
      </c>
      <c r="AC1172" s="5" t="s">
        <v>1326</v>
      </c>
      <c r="AD1172" s="13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0" t="s">
        <v>1379</v>
      </c>
      <c r="B1173" s="31"/>
      <c r="C1173" s="3" t="s">
        <v>1380</v>
      </c>
      <c r="D1173" s="5" t="s">
        <v>19</v>
      </c>
      <c r="E1173" s="5" t="s">
        <v>1319</v>
      </c>
      <c r="F1173" s="6" t="s">
        <v>1320</v>
      </c>
      <c r="G1173" s="5" t="s">
        <v>1321</v>
      </c>
      <c r="H1173" s="6" t="s">
        <v>37</v>
      </c>
      <c r="I1173" s="5" t="str">
        <f aca="false">CONCATENATE(E1173, "_",H1173)</f>
        <v>NLA_2023_018_009</v>
      </c>
      <c r="J1173" s="12" t="s">
        <v>52</v>
      </c>
      <c r="K1173" s="5" t="s">
        <v>1360</v>
      </c>
      <c r="L1173" s="8" t="s">
        <v>69</v>
      </c>
      <c r="M1173" s="15" t="s">
        <v>1323</v>
      </c>
      <c r="N1173" s="5" t="s">
        <v>246</v>
      </c>
      <c r="O1173" s="32" t="s">
        <v>1220</v>
      </c>
      <c r="P1173" s="1" t="s">
        <v>43</v>
      </c>
      <c r="Q1173" s="5" t="s">
        <v>1358</v>
      </c>
      <c r="R1173" s="5" t="s">
        <v>44</v>
      </c>
      <c r="S1173" s="12"/>
      <c r="T1173" s="5" t="s">
        <v>1265</v>
      </c>
      <c r="U1173" s="1" t="n">
        <v>1500</v>
      </c>
      <c r="V1173" s="12" t="n">
        <v>3</v>
      </c>
      <c r="W1173" s="3"/>
      <c r="X1173" s="8" t="s">
        <v>1215</v>
      </c>
      <c r="Y1173" s="12" t="n">
        <v>5500</v>
      </c>
      <c r="Z1173" s="5" t="s">
        <v>1324</v>
      </c>
      <c r="AA1173" s="5" t="s">
        <v>1325</v>
      </c>
      <c r="AB1173" s="13" t="str">
        <f aca="true" t="array" ref="AB1173:AB1173">LEFT(AA1173,LOOKUP(2^15,FIND(".",AA1173,ROW(INDIRECT("1:"&amp;LEN(AA1173)))))-1)</f>
        <v>NB_2023_016 - 20230425 - 1</v>
      </c>
      <c r="AC1173" s="5" t="s">
        <v>1326</v>
      </c>
      <c r="AD1173" s="13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0" t="s">
        <v>1379</v>
      </c>
      <c r="B1174" s="31"/>
      <c r="C1174" s="3" t="s">
        <v>1380</v>
      </c>
      <c r="D1174" s="5" t="s">
        <v>19</v>
      </c>
      <c r="E1174" s="5" t="s">
        <v>1319</v>
      </c>
      <c r="F1174" s="6" t="s">
        <v>1320</v>
      </c>
      <c r="G1174" s="5" t="s">
        <v>1345</v>
      </c>
      <c r="H1174" s="6" t="s">
        <v>51</v>
      </c>
      <c r="I1174" s="5" t="str">
        <f aca="false">CONCATENATE(E1174, "_",H1174)</f>
        <v>NLA_2023_018_012</v>
      </c>
      <c r="J1174" s="5" t="s">
        <v>52</v>
      </c>
      <c r="K1174" s="5" t="s">
        <v>1367</v>
      </c>
      <c r="L1174" s="8" t="s">
        <v>69</v>
      </c>
      <c r="M1174" s="15" t="s">
        <v>1347</v>
      </c>
      <c r="N1174" s="5" t="s">
        <v>246</v>
      </c>
      <c r="O1174" s="32" t="s">
        <v>1220</v>
      </c>
      <c r="P1174" s="1" t="s">
        <v>43</v>
      </c>
      <c r="Q1174" s="5" t="s">
        <v>1358</v>
      </c>
      <c r="R1174" s="5" t="s">
        <v>44</v>
      </c>
      <c r="T1174" s="5" t="s">
        <v>1265</v>
      </c>
      <c r="U1174" s="1" t="n">
        <v>1500</v>
      </c>
      <c r="V1174" s="1" t="n">
        <v>1</v>
      </c>
      <c r="W1174" s="3"/>
      <c r="X1174" s="8" t="s">
        <v>1215</v>
      </c>
      <c r="Y1174" s="12" t="n">
        <v>5500</v>
      </c>
      <c r="Z1174" s="5" t="s">
        <v>1324</v>
      </c>
      <c r="AA1174" s="5" t="s">
        <v>1325</v>
      </c>
      <c r="AB1174" s="13" t="str">
        <f aca="true" t="array" ref="AB1174:AB1174">LEFT(AA1174,LOOKUP(2^15,FIND(".",AA1174,ROW(INDIRECT("1:"&amp;LEN(AA1174)))))-1)</f>
        <v>NB_2023_016 - 20230425 - 1</v>
      </c>
      <c r="AC1174" s="5" t="s">
        <v>1326</v>
      </c>
      <c r="AD1174" s="13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0" t="s">
        <v>1379</v>
      </c>
      <c r="B1175" s="31"/>
      <c r="C1175" s="3" t="s">
        <v>1380</v>
      </c>
      <c r="D1175" s="5" t="s">
        <v>19</v>
      </c>
      <c r="E1175" s="5" t="s">
        <v>1319</v>
      </c>
      <c r="F1175" s="6" t="s">
        <v>1320</v>
      </c>
      <c r="G1175" s="5" t="s">
        <v>1321</v>
      </c>
      <c r="H1175" s="6" t="s">
        <v>56</v>
      </c>
      <c r="I1175" s="5" t="str">
        <f aca="false">CONCATENATE(E1175, "_",H1175)</f>
        <v>NLA_2023_018_013</v>
      </c>
      <c r="J1175" s="12" t="s">
        <v>52</v>
      </c>
      <c r="K1175" s="5" t="s">
        <v>1361</v>
      </c>
      <c r="L1175" s="8" t="s">
        <v>69</v>
      </c>
      <c r="M1175" s="15" t="s">
        <v>1323</v>
      </c>
      <c r="N1175" s="5" t="s">
        <v>246</v>
      </c>
      <c r="O1175" s="32" t="s">
        <v>1220</v>
      </c>
      <c r="P1175" s="1" t="s">
        <v>43</v>
      </c>
      <c r="Q1175" s="5" t="s">
        <v>1358</v>
      </c>
      <c r="R1175" s="5" t="s">
        <v>44</v>
      </c>
      <c r="S1175" s="12"/>
      <c r="T1175" s="5" t="s">
        <v>1265</v>
      </c>
      <c r="U1175" s="1" t="n">
        <v>1500</v>
      </c>
      <c r="V1175" s="12" t="n">
        <v>1</v>
      </c>
      <c r="W1175" s="3"/>
      <c r="X1175" s="8" t="s">
        <v>1215</v>
      </c>
      <c r="Y1175" s="12" t="n">
        <v>5500</v>
      </c>
      <c r="Z1175" s="5" t="s">
        <v>1324</v>
      </c>
      <c r="AA1175" s="5" t="s">
        <v>1325</v>
      </c>
      <c r="AB1175" s="13" t="str">
        <f aca="true" t="array" ref="AB1175:AB1175">LEFT(AA1175,LOOKUP(2^15,FIND(".",AA1175,ROW(INDIRECT("1:"&amp;LEN(AA1175)))))-1)</f>
        <v>NB_2023_016 - 20230425 - 1</v>
      </c>
      <c r="AC1175" s="5" t="s">
        <v>1326</v>
      </c>
      <c r="AD1175" s="13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0" t="s">
        <v>1379</v>
      </c>
      <c r="B1176" s="31"/>
      <c r="C1176" s="3" t="s">
        <v>1380</v>
      </c>
      <c r="D1176" s="5" t="s">
        <v>19</v>
      </c>
      <c r="E1176" s="5" t="s">
        <v>1319</v>
      </c>
      <c r="F1176" s="6" t="s">
        <v>1320</v>
      </c>
      <c r="G1176" s="5" t="s">
        <v>1345</v>
      </c>
      <c r="H1176" s="6" t="s">
        <v>172</v>
      </c>
      <c r="I1176" s="5" t="str">
        <f aca="false">CONCATENATE(E1176, "_",H1176)</f>
        <v>NLA_2023_018_015</v>
      </c>
      <c r="J1176" s="12" t="s">
        <v>38</v>
      </c>
      <c r="K1176" s="5" t="s">
        <v>1368</v>
      </c>
      <c r="L1176" s="8" t="s">
        <v>69</v>
      </c>
      <c r="M1176" s="15" t="s">
        <v>1347</v>
      </c>
      <c r="N1176" s="5" t="s">
        <v>246</v>
      </c>
      <c r="O1176" s="32" t="s">
        <v>1220</v>
      </c>
      <c r="P1176" s="1" t="s">
        <v>43</v>
      </c>
      <c r="Q1176" s="5" t="s">
        <v>1358</v>
      </c>
      <c r="R1176" s="5" t="s">
        <v>44</v>
      </c>
      <c r="T1176" s="1" t="s">
        <v>1263</v>
      </c>
      <c r="U1176" s="1" t="n">
        <v>1500</v>
      </c>
      <c r="V1176" s="1" t="n">
        <v>2</v>
      </c>
      <c r="W1176" s="3"/>
      <c r="X1176" s="8" t="s">
        <v>1215</v>
      </c>
      <c r="Y1176" s="12" t="n">
        <v>5500</v>
      </c>
      <c r="Z1176" s="5" t="s">
        <v>1324</v>
      </c>
      <c r="AA1176" s="5" t="s">
        <v>1325</v>
      </c>
      <c r="AB1176" s="13" t="str">
        <f aca="true" t="array" ref="AB1176:AB1176">LEFT(AA1176,LOOKUP(2^15,FIND(".",AA1176,ROW(INDIRECT("1:"&amp;LEN(AA1176)))))-1)</f>
        <v>NB_2023_016 - 20230425 - 1</v>
      </c>
      <c r="AC1176" s="5" t="s">
        <v>1326</v>
      </c>
      <c r="AD1176" s="13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0" t="s">
        <v>1379</v>
      </c>
      <c r="B1177" s="31"/>
      <c r="C1177" s="3" t="s">
        <v>1380</v>
      </c>
      <c r="D1177" s="5" t="s">
        <v>19</v>
      </c>
      <c r="E1177" s="5" t="s">
        <v>1319</v>
      </c>
      <c r="F1177" s="6" t="s">
        <v>1320</v>
      </c>
      <c r="G1177" s="5" t="s">
        <v>1345</v>
      </c>
      <c r="H1177" s="6" t="s">
        <v>93</v>
      </c>
      <c r="I1177" s="5" t="str">
        <f aca="false">CONCATENATE(E1177, "_",H1177)</f>
        <v>NLA_2023_018_018</v>
      </c>
      <c r="J1177" s="12" t="s">
        <v>38</v>
      </c>
      <c r="K1177" s="5" t="s">
        <v>1369</v>
      </c>
      <c r="L1177" s="8" t="s">
        <v>69</v>
      </c>
      <c r="M1177" s="15" t="s">
        <v>1347</v>
      </c>
      <c r="N1177" s="5" t="s">
        <v>246</v>
      </c>
      <c r="O1177" s="32" t="s">
        <v>1220</v>
      </c>
      <c r="P1177" s="1" t="s">
        <v>43</v>
      </c>
      <c r="Q1177" s="5" t="s">
        <v>1358</v>
      </c>
      <c r="R1177" s="5" t="s">
        <v>44</v>
      </c>
      <c r="T1177" s="1" t="s">
        <v>1263</v>
      </c>
      <c r="U1177" s="1" t="n">
        <v>1500</v>
      </c>
      <c r="V1177" s="1" t="n">
        <v>3</v>
      </c>
      <c r="W1177" s="3"/>
      <c r="X1177" s="8" t="s">
        <v>1215</v>
      </c>
      <c r="Y1177" s="12" t="n">
        <v>5500</v>
      </c>
      <c r="Z1177" s="5" t="s">
        <v>1324</v>
      </c>
      <c r="AA1177" s="5" t="s">
        <v>1325</v>
      </c>
      <c r="AB1177" s="13" t="str">
        <f aca="true" t="array" ref="AB1177:AB1177">LEFT(AA1177,LOOKUP(2^15,FIND(".",AA1177,ROW(INDIRECT("1:"&amp;LEN(AA1177)))))-1)</f>
        <v>NB_2023_016 - 20230425 - 1</v>
      </c>
      <c r="AC1177" s="5" t="s">
        <v>1326</v>
      </c>
      <c r="AD1177" s="13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0" t="s">
        <v>1379</v>
      </c>
      <c r="B1178" s="31"/>
      <c r="C1178" s="3" t="s">
        <v>1380</v>
      </c>
      <c r="D1178" s="5" t="s">
        <v>19</v>
      </c>
      <c r="E1178" s="5" t="s">
        <v>1319</v>
      </c>
      <c r="F1178" s="6" t="s">
        <v>1320</v>
      </c>
      <c r="G1178" s="5" t="s">
        <v>1321</v>
      </c>
      <c r="H1178" s="6" t="s">
        <v>230</v>
      </c>
      <c r="I1178" s="5" t="str">
        <f aca="false">CONCATENATE(E1178, "_",H1178)</f>
        <v>NLA_2023_018_020</v>
      </c>
      <c r="J1178" s="12" t="s">
        <v>52</v>
      </c>
      <c r="K1178" s="5" t="s">
        <v>1362</v>
      </c>
      <c r="L1178" s="8" t="s">
        <v>69</v>
      </c>
      <c r="M1178" s="15" t="s">
        <v>1323</v>
      </c>
      <c r="N1178" s="5" t="s">
        <v>246</v>
      </c>
      <c r="O1178" s="32" t="s">
        <v>1220</v>
      </c>
      <c r="P1178" s="1" t="s">
        <v>43</v>
      </c>
      <c r="Q1178" s="5" t="s">
        <v>1358</v>
      </c>
      <c r="R1178" s="5" t="s">
        <v>44</v>
      </c>
      <c r="S1178" s="12"/>
      <c r="T1178" s="5" t="s">
        <v>1265</v>
      </c>
      <c r="U1178" s="1" t="n">
        <v>1500</v>
      </c>
      <c r="V1178" s="12" t="n">
        <v>2</v>
      </c>
      <c r="W1178" s="3"/>
      <c r="X1178" s="8" t="s">
        <v>1215</v>
      </c>
      <c r="Y1178" s="12" t="n">
        <v>5500</v>
      </c>
      <c r="Z1178" s="5" t="s">
        <v>1324</v>
      </c>
      <c r="AA1178" s="5" t="s">
        <v>1325</v>
      </c>
      <c r="AB1178" s="13" t="str">
        <f aca="true" t="array" ref="AB1178:AB1178">LEFT(AA1178,LOOKUP(2^15,FIND(".",AA1178,ROW(INDIRECT("1:"&amp;LEN(AA1178)))))-1)</f>
        <v>NB_2023_016 - 20230425 - 1</v>
      </c>
      <c r="AC1178" s="5" t="s">
        <v>1326</v>
      </c>
      <c r="AD1178" s="13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0" t="s">
        <v>1379</v>
      </c>
      <c r="B1179" s="31"/>
      <c r="C1179" s="3" t="s">
        <v>1380</v>
      </c>
      <c r="D1179" s="5" t="s">
        <v>19</v>
      </c>
      <c r="E1179" s="5" t="s">
        <v>1319</v>
      </c>
      <c r="F1179" s="6" t="s">
        <v>1320</v>
      </c>
      <c r="G1179" s="5" t="s">
        <v>1321</v>
      </c>
      <c r="H1179" s="6" t="s">
        <v>235</v>
      </c>
      <c r="I1179" s="5" t="str">
        <f aca="false">CONCATENATE(E1179, "_",H1179)</f>
        <v>NLA_2023_018_023</v>
      </c>
      <c r="J1179" s="12" t="s">
        <v>38</v>
      </c>
      <c r="K1179" s="5" t="s">
        <v>1363</v>
      </c>
      <c r="L1179" s="8" t="s">
        <v>69</v>
      </c>
      <c r="M1179" s="15" t="s">
        <v>1323</v>
      </c>
      <c r="N1179" s="5" t="s">
        <v>246</v>
      </c>
      <c r="O1179" s="32" t="s">
        <v>1220</v>
      </c>
      <c r="P1179" s="1" t="s">
        <v>43</v>
      </c>
      <c r="Q1179" s="5" t="s">
        <v>1358</v>
      </c>
      <c r="R1179" s="5" t="s">
        <v>44</v>
      </c>
      <c r="S1179" s="12"/>
      <c r="T1179" s="5" t="s">
        <v>1263</v>
      </c>
      <c r="U1179" s="1" t="n">
        <v>1500</v>
      </c>
      <c r="V1179" s="12" t="n">
        <v>3</v>
      </c>
      <c r="W1179" s="3"/>
      <c r="X1179" s="8" t="s">
        <v>1215</v>
      </c>
      <c r="Y1179" s="12" t="n">
        <v>5500</v>
      </c>
      <c r="Z1179" s="5" t="s">
        <v>1324</v>
      </c>
      <c r="AA1179" s="5" t="s">
        <v>1325</v>
      </c>
      <c r="AB1179" s="13" t="str">
        <f aca="true" t="array" ref="AB1179:AB1179">LEFT(AA1179,LOOKUP(2^15,FIND(".",AA1179,ROW(INDIRECT("1:"&amp;LEN(AA1179)))))-1)</f>
        <v>NB_2023_016 - 20230425 - 1</v>
      </c>
      <c r="AC1179" s="5" t="s">
        <v>1326</v>
      </c>
      <c r="AD1179" s="13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0" t="s">
        <v>1379</v>
      </c>
      <c r="B1180" s="31"/>
      <c r="C1180" s="3" t="s">
        <v>1380</v>
      </c>
      <c r="D1180" s="5" t="s">
        <v>19</v>
      </c>
      <c r="E1180" s="5" t="s">
        <v>1319</v>
      </c>
      <c r="F1180" s="6" t="s">
        <v>1320</v>
      </c>
      <c r="G1180" s="5" t="s">
        <v>1345</v>
      </c>
      <c r="H1180" s="6" t="s">
        <v>385</v>
      </c>
      <c r="I1180" s="5" t="str">
        <f aca="false">CONCATENATE(E1180, "_",H1180)</f>
        <v>NLA_2023_018_030</v>
      </c>
      <c r="J1180" s="12" t="s">
        <v>38</v>
      </c>
      <c r="K1180" s="5" t="s">
        <v>1370</v>
      </c>
      <c r="L1180" s="8" t="s">
        <v>69</v>
      </c>
      <c r="M1180" s="15" t="s">
        <v>1347</v>
      </c>
      <c r="N1180" s="5" t="s">
        <v>246</v>
      </c>
      <c r="O1180" s="32" t="s">
        <v>1220</v>
      </c>
      <c r="P1180" s="1" t="s">
        <v>43</v>
      </c>
      <c r="Q1180" s="5" t="s">
        <v>1358</v>
      </c>
      <c r="R1180" s="5" t="s">
        <v>44</v>
      </c>
      <c r="T1180" s="1" t="s">
        <v>1263</v>
      </c>
      <c r="U1180" s="1" t="n">
        <v>1500</v>
      </c>
      <c r="V1180" s="1" t="n">
        <v>1</v>
      </c>
      <c r="W1180" s="3"/>
      <c r="X1180" s="8" t="s">
        <v>1215</v>
      </c>
      <c r="Y1180" s="12" t="n">
        <v>5500</v>
      </c>
      <c r="Z1180" s="5" t="s">
        <v>1324</v>
      </c>
      <c r="AA1180" s="5" t="s">
        <v>1325</v>
      </c>
      <c r="AB1180" s="13" t="str">
        <f aca="true" t="array" ref="AB1180:AB1180">LEFT(AA1180,LOOKUP(2^15,FIND(".",AA1180,ROW(INDIRECT("1:"&amp;LEN(AA1180)))))-1)</f>
        <v>NB_2023_016 - 20230425 - 1</v>
      </c>
      <c r="AC1180" s="5" t="s">
        <v>1326</v>
      </c>
      <c r="AD1180" s="13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0" t="s">
        <v>1379</v>
      </c>
      <c r="B1181" s="31"/>
      <c r="C1181" s="3" t="s">
        <v>1380</v>
      </c>
      <c r="D1181" s="5" t="s">
        <v>19</v>
      </c>
      <c r="E1181" s="5" t="s">
        <v>1319</v>
      </c>
      <c r="F1181" s="6" t="s">
        <v>1320</v>
      </c>
      <c r="G1181" s="5" t="s">
        <v>1345</v>
      </c>
      <c r="H1181" s="6" t="s">
        <v>1371</v>
      </c>
      <c r="I1181" s="5" t="str">
        <f aca="false">CONCATENATE(E1181, "_",H1181)</f>
        <v>NLA_2023_018_037</v>
      </c>
      <c r="J1181" s="5" t="s">
        <v>52</v>
      </c>
      <c r="K1181" s="5" t="s">
        <v>1372</v>
      </c>
      <c r="L1181" s="8" t="s">
        <v>69</v>
      </c>
      <c r="M1181" s="15" t="s">
        <v>1347</v>
      </c>
      <c r="N1181" s="5" t="s">
        <v>246</v>
      </c>
      <c r="O1181" s="32" t="s">
        <v>1220</v>
      </c>
      <c r="P1181" s="1" t="s">
        <v>43</v>
      </c>
      <c r="Q1181" s="5" t="s">
        <v>1358</v>
      </c>
      <c r="R1181" s="5" t="s">
        <v>44</v>
      </c>
      <c r="T1181" s="1" t="s">
        <v>1265</v>
      </c>
      <c r="U1181" s="1" t="n">
        <v>1500</v>
      </c>
      <c r="V1181" s="1" t="n">
        <v>3</v>
      </c>
      <c r="W1181" s="3"/>
      <c r="X1181" s="8" t="s">
        <v>1215</v>
      </c>
      <c r="Y1181" s="12" t="n">
        <v>5500</v>
      </c>
      <c r="Z1181" s="5" t="s">
        <v>1324</v>
      </c>
      <c r="AA1181" s="5" t="s">
        <v>1325</v>
      </c>
      <c r="AB1181" s="13" t="str">
        <f aca="true" t="array" ref="AB1181:AB1181">LEFT(AA1181,LOOKUP(2^15,FIND(".",AA1181,ROW(INDIRECT("1:"&amp;LEN(AA1181)))))-1)</f>
        <v>NB_2023_016 - 20230425 - 1</v>
      </c>
      <c r="AC1181" s="5" t="s">
        <v>1326</v>
      </c>
      <c r="AD1181" s="13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0" t="s">
        <v>1379</v>
      </c>
      <c r="B1182" s="31"/>
      <c r="C1182" s="3" t="s">
        <v>1380</v>
      </c>
      <c r="D1182" s="5" t="s">
        <v>19</v>
      </c>
      <c r="E1182" s="5" t="s">
        <v>1319</v>
      </c>
      <c r="F1182" s="6" t="s">
        <v>1320</v>
      </c>
      <c r="G1182" s="5" t="s">
        <v>1319</v>
      </c>
      <c r="H1182" s="14" t="s">
        <v>64</v>
      </c>
      <c r="I1182" s="5" t="str">
        <f aca="false">CONCATENATE(E1182, "_",H1182)</f>
        <v>NLA_2023_018_Blank_1</v>
      </c>
      <c r="J1182" s="5" t="s">
        <v>52</v>
      </c>
      <c r="K1182" s="16" t="s">
        <v>64</v>
      </c>
      <c r="L1182" s="6" t="s">
        <v>46</v>
      </c>
      <c r="M1182" s="15" t="s">
        <v>46</v>
      </c>
      <c r="N1182" s="5" t="s">
        <v>65</v>
      </c>
      <c r="O1182" s="5" t="s">
        <v>46</v>
      </c>
      <c r="P1182" s="5" t="s">
        <v>46</v>
      </c>
      <c r="Q1182" s="5" t="s">
        <v>46</v>
      </c>
      <c r="R1182" s="5" t="s">
        <v>46</v>
      </c>
      <c r="S1182" s="5" t="s">
        <v>46</v>
      </c>
      <c r="T1182" s="5" t="s">
        <v>46</v>
      </c>
      <c r="U1182" s="5" t="s">
        <v>46</v>
      </c>
      <c r="V1182" s="1" t="n">
        <v>1</v>
      </c>
      <c r="W1182" s="3"/>
      <c r="X1182" s="5" t="s">
        <v>46</v>
      </c>
      <c r="Y1182" s="12" t="n">
        <v>5500</v>
      </c>
      <c r="Z1182" s="5" t="s">
        <v>1324</v>
      </c>
      <c r="AA1182" s="5" t="s">
        <v>1325</v>
      </c>
      <c r="AB1182" s="13" t="str">
        <f aca="true" t="array" ref="AB1182:AB1182">LEFT(AA1182,LOOKUP(2^15,FIND(".",AA1182,ROW(INDIRECT("1:"&amp;LEN(AA1182)))))-1)</f>
        <v>NB_2023_016 - 20230425 - 1</v>
      </c>
      <c r="AC1182" s="5" t="s">
        <v>1326</v>
      </c>
      <c r="AD1182" s="13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0" t="s">
        <v>1379</v>
      </c>
      <c r="B1183" s="31"/>
      <c r="C1183" s="3" t="s">
        <v>1380</v>
      </c>
      <c r="D1183" s="5" t="s">
        <v>19</v>
      </c>
      <c r="E1183" s="5" t="s">
        <v>1319</v>
      </c>
      <c r="F1183" s="6" t="s">
        <v>1320</v>
      </c>
      <c r="G1183" s="5" t="s">
        <v>1319</v>
      </c>
      <c r="H1183" s="14" t="s">
        <v>67</v>
      </c>
      <c r="I1183" s="5" t="str">
        <f aca="false">CONCATENATE(E1183, "_",H1183)</f>
        <v>NLA_2023_018_Blank_3</v>
      </c>
      <c r="J1183" s="5" t="s">
        <v>52</v>
      </c>
      <c r="K1183" s="16" t="s">
        <v>67</v>
      </c>
      <c r="L1183" s="6" t="s">
        <v>46</v>
      </c>
      <c r="M1183" s="15" t="s">
        <v>46</v>
      </c>
      <c r="N1183" s="5" t="s">
        <v>65</v>
      </c>
      <c r="O1183" s="5" t="s">
        <v>46</v>
      </c>
      <c r="P1183" s="5" t="s">
        <v>46</v>
      </c>
      <c r="Q1183" s="5" t="s">
        <v>46</v>
      </c>
      <c r="R1183" s="5" t="s">
        <v>46</v>
      </c>
      <c r="S1183" s="5" t="s">
        <v>46</v>
      </c>
      <c r="T1183" s="5" t="s">
        <v>46</v>
      </c>
      <c r="U1183" s="5" t="s">
        <v>46</v>
      </c>
      <c r="V1183" s="1" t="n">
        <v>3</v>
      </c>
      <c r="W1183" s="3"/>
      <c r="X1183" s="5" t="s">
        <v>46</v>
      </c>
      <c r="Y1183" s="12" t="n">
        <v>5500</v>
      </c>
      <c r="Z1183" s="5" t="s">
        <v>1324</v>
      </c>
      <c r="AA1183" s="5" t="s">
        <v>1325</v>
      </c>
      <c r="AB1183" s="13" t="str">
        <f aca="true" t="array" ref="AB1183:AB1183">LEFT(AA1183,LOOKUP(2^15,FIND(".",AA1183,ROW(INDIRECT("1:"&amp;LEN(AA1183)))))-1)</f>
        <v>NB_2023_016 - 20230425 - 1</v>
      </c>
      <c r="AC1183" s="5" t="s">
        <v>1326</v>
      </c>
      <c r="AD1183" s="13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0" t="s">
        <v>1379</v>
      </c>
      <c r="B1184" s="31"/>
      <c r="C1184" s="3" t="s">
        <v>1380</v>
      </c>
      <c r="D1184" s="5" t="s">
        <v>19</v>
      </c>
      <c r="E1184" s="5" t="s">
        <v>1319</v>
      </c>
      <c r="F1184" s="6" t="s">
        <v>1320</v>
      </c>
      <c r="G1184" s="5" t="s">
        <v>1319</v>
      </c>
      <c r="H1184" s="14" t="s">
        <v>221</v>
      </c>
      <c r="I1184" s="5" t="str">
        <f aca="false">CONCATENATE(E1184, "_",H1184)</f>
        <v>NLA_2023_018_Blank_4</v>
      </c>
      <c r="J1184" s="5" t="s">
        <v>52</v>
      </c>
      <c r="K1184" s="16" t="s">
        <v>221</v>
      </c>
      <c r="L1184" s="6" t="s">
        <v>46</v>
      </c>
      <c r="M1184" s="15" t="s">
        <v>46</v>
      </c>
      <c r="N1184" s="5" t="s">
        <v>65</v>
      </c>
      <c r="O1184" s="5" t="s">
        <v>46</v>
      </c>
      <c r="P1184" s="5" t="s">
        <v>46</v>
      </c>
      <c r="Q1184" s="5" t="s">
        <v>46</v>
      </c>
      <c r="R1184" s="5" t="s">
        <v>46</v>
      </c>
      <c r="S1184" s="5" t="s">
        <v>46</v>
      </c>
      <c r="T1184" s="5" t="s">
        <v>46</v>
      </c>
      <c r="U1184" s="5" t="s">
        <v>46</v>
      </c>
      <c r="V1184" s="1" t="n">
        <v>4</v>
      </c>
      <c r="W1184" s="3"/>
      <c r="X1184" s="5" t="s">
        <v>46</v>
      </c>
      <c r="Y1184" s="12" t="n">
        <v>5500</v>
      </c>
      <c r="Z1184" s="5" t="s">
        <v>1324</v>
      </c>
      <c r="AA1184" s="5" t="s">
        <v>1325</v>
      </c>
      <c r="AB1184" s="13" t="str">
        <f aca="true" t="array" ref="AB1184:AB1184">LEFT(AA1184,LOOKUP(2^15,FIND(".",AA1184,ROW(INDIRECT("1:"&amp;LEN(AA1184)))))-1)</f>
        <v>NB_2023_016 - 20230425 - 1</v>
      </c>
      <c r="AC1184" s="5" t="s">
        <v>1326</v>
      </c>
      <c r="AD1184" s="13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0" t="s">
        <v>1379</v>
      </c>
      <c r="B1185" s="31"/>
      <c r="C1185" s="3" t="s">
        <v>1380</v>
      </c>
      <c r="D1185" s="5" t="s">
        <v>19</v>
      </c>
      <c r="E1185" s="5" t="s">
        <v>1319</v>
      </c>
      <c r="F1185" s="6" t="s">
        <v>1320</v>
      </c>
      <c r="G1185" s="5" t="s">
        <v>1319</v>
      </c>
      <c r="H1185" s="14" t="s">
        <v>68</v>
      </c>
      <c r="I1185" s="5" t="str">
        <f aca="false">CONCATENATE(E1185, "_",H1185)</f>
        <v>NLA_2023_018_QC_C_1</v>
      </c>
      <c r="J1185" s="5" t="s">
        <v>52</v>
      </c>
      <c r="K1185" s="16" t="s">
        <v>68</v>
      </c>
      <c r="L1185" s="8" t="s">
        <v>69</v>
      </c>
      <c r="M1185" s="1" t="s">
        <v>46</v>
      </c>
      <c r="N1185" s="5" t="s">
        <v>70</v>
      </c>
      <c r="O1185" s="5" t="s">
        <v>46</v>
      </c>
      <c r="P1185" s="5" t="s">
        <v>71</v>
      </c>
      <c r="Q1185" s="5" t="s">
        <v>71</v>
      </c>
      <c r="R1185" s="5" t="s">
        <v>72</v>
      </c>
      <c r="S1185" s="5" t="s">
        <v>73</v>
      </c>
      <c r="T1185" s="5" t="s">
        <v>46</v>
      </c>
      <c r="U1185" s="5" t="n">
        <v>1000</v>
      </c>
      <c r="V1185" s="1" t="n">
        <v>1</v>
      </c>
      <c r="W1185" s="3"/>
      <c r="X1185" s="5" t="s">
        <v>74</v>
      </c>
      <c r="Y1185" s="12" t="n">
        <v>5500</v>
      </c>
      <c r="Z1185" s="5" t="s">
        <v>1324</v>
      </c>
      <c r="AA1185" s="5" t="s">
        <v>1325</v>
      </c>
      <c r="AB1185" s="13" t="str">
        <f aca="true" t="array" ref="AB1185:AB1185">LEFT(AA1185,LOOKUP(2^15,FIND(".",AA1185,ROW(INDIRECT("1:"&amp;LEN(AA1185)))))-1)</f>
        <v>NB_2023_016 - 20230425 - 1</v>
      </c>
      <c r="AC1185" s="5" t="s">
        <v>1326</v>
      </c>
      <c r="AD1185" s="13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0" t="s">
        <v>1379</v>
      </c>
      <c r="B1186" s="31"/>
      <c r="C1186" s="3" t="s">
        <v>1380</v>
      </c>
      <c r="D1186" s="5" t="s">
        <v>19</v>
      </c>
      <c r="E1186" s="5" t="s">
        <v>1319</v>
      </c>
      <c r="F1186" s="6" t="s">
        <v>1320</v>
      </c>
      <c r="G1186" s="5" t="s">
        <v>1319</v>
      </c>
      <c r="H1186" s="14" t="s">
        <v>75</v>
      </c>
      <c r="I1186" s="5" t="str">
        <f aca="false">CONCATENATE(E1186, "_",H1186)</f>
        <v>NLA_2023_018_QC_C_2</v>
      </c>
      <c r="J1186" s="5" t="s">
        <v>52</v>
      </c>
      <c r="K1186" s="16" t="s">
        <v>75</v>
      </c>
      <c r="L1186" s="8" t="s">
        <v>69</v>
      </c>
      <c r="M1186" s="1" t="s">
        <v>46</v>
      </c>
      <c r="N1186" s="5" t="s">
        <v>70</v>
      </c>
      <c r="O1186" s="5" t="s">
        <v>46</v>
      </c>
      <c r="P1186" s="5" t="s">
        <v>71</v>
      </c>
      <c r="Q1186" s="5" t="s">
        <v>71</v>
      </c>
      <c r="R1186" s="5" t="s">
        <v>72</v>
      </c>
      <c r="S1186" s="5" t="s">
        <v>73</v>
      </c>
      <c r="T1186" s="5" t="s">
        <v>46</v>
      </c>
      <c r="U1186" s="5" t="n">
        <v>1000</v>
      </c>
      <c r="V1186" s="1" t="n">
        <v>2</v>
      </c>
      <c r="W1186" s="3"/>
      <c r="X1186" s="5" t="s">
        <v>74</v>
      </c>
      <c r="Y1186" s="12" t="n">
        <v>5500</v>
      </c>
      <c r="Z1186" s="5" t="s">
        <v>1324</v>
      </c>
      <c r="AA1186" s="5" t="s">
        <v>1325</v>
      </c>
      <c r="AB1186" s="13" t="str">
        <f aca="true" t="array" ref="AB1186:AB1186">LEFT(AA1186,LOOKUP(2^15,FIND(".",AA1186,ROW(INDIRECT("1:"&amp;LEN(AA1186)))))-1)</f>
        <v>NB_2023_016 - 20230425 - 1</v>
      </c>
      <c r="AC1186" s="5" t="s">
        <v>1326</v>
      </c>
      <c r="AD1186" s="13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0" t="s">
        <v>1379</v>
      </c>
      <c r="B1187" s="31"/>
      <c r="C1187" s="3" t="s">
        <v>1380</v>
      </c>
      <c r="D1187" s="5" t="s">
        <v>19</v>
      </c>
      <c r="E1187" s="5" t="s">
        <v>1319</v>
      </c>
      <c r="F1187" s="6" t="s">
        <v>1320</v>
      </c>
      <c r="G1187" s="5" t="s">
        <v>1319</v>
      </c>
      <c r="H1187" s="14" t="s">
        <v>76</v>
      </c>
      <c r="I1187" s="5" t="str">
        <f aca="false">CONCATENATE(E1187, "_",H1187)</f>
        <v>NLA_2023_018_QC_C_3</v>
      </c>
      <c r="J1187" s="5" t="s">
        <v>52</v>
      </c>
      <c r="K1187" s="16" t="s">
        <v>76</v>
      </c>
      <c r="L1187" s="8" t="s">
        <v>69</v>
      </c>
      <c r="M1187" s="1" t="s">
        <v>46</v>
      </c>
      <c r="N1187" s="5" t="s">
        <v>70</v>
      </c>
      <c r="O1187" s="5" t="s">
        <v>46</v>
      </c>
      <c r="P1187" s="5" t="s">
        <v>71</v>
      </c>
      <c r="Q1187" s="5" t="s">
        <v>71</v>
      </c>
      <c r="R1187" s="5" t="s">
        <v>72</v>
      </c>
      <c r="S1187" s="5" t="s">
        <v>73</v>
      </c>
      <c r="T1187" s="5" t="s">
        <v>46</v>
      </c>
      <c r="U1187" s="5" t="n">
        <v>1000</v>
      </c>
      <c r="V1187" s="1" t="n">
        <v>3</v>
      </c>
      <c r="W1187" s="3"/>
      <c r="X1187" s="5" t="s">
        <v>74</v>
      </c>
      <c r="Y1187" s="12" t="n">
        <v>5500</v>
      </c>
      <c r="Z1187" s="5" t="s">
        <v>1324</v>
      </c>
      <c r="AA1187" s="5" t="s">
        <v>1325</v>
      </c>
      <c r="AB1187" s="13" t="str">
        <f aca="true" t="array" ref="AB1187:AB1187">LEFT(AA1187,LOOKUP(2^15,FIND(".",AA1187,ROW(INDIRECT("1:"&amp;LEN(AA1187)))))-1)</f>
        <v>NB_2023_016 - 20230425 - 1</v>
      </c>
      <c r="AC1187" s="5" t="s">
        <v>1326</v>
      </c>
      <c r="AD1187" s="13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0" t="s">
        <v>1379</v>
      </c>
      <c r="B1188" s="31"/>
      <c r="C1188" s="3" t="s">
        <v>1380</v>
      </c>
      <c r="D1188" s="5" t="s">
        <v>19</v>
      </c>
      <c r="E1188" s="5" t="s">
        <v>1319</v>
      </c>
      <c r="F1188" s="6" t="s">
        <v>1320</v>
      </c>
      <c r="G1188" s="5" t="s">
        <v>1319</v>
      </c>
      <c r="H1188" s="14" t="s">
        <v>222</v>
      </c>
      <c r="I1188" s="5" t="str">
        <f aca="false">CONCATENATE(E1188, "_",H1188)</f>
        <v>NLA_2023_018_QC_C_4</v>
      </c>
      <c r="J1188" s="5" t="s">
        <v>52</v>
      </c>
      <c r="K1188" s="16" t="s">
        <v>222</v>
      </c>
      <c r="L1188" s="8" t="s">
        <v>69</v>
      </c>
      <c r="M1188" s="1" t="s">
        <v>46</v>
      </c>
      <c r="N1188" s="5" t="s">
        <v>70</v>
      </c>
      <c r="O1188" s="5" t="s">
        <v>46</v>
      </c>
      <c r="P1188" s="5" t="s">
        <v>71</v>
      </c>
      <c r="Q1188" s="5" t="s">
        <v>71</v>
      </c>
      <c r="R1188" s="5" t="s">
        <v>72</v>
      </c>
      <c r="S1188" s="5" t="s">
        <v>73</v>
      </c>
      <c r="T1188" s="5" t="s">
        <v>46</v>
      </c>
      <c r="U1188" s="5" t="n">
        <v>1000</v>
      </c>
      <c r="V1188" s="1" t="n">
        <v>4</v>
      </c>
      <c r="W1188" s="3"/>
      <c r="X1188" s="5" t="s">
        <v>74</v>
      </c>
      <c r="Y1188" s="12" t="n">
        <v>5500</v>
      </c>
      <c r="Z1188" s="5" t="s">
        <v>1324</v>
      </c>
      <c r="AA1188" s="5" t="s">
        <v>1325</v>
      </c>
      <c r="AB1188" s="13" t="str">
        <f aca="true" t="array" ref="AB1188:AB1188">LEFT(AA1188,LOOKUP(2^15,FIND(".",AA1188,ROW(INDIRECT("1:"&amp;LEN(AA1188)))))-1)</f>
        <v>NB_2023_016 - 20230425 - 1</v>
      </c>
      <c r="AC1188" s="5" t="s">
        <v>1326</v>
      </c>
      <c r="AD1188" s="13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0" t="s">
        <v>1379</v>
      </c>
      <c r="B1189" s="31"/>
      <c r="C1189" s="3" t="s">
        <v>1380</v>
      </c>
      <c r="D1189" s="5" t="s">
        <v>19</v>
      </c>
      <c r="E1189" s="5" t="s">
        <v>1319</v>
      </c>
      <c r="F1189" s="6" t="s">
        <v>1320</v>
      </c>
      <c r="G1189" s="5" t="s">
        <v>1319</v>
      </c>
      <c r="H1189" s="14" t="s">
        <v>77</v>
      </c>
      <c r="I1189" s="5" t="str">
        <f aca="false">CONCATENATE(E1189, "_",H1189)</f>
        <v>NLA_2023_018_QC_P_1</v>
      </c>
      <c r="J1189" s="5" t="s">
        <v>52</v>
      </c>
      <c r="K1189" s="16" t="s">
        <v>77</v>
      </c>
      <c r="L1189" s="6" t="s">
        <v>69</v>
      </c>
      <c r="M1189" s="1" t="s">
        <v>46</v>
      </c>
      <c r="N1189" s="5" t="s">
        <v>78</v>
      </c>
      <c r="O1189" s="5" t="s">
        <v>46</v>
      </c>
      <c r="P1189" s="5" t="s">
        <v>79</v>
      </c>
      <c r="Q1189" s="5" t="s">
        <v>80</v>
      </c>
      <c r="R1189" s="5" t="s">
        <v>81</v>
      </c>
      <c r="S1189" s="5" t="s">
        <v>46</v>
      </c>
      <c r="T1189" s="5" t="s">
        <v>46</v>
      </c>
      <c r="U1189" s="5" t="s">
        <v>82</v>
      </c>
      <c r="V1189" s="1" t="n">
        <v>1</v>
      </c>
      <c r="W1189" s="3"/>
      <c r="X1189" s="5" t="s">
        <v>83</v>
      </c>
      <c r="Y1189" s="12" t="n">
        <v>5500</v>
      </c>
      <c r="Z1189" s="5" t="s">
        <v>1324</v>
      </c>
      <c r="AA1189" s="5" t="s">
        <v>1325</v>
      </c>
      <c r="AB1189" s="13" t="str">
        <f aca="true" t="array" ref="AB1189:AB1189">LEFT(AA1189,LOOKUP(2^15,FIND(".",AA1189,ROW(INDIRECT("1:"&amp;LEN(AA1189)))))-1)</f>
        <v>NB_2023_016 - 20230425 - 1</v>
      </c>
      <c r="AC1189" s="5" t="s">
        <v>1326</v>
      </c>
      <c r="AD1189" s="13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0" t="s">
        <v>1379</v>
      </c>
      <c r="B1190" s="31"/>
      <c r="C1190" s="3" t="s">
        <v>1380</v>
      </c>
      <c r="D1190" s="5" t="s">
        <v>19</v>
      </c>
      <c r="E1190" s="5" t="s">
        <v>1319</v>
      </c>
      <c r="F1190" s="6" t="s">
        <v>1320</v>
      </c>
      <c r="G1190" s="5" t="s">
        <v>1319</v>
      </c>
      <c r="H1190" s="14" t="s">
        <v>84</v>
      </c>
      <c r="I1190" s="5" t="str">
        <f aca="false">CONCATENATE(E1190, "_",H1190)</f>
        <v>NLA_2023_018_QC_P_2</v>
      </c>
      <c r="J1190" s="5" t="s">
        <v>52</v>
      </c>
      <c r="K1190" s="16" t="s">
        <v>84</v>
      </c>
      <c r="L1190" s="6" t="s">
        <v>69</v>
      </c>
      <c r="M1190" s="1" t="s">
        <v>46</v>
      </c>
      <c r="N1190" s="5" t="s">
        <v>78</v>
      </c>
      <c r="O1190" s="5" t="s">
        <v>46</v>
      </c>
      <c r="P1190" s="5" t="s">
        <v>79</v>
      </c>
      <c r="Q1190" s="5" t="s">
        <v>80</v>
      </c>
      <c r="R1190" s="5" t="s">
        <v>81</v>
      </c>
      <c r="S1190" s="5" t="s">
        <v>46</v>
      </c>
      <c r="T1190" s="5" t="s">
        <v>46</v>
      </c>
      <c r="U1190" s="5" t="s">
        <v>82</v>
      </c>
      <c r="V1190" s="1" t="n">
        <v>2</v>
      </c>
      <c r="W1190" s="3"/>
      <c r="X1190" s="5" t="s">
        <v>83</v>
      </c>
      <c r="Y1190" s="12" t="n">
        <v>5500</v>
      </c>
      <c r="Z1190" s="5" t="s">
        <v>1324</v>
      </c>
      <c r="AA1190" s="5" t="s">
        <v>1325</v>
      </c>
      <c r="AB1190" s="13" t="str">
        <f aca="true" t="array" ref="AB1190:AB1190">LEFT(AA1190,LOOKUP(2^15,FIND(".",AA1190,ROW(INDIRECT("1:"&amp;LEN(AA1190)))))-1)</f>
        <v>NB_2023_016 - 20230425 - 1</v>
      </c>
      <c r="AC1190" s="5" t="s">
        <v>1326</v>
      </c>
      <c r="AD1190" s="13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0" t="s">
        <v>1379</v>
      </c>
      <c r="B1191" s="31"/>
      <c r="C1191" s="3" t="s">
        <v>1380</v>
      </c>
      <c r="D1191" s="5" t="s">
        <v>19</v>
      </c>
      <c r="E1191" s="5" t="s">
        <v>1319</v>
      </c>
      <c r="F1191" s="6" t="s">
        <v>1320</v>
      </c>
      <c r="G1191" s="5" t="s">
        <v>1319</v>
      </c>
      <c r="H1191" s="14" t="s">
        <v>85</v>
      </c>
      <c r="I1191" s="5" t="str">
        <f aca="false">CONCATENATE(E1191, "_",H1191)</f>
        <v>NLA_2023_018_QC_P_3</v>
      </c>
      <c r="J1191" s="3" t="s">
        <v>52</v>
      </c>
      <c r="K1191" s="16" t="s">
        <v>85</v>
      </c>
      <c r="L1191" s="6" t="s">
        <v>69</v>
      </c>
      <c r="M1191" s="1" t="s">
        <v>46</v>
      </c>
      <c r="N1191" s="5" t="s">
        <v>78</v>
      </c>
      <c r="O1191" s="5" t="s">
        <v>46</v>
      </c>
      <c r="P1191" s="5" t="s">
        <v>79</v>
      </c>
      <c r="Q1191" s="5" t="s">
        <v>80</v>
      </c>
      <c r="R1191" s="5" t="s">
        <v>81</v>
      </c>
      <c r="S1191" s="5" t="s">
        <v>46</v>
      </c>
      <c r="T1191" s="5" t="s">
        <v>46</v>
      </c>
      <c r="U1191" s="5" t="s">
        <v>82</v>
      </c>
      <c r="V1191" s="1" t="n">
        <v>3</v>
      </c>
      <c r="W1191" s="3"/>
      <c r="X1191" s="5" t="s">
        <v>83</v>
      </c>
      <c r="Y1191" s="12" t="n">
        <v>5500</v>
      </c>
      <c r="Z1191" s="5" t="s">
        <v>1324</v>
      </c>
      <c r="AA1191" s="5" t="s">
        <v>1325</v>
      </c>
      <c r="AB1191" s="13" t="str">
        <f aca="true" t="array" ref="AB1191:AB1191">LEFT(AA1191,LOOKUP(2^15,FIND(".",AA1191,ROW(INDIRECT("1:"&amp;LEN(AA1191)))))-1)</f>
        <v>NB_2023_016 - 20230425 - 1</v>
      </c>
      <c r="AC1191" s="5" t="s">
        <v>1326</v>
      </c>
      <c r="AD1191" s="13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0" t="s">
        <v>1379</v>
      </c>
      <c r="B1192" s="31"/>
      <c r="C1192" s="3" t="s">
        <v>1380</v>
      </c>
      <c r="D1192" s="5" t="s">
        <v>19</v>
      </c>
      <c r="E1192" s="5" t="s">
        <v>1319</v>
      </c>
      <c r="F1192" s="6" t="s">
        <v>1320</v>
      </c>
      <c r="G1192" s="5" t="s">
        <v>1319</v>
      </c>
      <c r="H1192" s="14" t="s">
        <v>224</v>
      </c>
      <c r="I1192" s="5" t="str">
        <f aca="false">CONCATENATE(E1192, "_",H1192)</f>
        <v>NLA_2023_018_QC_P_4</v>
      </c>
      <c r="J1192" s="3" t="s">
        <v>52</v>
      </c>
      <c r="K1192" s="16" t="s">
        <v>224</v>
      </c>
      <c r="L1192" s="6" t="s">
        <v>69</v>
      </c>
      <c r="M1192" s="1" t="s">
        <v>46</v>
      </c>
      <c r="N1192" s="5" t="s">
        <v>78</v>
      </c>
      <c r="O1192" s="5" t="s">
        <v>46</v>
      </c>
      <c r="P1192" s="5" t="s">
        <v>79</v>
      </c>
      <c r="Q1192" s="5" t="s">
        <v>80</v>
      </c>
      <c r="R1192" s="5" t="s">
        <v>81</v>
      </c>
      <c r="S1192" s="5" t="s">
        <v>46</v>
      </c>
      <c r="T1192" s="5" t="s">
        <v>46</v>
      </c>
      <c r="U1192" s="5" t="s">
        <v>82</v>
      </c>
      <c r="V1192" s="1" t="n">
        <v>4</v>
      </c>
      <c r="W1192" s="3"/>
      <c r="X1192" s="5" t="s">
        <v>83</v>
      </c>
      <c r="Y1192" s="12" t="n">
        <v>5500</v>
      </c>
      <c r="Z1192" s="5" t="s">
        <v>1324</v>
      </c>
      <c r="AA1192" s="5" t="s">
        <v>1325</v>
      </c>
      <c r="AB1192" s="13" t="str">
        <f aca="true" t="array" ref="AB1192:AB1192">LEFT(AA1192,LOOKUP(2^15,FIND(".",AA1192,ROW(INDIRECT("1:"&amp;LEN(AA1192)))))-1)</f>
        <v>NB_2023_016 - 20230425 - 1</v>
      </c>
      <c r="AC1192" s="5" t="s">
        <v>1326</v>
      </c>
      <c r="AD1192" s="13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0" t="s">
        <v>1381</v>
      </c>
      <c r="B1193" s="31"/>
      <c r="C1193" s="3" t="s">
        <v>1382</v>
      </c>
      <c r="D1193" s="5" t="s">
        <v>14</v>
      </c>
      <c r="E1193" s="5" t="s">
        <v>1319</v>
      </c>
      <c r="F1193" s="6" t="s">
        <v>1320</v>
      </c>
      <c r="G1193" s="5" t="s">
        <v>1336</v>
      </c>
      <c r="H1193" s="6" t="s">
        <v>132</v>
      </c>
      <c r="I1193" s="5" t="str">
        <f aca="false">CONCATENATE(E1193, "_",H1193)</f>
        <v>NLA_2023_018_011</v>
      </c>
      <c r="J1193" s="5" t="s">
        <v>52</v>
      </c>
      <c r="K1193" s="5" t="s">
        <v>1383</v>
      </c>
      <c r="L1193" s="8" t="s">
        <v>69</v>
      </c>
      <c r="M1193" s="15" t="s">
        <v>1338</v>
      </c>
      <c r="N1193" s="5" t="s">
        <v>246</v>
      </c>
      <c r="O1193" s="32" t="s">
        <v>1220</v>
      </c>
      <c r="P1193" s="1" t="s">
        <v>43</v>
      </c>
      <c r="Q1193" s="5" t="s">
        <v>1358</v>
      </c>
      <c r="R1193" s="5" t="s">
        <v>44</v>
      </c>
      <c r="S1193" s="12"/>
      <c r="U1193" s="5" t="n">
        <v>1500</v>
      </c>
      <c r="V1193" s="12" t="n">
        <v>1</v>
      </c>
      <c r="W1193" s="3"/>
      <c r="X1193" s="8" t="s">
        <v>1215</v>
      </c>
      <c r="Y1193" s="12" t="n">
        <v>5500</v>
      </c>
      <c r="Z1193" s="5" t="s">
        <v>1324</v>
      </c>
      <c r="AA1193" s="5" t="s">
        <v>1325</v>
      </c>
      <c r="AB1193" s="13" t="str">
        <f aca="true" t="array" ref="AB1193:AB1193">LEFT(AA1193,LOOKUP(2^15,FIND(".",AA1193,ROW(INDIRECT("1:"&amp;LEN(AA1193)))))-1)</f>
        <v>NB_2023_016 - 20230425 - 1</v>
      </c>
      <c r="AC1193" s="5" t="s">
        <v>1326</v>
      </c>
      <c r="AD1193" s="13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0" t="s">
        <v>1381</v>
      </c>
      <c r="B1194" s="31"/>
      <c r="C1194" s="3" t="s">
        <v>1382</v>
      </c>
      <c r="D1194" s="5" t="s">
        <v>14</v>
      </c>
      <c r="E1194" s="5" t="s">
        <v>1319</v>
      </c>
      <c r="F1194" s="6" t="s">
        <v>1320</v>
      </c>
      <c r="G1194" s="5" t="s">
        <v>1321</v>
      </c>
      <c r="H1194" s="6" t="s">
        <v>58</v>
      </c>
      <c r="I1194" s="5" t="str">
        <f aca="false">CONCATENATE(E1194, "_",H1194)</f>
        <v>NLA_2023_018_014</v>
      </c>
      <c r="J1194" s="5" t="s">
        <v>52</v>
      </c>
      <c r="K1194" s="5" t="s">
        <v>1384</v>
      </c>
      <c r="L1194" s="8" t="s">
        <v>69</v>
      </c>
      <c r="M1194" s="15" t="s">
        <v>1323</v>
      </c>
      <c r="N1194" s="5" t="s">
        <v>246</v>
      </c>
      <c r="O1194" s="32" t="s">
        <v>1220</v>
      </c>
      <c r="P1194" s="1" t="s">
        <v>43</v>
      </c>
      <c r="Q1194" s="5" t="s">
        <v>1358</v>
      </c>
      <c r="R1194" s="5" t="s">
        <v>44</v>
      </c>
      <c r="S1194" s="12"/>
      <c r="U1194" s="5" t="n">
        <v>1500</v>
      </c>
      <c r="V1194" s="12" t="n">
        <v>2</v>
      </c>
      <c r="W1194" s="3"/>
      <c r="X1194" s="8" t="s">
        <v>1215</v>
      </c>
      <c r="Y1194" s="12" t="n">
        <v>5500</v>
      </c>
      <c r="Z1194" s="5" t="s">
        <v>1324</v>
      </c>
      <c r="AA1194" s="5" t="s">
        <v>1325</v>
      </c>
      <c r="AB1194" s="13" t="str">
        <f aca="true" t="array" ref="AB1194:AB1194">LEFT(AA1194,LOOKUP(2^15,FIND(".",AA1194,ROW(INDIRECT("1:"&amp;LEN(AA1194)))))-1)</f>
        <v>NB_2023_016 - 20230425 - 1</v>
      </c>
      <c r="AC1194" s="5" t="s">
        <v>1326</v>
      </c>
      <c r="AD1194" s="13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0" t="s">
        <v>1381</v>
      </c>
      <c r="B1195" s="31"/>
      <c r="C1195" s="3" t="s">
        <v>1382</v>
      </c>
      <c r="D1195" s="5" t="s">
        <v>14</v>
      </c>
      <c r="E1195" s="5" t="s">
        <v>1319</v>
      </c>
      <c r="F1195" s="6" t="s">
        <v>1320</v>
      </c>
      <c r="G1195" s="5" t="s">
        <v>1321</v>
      </c>
      <c r="H1195" s="6" t="s">
        <v>60</v>
      </c>
      <c r="I1195" s="5" t="str">
        <f aca="false">CONCATENATE(E1195, "_",H1195)</f>
        <v>NLA_2023_018_016</v>
      </c>
      <c r="J1195" s="5" t="s">
        <v>38</v>
      </c>
      <c r="K1195" s="5" t="s">
        <v>1327</v>
      </c>
      <c r="L1195" s="8" t="s">
        <v>69</v>
      </c>
      <c r="M1195" s="15" t="s">
        <v>1323</v>
      </c>
      <c r="N1195" s="5" t="s">
        <v>246</v>
      </c>
      <c r="O1195" s="32" t="s">
        <v>1212</v>
      </c>
      <c r="P1195" s="1" t="s">
        <v>43</v>
      </c>
      <c r="Q1195" s="1" t="s">
        <v>43</v>
      </c>
      <c r="R1195" s="5" t="s">
        <v>44</v>
      </c>
      <c r="U1195" s="5" t="n">
        <v>1500</v>
      </c>
      <c r="V1195" s="1" t="n">
        <v>2</v>
      </c>
      <c r="W1195" s="3"/>
      <c r="X1195" s="8" t="s">
        <v>1215</v>
      </c>
      <c r="Y1195" s="12" t="n">
        <v>5500</v>
      </c>
      <c r="Z1195" s="5" t="s">
        <v>1324</v>
      </c>
      <c r="AA1195" s="5" t="s">
        <v>1325</v>
      </c>
      <c r="AB1195" s="13" t="str">
        <f aca="true" t="array" ref="AB1195:AB1195">LEFT(AA1195,LOOKUP(2^15,FIND(".",AA1195,ROW(INDIRECT("1:"&amp;LEN(AA1195)))))-1)</f>
        <v>NB_2023_016 - 20230425 - 1</v>
      </c>
      <c r="AC1195" s="5" t="s">
        <v>1326</v>
      </c>
      <c r="AD1195" s="13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0" t="s">
        <v>1381</v>
      </c>
      <c r="B1196" s="31"/>
      <c r="C1196" s="3" t="s">
        <v>1382</v>
      </c>
      <c r="D1196" s="5" t="s">
        <v>14</v>
      </c>
      <c r="E1196" s="5" t="s">
        <v>1319</v>
      </c>
      <c r="F1196" s="6" t="s">
        <v>1320</v>
      </c>
      <c r="G1196" s="5" t="s">
        <v>1336</v>
      </c>
      <c r="H1196" s="6" t="s">
        <v>181</v>
      </c>
      <c r="I1196" s="5" t="str">
        <f aca="false">CONCATENATE(E1196, "_",H1196)</f>
        <v>NLA_2023_018_017</v>
      </c>
      <c r="J1196" s="5" t="s">
        <v>38</v>
      </c>
      <c r="K1196" s="5" t="s">
        <v>1340</v>
      </c>
      <c r="L1196" s="8" t="s">
        <v>69</v>
      </c>
      <c r="M1196" s="15" t="s">
        <v>1338</v>
      </c>
      <c r="N1196" s="5" t="s">
        <v>246</v>
      </c>
      <c r="O1196" s="32" t="s">
        <v>1212</v>
      </c>
      <c r="P1196" s="1" t="s">
        <v>43</v>
      </c>
      <c r="Q1196" s="1" t="s">
        <v>43</v>
      </c>
      <c r="R1196" s="5" t="s">
        <v>44</v>
      </c>
      <c r="S1196" s="12"/>
      <c r="U1196" s="5" t="n">
        <v>1500</v>
      </c>
      <c r="V1196" s="12" t="n">
        <v>2</v>
      </c>
      <c r="W1196" s="3"/>
      <c r="X1196" s="8" t="s">
        <v>1215</v>
      </c>
      <c r="Y1196" s="12" t="n">
        <v>5500</v>
      </c>
      <c r="Z1196" s="5" t="s">
        <v>1324</v>
      </c>
      <c r="AA1196" s="5" t="s">
        <v>1325</v>
      </c>
      <c r="AB1196" s="13" t="str">
        <f aca="true" t="array" ref="AB1196:AB1196">LEFT(AA1196,LOOKUP(2^15,FIND(".",AA1196,ROW(INDIRECT("1:"&amp;LEN(AA1196)))))-1)</f>
        <v>NB_2023_016 - 20230425 - 1</v>
      </c>
      <c r="AC1196" s="5" t="s">
        <v>1326</v>
      </c>
      <c r="AD1196" s="13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0" t="s">
        <v>1381</v>
      </c>
      <c r="B1197" s="31"/>
      <c r="C1197" s="3" t="s">
        <v>1382</v>
      </c>
      <c r="D1197" s="5" t="s">
        <v>14</v>
      </c>
      <c r="E1197" s="5" t="s">
        <v>1319</v>
      </c>
      <c r="F1197" s="6" t="s">
        <v>1320</v>
      </c>
      <c r="G1197" s="5" t="s">
        <v>1345</v>
      </c>
      <c r="H1197" s="6" t="s">
        <v>62</v>
      </c>
      <c r="I1197" s="5" t="str">
        <f aca="false">CONCATENATE(E1197, "_",H1197)</f>
        <v>NLA_2023_018_021</v>
      </c>
      <c r="J1197" s="5" t="s">
        <v>38</v>
      </c>
      <c r="K1197" s="5" t="s">
        <v>1350</v>
      </c>
      <c r="L1197" s="8" t="s">
        <v>69</v>
      </c>
      <c r="M1197" s="15" t="s">
        <v>1347</v>
      </c>
      <c r="N1197" s="5" t="s">
        <v>246</v>
      </c>
      <c r="O1197" s="32" t="s">
        <v>1212</v>
      </c>
      <c r="P1197" s="1" t="s">
        <v>43</v>
      </c>
      <c r="Q1197" s="5" t="s">
        <v>43</v>
      </c>
      <c r="R1197" s="5" t="s">
        <v>44</v>
      </c>
      <c r="S1197" s="12"/>
      <c r="T1197" s="5"/>
      <c r="U1197" s="5" t="n">
        <v>1500</v>
      </c>
      <c r="V1197" s="12" t="n">
        <v>1</v>
      </c>
      <c r="W1197" s="3"/>
      <c r="X1197" s="8" t="s">
        <v>1215</v>
      </c>
      <c r="Y1197" s="12" t="n">
        <v>5500</v>
      </c>
      <c r="Z1197" s="5" t="s">
        <v>1324</v>
      </c>
      <c r="AA1197" s="5" t="s">
        <v>1325</v>
      </c>
      <c r="AB1197" s="13" t="str">
        <f aca="true" t="array" ref="AB1197:AB1197">LEFT(AA1197,LOOKUP(2^15,FIND(".",AA1197,ROW(INDIRECT("1:"&amp;LEN(AA1197)))))-1)</f>
        <v>NB_2023_016 - 20230425 - 1</v>
      </c>
      <c r="AC1197" s="5" t="s">
        <v>1326</v>
      </c>
      <c r="AD1197" s="13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0" t="s">
        <v>1381</v>
      </c>
      <c r="B1198" s="31"/>
      <c r="C1198" s="3" t="s">
        <v>1382</v>
      </c>
      <c r="D1198" s="5" t="s">
        <v>14</v>
      </c>
      <c r="E1198" s="5" t="s">
        <v>1319</v>
      </c>
      <c r="F1198" s="6" t="s">
        <v>1320</v>
      </c>
      <c r="G1198" s="5" t="s">
        <v>1336</v>
      </c>
      <c r="H1198" s="6" t="s">
        <v>288</v>
      </c>
      <c r="I1198" s="5" t="str">
        <f aca="false">CONCATENATE(E1198, "_",H1198)</f>
        <v>NLA_2023_018_022</v>
      </c>
      <c r="J1198" s="5" t="s">
        <v>52</v>
      </c>
      <c r="K1198" s="5" t="s">
        <v>1385</v>
      </c>
      <c r="L1198" s="8" t="s">
        <v>69</v>
      </c>
      <c r="M1198" s="15" t="s">
        <v>1338</v>
      </c>
      <c r="N1198" s="5" t="s">
        <v>246</v>
      </c>
      <c r="O1198" s="32" t="s">
        <v>1220</v>
      </c>
      <c r="P1198" s="1" t="s">
        <v>43</v>
      </c>
      <c r="Q1198" s="5" t="s">
        <v>1358</v>
      </c>
      <c r="R1198" s="5" t="s">
        <v>44</v>
      </c>
      <c r="S1198" s="12"/>
      <c r="U1198" s="5" t="n">
        <v>1500</v>
      </c>
      <c r="V1198" s="12" t="n">
        <v>3</v>
      </c>
      <c r="W1198" s="3"/>
      <c r="X1198" s="8" t="s">
        <v>1215</v>
      </c>
      <c r="Y1198" s="12" t="n">
        <v>5500</v>
      </c>
      <c r="Z1198" s="5" t="s">
        <v>1324</v>
      </c>
      <c r="AA1198" s="5" t="s">
        <v>1325</v>
      </c>
      <c r="AB1198" s="13" t="str">
        <f aca="true" t="array" ref="AB1198:AB1198">LEFT(AA1198,LOOKUP(2^15,FIND(".",AA1198,ROW(INDIRECT("1:"&amp;LEN(AA1198)))))-1)</f>
        <v>NB_2023_016 - 20230425 - 1</v>
      </c>
      <c r="AC1198" s="5" t="s">
        <v>1326</v>
      </c>
      <c r="AD1198" s="13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0" t="s">
        <v>1381</v>
      </c>
      <c r="B1199" s="31"/>
      <c r="C1199" s="3" t="s">
        <v>1382</v>
      </c>
      <c r="D1199" s="5" t="s">
        <v>14</v>
      </c>
      <c r="E1199" s="5" t="s">
        <v>1319</v>
      </c>
      <c r="F1199" s="6" t="s">
        <v>1320</v>
      </c>
      <c r="G1199" s="5" t="s">
        <v>1345</v>
      </c>
      <c r="H1199" s="6" t="s">
        <v>1351</v>
      </c>
      <c r="I1199" s="5" t="str">
        <f aca="false">CONCATENATE(E1199, "_",H1199)</f>
        <v>NLA_2023_018_025</v>
      </c>
      <c r="J1199" s="5" t="s">
        <v>38</v>
      </c>
      <c r="K1199" s="5" t="s">
        <v>1352</v>
      </c>
      <c r="L1199" s="8" t="s">
        <v>69</v>
      </c>
      <c r="M1199" s="15" t="s">
        <v>1347</v>
      </c>
      <c r="N1199" s="5" t="s">
        <v>246</v>
      </c>
      <c r="O1199" s="32" t="s">
        <v>1212</v>
      </c>
      <c r="P1199" s="1" t="s">
        <v>43</v>
      </c>
      <c r="Q1199" s="5" t="s">
        <v>43</v>
      </c>
      <c r="R1199" s="5" t="s">
        <v>44</v>
      </c>
      <c r="S1199" s="12"/>
      <c r="U1199" s="5" t="n">
        <v>1500</v>
      </c>
      <c r="V1199" s="12" t="n">
        <v>2</v>
      </c>
      <c r="W1199" s="3"/>
      <c r="X1199" s="8" t="s">
        <v>1215</v>
      </c>
      <c r="Y1199" s="12" t="n">
        <v>5500</v>
      </c>
      <c r="Z1199" s="5" t="s">
        <v>1324</v>
      </c>
      <c r="AA1199" s="5" t="s">
        <v>1325</v>
      </c>
      <c r="AB1199" s="13" t="str">
        <f aca="true" t="array" ref="AB1199:AB1199">LEFT(AA1199,LOOKUP(2^15,FIND(".",AA1199,ROW(INDIRECT("1:"&amp;LEN(AA1199)))))-1)</f>
        <v>NB_2023_016 - 20230425 - 1</v>
      </c>
      <c r="AC1199" s="5" t="s">
        <v>1326</v>
      </c>
      <c r="AD1199" s="13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0" t="s">
        <v>1381</v>
      </c>
      <c r="B1200" s="31"/>
      <c r="C1200" s="3" t="s">
        <v>1382</v>
      </c>
      <c r="D1200" s="5" t="s">
        <v>14</v>
      </c>
      <c r="E1200" s="5" t="s">
        <v>1319</v>
      </c>
      <c r="F1200" s="6" t="s">
        <v>1320</v>
      </c>
      <c r="G1200" s="5" t="s">
        <v>1321</v>
      </c>
      <c r="H1200" s="6" t="s">
        <v>316</v>
      </c>
      <c r="I1200" s="5" t="str">
        <f aca="false">CONCATENATE(E1200, "_",H1200)</f>
        <v>NLA_2023_018_026</v>
      </c>
      <c r="J1200" s="5" t="s">
        <v>52</v>
      </c>
      <c r="K1200" s="5" t="s">
        <v>1386</v>
      </c>
      <c r="L1200" s="8" t="s">
        <v>69</v>
      </c>
      <c r="M1200" s="15" t="s">
        <v>1323</v>
      </c>
      <c r="N1200" s="5" t="s">
        <v>246</v>
      </c>
      <c r="O1200" s="32" t="s">
        <v>1220</v>
      </c>
      <c r="P1200" s="1" t="s">
        <v>43</v>
      </c>
      <c r="Q1200" s="5" t="s">
        <v>1358</v>
      </c>
      <c r="R1200" s="5" t="s">
        <v>44</v>
      </c>
      <c r="S1200" s="12"/>
      <c r="T1200" s="5"/>
      <c r="U1200" s="5" t="n">
        <v>1500</v>
      </c>
      <c r="V1200" s="12" t="n">
        <v>1</v>
      </c>
      <c r="W1200" s="3"/>
      <c r="X1200" s="8" t="s">
        <v>1215</v>
      </c>
      <c r="Y1200" s="12" t="n">
        <v>5500</v>
      </c>
      <c r="Z1200" s="5" t="s">
        <v>1324</v>
      </c>
      <c r="AA1200" s="5" t="s">
        <v>1325</v>
      </c>
      <c r="AB1200" s="13" t="str">
        <f aca="true" t="array" ref="AB1200:AB1200">LEFT(AA1200,LOOKUP(2^15,FIND(".",AA1200,ROW(INDIRECT("1:"&amp;LEN(AA1200)))))-1)</f>
        <v>NB_2023_016 - 20230425 - 1</v>
      </c>
      <c r="AC1200" s="5" t="s">
        <v>1326</v>
      </c>
      <c r="AD1200" s="13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0" t="s">
        <v>1381</v>
      </c>
      <c r="B1201" s="31"/>
      <c r="C1201" s="3" t="s">
        <v>1382</v>
      </c>
      <c r="D1201" s="5" t="s">
        <v>14</v>
      </c>
      <c r="E1201" s="5" t="s">
        <v>1319</v>
      </c>
      <c r="F1201" s="6" t="s">
        <v>1320</v>
      </c>
      <c r="G1201" s="5" t="s">
        <v>1345</v>
      </c>
      <c r="H1201" s="6" t="s">
        <v>1353</v>
      </c>
      <c r="I1201" s="5" t="str">
        <f aca="false">CONCATENATE(E1201, "_",H1201)</f>
        <v>NLA_2023_018_027</v>
      </c>
      <c r="J1201" s="5" t="s">
        <v>38</v>
      </c>
      <c r="K1201" s="5" t="s">
        <v>1354</v>
      </c>
      <c r="L1201" s="8" t="s">
        <v>69</v>
      </c>
      <c r="M1201" s="15" t="s">
        <v>1347</v>
      </c>
      <c r="N1201" s="5" t="s">
        <v>246</v>
      </c>
      <c r="O1201" s="32" t="s">
        <v>1212</v>
      </c>
      <c r="P1201" s="1" t="s">
        <v>43</v>
      </c>
      <c r="Q1201" s="1" t="s">
        <v>43</v>
      </c>
      <c r="R1201" s="5" t="s">
        <v>44</v>
      </c>
      <c r="S1201" s="12"/>
      <c r="U1201" s="5" t="n">
        <v>1500</v>
      </c>
      <c r="V1201" s="12" t="n">
        <v>3</v>
      </c>
      <c r="W1201" s="3"/>
      <c r="X1201" s="8" t="s">
        <v>1215</v>
      </c>
      <c r="Y1201" s="12" t="n">
        <v>5500</v>
      </c>
      <c r="Z1201" s="5" t="s">
        <v>1324</v>
      </c>
      <c r="AA1201" s="5" t="s">
        <v>1325</v>
      </c>
      <c r="AB1201" s="13" t="str">
        <f aca="true" t="array" ref="AB1201:AB1201">LEFT(AA1201,LOOKUP(2^15,FIND(".",AA1201,ROW(INDIRECT("1:"&amp;LEN(AA1201)))))-1)</f>
        <v>NB_2023_016 - 20230425 - 1</v>
      </c>
      <c r="AC1201" s="5" t="s">
        <v>1326</v>
      </c>
      <c r="AD1201" s="13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0" t="s">
        <v>1381</v>
      </c>
      <c r="B1202" s="31"/>
      <c r="C1202" s="3" t="s">
        <v>1382</v>
      </c>
      <c r="D1202" s="5" t="s">
        <v>14</v>
      </c>
      <c r="E1202" s="5" t="s">
        <v>1319</v>
      </c>
      <c r="F1202" s="6" t="s">
        <v>1320</v>
      </c>
      <c r="G1202" s="5" t="s">
        <v>1321</v>
      </c>
      <c r="H1202" s="6" t="s">
        <v>1329</v>
      </c>
      <c r="I1202" s="5" t="str">
        <f aca="false">CONCATENATE(E1202, "_",H1202)</f>
        <v>NLA_2023_018_028</v>
      </c>
      <c r="J1202" s="5" t="s">
        <v>38</v>
      </c>
      <c r="K1202" s="5" t="s">
        <v>1330</v>
      </c>
      <c r="L1202" s="8" t="s">
        <v>69</v>
      </c>
      <c r="M1202" s="15" t="s">
        <v>1323</v>
      </c>
      <c r="N1202" s="5" t="s">
        <v>246</v>
      </c>
      <c r="O1202" s="32" t="s">
        <v>1212</v>
      </c>
      <c r="P1202" s="1" t="s">
        <v>43</v>
      </c>
      <c r="Q1202" s="5" t="s">
        <v>43</v>
      </c>
      <c r="R1202" s="5" t="s">
        <v>44</v>
      </c>
      <c r="U1202" s="5" t="n">
        <v>1500</v>
      </c>
      <c r="V1202" s="1" t="n">
        <v>4</v>
      </c>
      <c r="W1202" s="3"/>
      <c r="X1202" s="8" t="s">
        <v>1215</v>
      </c>
      <c r="Y1202" s="12" t="n">
        <v>5500</v>
      </c>
      <c r="Z1202" s="5" t="s">
        <v>1324</v>
      </c>
      <c r="AA1202" s="5" t="s">
        <v>1325</v>
      </c>
      <c r="AB1202" s="13" t="str">
        <f aca="true" t="array" ref="AB1202:AB1202">LEFT(AA1202,LOOKUP(2^15,FIND(".",AA1202,ROW(INDIRECT("1:"&amp;LEN(AA1202)))))-1)</f>
        <v>NB_2023_016 - 20230425 - 1</v>
      </c>
      <c r="AC1202" s="5" t="s">
        <v>1326</v>
      </c>
      <c r="AD1202" s="13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0" t="s">
        <v>1381</v>
      </c>
      <c r="B1203" s="31"/>
      <c r="C1203" s="3" t="s">
        <v>1382</v>
      </c>
      <c r="D1203" s="5" t="s">
        <v>14</v>
      </c>
      <c r="E1203" s="5" t="s">
        <v>1319</v>
      </c>
      <c r="F1203" s="6" t="s">
        <v>1320</v>
      </c>
      <c r="G1203" s="5" t="s">
        <v>1336</v>
      </c>
      <c r="H1203" s="6" t="s">
        <v>439</v>
      </c>
      <c r="I1203" s="5" t="str">
        <f aca="false">CONCATENATE(E1203, "_",H1203)</f>
        <v>NLA_2023_018_029</v>
      </c>
      <c r="J1203" s="5" t="s">
        <v>38</v>
      </c>
      <c r="K1203" s="5" t="s">
        <v>1342</v>
      </c>
      <c r="L1203" s="8" t="s">
        <v>69</v>
      </c>
      <c r="M1203" s="15" t="s">
        <v>1338</v>
      </c>
      <c r="N1203" s="5" t="s">
        <v>246</v>
      </c>
      <c r="O1203" s="32" t="s">
        <v>1212</v>
      </c>
      <c r="P1203" s="1" t="s">
        <v>43</v>
      </c>
      <c r="Q1203" s="1" t="s">
        <v>43</v>
      </c>
      <c r="R1203" s="5" t="s">
        <v>44</v>
      </c>
      <c r="U1203" s="5" t="n">
        <v>1500</v>
      </c>
      <c r="V1203" s="1" t="n">
        <v>1</v>
      </c>
      <c r="W1203" s="3"/>
      <c r="X1203" s="8" t="s">
        <v>1215</v>
      </c>
      <c r="Y1203" s="12" t="n">
        <v>5500</v>
      </c>
      <c r="Z1203" s="5" t="s">
        <v>1324</v>
      </c>
      <c r="AA1203" s="5" t="s">
        <v>1325</v>
      </c>
      <c r="AB1203" s="13" t="str">
        <f aca="true" t="array" ref="AB1203:AB1203">LEFT(AA1203,LOOKUP(2^15,FIND(".",AA1203,ROW(INDIRECT("1:"&amp;LEN(AA1203)))))-1)</f>
        <v>NB_2023_016 - 20230425 - 1</v>
      </c>
      <c r="AC1203" s="5" t="s">
        <v>1326</v>
      </c>
      <c r="AD1203" s="13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0" t="s">
        <v>1381</v>
      </c>
      <c r="B1204" s="31"/>
      <c r="C1204" s="3" t="s">
        <v>1382</v>
      </c>
      <c r="D1204" s="5" t="s">
        <v>14</v>
      </c>
      <c r="E1204" s="5" t="s">
        <v>1319</v>
      </c>
      <c r="F1204" s="6" t="s">
        <v>1320</v>
      </c>
      <c r="G1204" s="5" t="s">
        <v>1336</v>
      </c>
      <c r="H1204" s="6" t="s">
        <v>1241</v>
      </c>
      <c r="I1204" s="5" t="str">
        <f aca="false">CONCATENATE(E1204, "_",H1204)</f>
        <v>NLA_2023_018_032</v>
      </c>
      <c r="J1204" s="5" t="s">
        <v>52</v>
      </c>
      <c r="K1204" s="5" t="s">
        <v>1387</v>
      </c>
      <c r="L1204" s="8" t="s">
        <v>69</v>
      </c>
      <c r="M1204" s="15" t="s">
        <v>1338</v>
      </c>
      <c r="N1204" s="5" t="s">
        <v>246</v>
      </c>
      <c r="O1204" s="32" t="s">
        <v>1220</v>
      </c>
      <c r="P1204" s="1" t="s">
        <v>43</v>
      </c>
      <c r="Q1204" s="1" t="s">
        <v>1358</v>
      </c>
      <c r="R1204" s="5" t="s">
        <v>44</v>
      </c>
      <c r="S1204" s="12"/>
      <c r="U1204" s="5" t="n">
        <v>1500</v>
      </c>
      <c r="V1204" s="12" t="n">
        <v>2</v>
      </c>
      <c r="W1204" s="3"/>
      <c r="X1204" s="8" t="s">
        <v>1215</v>
      </c>
      <c r="Y1204" s="12" t="n">
        <v>5500</v>
      </c>
      <c r="Z1204" s="5" t="s">
        <v>1324</v>
      </c>
      <c r="AA1204" s="5" t="s">
        <v>1325</v>
      </c>
      <c r="AB1204" s="13" t="str">
        <f aca="true" t="array" ref="AB1204:AB1204">LEFT(AA1204,LOOKUP(2^15,FIND(".",AA1204,ROW(INDIRECT("1:"&amp;LEN(AA1204)))))-1)</f>
        <v>NB_2023_016 - 20230425 - 1</v>
      </c>
      <c r="AC1204" s="5" t="s">
        <v>1326</v>
      </c>
      <c r="AD1204" s="13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0" t="s">
        <v>1381</v>
      </c>
      <c r="B1205" s="31"/>
      <c r="C1205" s="3" t="s">
        <v>1382</v>
      </c>
      <c r="D1205" s="5" t="s">
        <v>14</v>
      </c>
      <c r="E1205" s="5" t="s">
        <v>1319</v>
      </c>
      <c r="F1205" s="6" t="s">
        <v>1320</v>
      </c>
      <c r="G1205" s="5" t="s">
        <v>1321</v>
      </c>
      <c r="H1205" s="6" t="s">
        <v>1063</v>
      </c>
      <c r="I1205" s="5" t="str">
        <f aca="false">CONCATENATE(E1205, "_",H1205)</f>
        <v>NLA_2023_018_033</v>
      </c>
      <c r="J1205" s="5" t="s">
        <v>38</v>
      </c>
      <c r="K1205" s="5" t="s">
        <v>1332</v>
      </c>
      <c r="L1205" s="8" t="s">
        <v>69</v>
      </c>
      <c r="M1205" s="15" t="s">
        <v>1323</v>
      </c>
      <c r="N1205" s="5" t="s">
        <v>246</v>
      </c>
      <c r="O1205" s="32" t="s">
        <v>1212</v>
      </c>
      <c r="P1205" s="1" t="s">
        <v>43</v>
      </c>
      <c r="Q1205" s="1" t="s">
        <v>43</v>
      </c>
      <c r="R1205" s="5" t="s">
        <v>44</v>
      </c>
      <c r="U1205" s="5" t="n">
        <v>1500</v>
      </c>
      <c r="V1205" s="1" t="n">
        <v>3</v>
      </c>
      <c r="W1205" s="3"/>
      <c r="X1205" s="8" t="s">
        <v>1215</v>
      </c>
      <c r="Y1205" s="12" t="n">
        <v>5500</v>
      </c>
      <c r="Z1205" s="5" t="s">
        <v>1324</v>
      </c>
      <c r="AA1205" s="5" t="s">
        <v>1325</v>
      </c>
      <c r="AB1205" s="13" t="str">
        <f aca="true" t="array" ref="AB1205:AB1205">LEFT(AA1205,LOOKUP(2^15,FIND(".",AA1205,ROW(INDIRECT("1:"&amp;LEN(AA1205)))))-1)</f>
        <v>NB_2023_016 - 20230425 - 1</v>
      </c>
      <c r="AC1205" s="5" t="s">
        <v>1326</v>
      </c>
      <c r="AD1205" s="13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0" t="s">
        <v>1381</v>
      </c>
      <c r="B1206" s="31"/>
      <c r="C1206" s="3" t="s">
        <v>1382</v>
      </c>
      <c r="D1206" s="5" t="s">
        <v>14</v>
      </c>
      <c r="E1206" s="5" t="s">
        <v>1319</v>
      </c>
      <c r="F1206" s="6" t="s">
        <v>1320</v>
      </c>
      <c r="G1206" s="5" t="s">
        <v>1345</v>
      </c>
      <c r="H1206" s="6" t="s">
        <v>920</v>
      </c>
      <c r="I1206" s="5" t="str">
        <f aca="false">CONCATENATE(E1206, "_",H1206)</f>
        <v>NLA_2023_018_034</v>
      </c>
      <c r="J1206" s="5" t="s">
        <v>52</v>
      </c>
      <c r="K1206" s="5" t="s">
        <v>1388</v>
      </c>
      <c r="L1206" s="8" t="s">
        <v>69</v>
      </c>
      <c r="M1206" s="15" t="s">
        <v>1347</v>
      </c>
      <c r="N1206" s="5" t="s">
        <v>246</v>
      </c>
      <c r="O1206" s="32" t="s">
        <v>1220</v>
      </c>
      <c r="P1206" s="1" t="s">
        <v>43</v>
      </c>
      <c r="Q1206" s="5" t="s">
        <v>1358</v>
      </c>
      <c r="R1206" s="5" t="s">
        <v>44</v>
      </c>
      <c r="S1206" s="12"/>
      <c r="U1206" s="5" t="n">
        <v>1500</v>
      </c>
      <c r="V1206" s="12" t="n">
        <v>1</v>
      </c>
      <c r="W1206" s="3"/>
      <c r="X1206" s="8" t="s">
        <v>1215</v>
      </c>
      <c r="Y1206" s="12" t="n">
        <v>5500</v>
      </c>
      <c r="Z1206" s="5" t="s">
        <v>1324</v>
      </c>
      <c r="AA1206" s="5" t="s">
        <v>1325</v>
      </c>
      <c r="AB1206" s="13" t="str">
        <f aca="true" t="array" ref="AB1206:AB1206">LEFT(AA1206,LOOKUP(2^15,FIND(".",AA1206,ROW(INDIRECT("1:"&amp;LEN(AA1206)))))-1)</f>
        <v>NB_2023_016 - 20230425 - 1</v>
      </c>
      <c r="AC1206" s="5" t="s">
        <v>1326</v>
      </c>
      <c r="AD1206" s="13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0" t="s">
        <v>1381</v>
      </c>
      <c r="B1207" s="31"/>
      <c r="C1207" s="3" t="s">
        <v>1382</v>
      </c>
      <c r="D1207" s="5" t="s">
        <v>14</v>
      </c>
      <c r="E1207" s="5" t="s">
        <v>1319</v>
      </c>
      <c r="F1207" s="6" t="s">
        <v>1320</v>
      </c>
      <c r="G1207" s="5" t="s">
        <v>1321</v>
      </c>
      <c r="H1207" s="6" t="s">
        <v>1244</v>
      </c>
      <c r="I1207" s="5" t="str">
        <f aca="false">CONCATENATE(E1207, "_",H1207)</f>
        <v>NLA_2023_018_035</v>
      </c>
      <c r="J1207" s="5" t="s">
        <v>52</v>
      </c>
      <c r="K1207" s="5" t="s">
        <v>1389</v>
      </c>
      <c r="L1207" s="8" t="s">
        <v>69</v>
      </c>
      <c r="M1207" s="15" t="s">
        <v>1323</v>
      </c>
      <c r="N1207" s="5" t="s">
        <v>246</v>
      </c>
      <c r="O1207" s="32" t="s">
        <v>1220</v>
      </c>
      <c r="P1207" s="1" t="s">
        <v>43</v>
      </c>
      <c r="Q1207" s="5" t="s">
        <v>1358</v>
      </c>
      <c r="R1207" s="5" t="s">
        <v>44</v>
      </c>
      <c r="S1207" s="12"/>
      <c r="U1207" s="5" t="n">
        <v>1500</v>
      </c>
      <c r="V1207" s="12" t="n">
        <v>3</v>
      </c>
      <c r="W1207" s="3"/>
      <c r="X1207" s="8" t="s">
        <v>1215</v>
      </c>
      <c r="Y1207" s="12" t="n">
        <v>5500</v>
      </c>
      <c r="Z1207" s="5" t="s">
        <v>1324</v>
      </c>
      <c r="AA1207" s="5" t="s">
        <v>1325</v>
      </c>
      <c r="AB1207" s="13" t="str">
        <f aca="true" t="array" ref="AB1207:AB1207">LEFT(AA1207,LOOKUP(2^15,FIND(".",AA1207,ROW(INDIRECT("1:"&amp;LEN(AA1207)))))-1)</f>
        <v>NB_2023_016 - 20230425 - 1</v>
      </c>
      <c r="AC1207" s="5" t="s">
        <v>1326</v>
      </c>
      <c r="AD1207" s="13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0" t="s">
        <v>1381</v>
      </c>
      <c r="B1208" s="31"/>
      <c r="C1208" s="3" t="s">
        <v>1382</v>
      </c>
      <c r="D1208" s="5" t="s">
        <v>14</v>
      </c>
      <c r="E1208" s="5" t="s">
        <v>1319</v>
      </c>
      <c r="F1208" s="6" t="s">
        <v>1320</v>
      </c>
      <c r="G1208" s="5" t="s">
        <v>1321</v>
      </c>
      <c r="H1208" s="6" t="s">
        <v>925</v>
      </c>
      <c r="I1208" s="5" t="str">
        <f aca="false">CONCATENATE(E1208, "_",H1208)</f>
        <v>NLA_2023_018_036</v>
      </c>
      <c r="J1208" s="5" t="s">
        <v>38</v>
      </c>
      <c r="K1208" s="5" t="s">
        <v>1333</v>
      </c>
      <c r="L1208" s="8" t="s">
        <v>69</v>
      </c>
      <c r="M1208" s="15" t="s">
        <v>1323</v>
      </c>
      <c r="N1208" s="5" t="s">
        <v>246</v>
      </c>
      <c r="O1208" s="32" t="s">
        <v>1212</v>
      </c>
      <c r="P1208" s="1" t="s">
        <v>43</v>
      </c>
      <c r="Q1208" s="5" t="s">
        <v>43</v>
      </c>
      <c r="R1208" s="5" t="s">
        <v>44</v>
      </c>
      <c r="U1208" s="5" t="n">
        <v>1500</v>
      </c>
      <c r="V1208" s="1" t="n">
        <v>1</v>
      </c>
      <c r="W1208" s="3"/>
      <c r="X1208" s="8" t="s">
        <v>1215</v>
      </c>
      <c r="Y1208" s="12" t="n">
        <v>5500</v>
      </c>
      <c r="Z1208" s="5" t="s">
        <v>1324</v>
      </c>
      <c r="AA1208" s="5" t="s">
        <v>1325</v>
      </c>
      <c r="AB1208" s="13" t="str">
        <f aca="true" t="array" ref="AB1208:AB1208">LEFT(AA1208,LOOKUP(2^15,FIND(".",AA1208,ROW(INDIRECT("1:"&amp;LEN(AA1208)))))-1)</f>
        <v>NB_2023_016 - 20230425 - 1</v>
      </c>
      <c r="AC1208" s="5" t="s">
        <v>1326</v>
      </c>
      <c r="AD1208" s="13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0" t="s">
        <v>1381</v>
      </c>
      <c r="B1209" s="31"/>
      <c r="C1209" s="3" t="s">
        <v>1382</v>
      </c>
      <c r="D1209" s="5" t="s">
        <v>14</v>
      </c>
      <c r="E1209" s="5" t="s">
        <v>1319</v>
      </c>
      <c r="F1209" s="6" t="s">
        <v>1320</v>
      </c>
      <c r="G1209" s="5" t="s">
        <v>1319</v>
      </c>
      <c r="H1209" s="14" t="s">
        <v>64</v>
      </c>
      <c r="I1209" s="5" t="str">
        <f aca="false">CONCATENATE(E1209, "_",H1209)</f>
        <v>NLA_2023_018_Blank_1</v>
      </c>
      <c r="J1209" s="5" t="s">
        <v>52</v>
      </c>
      <c r="K1209" s="16" t="s">
        <v>64</v>
      </c>
      <c r="L1209" s="6" t="s">
        <v>46</v>
      </c>
      <c r="M1209" s="15" t="s">
        <v>46</v>
      </c>
      <c r="N1209" s="5" t="s">
        <v>65</v>
      </c>
      <c r="O1209" s="5" t="s">
        <v>46</v>
      </c>
      <c r="P1209" s="5" t="s">
        <v>46</v>
      </c>
      <c r="Q1209" s="5" t="s">
        <v>46</v>
      </c>
      <c r="R1209" s="5" t="s">
        <v>46</v>
      </c>
      <c r="S1209" s="5" t="s">
        <v>46</v>
      </c>
      <c r="T1209" s="5" t="s">
        <v>46</v>
      </c>
      <c r="U1209" s="5" t="s">
        <v>46</v>
      </c>
      <c r="V1209" s="1" t="n">
        <v>1</v>
      </c>
      <c r="W1209" s="3"/>
      <c r="X1209" s="5" t="s">
        <v>46</v>
      </c>
      <c r="Y1209" s="12" t="n">
        <v>5500</v>
      </c>
      <c r="Z1209" s="5" t="s">
        <v>1324</v>
      </c>
      <c r="AA1209" s="5" t="s">
        <v>1325</v>
      </c>
      <c r="AB1209" s="13" t="str">
        <f aca="true" t="array" ref="AB1209:AB1209">LEFT(AA1209,LOOKUP(2^15,FIND(".",AA1209,ROW(INDIRECT("1:"&amp;LEN(AA1209)))))-1)</f>
        <v>NB_2023_016 - 20230425 - 1</v>
      </c>
      <c r="AC1209" s="5" t="s">
        <v>1326</v>
      </c>
      <c r="AD1209" s="13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0" t="s">
        <v>1381</v>
      </c>
      <c r="B1210" s="31"/>
      <c r="C1210" s="3" t="s">
        <v>1382</v>
      </c>
      <c r="D1210" s="5" t="s">
        <v>14</v>
      </c>
      <c r="E1210" s="5" t="s">
        <v>1319</v>
      </c>
      <c r="F1210" s="6" t="s">
        <v>1320</v>
      </c>
      <c r="G1210" s="5" t="s">
        <v>1319</v>
      </c>
      <c r="H1210" s="14" t="s">
        <v>67</v>
      </c>
      <c r="I1210" s="5" t="str">
        <f aca="false">CONCATENATE(E1210, "_",H1210)</f>
        <v>NLA_2023_018_Blank_3</v>
      </c>
      <c r="J1210" s="5" t="s">
        <v>52</v>
      </c>
      <c r="K1210" s="16" t="s">
        <v>67</v>
      </c>
      <c r="L1210" s="6" t="s">
        <v>46</v>
      </c>
      <c r="M1210" s="15" t="s">
        <v>46</v>
      </c>
      <c r="N1210" s="5" t="s">
        <v>65</v>
      </c>
      <c r="O1210" s="5" t="s">
        <v>46</v>
      </c>
      <c r="P1210" s="5" t="s">
        <v>46</v>
      </c>
      <c r="Q1210" s="5" t="s">
        <v>46</v>
      </c>
      <c r="R1210" s="5" t="s">
        <v>46</v>
      </c>
      <c r="S1210" s="5" t="s">
        <v>46</v>
      </c>
      <c r="T1210" s="5" t="s">
        <v>46</v>
      </c>
      <c r="U1210" s="5" t="s">
        <v>46</v>
      </c>
      <c r="V1210" s="1" t="n">
        <v>3</v>
      </c>
      <c r="W1210" s="3"/>
      <c r="X1210" s="5" t="s">
        <v>46</v>
      </c>
      <c r="Y1210" s="12" t="n">
        <v>5500</v>
      </c>
      <c r="Z1210" s="5" t="s">
        <v>1324</v>
      </c>
      <c r="AA1210" s="5" t="s">
        <v>1325</v>
      </c>
      <c r="AB1210" s="13" t="str">
        <f aca="true" t="array" ref="AB1210:AB1210">LEFT(AA1210,LOOKUP(2^15,FIND(".",AA1210,ROW(INDIRECT("1:"&amp;LEN(AA1210)))))-1)</f>
        <v>NB_2023_016 - 20230425 - 1</v>
      </c>
      <c r="AC1210" s="5" t="s">
        <v>1326</v>
      </c>
      <c r="AD1210" s="13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0" t="s">
        <v>1381</v>
      </c>
      <c r="B1211" s="31"/>
      <c r="C1211" s="3" t="s">
        <v>1382</v>
      </c>
      <c r="D1211" s="5" t="s">
        <v>14</v>
      </c>
      <c r="E1211" s="5" t="s">
        <v>1319</v>
      </c>
      <c r="F1211" s="6" t="s">
        <v>1320</v>
      </c>
      <c r="G1211" s="5" t="s">
        <v>1319</v>
      </c>
      <c r="H1211" s="14" t="s">
        <v>221</v>
      </c>
      <c r="I1211" s="5" t="str">
        <f aca="false">CONCATENATE(E1211, "_",H1211)</f>
        <v>NLA_2023_018_Blank_4</v>
      </c>
      <c r="J1211" s="5" t="s">
        <v>52</v>
      </c>
      <c r="K1211" s="16" t="s">
        <v>221</v>
      </c>
      <c r="L1211" s="6" t="s">
        <v>46</v>
      </c>
      <c r="M1211" s="15" t="s">
        <v>46</v>
      </c>
      <c r="N1211" s="5" t="s">
        <v>65</v>
      </c>
      <c r="O1211" s="5" t="s">
        <v>46</v>
      </c>
      <c r="P1211" s="5" t="s">
        <v>46</v>
      </c>
      <c r="Q1211" s="5" t="s">
        <v>46</v>
      </c>
      <c r="R1211" s="5" t="s">
        <v>46</v>
      </c>
      <c r="S1211" s="5" t="s">
        <v>46</v>
      </c>
      <c r="T1211" s="5" t="s">
        <v>46</v>
      </c>
      <c r="U1211" s="5" t="s">
        <v>46</v>
      </c>
      <c r="V1211" s="1" t="n">
        <v>4</v>
      </c>
      <c r="W1211" s="3"/>
      <c r="X1211" s="5" t="s">
        <v>46</v>
      </c>
      <c r="Y1211" s="12" t="n">
        <v>5500</v>
      </c>
      <c r="Z1211" s="5" t="s">
        <v>1324</v>
      </c>
      <c r="AA1211" s="5" t="s">
        <v>1325</v>
      </c>
      <c r="AB1211" s="13" t="str">
        <f aca="true" t="array" ref="AB1211:AB1211">LEFT(AA1211,LOOKUP(2^15,FIND(".",AA1211,ROW(INDIRECT("1:"&amp;LEN(AA1211)))))-1)</f>
        <v>NB_2023_016 - 20230425 - 1</v>
      </c>
      <c r="AC1211" s="5" t="s">
        <v>1326</v>
      </c>
      <c r="AD1211" s="13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0" t="s">
        <v>1381</v>
      </c>
      <c r="B1212" s="31"/>
      <c r="C1212" s="3" t="s">
        <v>1382</v>
      </c>
      <c r="D1212" s="5" t="s">
        <v>14</v>
      </c>
      <c r="E1212" s="5" t="s">
        <v>1319</v>
      </c>
      <c r="F1212" s="6" t="s">
        <v>1320</v>
      </c>
      <c r="G1212" s="5" t="s">
        <v>1319</v>
      </c>
      <c r="H1212" s="14" t="s">
        <v>68</v>
      </c>
      <c r="I1212" s="5" t="str">
        <f aca="false">CONCATENATE(E1212, "_",H1212)</f>
        <v>NLA_2023_018_QC_C_1</v>
      </c>
      <c r="J1212" s="5" t="s">
        <v>52</v>
      </c>
      <c r="K1212" s="16" t="s">
        <v>68</v>
      </c>
      <c r="L1212" s="8" t="s">
        <v>69</v>
      </c>
      <c r="M1212" s="1" t="s">
        <v>46</v>
      </c>
      <c r="N1212" s="5" t="s">
        <v>70</v>
      </c>
      <c r="O1212" s="5" t="s">
        <v>46</v>
      </c>
      <c r="P1212" s="5" t="s">
        <v>71</v>
      </c>
      <c r="Q1212" s="5" t="s">
        <v>71</v>
      </c>
      <c r="R1212" s="5" t="s">
        <v>72</v>
      </c>
      <c r="S1212" s="5" t="s">
        <v>73</v>
      </c>
      <c r="T1212" s="5" t="s">
        <v>46</v>
      </c>
      <c r="U1212" s="5" t="n">
        <v>1000</v>
      </c>
      <c r="V1212" s="1" t="n">
        <v>1</v>
      </c>
      <c r="W1212" s="3"/>
      <c r="X1212" s="5" t="s">
        <v>74</v>
      </c>
      <c r="Y1212" s="12" t="n">
        <v>5500</v>
      </c>
      <c r="Z1212" s="5" t="s">
        <v>1324</v>
      </c>
      <c r="AA1212" s="5" t="s">
        <v>1325</v>
      </c>
      <c r="AB1212" s="13" t="str">
        <f aca="true" t="array" ref="AB1212:AB1212">LEFT(AA1212,LOOKUP(2^15,FIND(".",AA1212,ROW(INDIRECT("1:"&amp;LEN(AA1212)))))-1)</f>
        <v>NB_2023_016 - 20230425 - 1</v>
      </c>
      <c r="AC1212" s="5" t="s">
        <v>1326</v>
      </c>
      <c r="AD1212" s="13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0" t="s">
        <v>1381</v>
      </c>
      <c r="B1213" s="31"/>
      <c r="C1213" s="3" t="s">
        <v>1382</v>
      </c>
      <c r="D1213" s="5" t="s">
        <v>14</v>
      </c>
      <c r="E1213" s="5" t="s">
        <v>1319</v>
      </c>
      <c r="F1213" s="6" t="s">
        <v>1320</v>
      </c>
      <c r="G1213" s="5" t="s">
        <v>1319</v>
      </c>
      <c r="H1213" s="14" t="s">
        <v>75</v>
      </c>
      <c r="I1213" s="5" t="str">
        <f aca="false">CONCATENATE(E1213, "_",H1213)</f>
        <v>NLA_2023_018_QC_C_2</v>
      </c>
      <c r="J1213" s="5" t="s">
        <v>52</v>
      </c>
      <c r="K1213" s="16" t="s">
        <v>75</v>
      </c>
      <c r="L1213" s="8" t="s">
        <v>69</v>
      </c>
      <c r="M1213" s="1" t="s">
        <v>46</v>
      </c>
      <c r="N1213" s="5" t="s">
        <v>70</v>
      </c>
      <c r="O1213" s="5" t="s">
        <v>46</v>
      </c>
      <c r="P1213" s="5" t="s">
        <v>71</v>
      </c>
      <c r="Q1213" s="5" t="s">
        <v>71</v>
      </c>
      <c r="R1213" s="5" t="s">
        <v>72</v>
      </c>
      <c r="S1213" s="5" t="s">
        <v>73</v>
      </c>
      <c r="T1213" s="5" t="s">
        <v>46</v>
      </c>
      <c r="U1213" s="5" t="n">
        <v>1000</v>
      </c>
      <c r="V1213" s="1" t="n">
        <v>2</v>
      </c>
      <c r="W1213" s="3"/>
      <c r="X1213" s="5" t="s">
        <v>74</v>
      </c>
      <c r="Y1213" s="12" t="n">
        <v>5500</v>
      </c>
      <c r="Z1213" s="5" t="s">
        <v>1324</v>
      </c>
      <c r="AA1213" s="5" t="s">
        <v>1325</v>
      </c>
      <c r="AB1213" s="13" t="str">
        <f aca="true" t="array" ref="AB1213:AB1213">LEFT(AA1213,LOOKUP(2^15,FIND(".",AA1213,ROW(INDIRECT("1:"&amp;LEN(AA1213)))))-1)</f>
        <v>NB_2023_016 - 20230425 - 1</v>
      </c>
      <c r="AC1213" s="5" t="s">
        <v>1326</v>
      </c>
      <c r="AD1213" s="13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0" t="s">
        <v>1381</v>
      </c>
      <c r="B1214" s="31"/>
      <c r="C1214" s="3" t="s">
        <v>1382</v>
      </c>
      <c r="D1214" s="5" t="s">
        <v>14</v>
      </c>
      <c r="E1214" s="5" t="s">
        <v>1319</v>
      </c>
      <c r="F1214" s="6" t="s">
        <v>1320</v>
      </c>
      <c r="G1214" s="5" t="s">
        <v>1319</v>
      </c>
      <c r="H1214" s="14" t="s">
        <v>76</v>
      </c>
      <c r="I1214" s="5" t="str">
        <f aca="false">CONCATENATE(E1214, "_",H1214)</f>
        <v>NLA_2023_018_QC_C_3</v>
      </c>
      <c r="J1214" s="5" t="s">
        <v>52</v>
      </c>
      <c r="K1214" s="16" t="s">
        <v>76</v>
      </c>
      <c r="L1214" s="8" t="s">
        <v>69</v>
      </c>
      <c r="M1214" s="1" t="s">
        <v>46</v>
      </c>
      <c r="N1214" s="5" t="s">
        <v>70</v>
      </c>
      <c r="O1214" s="5" t="s">
        <v>46</v>
      </c>
      <c r="P1214" s="5" t="s">
        <v>71</v>
      </c>
      <c r="Q1214" s="5" t="s">
        <v>71</v>
      </c>
      <c r="R1214" s="5" t="s">
        <v>72</v>
      </c>
      <c r="S1214" s="5" t="s">
        <v>73</v>
      </c>
      <c r="T1214" s="5" t="s">
        <v>46</v>
      </c>
      <c r="U1214" s="5" t="n">
        <v>1000</v>
      </c>
      <c r="V1214" s="1" t="n">
        <v>3</v>
      </c>
      <c r="W1214" s="3"/>
      <c r="X1214" s="5" t="s">
        <v>74</v>
      </c>
      <c r="Y1214" s="12" t="n">
        <v>5500</v>
      </c>
      <c r="Z1214" s="5" t="s">
        <v>1324</v>
      </c>
      <c r="AA1214" s="5" t="s">
        <v>1325</v>
      </c>
      <c r="AB1214" s="13" t="str">
        <f aca="true" t="array" ref="AB1214:AB1214">LEFT(AA1214,LOOKUP(2^15,FIND(".",AA1214,ROW(INDIRECT("1:"&amp;LEN(AA1214)))))-1)</f>
        <v>NB_2023_016 - 20230425 - 1</v>
      </c>
      <c r="AC1214" s="5" t="s">
        <v>1326</v>
      </c>
      <c r="AD1214" s="13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0" t="s">
        <v>1381</v>
      </c>
      <c r="B1215" s="31"/>
      <c r="C1215" s="3" t="s">
        <v>1382</v>
      </c>
      <c r="D1215" s="5" t="s">
        <v>14</v>
      </c>
      <c r="E1215" s="5" t="s">
        <v>1319</v>
      </c>
      <c r="F1215" s="6" t="s">
        <v>1320</v>
      </c>
      <c r="G1215" s="5" t="s">
        <v>1319</v>
      </c>
      <c r="H1215" s="14" t="s">
        <v>222</v>
      </c>
      <c r="I1215" s="5" t="str">
        <f aca="false">CONCATENATE(E1215, "_",H1215)</f>
        <v>NLA_2023_018_QC_C_4</v>
      </c>
      <c r="J1215" s="5" t="s">
        <v>52</v>
      </c>
      <c r="K1215" s="16" t="s">
        <v>222</v>
      </c>
      <c r="L1215" s="8" t="s">
        <v>69</v>
      </c>
      <c r="M1215" s="1" t="s">
        <v>46</v>
      </c>
      <c r="N1215" s="5" t="s">
        <v>70</v>
      </c>
      <c r="O1215" s="5" t="s">
        <v>46</v>
      </c>
      <c r="P1215" s="5" t="s">
        <v>71</v>
      </c>
      <c r="Q1215" s="5" t="s">
        <v>71</v>
      </c>
      <c r="R1215" s="5" t="s">
        <v>72</v>
      </c>
      <c r="S1215" s="5" t="s">
        <v>73</v>
      </c>
      <c r="T1215" s="5" t="s">
        <v>46</v>
      </c>
      <c r="U1215" s="5" t="n">
        <v>1000</v>
      </c>
      <c r="V1215" s="1" t="n">
        <v>4</v>
      </c>
      <c r="W1215" s="3"/>
      <c r="X1215" s="5" t="s">
        <v>74</v>
      </c>
      <c r="Y1215" s="12" t="n">
        <v>5500</v>
      </c>
      <c r="Z1215" s="5" t="s">
        <v>1324</v>
      </c>
      <c r="AA1215" s="5" t="s">
        <v>1325</v>
      </c>
      <c r="AB1215" s="13" t="str">
        <f aca="true" t="array" ref="AB1215:AB1215">LEFT(AA1215,LOOKUP(2^15,FIND(".",AA1215,ROW(INDIRECT("1:"&amp;LEN(AA1215)))))-1)</f>
        <v>NB_2023_016 - 20230425 - 1</v>
      </c>
      <c r="AC1215" s="5" t="s">
        <v>1326</v>
      </c>
      <c r="AD1215" s="13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0" t="s">
        <v>1381</v>
      </c>
      <c r="B1216" s="31"/>
      <c r="C1216" s="3" t="s">
        <v>1382</v>
      </c>
      <c r="D1216" s="5" t="s">
        <v>14</v>
      </c>
      <c r="E1216" s="5" t="s">
        <v>1319</v>
      </c>
      <c r="F1216" s="6" t="s">
        <v>1320</v>
      </c>
      <c r="G1216" s="5" t="s">
        <v>1319</v>
      </c>
      <c r="H1216" s="14" t="s">
        <v>77</v>
      </c>
      <c r="I1216" s="5" t="str">
        <f aca="false">CONCATENATE(E1216, "_",H1216)</f>
        <v>NLA_2023_018_QC_P_1</v>
      </c>
      <c r="J1216" s="5" t="s">
        <v>52</v>
      </c>
      <c r="K1216" s="16" t="s">
        <v>77</v>
      </c>
      <c r="L1216" s="6" t="s">
        <v>69</v>
      </c>
      <c r="M1216" s="1" t="s">
        <v>46</v>
      </c>
      <c r="N1216" s="5" t="s">
        <v>78</v>
      </c>
      <c r="O1216" s="5" t="s">
        <v>46</v>
      </c>
      <c r="P1216" s="5" t="s">
        <v>79</v>
      </c>
      <c r="Q1216" s="5" t="s">
        <v>80</v>
      </c>
      <c r="R1216" s="5" t="s">
        <v>81</v>
      </c>
      <c r="S1216" s="5" t="s">
        <v>46</v>
      </c>
      <c r="T1216" s="5" t="s">
        <v>46</v>
      </c>
      <c r="U1216" s="5" t="s">
        <v>82</v>
      </c>
      <c r="V1216" s="1" t="n">
        <v>1</v>
      </c>
      <c r="W1216" s="3"/>
      <c r="X1216" s="5" t="s">
        <v>83</v>
      </c>
      <c r="Y1216" s="12" t="n">
        <v>5500</v>
      </c>
      <c r="Z1216" s="5" t="s">
        <v>1324</v>
      </c>
      <c r="AA1216" s="5" t="s">
        <v>1325</v>
      </c>
      <c r="AB1216" s="13" t="str">
        <f aca="true" t="array" ref="AB1216:AB1216">LEFT(AA1216,LOOKUP(2^15,FIND(".",AA1216,ROW(INDIRECT("1:"&amp;LEN(AA1216)))))-1)</f>
        <v>NB_2023_016 - 20230425 - 1</v>
      </c>
      <c r="AC1216" s="5" t="s">
        <v>1326</v>
      </c>
      <c r="AD1216" s="13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0" t="s">
        <v>1381</v>
      </c>
      <c r="B1217" s="31"/>
      <c r="C1217" s="3" t="s">
        <v>1382</v>
      </c>
      <c r="D1217" s="5" t="s">
        <v>14</v>
      </c>
      <c r="E1217" s="5" t="s">
        <v>1319</v>
      </c>
      <c r="F1217" s="6" t="s">
        <v>1320</v>
      </c>
      <c r="G1217" s="5" t="s">
        <v>1319</v>
      </c>
      <c r="H1217" s="14" t="s">
        <v>84</v>
      </c>
      <c r="I1217" s="5" t="str">
        <f aca="false">CONCATENATE(E1217, "_",H1217)</f>
        <v>NLA_2023_018_QC_P_2</v>
      </c>
      <c r="J1217" s="5" t="s">
        <v>52</v>
      </c>
      <c r="K1217" s="16" t="s">
        <v>84</v>
      </c>
      <c r="L1217" s="6" t="s">
        <v>69</v>
      </c>
      <c r="M1217" s="1" t="s">
        <v>46</v>
      </c>
      <c r="N1217" s="5" t="s">
        <v>78</v>
      </c>
      <c r="O1217" s="5" t="s">
        <v>46</v>
      </c>
      <c r="P1217" s="5" t="s">
        <v>79</v>
      </c>
      <c r="Q1217" s="5" t="s">
        <v>80</v>
      </c>
      <c r="R1217" s="5" t="s">
        <v>81</v>
      </c>
      <c r="S1217" s="5" t="s">
        <v>46</v>
      </c>
      <c r="T1217" s="5" t="s">
        <v>46</v>
      </c>
      <c r="U1217" s="5" t="s">
        <v>82</v>
      </c>
      <c r="V1217" s="1" t="n">
        <v>2</v>
      </c>
      <c r="W1217" s="3"/>
      <c r="X1217" s="5" t="s">
        <v>83</v>
      </c>
      <c r="Y1217" s="12" t="n">
        <v>5500</v>
      </c>
      <c r="Z1217" s="5" t="s">
        <v>1324</v>
      </c>
      <c r="AA1217" s="5" t="s">
        <v>1325</v>
      </c>
      <c r="AB1217" s="13" t="str">
        <f aca="true" t="array" ref="AB1217:AB1217">LEFT(AA1217,LOOKUP(2^15,FIND(".",AA1217,ROW(INDIRECT("1:"&amp;LEN(AA1217)))))-1)</f>
        <v>NB_2023_016 - 20230425 - 1</v>
      </c>
      <c r="AC1217" s="5" t="s">
        <v>1326</v>
      </c>
      <c r="AD1217" s="13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0" t="s">
        <v>1381</v>
      </c>
      <c r="B1218" s="31"/>
      <c r="C1218" s="3" t="s">
        <v>1382</v>
      </c>
      <c r="D1218" s="5" t="s">
        <v>14</v>
      </c>
      <c r="E1218" s="5" t="s">
        <v>1319</v>
      </c>
      <c r="F1218" s="6" t="s">
        <v>1320</v>
      </c>
      <c r="G1218" s="5" t="s">
        <v>1319</v>
      </c>
      <c r="H1218" s="14" t="s">
        <v>85</v>
      </c>
      <c r="I1218" s="5" t="str">
        <f aca="false">CONCATENATE(E1218, "_",H1218)</f>
        <v>NLA_2023_018_QC_P_3</v>
      </c>
      <c r="J1218" s="3" t="s">
        <v>52</v>
      </c>
      <c r="K1218" s="16" t="s">
        <v>85</v>
      </c>
      <c r="L1218" s="6" t="s">
        <v>69</v>
      </c>
      <c r="M1218" s="1" t="s">
        <v>46</v>
      </c>
      <c r="N1218" s="5" t="s">
        <v>78</v>
      </c>
      <c r="O1218" s="5" t="s">
        <v>46</v>
      </c>
      <c r="P1218" s="5" t="s">
        <v>79</v>
      </c>
      <c r="Q1218" s="5" t="s">
        <v>80</v>
      </c>
      <c r="R1218" s="5" t="s">
        <v>81</v>
      </c>
      <c r="S1218" s="5" t="s">
        <v>46</v>
      </c>
      <c r="T1218" s="5" t="s">
        <v>46</v>
      </c>
      <c r="U1218" s="5" t="s">
        <v>82</v>
      </c>
      <c r="V1218" s="1" t="n">
        <v>3</v>
      </c>
      <c r="W1218" s="3"/>
      <c r="X1218" s="5" t="s">
        <v>83</v>
      </c>
      <c r="Y1218" s="12" t="n">
        <v>5500</v>
      </c>
      <c r="Z1218" s="5" t="s">
        <v>1324</v>
      </c>
      <c r="AA1218" s="5" t="s">
        <v>1325</v>
      </c>
      <c r="AB1218" s="13" t="str">
        <f aca="true" t="array" ref="AB1218:AB1218">LEFT(AA1218,LOOKUP(2^15,FIND(".",AA1218,ROW(INDIRECT("1:"&amp;LEN(AA1218)))))-1)</f>
        <v>NB_2023_016 - 20230425 - 1</v>
      </c>
      <c r="AC1218" s="5" t="s">
        <v>1326</v>
      </c>
      <c r="AD1218" s="13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0" t="s">
        <v>1381</v>
      </c>
      <c r="B1219" s="31"/>
      <c r="C1219" s="3" t="s">
        <v>1382</v>
      </c>
      <c r="D1219" s="5" t="s">
        <v>14</v>
      </c>
      <c r="E1219" s="5" t="s">
        <v>1319</v>
      </c>
      <c r="F1219" s="6" t="s">
        <v>1320</v>
      </c>
      <c r="G1219" s="5" t="s">
        <v>1319</v>
      </c>
      <c r="H1219" s="14" t="s">
        <v>224</v>
      </c>
      <c r="I1219" s="5" t="str">
        <f aca="false">CONCATENATE(E1219, "_",H1219)</f>
        <v>NLA_2023_018_QC_P_4</v>
      </c>
      <c r="J1219" s="3" t="s">
        <v>52</v>
      </c>
      <c r="K1219" s="16" t="s">
        <v>224</v>
      </c>
      <c r="L1219" s="6" t="s">
        <v>69</v>
      </c>
      <c r="M1219" s="1" t="s">
        <v>46</v>
      </c>
      <c r="N1219" s="5" t="s">
        <v>78</v>
      </c>
      <c r="O1219" s="5" t="s">
        <v>46</v>
      </c>
      <c r="P1219" s="5" t="s">
        <v>79</v>
      </c>
      <c r="Q1219" s="5" t="s">
        <v>80</v>
      </c>
      <c r="R1219" s="5" t="s">
        <v>81</v>
      </c>
      <c r="S1219" s="5" t="s">
        <v>46</v>
      </c>
      <c r="T1219" s="5" t="s">
        <v>46</v>
      </c>
      <c r="U1219" s="5" t="s">
        <v>82</v>
      </c>
      <c r="V1219" s="1" t="n">
        <v>4</v>
      </c>
      <c r="W1219" s="3"/>
      <c r="X1219" s="5" t="s">
        <v>83</v>
      </c>
      <c r="Y1219" s="12" t="n">
        <v>5500</v>
      </c>
      <c r="Z1219" s="5" t="s">
        <v>1324</v>
      </c>
      <c r="AA1219" s="5" t="s">
        <v>1325</v>
      </c>
      <c r="AB1219" s="13" t="str">
        <f aca="true" t="array" ref="AB1219:AB1219">LEFT(AA1219,LOOKUP(2^15,FIND(".",AA1219,ROW(INDIRECT("1:"&amp;LEN(AA1219)))))-1)</f>
        <v>NB_2023_016 - 20230425 - 1</v>
      </c>
      <c r="AC1219" s="5" t="s">
        <v>1326</v>
      </c>
      <c r="AD1219" s="13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0" t="s">
        <v>1390</v>
      </c>
      <c r="B1220" s="31"/>
      <c r="C1220" s="3" t="s">
        <v>1391</v>
      </c>
      <c r="D1220" s="5" t="s">
        <v>14</v>
      </c>
      <c r="E1220" s="5" t="s">
        <v>1319</v>
      </c>
      <c r="F1220" s="6" t="s">
        <v>1320</v>
      </c>
      <c r="G1220" s="5" t="s">
        <v>1345</v>
      </c>
      <c r="H1220" s="6" t="s">
        <v>88</v>
      </c>
      <c r="I1220" s="5" t="str">
        <f aca="false">CONCATENATE(E1220, "_",H1220)</f>
        <v>NLA_2023_018_002</v>
      </c>
      <c r="J1220" s="5" t="s">
        <v>52</v>
      </c>
      <c r="K1220" s="5" t="s">
        <v>1346</v>
      </c>
      <c r="L1220" s="8" t="s">
        <v>69</v>
      </c>
      <c r="M1220" s="15" t="s">
        <v>1347</v>
      </c>
      <c r="N1220" s="5" t="s">
        <v>246</v>
      </c>
      <c r="O1220" s="32" t="s">
        <v>1220</v>
      </c>
      <c r="P1220" s="1" t="s">
        <v>43</v>
      </c>
      <c r="Q1220" s="5" t="s">
        <v>1269</v>
      </c>
      <c r="R1220" s="5" t="s">
        <v>44</v>
      </c>
      <c r="U1220" s="5" t="n">
        <v>1500</v>
      </c>
      <c r="V1220" s="1" t="n">
        <v>2</v>
      </c>
      <c r="W1220" s="3"/>
      <c r="X1220" s="8" t="s">
        <v>1215</v>
      </c>
      <c r="Y1220" s="12" t="n">
        <v>5500</v>
      </c>
      <c r="Z1220" s="5" t="s">
        <v>1324</v>
      </c>
      <c r="AA1220" s="5" t="s">
        <v>1325</v>
      </c>
      <c r="AB1220" s="13" t="str">
        <f aca="true" t="array" ref="AB1220:AB1220">LEFT(AA1220,LOOKUP(2^15,FIND(".",AA1220,ROW(INDIRECT("1:"&amp;LEN(AA1220)))))-1)</f>
        <v>NB_2023_016 - 20230425 - 1</v>
      </c>
      <c r="AC1220" s="5" t="s">
        <v>1326</v>
      </c>
      <c r="AD1220" s="13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0" t="s">
        <v>1390</v>
      </c>
      <c r="B1221" s="31"/>
      <c r="C1221" s="3" t="s">
        <v>1391</v>
      </c>
      <c r="D1221" s="5" t="s">
        <v>14</v>
      </c>
      <c r="E1221" s="5" t="s">
        <v>1319</v>
      </c>
      <c r="F1221" s="6" t="s">
        <v>1320</v>
      </c>
      <c r="G1221" s="5" t="s">
        <v>1321</v>
      </c>
      <c r="H1221" s="6" t="s">
        <v>97</v>
      </c>
      <c r="I1221" s="5" t="str">
        <f aca="false">CONCATENATE(E1221, "_",H1221)</f>
        <v>NLA_2023_018_003</v>
      </c>
      <c r="J1221" s="5" t="s">
        <v>52</v>
      </c>
      <c r="K1221" s="5" t="s">
        <v>1322</v>
      </c>
      <c r="L1221" s="8" t="s">
        <v>69</v>
      </c>
      <c r="M1221" s="15" t="s">
        <v>1323</v>
      </c>
      <c r="N1221" s="5" t="s">
        <v>246</v>
      </c>
      <c r="O1221" s="32" t="s">
        <v>1220</v>
      </c>
      <c r="P1221" s="1" t="s">
        <v>43</v>
      </c>
      <c r="Q1221" s="5" t="s">
        <v>1269</v>
      </c>
      <c r="R1221" s="5" t="s">
        <v>44</v>
      </c>
      <c r="S1221" s="12"/>
      <c r="U1221" s="5" t="n">
        <v>1500</v>
      </c>
      <c r="V1221" s="12" t="n">
        <v>1</v>
      </c>
      <c r="W1221" s="3"/>
      <c r="X1221" s="8" t="s">
        <v>1215</v>
      </c>
      <c r="Y1221" s="12" t="n">
        <v>5500</v>
      </c>
      <c r="Z1221" s="5" t="s">
        <v>1324</v>
      </c>
      <c r="AA1221" s="5" t="s">
        <v>1325</v>
      </c>
      <c r="AB1221" s="13" t="str">
        <f aca="true" t="array" ref="AB1221:AB1221">LEFT(AA1221,LOOKUP(2^15,FIND(".",AA1221,ROW(INDIRECT("1:"&amp;LEN(AA1221)))))-1)</f>
        <v>NB_2023_016 - 20230425 - 1</v>
      </c>
      <c r="AC1221" s="5" t="s">
        <v>1326</v>
      </c>
      <c r="AD1221" s="13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0" t="s">
        <v>1390</v>
      </c>
      <c r="B1222" s="31"/>
      <c r="C1222" s="3" t="s">
        <v>1391</v>
      </c>
      <c r="D1222" s="5" t="s">
        <v>14</v>
      </c>
      <c r="E1222" s="5" t="s">
        <v>1319</v>
      </c>
      <c r="F1222" s="6" t="s">
        <v>1320</v>
      </c>
      <c r="G1222" s="5" t="s">
        <v>1345</v>
      </c>
      <c r="H1222" s="6" t="s">
        <v>99</v>
      </c>
      <c r="I1222" s="5" t="str">
        <f aca="false">CONCATENATE(E1222, "_",H1222)</f>
        <v>NLA_2023_018_004</v>
      </c>
      <c r="J1222" s="5" t="s">
        <v>52</v>
      </c>
      <c r="K1222" s="5" t="s">
        <v>1348</v>
      </c>
      <c r="L1222" s="8" t="s">
        <v>69</v>
      </c>
      <c r="M1222" s="15" t="s">
        <v>1347</v>
      </c>
      <c r="N1222" s="5" t="s">
        <v>246</v>
      </c>
      <c r="O1222" s="32" t="s">
        <v>1220</v>
      </c>
      <c r="P1222" s="1" t="s">
        <v>43</v>
      </c>
      <c r="Q1222" s="5" t="s">
        <v>1269</v>
      </c>
      <c r="R1222" s="5" t="s">
        <v>44</v>
      </c>
      <c r="S1222" s="12"/>
      <c r="U1222" s="5" t="n">
        <v>1500</v>
      </c>
      <c r="V1222" s="12" t="n">
        <v>3</v>
      </c>
      <c r="W1222" s="3"/>
      <c r="X1222" s="8" t="s">
        <v>1215</v>
      </c>
      <c r="Y1222" s="12" t="n">
        <v>5500</v>
      </c>
      <c r="Z1222" s="5" t="s">
        <v>1324</v>
      </c>
      <c r="AA1222" s="5" t="s">
        <v>1325</v>
      </c>
      <c r="AB1222" s="13" t="str">
        <f aca="true" t="array" ref="AB1222:AB1222">LEFT(AA1222,LOOKUP(2^15,FIND(".",AA1222,ROW(INDIRECT("1:"&amp;LEN(AA1222)))))-1)</f>
        <v>NB_2023_016 - 20230425 - 1</v>
      </c>
      <c r="AC1222" s="5" t="s">
        <v>1326</v>
      </c>
      <c r="AD1222" s="13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0" t="s">
        <v>1390</v>
      </c>
      <c r="B1223" s="31"/>
      <c r="C1223" s="3" t="s">
        <v>1391</v>
      </c>
      <c r="D1223" s="5" t="s">
        <v>14</v>
      </c>
      <c r="E1223" s="5" t="s">
        <v>1319</v>
      </c>
      <c r="F1223" s="6" t="s">
        <v>1320</v>
      </c>
      <c r="G1223" s="5" t="s">
        <v>1345</v>
      </c>
      <c r="H1223" s="6" t="s">
        <v>91</v>
      </c>
      <c r="I1223" s="5" t="str">
        <f aca="false">CONCATENATE(E1223, "_",H1223)</f>
        <v>NLA_2023_018_005</v>
      </c>
      <c r="J1223" s="5" t="s">
        <v>52</v>
      </c>
      <c r="K1223" s="5" t="s">
        <v>1349</v>
      </c>
      <c r="L1223" s="8" t="s">
        <v>69</v>
      </c>
      <c r="M1223" s="15" t="s">
        <v>1347</v>
      </c>
      <c r="N1223" s="5" t="s">
        <v>246</v>
      </c>
      <c r="O1223" s="32" t="s">
        <v>1220</v>
      </c>
      <c r="P1223" s="1" t="s">
        <v>43</v>
      </c>
      <c r="Q1223" s="5" t="s">
        <v>1269</v>
      </c>
      <c r="R1223" s="5" t="s">
        <v>44</v>
      </c>
      <c r="U1223" s="5" t="n">
        <v>1500</v>
      </c>
      <c r="V1223" s="1" t="n">
        <v>1</v>
      </c>
      <c r="W1223" s="3"/>
      <c r="X1223" s="8" t="s">
        <v>1215</v>
      </c>
      <c r="Y1223" s="12" t="n">
        <v>5500</v>
      </c>
      <c r="Z1223" s="5" t="s">
        <v>1324</v>
      </c>
      <c r="AA1223" s="5" t="s">
        <v>1325</v>
      </c>
      <c r="AB1223" s="13" t="str">
        <f aca="true" t="array" ref="AB1223:AB1223">LEFT(AA1223,LOOKUP(2^15,FIND(".",AA1223,ROW(INDIRECT("1:"&amp;LEN(AA1223)))))-1)</f>
        <v>NB_2023_016 - 20230425 - 1</v>
      </c>
      <c r="AC1223" s="5" t="s">
        <v>1326</v>
      </c>
      <c r="AD1223" s="13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0" t="s">
        <v>1390</v>
      </c>
      <c r="B1224" s="31"/>
      <c r="C1224" s="3" t="s">
        <v>1391</v>
      </c>
      <c r="D1224" s="5" t="s">
        <v>14</v>
      </c>
      <c r="E1224" s="5" t="s">
        <v>1319</v>
      </c>
      <c r="F1224" s="6" t="s">
        <v>1320</v>
      </c>
      <c r="G1224" s="5" t="s">
        <v>1336</v>
      </c>
      <c r="H1224" s="6" t="s">
        <v>142</v>
      </c>
      <c r="I1224" s="5" t="str">
        <f aca="false">CONCATENATE(E1224, "_",H1224)</f>
        <v>NLA_2023_018_008</v>
      </c>
      <c r="J1224" s="5" t="s">
        <v>52</v>
      </c>
      <c r="K1224" s="5" t="s">
        <v>1337</v>
      </c>
      <c r="L1224" s="8" t="s">
        <v>69</v>
      </c>
      <c r="M1224" s="15" t="s">
        <v>1338</v>
      </c>
      <c r="N1224" s="5" t="s">
        <v>246</v>
      </c>
      <c r="O1224" s="32" t="s">
        <v>1220</v>
      </c>
      <c r="P1224" s="1" t="s">
        <v>43</v>
      </c>
      <c r="Q1224" s="5" t="s">
        <v>1269</v>
      </c>
      <c r="R1224" s="5" t="s">
        <v>44</v>
      </c>
      <c r="S1224" s="12"/>
      <c r="U1224" s="5" t="n">
        <v>1500</v>
      </c>
      <c r="V1224" s="12" t="n">
        <v>2</v>
      </c>
      <c r="W1224" s="3"/>
      <c r="X1224" s="8" t="s">
        <v>1215</v>
      </c>
      <c r="Y1224" s="12" t="n">
        <v>5500</v>
      </c>
      <c r="Z1224" s="5" t="s">
        <v>1324</v>
      </c>
      <c r="AA1224" s="5" t="s">
        <v>1325</v>
      </c>
      <c r="AB1224" s="13" t="str">
        <f aca="true" t="array" ref="AB1224:AB1224">LEFT(AA1224,LOOKUP(2^15,FIND(".",AA1224,ROW(INDIRECT("1:"&amp;LEN(AA1224)))))-1)</f>
        <v>NB_2023_016 - 20230425 - 1</v>
      </c>
      <c r="AC1224" s="5" t="s">
        <v>1326</v>
      </c>
      <c r="AD1224" s="13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0" t="s">
        <v>1390</v>
      </c>
      <c r="B1225" s="31"/>
      <c r="C1225" s="3" t="s">
        <v>1391</v>
      </c>
      <c r="D1225" s="5" t="s">
        <v>14</v>
      </c>
      <c r="E1225" s="5" t="s">
        <v>1319</v>
      </c>
      <c r="F1225" s="6" t="s">
        <v>1320</v>
      </c>
      <c r="G1225" s="5" t="s">
        <v>1336</v>
      </c>
      <c r="H1225" s="6" t="s">
        <v>129</v>
      </c>
      <c r="I1225" s="5" t="str">
        <f aca="false">CONCATENATE(E1225, "_",H1225)</f>
        <v>NLA_2023_018_010</v>
      </c>
      <c r="J1225" s="5" t="s">
        <v>52</v>
      </c>
      <c r="K1225" s="5" t="s">
        <v>1339</v>
      </c>
      <c r="L1225" s="8" t="s">
        <v>69</v>
      </c>
      <c r="M1225" s="15" t="s">
        <v>1338</v>
      </c>
      <c r="N1225" s="5" t="s">
        <v>246</v>
      </c>
      <c r="O1225" s="32" t="s">
        <v>1220</v>
      </c>
      <c r="P1225" s="1" t="s">
        <v>43</v>
      </c>
      <c r="Q1225" s="5" t="s">
        <v>1269</v>
      </c>
      <c r="R1225" s="5" t="s">
        <v>44</v>
      </c>
      <c r="S1225" s="12"/>
      <c r="U1225" s="5" t="n">
        <v>1500</v>
      </c>
      <c r="V1225" s="12" t="n">
        <v>1</v>
      </c>
      <c r="W1225" s="3"/>
      <c r="X1225" s="8" t="s">
        <v>1215</v>
      </c>
      <c r="Y1225" s="12" t="n">
        <v>5500</v>
      </c>
      <c r="Z1225" s="5" t="s">
        <v>1324</v>
      </c>
      <c r="AA1225" s="5" t="s">
        <v>1325</v>
      </c>
      <c r="AB1225" s="13" t="str">
        <f aca="true" t="array" ref="AB1225:AB1225">LEFT(AA1225,LOOKUP(2^15,FIND(".",AA1225,ROW(INDIRECT("1:"&amp;LEN(AA1225)))))-1)</f>
        <v>NB_2023_016 - 20230425 - 1</v>
      </c>
      <c r="AC1225" s="5" t="s">
        <v>1326</v>
      </c>
      <c r="AD1225" s="13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0" t="s">
        <v>1390</v>
      </c>
      <c r="B1226" s="31"/>
      <c r="C1226" s="3" t="s">
        <v>1391</v>
      </c>
      <c r="D1226" s="5" t="s">
        <v>14</v>
      </c>
      <c r="E1226" s="5" t="s">
        <v>1319</v>
      </c>
      <c r="F1226" s="6" t="s">
        <v>1320</v>
      </c>
      <c r="G1226" s="5" t="s">
        <v>1321</v>
      </c>
      <c r="H1226" s="6" t="s">
        <v>60</v>
      </c>
      <c r="I1226" s="5" t="str">
        <f aca="false">CONCATENATE(E1226, "_",H1226)</f>
        <v>NLA_2023_018_016</v>
      </c>
      <c r="J1226" s="5" t="s">
        <v>38</v>
      </c>
      <c r="K1226" s="5" t="s">
        <v>1327</v>
      </c>
      <c r="L1226" s="8" t="s">
        <v>69</v>
      </c>
      <c r="M1226" s="15" t="s">
        <v>1323</v>
      </c>
      <c r="N1226" s="5" t="s">
        <v>246</v>
      </c>
      <c r="O1226" s="32" t="s">
        <v>1212</v>
      </c>
      <c r="P1226" s="1" t="s">
        <v>43</v>
      </c>
      <c r="Q1226" s="1" t="s">
        <v>43</v>
      </c>
      <c r="R1226" s="5" t="s">
        <v>44</v>
      </c>
      <c r="U1226" s="5" t="n">
        <v>1500</v>
      </c>
      <c r="V1226" s="1" t="n">
        <v>2</v>
      </c>
      <c r="W1226" s="3"/>
      <c r="X1226" s="8" t="s">
        <v>1215</v>
      </c>
      <c r="Y1226" s="12" t="n">
        <v>5500</v>
      </c>
      <c r="Z1226" s="5" t="s">
        <v>1324</v>
      </c>
      <c r="AA1226" s="5" t="s">
        <v>1325</v>
      </c>
      <c r="AB1226" s="13" t="str">
        <f aca="true" t="array" ref="AB1226:AB1226">LEFT(AA1226,LOOKUP(2^15,FIND(".",AA1226,ROW(INDIRECT("1:"&amp;LEN(AA1226)))))-1)</f>
        <v>NB_2023_016 - 20230425 - 1</v>
      </c>
      <c r="AC1226" s="5" t="s">
        <v>1326</v>
      </c>
      <c r="AD1226" s="13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0" t="s">
        <v>1390</v>
      </c>
      <c r="B1227" s="31"/>
      <c r="C1227" s="3" t="s">
        <v>1391</v>
      </c>
      <c r="D1227" s="5" t="s">
        <v>14</v>
      </c>
      <c r="E1227" s="5" t="s">
        <v>1319</v>
      </c>
      <c r="F1227" s="6" t="s">
        <v>1320</v>
      </c>
      <c r="G1227" s="5" t="s">
        <v>1336</v>
      </c>
      <c r="H1227" s="6" t="s">
        <v>181</v>
      </c>
      <c r="I1227" s="5" t="str">
        <f aca="false">CONCATENATE(E1227, "_",H1227)</f>
        <v>NLA_2023_018_017</v>
      </c>
      <c r="J1227" s="5" t="s">
        <v>38</v>
      </c>
      <c r="K1227" s="5" t="s">
        <v>1340</v>
      </c>
      <c r="L1227" s="8" t="s">
        <v>69</v>
      </c>
      <c r="M1227" s="15" t="s">
        <v>1338</v>
      </c>
      <c r="N1227" s="5" t="s">
        <v>246</v>
      </c>
      <c r="O1227" s="32" t="s">
        <v>1212</v>
      </c>
      <c r="P1227" s="1" t="s">
        <v>43</v>
      </c>
      <c r="Q1227" s="1" t="s">
        <v>43</v>
      </c>
      <c r="R1227" s="5" t="s">
        <v>44</v>
      </c>
      <c r="S1227" s="12"/>
      <c r="U1227" s="5" t="n">
        <v>1500</v>
      </c>
      <c r="V1227" s="12" t="n">
        <v>2</v>
      </c>
      <c r="W1227" s="3"/>
      <c r="X1227" s="8" t="s">
        <v>1215</v>
      </c>
      <c r="Y1227" s="12" t="n">
        <v>5500</v>
      </c>
      <c r="Z1227" s="5" t="s">
        <v>1324</v>
      </c>
      <c r="AA1227" s="5" t="s">
        <v>1325</v>
      </c>
      <c r="AB1227" s="13" t="str">
        <f aca="true" t="array" ref="AB1227:AB1227">LEFT(AA1227,LOOKUP(2^15,FIND(".",AA1227,ROW(INDIRECT("1:"&amp;LEN(AA1227)))))-1)</f>
        <v>NB_2023_016 - 20230425 - 1</v>
      </c>
      <c r="AC1227" s="5" t="s">
        <v>1326</v>
      </c>
      <c r="AD1227" s="13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0" t="s">
        <v>1390</v>
      </c>
      <c r="B1228" s="31"/>
      <c r="C1228" s="3" t="s">
        <v>1391</v>
      </c>
      <c r="D1228" s="5" t="s">
        <v>14</v>
      </c>
      <c r="E1228" s="5" t="s">
        <v>1319</v>
      </c>
      <c r="F1228" s="6" t="s">
        <v>1320</v>
      </c>
      <c r="G1228" s="5" t="s">
        <v>1321</v>
      </c>
      <c r="H1228" s="6" t="s">
        <v>227</v>
      </c>
      <c r="I1228" s="5" t="str">
        <f aca="false">CONCATENATE(E1228, "_",H1228)</f>
        <v>NLA_2023_018_019</v>
      </c>
      <c r="J1228" s="5" t="s">
        <v>52</v>
      </c>
      <c r="K1228" s="5" t="s">
        <v>1328</v>
      </c>
      <c r="L1228" s="8" t="s">
        <v>69</v>
      </c>
      <c r="M1228" s="15" t="s">
        <v>1323</v>
      </c>
      <c r="N1228" s="5" t="s">
        <v>246</v>
      </c>
      <c r="O1228" s="32" t="s">
        <v>1220</v>
      </c>
      <c r="P1228" s="1" t="s">
        <v>43</v>
      </c>
      <c r="Q1228" s="5" t="s">
        <v>1269</v>
      </c>
      <c r="R1228" s="5" t="s">
        <v>44</v>
      </c>
      <c r="S1228" s="12"/>
      <c r="U1228" s="5" t="n">
        <v>1500</v>
      </c>
      <c r="V1228" s="12" t="n">
        <v>3</v>
      </c>
      <c r="W1228" s="3"/>
      <c r="X1228" s="8" t="s">
        <v>1215</v>
      </c>
      <c r="Y1228" s="12" t="n">
        <v>5500</v>
      </c>
      <c r="Z1228" s="5" t="s">
        <v>1324</v>
      </c>
      <c r="AA1228" s="5" t="s">
        <v>1325</v>
      </c>
      <c r="AB1228" s="13" t="str">
        <f aca="true" t="array" ref="AB1228:AB1228">LEFT(AA1228,LOOKUP(2^15,FIND(".",AA1228,ROW(INDIRECT("1:"&amp;LEN(AA1228)))))-1)</f>
        <v>NB_2023_016 - 20230425 - 1</v>
      </c>
      <c r="AC1228" s="5" t="s">
        <v>1326</v>
      </c>
      <c r="AD1228" s="13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0" t="s">
        <v>1390</v>
      </c>
      <c r="B1229" s="31"/>
      <c r="C1229" s="3" t="s">
        <v>1391</v>
      </c>
      <c r="D1229" s="5" t="s">
        <v>14</v>
      </c>
      <c r="E1229" s="5" t="s">
        <v>1319</v>
      </c>
      <c r="F1229" s="6" t="s">
        <v>1320</v>
      </c>
      <c r="G1229" s="5" t="s">
        <v>1345</v>
      </c>
      <c r="H1229" s="6" t="s">
        <v>62</v>
      </c>
      <c r="I1229" s="5" t="str">
        <f aca="false">CONCATENATE(E1229, "_",H1229)</f>
        <v>NLA_2023_018_021</v>
      </c>
      <c r="J1229" s="5" t="s">
        <v>38</v>
      </c>
      <c r="K1229" s="5" t="s">
        <v>1350</v>
      </c>
      <c r="L1229" s="8" t="s">
        <v>69</v>
      </c>
      <c r="M1229" s="15" t="s">
        <v>1347</v>
      </c>
      <c r="N1229" s="5" t="s">
        <v>246</v>
      </c>
      <c r="O1229" s="32" t="s">
        <v>1212</v>
      </c>
      <c r="P1229" s="1" t="s">
        <v>43</v>
      </c>
      <c r="Q1229" s="1" t="s">
        <v>43</v>
      </c>
      <c r="R1229" s="5" t="s">
        <v>44</v>
      </c>
      <c r="S1229" s="12"/>
      <c r="U1229" s="5" t="n">
        <v>1500</v>
      </c>
      <c r="V1229" s="12" t="n">
        <v>1</v>
      </c>
      <c r="W1229" s="3"/>
      <c r="X1229" s="8" t="s">
        <v>1215</v>
      </c>
      <c r="Y1229" s="12" t="n">
        <v>5500</v>
      </c>
      <c r="Z1229" s="5" t="s">
        <v>1324</v>
      </c>
      <c r="AA1229" s="5" t="s">
        <v>1325</v>
      </c>
      <c r="AB1229" s="13" t="str">
        <f aca="true" t="array" ref="AB1229:AB1229">LEFT(AA1229,LOOKUP(2^15,FIND(".",AA1229,ROW(INDIRECT("1:"&amp;LEN(AA1229)))))-1)</f>
        <v>NB_2023_016 - 20230425 - 1</v>
      </c>
      <c r="AC1229" s="5" t="s">
        <v>1326</v>
      </c>
      <c r="AD1229" s="13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0" t="s">
        <v>1390</v>
      </c>
      <c r="B1230" s="31"/>
      <c r="C1230" s="3" t="s">
        <v>1391</v>
      </c>
      <c r="D1230" s="5" t="s">
        <v>14</v>
      </c>
      <c r="E1230" s="5" t="s">
        <v>1319</v>
      </c>
      <c r="F1230" s="6" t="s">
        <v>1320</v>
      </c>
      <c r="G1230" s="5" t="s">
        <v>1336</v>
      </c>
      <c r="H1230" s="6" t="s">
        <v>237</v>
      </c>
      <c r="I1230" s="5" t="str">
        <f aca="false">CONCATENATE(E1230, "_",H1230)</f>
        <v>NLA_2023_018_024</v>
      </c>
      <c r="J1230" s="5" t="s">
        <v>52</v>
      </c>
      <c r="K1230" s="5" t="s">
        <v>1341</v>
      </c>
      <c r="L1230" s="8" t="s">
        <v>69</v>
      </c>
      <c r="M1230" s="15" t="s">
        <v>1338</v>
      </c>
      <c r="N1230" s="5" t="s">
        <v>246</v>
      </c>
      <c r="O1230" s="32" t="s">
        <v>1220</v>
      </c>
      <c r="P1230" s="1" t="s">
        <v>43</v>
      </c>
      <c r="Q1230" s="5" t="s">
        <v>1269</v>
      </c>
      <c r="R1230" s="5" t="s">
        <v>44</v>
      </c>
      <c r="S1230" s="12"/>
      <c r="U1230" s="5" t="n">
        <v>1500</v>
      </c>
      <c r="V1230" s="12" t="n">
        <v>3</v>
      </c>
      <c r="W1230" s="3"/>
      <c r="X1230" s="8" t="s">
        <v>1215</v>
      </c>
      <c r="Y1230" s="12" t="n">
        <v>5500</v>
      </c>
      <c r="Z1230" s="5" t="s">
        <v>1324</v>
      </c>
      <c r="AA1230" s="5" t="s">
        <v>1325</v>
      </c>
      <c r="AB1230" s="13" t="str">
        <f aca="true" t="array" ref="AB1230:AB1230">LEFT(AA1230,LOOKUP(2^15,FIND(".",AA1230,ROW(INDIRECT("1:"&amp;LEN(AA1230)))))-1)</f>
        <v>NB_2023_016 - 20230425 - 1</v>
      </c>
      <c r="AC1230" s="5" t="s">
        <v>1326</v>
      </c>
      <c r="AD1230" s="13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0" t="s">
        <v>1390</v>
      </c>
      <c r="B1231" s="31"/>
      <c r="C1231" s="3" t="s">
        <v>1391</v>
      </c>
      <c r="D1231" s="5" t="s">
        <v>14</v>
      </c>
      <c r="E1231" s="5" t="s">
        <v>1319</v>
      </c>
      <c r="F1231" s="6" t="s">
        <v>1320</v>
      </c>
      <c r="G1231" s="5" t="s">
        <v>1345</v>
      </c>
      <c r="H1231" s="6" t="s">
        <v>1351</v>
      </c>
      <c r="I1231" s="5" t="str">
        <f aca="false">CONCATENATE(E1231, "_",H1231)</f>
        <v>NLA_2023_018_025</v>
      </c>
      <c r="J1231" s="5" t="s">
        <v>38</v>
      </c>
      <c r="K1231" s="5" t="s">
        <v>1352</v>
      </c>
      <c r="L1231" s="8" t="s">
        <v>69</v>
      </c>
      <c r="M1231" s="15" t="s">
        <v>1347</v>
      </c>
      <c r="N1231" s="5" t="s">
        <v>246</v>
      </c>
      <c r="O1231" s="32" t="s">
        <v>1212</v>
      </c>
      <c r="P1231" s="1" t="s">
        <v>43</v>
      </c>
      <c r="Q1231" s="5" t="s">
        <v>43</v>
      </c>
      <c r="R1231" s="5" t="s">
        <v>44</v>
      </c>
      <c r="S1231" s="12"/>
      <c r="U1231" s="5" t="n">
        <v>1500</v>
      </c>
      <c r="V1231" s="12" t="n">
        <v>2</v>
      </c>
      <c r="W1231" s="3"/>
      <c r="X1231" s="8" t="s">
        <v>1215</v>
      </c>
      <c r="Y1231" s="12" t="n">
        <v>5500</v>
      </c>
      <c r="Z1231" s="5" t="s">
        <v>1324</v>
      </c>
      <c r="AA1231" s="5" t="s">
        <v>1325</v>
      </c>
      <c r="AB1231" s="13" t="str">
        <f aca="true" t="array" ref="AB1231:AB1231">LEFT(AA1231,LOOKUP(2^15,FIND(".",AA1231,ROW(INDIRECT("1:"&amp;LEN(AA1231)))))-1)</f>
        <v>NB_2023_016 - 20230425 - 1</v>
      </c>
      <c r="AC1231" s="5" t="s">
        <v>1326</v>
      </c>
      <c r="AD1231" s="13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0" t="s">
        <v>1390</v>
      </c>
      <c r="B1232" s="31"/>
      <c r="C1232" s="3" t="s">
        <v>1391</v>
      </c>
      <c r="D1232" s="5" t="s">
        <v>14</v>
      </c>
      <c r="E1232" s="5" t="s">
        <v>1319</v>
      </c>
      <c r="F1232" s="6" t="s">
        <v>1320</v>
      </c>
      <c r="G1232" s="5" t="s">
        <v>1345</v>
      </c>
      <c r="H1232" s="6" t="s">
        <v>1353</v>
      </c>
      <c r="I1232" s="5" t="str">
        <f aca="false">CONCATENATE(E1232, "_",H1232)</f>
        <v>NLA_2023_018_027</v>
      </c>
      <c r="J1232" s="5" t="s">
        <v>38</v>
      </c>
      <c r="K1232" s="5" t="s">
        <v>1354</v>
      </c>
      <c r="L1232" s="8" t="s">
        <v>69</v>
      </c>
      <c r="M1232" s="15" t="s">
        <v>1347</v>
      </c>
      <c r="N1232" s="5" t="s">
        <v>246</v>
      </c>
      <c r="O1232" s="32" t="s">
        <v>1212</v>
      </c>
      <c r="P1232" s="1" t="s">
        <v>43</v>
      </c>
      <c r="Q1232" s="1" t="s">
        <v>43</v>
      </c>
      <c r="R1232" s="5" t="s">
        <v>44</v>
      </c>
      <c r="S1232" s="12"/>
      <c r="U1232" s="5" t="n">
        <v>1500</v>
      </c>
      <c r="V1232" s="12" t="n">
        <v>3</v>
      </c>
      <c r="W1232" s="3"/>
      <c r="X1232" s="8" t="s">
        <v>1215</v>
      </c>
      <c r="Y1232" s="12" t="n">
        <v>5500</v>
      </c>
      <c r="Z1232" s="5" t="s">
        <v>1324</v>
      </c>
      <c r="AA1232" s="5" t="s">
        <v>1325</v>
      </c>
      <c r="AB1232" s="13" t="str">
        <f aca="true" t="array" ref="AB1232:AB1232">LEFT(AA1232,LOOKUP(2^15,FIND(".",AA1232,ROW(INDIRECT("1:"&amp;LEN(AA1232)))))-1)</f>
        <v>NB_2023_016 - 20230425 - 1</v>
      </c>
      <c r="AC1232" s="5" t="s">
        <v>1326</v>
      </c>
      <c r="AD1232" s="13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0" t="s">
        <v>1390</v>
      </c>
      <c r="B1233" s="31"/>
      <c r="C1233" s="3" t="s">
        <v>1391</v>
      </c>
      <c r="D1233" s="5" t="s">
        <v>14</v>
      </c>
      <c r="E1233" s="5" t="s">
        <v>1319</v>
      </c>
      <c r="F1233" s="6" t="s">
        <v>1320</v>
      </c>
      <c r="G1233" s="5" t="s">
        <v>1321</v>
      </c>
      <c r="H1233" s="6" t="s">
        <v>1329</v>
      </c>
      <c r="I1233" s="5" t="str">
        <f aca="false">CONCATENATE(E1233, "_",H1233)</f>
        <v>NLA_2023_018_028</v>
      </c>
      <c r="J1233" s="5" t="s">
        <v>38</v>
      </c>
      <c r="K1233" s="5" t="s">
        <v>1330</v>
      </c>
      <c r="L1233" s="8" t="s">
        <v>69</v>
      </c>
      <c r="M1233" s="15" t="s">
        <v>1323</v>
      </c>
      <c r="N1233" s="5" t="s">
        <v>246</v>
      </c>
      <c r="O1233" s="32" t="s">
        <v>1212</v>
      </c>
      <c r="P1233" s="1" t="s">
        <v>43</v>
      </c>
      <c r="Q1233" s="1" t="s">
        <v>43</v>
      </c>
      <c r="R1233" s="5" t="s">
        <v>44</v>
      </c>
      <c r="U1233" s="5" t="n">
        <v>1500</v>
      </c>
      <c r="V1233" s="1" t="n">
        <v>4</v>
      </c>
      <c r="W1233" s="3"/>
      <c r="X1233" s="8" t="s">
        <v>1215</v>
      </c>
      <c r="Y1233" s="12" t="n">
        <v>5500</v>
      </c>
      <c r="Z1233" s="5" t="s">
        <v>1324</v>
      </c>
      <c r="AA1233" s="5" t="s">
        <v>1325</v>
      </c>
      <c r="AB1233" s="13" t="str">
        <f aca="true" t="array" ref="AB1233:AB1233">LEFT(AA1233,LOOKUP(2^15,FIND(".",AA1233,ROW(INDIRECT("1:"&amp;LEN(AA1233)))))-1)</f>
        <v>NB_2023_016 - 20230425 - 1</v>
      </c>
      <c r="AC1233" s="5" t="s">
        <v>1326</v>
      </c>
      <c r="AD1233" s="13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0" t="s">
        <v>1390</v>
      </c>
      <c r="B1234" s="31"/>
      <c r="C1234" s="3" t="s">
        <v>1391</v>
      </c>
      <c r="D1234" s="5" t="s">
        <v>14</v>
      </c>
      <c r="E1234" s="5" t="s">
        <v>1319</v>
      </c>
      <c r="F1234" s="6" t="s">
        <v>1320</v>
      </c>
      <c r="G1234" s="5" t="s">
        <v>1336</v>
      </c>
      <c r="H1234" s="6" t="s">
        <v>439</v>
      </c>
      <c r="I1234" s="5" t="str">
        <f aca="false">CONCATENATE(E1234, "_",H1234)</f>
        <v>NLA_2023_018_029</v>
      </c>
      <c r="J1234" s="5" t="s">
        <v>38</v>
      </c>
      <c r="K1234" s="5" t="s">
        <v>1342</v>
      </c>
      <c r="L1234" s="8" t="s">
        <v>69</v>
      </c>
      <c r="M1234" s="15" t="s">
        <v>1338</v>
      </c>
      <c r="N1234" s="5" t="s">
        <v>246</v>
      </c>
      <c r="O1234" s="32" t="s">
        <v>1212</v>
      </c>
      <c r="P1234" s="1" t="s">
        <v>43</v>
      </c>
      <c r="Q1234" s="1" t="s">
        <v>43</v>
      </c>
      <c r="R1234" s="5" t="s">
        <v>44</v>
      </c>
      <c r="U1234" s="5" t="n">
        <v>1500</v>
      </c>
      <c r="V1234" s="1" t="n">
        <v>1</v>
      </c>
      <c r="W1234" s="3"/>
      <c r="X1234" s="8" t="s">
        <v>1215</v>
      </c>
      <c r="Y1234" s="12" t="n">
        <v>5500</v>
      </c>
      <c r="Z1234" s="5" t="s">
        <v>1324</v>
      </c>
      <c r="AA1234" s="5" t="s">
        <v>1325</v>
      </c>
      <c r="AB1234" s="13" t="str">
        <f aca="true" t="array" ref="AB1234:AB1234">LEFT(AA1234,LOOKUP(2^15,FIND(".",AA1234,ROW(INDIRECT("1:"&amp;LEN(AA1234)))))-1)</f>
        <v>NB_2023_016 - 20230425 - 1</v>
      </c>
      <c r="AC1234" s="5" t="s">
        <v>1326</v>
      </c>
      <c r="AD1234" s="13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0" t="s">
        <v>1390</v>
      </c>
      <c r="B1235" s="31"/>
      <c r="C1235" s="3" t="s">
        <v>1391</v>
      </c>
      <c r="D1235" s="5" t="s">
        <v>14</v>
      </c>
      <c r="E1235" s="5" t="s">
        <v>1319</v>
      </c>
      <c r="F1235" s="6" t="s">
        <v>1320</v>
      </c>
      <c r="G1235" s="5" t="s">
        <v>1321</v>
      </c>
      <c r="H1235" s="6" t="s">
        <v>445</v>
      </c>
      <c r="I1235" s="5" t="str">
        <f aca="false">CONCATENATE(E1235, "_",H1235)</f>
        <v>NLA_2023_018_031</v>
      </c>
      <c r="J1235" s="5" t="s">
        <v>52</v>
      </c>
      <c r="K1235" s="5" t="s">
        <v>1331</v>
      </c>
      <c r="L1235" s="8" t="s">
        <v>69</v>
      </c>
      <c r="M1235" s="15" t="s">
        <v>1323</v>
      </c>
      <c r="N1235" s="5" t="s">
        <v>246</v>
      </c>
      <c r="O1235" s="32" t="s">
        <v>1220</v>
      </c>
      <c r="P1235" s="1" t="s">
        <v>43</v>
      </c>
      <c r="Q1235" s="5" t="s">
        <v>1269</v>
      </c>
      <c r="R1235" s="5" t="s">
        <v>44</v>
      </c>
      <c r="S1235" s="12"/>
      <c r="U1235" s="5" t="n">
        <v>1500</v>
      </c>
      <c r="V1235" s="12" t="n">
        <v>2</v>
      </c>
      <c r="W1235" s="3"/>
      <c r="X1235" s="8" t="s">
        <v>1215</v>
      </c>
      <c r="Y1235" s="12" t="n">
        <v>5500</v>
      </c>
      <c r="Z1235" s="5" t="s">
        <v>1324</v>
      </c>
      <c r="AA1235" s="5" t="s">
        <v>1325</v>
      </c>
      <c r="AB1235" s="13" t="str">
        <f aca="true" t="array" ref="AB1235:AB1235">LEFT(AA1235,LOOKUP(2^15,FIND(".",AA1235,ROW(INDIRECT("1:"&amp;LEN(AA1235)))))-1)</f>
        <v>NB_2023_016 - 20230425 - 1</v>
      </c>
      <c r="AC1235" s="5" t="s">
        <v>1326</v>
      </c>
      <c r="AD1235" s="13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0" t="s">
        <v>1390</v>
      </c>
      <c r="B1236" s="31"/>
      <c r="C1236" s="3" t="s">
        <v>1391</v>
      </c>
      <c r="D1236" s="5" t="s">
        <v>14</v>
      </c>
      <c r="E1236" s="5" t="s">
        <v>1319</v>
      </c>
      <c r="F1236" s="6" t="s">
        <v>1320</v>
      </c>
      <c r="G1236" s="5" t="s">
        <v>1321</v>
      </c>
      <c r="H1236" s="6" t="s">
        <v>1063</v>
      </c>
      <c r="I1236" s="5" t="str">
        <f aca="false">CONCATENATE(E1236, "_",H1236)</f>
        <v>NLA_2023_018_033</v>
      </c>
      <c r="J1236" s="5" t="s">
        <v>38</v>
      </c>
      <c r="K1236" s="5" t="s">
        <v>1332</v>
      </c>
      <c r="L1236" s="8" t="s">
        <v>69</v>
      </c>
      <c r="M1236" s="15" t="s">
        <v>1323</v>
      </c>
      <c r="N1236" s="5" t="s">
        <v>246</v>
      </c>
      <c r="O1236" s="32" t="s">
        <v>1212</v>
      </c>
      <c r="P1236" s="1" t="s">
        <v>43</v>
      </c>
      <c r="Q1236" s="5" t="s">
        <v>43</v>
      </c>
      <c r="R1236" s="5" t="s">
        <v>44</v>
      </c>
      <c r="U1236" s="5" t="n">
        <v>1500</v>
      </c>
      <c r="V1236" s="1" t="n">
        <v>3</v>
      </c>
      <c r="W1236" s="3"/>
      <c r="X1236" s="8" t="s">
        <v>1215</v>
      </c>
      <c r="Y1236" s="12" t="n">
        <v>5500</v>
      </c>
      <c r="Z1236" s="5" t="s">
        <v>1324</v>
      </c>
      <c r="AA1236" s="5" t="s">
        <v>1325</v>
      </c>
      <c r="AB1236" s="13" t="str">
        <f aca="true" t="array" ref="AB1236:AB1236">LEFT(AA1236,LOOKUP(2^15,FIND(".",AA1236,ROW(INDIRECT("1:"&amp;LEN(AA1236)))))-1)</f>
        <v>NB_2023_016 - 20230425 - 1</v>
      </c>
      <c r="AC1236" s="5" t="s">
        <v>1326</v>
      </c>
      <c r="AD1236" s="13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0" t="s">
        <v>1390</v>
      </c>
      <c r="B1237" s="31"/>
      <c r="C1237" s="3" t="s">
        <v>1391</v>
      </c>
      <c r="D1237" s="5" t="s">
        <v>14</v>
      </c>
      <c r="E1237" s="5" t="s">
        <v>1319</v>
      </c>
      <c r="F1237" s="6" t="s">
        <v>1320</v>
      </c>
      <c r="G1237" s="5" t="s">
        <v>1321</v>
      </c>
      <c r="H1237" s="6" t="s">
        <v>925</v>
      </c>
      <c r="I1237" s="5" t="str">
        <f aca="false">CONCATENATE(E1237, "_",H1237)</f>
        <v>NLA_2023_018_036</v>
      </c>
      <c r="J1237" s="5" t="s">
        <v>38</v>
      </c>
      <c r="K1237" s="5" t="s">
        <v>1333</v>
      </c>
      <c r="L1237" s="8" t="s">
        <v>69</v>
      </c>
      <c r="M1237" s="15" t="s">
        <v>1323</v>
      </c>
      <c r="N1237" s="5" t="s">
        <v>246</v>
      </c>
      <c r="O1237" s="32" t="s">
        <v>1212</v>
      </c>
      <c r="P1237" s="1" t="s">
        <v>43</v>
      </c>
      <c r="Q1237" s="5" t="s">
        <v>43</v>
      </c>
      <c r="R1237" s="5" t="s">
        <v>44</v>
      </c>
      <c r="U1237" s="5" t="n">
        <v>1500</v>
      </c>
      <c r="V1237" s="1" t="n">
        <v>1</v>
      </c>
      <c r="W1237" s="3"/>
      <c r="X1237" s="8" t="s">
        <v>1215</v>
      </c>
      <c r="Y1237" s="12" t="n">
        <v>5500</v>
      </c>
      <c r="Z1237" s="5" t="s">
        <v>1324</v>
      </c>
      <c r="AA1237" s="5" t="s">
        <v>1325</v>
      </c>
      <c r="AB1237" s="13" t="str">
        <f aca="true" t="array" ref="AB1237:AB1237">LEFT(AA1237,LOOKUP(2^15,FIND(".",AA1237,ROW(INDIRECT("1:"&amp;LEN(AA1237)))))-1)</f>
        <v>NB_2023_016 - 20230425 - 1</v>
      </c>
      <c r="AC1237" s="5" t="s">
        <v>1326</v>
      </c>
      <c r="AD1237" s="13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0" t="s">
        <v>1390</v>
      </c>
      <c r="B1238" s="31"/>
      <c r="C1238" s="3" t="s">
        <v>1391</v>
      </c>
      <c r="D1238" s="5" t="s">
        <v>14</v>
      </c>
      <c r="E1238" s="5" t="s">
        <v>1319</v>
      </c>
      <c r="F1238" s="6" t="s">
        <v>1320</v>
      </c>
      <c r="G1238" s="5" t="s">
        <v>1319</v>
      </c>
      <c r="H1238" s="14" t="s">
        <v>64</v>
      </c>
      <c r="I1238" s="5" t="str">
        <f aca="false">CONCATENATE(E1238, "_",H1238)</f>
        <v>NLA_2023_018_Blank_1</v>
      </c>
      <c r="J1238" s="5" t="s">
        <v>52</v>
      </c>
      <c r="K1238" s="16" t="s">
        <v>64</v>
      </c>
      <c r="L1238" s="6" t="s">
        <v>46</v>
      </c>
      <c r="M1238" s="15" t="s">
        <v>46</v>
      </c>
      <c r="N1238" s="5" t="s">
        <v>65</v>
      </c>
      <c r="O1238" s="5" t="s">
        <v>46</v>
      </c>
      <c r="P1238" s="5" t="s">
        <v>46</v>
      </c>
      <c r="Q1238" s="5" t="s">
        <v>46</v>
      </c>
      <c r="R1238" s="5" t="s">
        <v>46</v>
      </c>
      <c r="S1238" s="5" t="s">
        <v>46</v>
      </c>
      <c r="T1238" s="5" t="s">
        <v>46</v>
      </c>
      <c r="U1238" s="5" t="s">
        <v>46</v>
      </c>
      <c r="V1238" s="1" t="n">
        <v>1</v>
      </c>
      <c r="W1238" s="3"/>
      <c r="X1238" s="5" t="s">
        <v>46</v>
      </c>
      <c r="Y1238" s="12" t="n">
        <v>5500</v>
      </c>
      <c r="Z1238" s="5" t="s">
        <v>1324</v>
      </c>
      <c r="AA1238" s="5" t="s">
        <v>1325</v>
      </c>
      <c r="AB1238" s="13" t="str">
        <f aca="true" t="array" ref="AB1238:AB1238">LEFT(AA1238,LOOKUP(2^15,FIND(".",AA1238,ROW(INDIRECT("1:"&amp;LEN(AA1238)))))-1)</f>
        <v>NB_2023_016 - 20230425 - 1</v>
      </c>
      <c r="AC1238" s="5" t="s">
        <v>1326</v>
      </c>
      <c r="AD1238" s="13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0" t="s">
        <v>1390</v>
      </c>
      <c r="B1239" s="31"/>
      <c r="C1239" s="3" t="s">
        <v>1391</v>
      </c>
      <c r="D1239" s="5" t="s">
        <v>14</v>
      </c>
      <c r="E1239" s="5" t="s">
        <v>1319</v>
      </c>
      <c r="F1239" s="6" t="s">
        <v>1320</v>
      </c>
      <c r="G1239" s="5" t="s">
        <v>1319</v>
      </c>
      <c r="H1239" s="14" t="s">
        <v>67</v>
      </c>
      <c r="I1239" s="5" t="str">
        <f aca="false">CONCATENATE(E1239, "_",H1239)</f>
        <v>NLA_2023_018_Blank_3</v>
      </c>
      <c r="J1239" s="5" t="s">
        <v>52</v>
      </c>
      <c r="K1239" s="16" t="s">
        <v>67</v>
      </c>
      <c r="L1239" s="6" t="s">
        <v>46</v>
      </c>
      <c r="M1239" s="15" t="s">
        <v>46</v>
      </c>
      <c r="N1239" s="5" t="s">
        <v>65</v>
      </c>
      <c r="O1239" s="5" t="s">
        <v>46</v>
      </c>
      <c r="P1239" s="5" t="s">
        <v>46</v>
      </c>
      <c r="Q1239" s="5" t="s">
        <v>46</v>
      </c>
      <c r="R1239" s="5" t="s">
        <v>46</v>
      </c>
      <c r="S1239" s="5" t="s">
        <v>46</v>
      </c>
      <c r="T1239" s="5" t="s">
        <v>46</v>
      </c>
      <c r="U1239" s="5" t="s">
        <v>46</v>
      </c>
      <c r="V1239" s="1" t="n">
        <v>3</v>
      </c>
      <c r="W1239" s="3"/>
      <c r="X1239" s="5" t="s">
        <v>46</v>
      </c>
      <c r="Y1239" s="12" t="n">
        <v>5500</v>
      </c>
      <c r="Z1239" s="5" t="s">
        <v>1324</v>
      </c>
      <c r="AA1239" s="5" t="s">
        <v>1325</v>
      </c>
      <c r="AB1239" s="13" t="str">
        <f aca="true" t="array" ref="AB1239:AB1239">LEFT(AA1239,LOOKUP(2^15,FIND(".",AA1239,ROW(INDIRECT("1:"&amp;LEN(AA1239)))))-1)</f>
        <v>NB_2023_016 - 20230425 - 1</v>
      </c>
      <c r="AC1239" s="5" t="s">
        <v>1326</v>
      </c>
      <c r="AD1239" s="13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0" t="s">
        <v>1390</v>
      </c>
      <c r="B1240" s="31"/>
      <c r="C1240" s="3" t="s">
        <v>1391</v>
      </c>
      <c r="D1240" s="5" t="s">
        <v>14</v>
      </c>
      <c r="E1240" s="5" t="s">
        <v>1319</v>
      </c>
      <c r="F1240" s="6" t="s">
        <v>1320</v>
      </c>
      <c r="G1240" s="5" t="s">
        <v>1319</v>
      </c>
      <c r="H1240" s="14" t="s">
        <v>221</v>
      </c>
      <c r="I1240" s="5" t="str">
        <f aca="false">CONCATENATE(E1240, "_",H1240)</f>
        <v>NLA_2023_018_Blank_4</v>
      </c>
      <c r="J1240" s="5" t="s">
        <v>52</v>
      </c>
      <c r="K1240" s="16" t="s">
        <v>221</v>
      </c>
      <c r="L1240" s="6" t="s">
        <v>46</v>
      </c>
      <c r="M1240" s="15" t="s">
        <v>46</v>
      </c>
      <c r="N1240" s="5" t="s">
        <v>65</v>
      </c>
      <c r="O1240" s="5" t="s">
        <v>46</v>
      </c>
      <c r="P1240" s="5" t="s">
        <v>46</v>
      </c>
      <c r="Q1240" s="5" t="s">
        <v>46</v>
      </c>
      <c r="R1240" s="5" t="s">
        <v>46</v>
      </c>
      <c r="S1240" s="5" t="s">
        <v>46</v>
      </c>
      <c r="T1240" s="5" t="s">
        <v>46</v>
      </c>
      <c r="U1240" s="5" t="s">
        <v>46</v>
      </c>
      <c r="V1240" s="1" t="n">
        <v>4</v>
      </c>
      <c r="W1240" s="3"/>
      <c r="X1240" s="5" t="s">
        <v>46</v>
      </c>
      <c r="Y1240" s="12" t="n">
        <v>5500</v>
      </c>
      <c r="Z1240" s="5" t="s">
        <v>1324</v>
      </c>
      <c r="AA1240" s="5" t="s">
        <v>1325</v>
      </c>
      <c r="AB1240" s="13" t="str">
        <f aca="true" t="array" ref="AB1240:AB1240">LEFT(AA1240,LOOKUP(2^15,FIND(".",AA1240,ROW(INDIRECT("1:"&amp;LEN(AA1240)))))-1)</f>
        <v>NB_2023_016 - 20230425 - 1</v>
      </c>
      <c r="AC1240" s="5" t="s">
        <v>1326</v>
      </c>
      <c r="AD1240" s="13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0" t="s">
        <v>1390</v>
      </c>
      <c r="B1241" s="31"/>
      <c r="C1241" s="3" t="s">
        <v>1391</v>
      </c>
      <c r="D1241" s="5" t="s">
        <v>14</v>
      </c>
      <c r="E1241" s="5" t="s">
        <v>1319</v>
      </c>
      <c r="F1241" s="6" t="s">
        <v>1320</v>
      </c>
      <c r="G1241" s="5" t="s">
        <v>1319</v>
      </c>
      <c r="H1241" s="14" t="s">
        <v>68</v>
      </c>
      <c r="I1241" s="5" t="str">
        <f aca="false">CONCATENATE(E1241, "_",H1241)</f>
        <v>NLA_2023_018_QC_C_1</v>
      </c>
      <c r="J1241" s="5" t="s">
        <v>52</v>
      </c>
      <c r="K1241" s="16" t="s">
        <v>68</v>
      </c>
      <c r="L1241" s="8" t="s">
        <v>69</v>
      </c>
      <c r="M1241" s="1" t="s">
        <v>46</v>
      </c>
      <c r="N1241" s="5" t="s">
        <v>70</v>
      </c>
      <c r="O1241" s="5" t="s">
        <v>46</v>
      </c>
      <c r="P1241" s="5" t="s">
        <v>71</v>
      </c>
      <c r="Q1241" s="5" t="s">
        <v>71</v>
      </c>
      <c r="R1241" s="5" t="s">
        <v>72</v>
      </c>
      <c r="S1241" s="5" t="s">
        <v>73</v>
      </c>
      <c r="T1241" s="5" t="s">
        <v>46</v>
      </c>
      <c r="U1241" s="5" t="n">
        <v>1000</v>
      </c>
      <c r="V1241" s="1" t="n">
        <v>1</v>
      </c>
      <c r="W1241" s="3"/>
      <c r="X1241" s="5" t="s">
        <v>74</v>
      </c>
      <c r="Y1241" s="12" t="n">
        <v>5500</v>
      </c>
      <c r="Z1241" s="5" t="s">
        <v>1324</v>
      </c>
      <c r="AA1241" s="5" t="s">
        <v>1325</v>
      </c>
      <c r="AB1241" s="13" t="str">
        <f aca="true" t="array" ref="AB1241:AB1241">LEFT(AA1241,LOOKUP(2^15,FIND(".",AA1241,ROW(INDIRECT("1:"&amp;LEN(AA1241)))))-1)</f>
        <v>NB_2023_016 - 20230425 - 1</v>
      </c>
      <c r="AC1241" s="5" t="s">
        <v>1326</v>
      </c>
      <c r="AD1241" s="13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0" t="s">
        <v>1390</v>
      </c>
      <c r="B1242" s="31"/>
      <c r="C1242" s="3" t="s">
        <v>1391</v>
      </c>
      <c r="D1242" s="5" t="s">
        <v>14</v>
      </c>
      <c r="E1242" s="5" t="s">
        <v>1319</v>
      </c>
      <c r="F1242" s="6" t="s">
        <v>1320</v>
      </c>
      <c r="G1242" s="5" t="s">
        <v>1319</v>
      </c>
      <c r="H1242" s="14" t="s">
        <v>75</v>
      </c>
      <c r="I1242" s="5" t="str">
        <f aca="false">CONCATENATE(E1242, "_",H1242)</f>
        <v>NLA_2023_018_QC_C_2</v>
      </c>
      <c r="J1242" s="5" t="s">
        <v>52</v>
      </c>
      <c r="K1242" s="16" t="s">
        <v>75</v>
      </c>
      <c r="L1242" s="8" t="s">
        <v>69</v>
      </c>
      <c r="M1242" s="1" t="s">
        <v>46</v>
      </c>
      <c r="N1242" s="5" t="s">
        <v>70</v>
      </c>
      <c r="O1242" s="5" t="s">
        <v>46</v>
      </c>
      <c r="P1242" s="5" t="s">
        <v>71</v>
      </c>
      <c r="Q1242" s="5" t="s">
        <v>71</v>
      </c>
      <c r="R1242" s="5" t="s">
        <v>72</v>
      </c>
      <c r="S1242" s="5" t="s">
        <v>73</v>
      </c>
      <c r="T1242" s="5" t="s">
        <v>46</v>
      </c>
      <c r="U1242" s="5" t="n">
        <v>1000</v>
      </c>
      <c r="V1242" s="1" t="n">
        <v>2</v>
      </c>
      <c r="W1242" s="3"/>
      <c r="X1242" s="5" t="s">
        <v>74</v>
      </c>
      <c r="Y1242" s="12" t="n">
        <v>5500</v>
      </c>
      <c r="Z1242" s="5" t="s">
        <v>1324</v>
      </c>
      <c r="AA1242" s="5" t="s">
        <v>1325</v>
      </c>
      <c r="AB1242" s="13" t="str">
        <f aca="true" t="array" ref="AB1242:AB1242">LEFT(AA1242,LOOKUP(2^15,FIND(".",AA1242,ROW(INDIRECT("1:"&amp;LEN(AA1242)))))-1)</f>
        <v>NB_2023_016 - 20230425 - 1</v>
      </c>
      <c r="AC1242" s="5" t="s">
        <v>1326</v>
      </c>
      <c r="AD1242" s="13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0" t="s">
        <v>1390</v>
      </c>
      <c r="B1243" s="31"/>
      <c r="C1243" s="3" t="s">
        <v>1391</v>
      </c>
      <c r="D1243" s="5" t="s">
        <v>14</v>
      </c>
      <c r="E1243" s="5" t="s">
        <v>1319</v>
      </c>
      <c r="F1243" s="6" t="s">
        <v>1320</v>
      </c>
      <c r="G1243" s="5" t="s">
        <v>1319</v>
      </c>
      <c r="H1243" s="14" t="s">
        <v>76</v>
      </c>
      <c r="I1243" s="5" t="str">
        <f aca="false">CONCATENATE(E1243, "_",H1243)</f>
        <v>NLA_2023_018_QC_C_3</v>
      </c>
      <c r="J1243" s="5" t="s">
        <v>52</v>
      </c>
      <c r="K1243" s="16" t="s">
        <v>76</v>
      </c>
      <c r="L1243" s="8" t="s">
        <v>69</v>
      </c>
      <c r="M1243" s="1" t="s">
        <v>46</v>
      </c>
      <c r="N1243" s="5" t="s">
        <v>70</v>
      </c>
      <c r="O1243" s="5" t="s">
        <v>46</v>
      </c>
      <c r="P1243" s="5" t="s">
        <v>71</v>
      </c>
      <c r="Q1243" s="5" t="s">
        <v>71</v>
      </c>
      <c r="R1243" s="5" t="s">
        <v>72</v>
      </c>
      <c r="S1243" s="5" t="s">
        <v>73</v>
      </c>
      <c r="T1243" s="5" t="s">
        <v>46</v>
      </c>
      <c r="U1243" s="5" t="n">
        <v>1000</v>
      </c>
      <c r="V1243" s="1" t="n">
        <v>3</v>
      </c>
      <c r="W1243" s="3"/>
      <c r="X1243" s="5" t="s">
        <v>74</v>
      </c>
      <c r="Y1243" s="12" t="n">
        <v>5500</v>
      </c>
      <c r="Z1243" s="5" t="s">
        <v>1324</v>
      </c>
      <c r="AA1243" s="5" t="s">
        <v>1325</v>
      </c>
      <c r="AB1243" s="13" t="str">
        <f aca="true" t="array" ref="AB1243:AB1243">LEFT(AA1243,LOOKUP(2^15,FIND(".",AA1243,ROW(INDIRECT("1:"&amp;LEN(AA1243)))))-1)</f>
        <v>NB_2023_016 - 20230425 - 1</v>
      </c>
      <c r="AC1243" s="5" t="s">
        <v>1326</v>
      </c>
      <c r="AD1243" s="13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0" t="s">
        <v>1390</v>
      </c>
      <c r="B1244" s="31"/>
      <c r="C1244" s="3" t="s">
        <v>1391</v>
      </c>
      <c r="D1244" s="5" t="s">
        <v>14</v>
      </c>
      <c r="E1244" s="5" t="s">
        <v>1319</v>
      </c>
      <c r="F1244" s="6" t="s">
        <v>1320</v>
      </c>
      <c r="G1244" s="5" t="s">
        <v>1319</v>
      </c>
      <c r="H1244" s="14" t="s">
        <v>222</v>
      </c>
      <c r="I1244" s="5" t="str">
        <f aca="false">CONCATENATE(E1244, "_",H1244)</f>
        <v>NLA_2023_018_QC_C_4</v>
      </c>
      <c r="J1244" s="5" t="s">
        <v>52</v>
      </c>
      <c r="K1244" s="16" t="s">
        <v>222</v>
      </c>
      <c r="L1244" s="8" t="s">
        <v>69</v>
      </c>
      <c r="M1244" s="1" t="s">
        <v>46</v>
      </c>
      <c r="N1244" s="5" t="s">
        <v>70</v>
      </c>
      <c r="O1244" s="5" t="s">
        <v>46</v>
      </c>
      <c r="P1244" s="5" t="s">
        <v>71</v>
      </c>
      <c r="Q1244" s="5" t="s">
        <v>71</v>
      </c>
      <c r="R1244" s="5" t="s">
        <v>72</v>
      </c>
      <c r="S1244" s="5" t="s">
        <v>73</v>
      </c>
      <c r="T1244" s="5" t="s">
        <v>46</v>
      </c>
      <c r="U1244" s="5" t="n">
        <v>1000</v>
      </c>
      <c r="V1244" s="1" t="n">
        <v>4</v>
      </c>
      <c r="W1244" s="3"/>
      <c r="X1244" s="5" t="s">
        <v>74</v>
      </c>
      <c r="Y1244" s="12" t="n">
        <v>5500</v>
      </c>
      <c r="Z1244" s="5" t="s">
        <v>1324</v>
      </c>
      <c r="AA1244" s="5" t="s">
        <v>1325</v>
      </c>
      <c r="AB1244" s="13" t="str">
        <f aca="true" t="array" ref="AB1244:AB1244">LEFT(AA1244,LOOKUP(2^15,FIND(".",AA1244,ROW(INDIRECT("1:"&amp;LEN(AA1244)))))-1)</f>
        <v>NB_2023_016 - 20230425 - 1</v>
      </c>
      <c r="AC1244" s="5" t="s">
        <v>1326</v>
      </c>
      <c r="AD1244" s="13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0" t="s">
        <v>1390</v>
      </c>
      <c r="B1245" s="31"/>
      <c r="C1245" s="3" t="s">
        <v>1391</v>
      </c>
      <c r="D1245" s="5" t="s">
        <v>14</v>
      </c>
      <c r="E1245" s="5" t="s">
        <v>1319</v>
      </c>
      <c r="F1245" s="6" t="s">
        <v>1320</v>
      </c>
      <c r="G1245" s="5" t="s">
        <v>1319</v>
      </c>
      <c r="H1245" s="14" t="s">
        <v>77</v>
      </c>
      <c r="I1245" s="5" t="str">
        <f aca="false">CONCATENATE(E1245, "_",H1245)</f>
        <v>NLA_2023_018_QC_P_1</v>
      </c>
      <c r="J1245" s="5" t="s">
        <v>52</v>
      </c>
      <c r="K1245" s="16" t="s">
        <v>77</v>
      </c>
      <c r="L1245" s="6" t="s">
        <v>69</v>
      </c>
      <c r="M1245" s="1" t="s">
        <v>46</v>
      </c>
      <c r="N1245" s="5" t="s">
        <v>78</v>
      </c>
      <c r="O1245" s="5" t="s">
        <v>46</v>
      </c>
      <c r="P1245" s="5" t="s">
        <v>79</v>
      </c>
      <c r="Q1245" s="5" t="s">
        <v>80</v>
      </c>
      <c r="R1245" s="5" t="s">
        <v>81</v>
      </c>
      <c r="S1245" s="5" t="s">
        <v>46</v>
      </c>
      <c r="T1245" s="5" t="s">
        <v>46</v>
      </c>
      <c r="U1245" s="5" t="s">
        <v>82</v>
      </c>
      <c r="V1245" s="1" t="n">
        <v>1</v>
      </c>
      <c r="W1245" s="3"/>
      <c r="X1245" s="5" t="s">
        <v>83</v>
      </c>
      <c r="Y1245" s="12" t="n">
        <v>5500</v>
      </c>
      <c r="Z1245" s="5" t="s">
        <v>1324</v>
      </c>
      <c r="AA1245" s="5" t="s">
        <v>1325</v>
      </c>
      <c r="AB1245" s="13" t="str">
        <f aca="true" t="array" ref="AB1245:AB1245">LEFT(AA1245,LOOKUP(2^15,FIND(".",AA1245,ROW(INDIRECT("1:"&amp;LEN(AA1245)))))-1)</f>
        <v>NB_2023_016 - 20230425 - 1</v>
      </c>
      <c r="AC1245" s="5" t="s">
        <v>1326</v>
      </c>
      <c r="AD1245" s="13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0" t="s">
        <v>1390</v>
      </c>
      <c r="B1246" s="31"/>
      <c r="C1246" s="3" t="s">
        <v>1391</v>
      </c>
      <c r="D1246" s="5" t="s">
        <v>14</v>
      </c>
      <c r="E1246" s="5" t="s">
        <v>1319</v>
      </c>
      <c r="F1246" s="6" t="s">
        <v>1320</v>
      </c>
      <c r="G1246" s="5" t="s">
        <v>1319</v>
      </c>
      <c r="H1246" s="14" t="s">
        <v>84</v>
      </c>
      <c r="I1246" s="5" t="str">
        <f aca="false">CONCATENATE(E1246, "_",H1246)</f>
        <v>NLA_2023_018_QC_P_2</v>
      </c>
      <c r="J1246" s="5" t="s">
        <v>52</v>
      </c>
      <c r="K1246" s="16" t="s">
        <v>84</v>
      </c>
      <c r="L1246" s="6" t="s">
        <v>69</v>
      </c>
      <c r="M1246" s="1" t="s">
        <v>46</v>
      </c>
      <c r="N1246" s="5" t="s">
        <v>78</v>
      </c>
      <c r="O1246" s="5" t="s">
        <v>46</v>
      </c>
      <c r="P1246" s="5" t="s">
        <v>79</v>
      </c>
      <c r="Q1246" s="5" t="s">
        <v>80</v>
      </c>
      <c r="R1246" s="5" t="s">
        <v>81</v>
      </c>
      <c r="S1246" s="5" t="s">
        <v>46</v>
      </c>
      <c r="T1246" s="5" t="s">
        <v>46</v>
      </c>
      <c r="U1246" s="5" t="s">
        <v>82</v>
      </c>
      <c r="V1246" s="1" t="n">
        <v>2</v>
      </c>
      <c r="W1246" s="3"/>
      <c r="X1246" s="5" t="s">
        <v>83</v>
      </c>
      <c r="Y1246" s="12" t="n">
        <v>5500</v>
      </c>
      <c r="Z1246" s="5" t="s">
        <v>1324</v>
      </c>
      <c r="AA1246" s="5" t="s">
        <v>1325</v>
      </c>
      <c r="AB1246" s="13" t="str">
        <f aca="true" t="array" ref="AB1246:AB1246">LEFT(AA1246,LOOKUP(2^15,FIND(".",AA1246,ROW(INDIRECT("1:"&amp;LEN(AA1246)))))-1)</f>
        <v>NB_2023_016 - 20230425 - 1</v>
      </c>
      <c r="AC1246" s="5" t="s">
        <v>1326</v>
      </c>
      <c r="AD1246" s="13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0" t="s">
        <v>1390</v>
      </c>
      <c r="B1247" s="31"/>
      <c r="C1247" s="3" t="s">
        <v>1391</v>
      </c>
      <c r="D1247" s="5" t="s">
        <v>14</v>
      </c>
      <c r="E1247" s="5" t="s">
        <v>1319</v>
      </c>
      <c r="F1247" s="6" t="s">
        <v>1320</v>
      </c>
      <c r="G1247" s="5" t="s">
        <v>1319</v>
      </c>
      <c r="H1247" s="14" t="s">
        <v>85</v>
      </c>
      <c r="I1247" s="5" t="str">
        <f aca="false">CONCATENATE(E1247, "_",H1247)</f>
        <v>NLA_2023_018_QC_P_3</v>
      </c>
      <c r="J1247" s="3" t="s">
        <v>52</v>
      </c>
      <c r="K1247" s="16" t="s">
        <v>85</v>
      </c>
      <c r="L1247" s="6" t="s">
        <v>69</v>
      </c>
      <c r="M1247" s="1" t="s">
        <v>46</v>
      </c>
      <c r="N1247" s="5" t="s">
        <v>78</v>
      </c>
      <c r="O1247" s="5" t="s">
        <v>46</v>
      </c>
      <c r="P1247" s="5" t="s">
        <v>79</v>
      </c>
      <c r="Q1247" s="5" t="s">
        <v>80</v>
      </c>
      <c r="R1247" s="5" t="s">
        <v>81</v>
      </c>
      <c r="S1247" s="5" t="s">
        <v>46</v>
      </c>
      <c r="T1247" s="5" t="s">
        <v>46</v>
      </c>
      <c r="U1247" s="5" t="s">
        <v>82</v>
      </c>
      <c r="V1247" s="1" t="n">
        <v>3</v>
      </c>
      <c r="W1247" s="3"/>
      <c r="X1247" s="5" t="s">
        <v>83</v>
      </c>
      <c r="Y1247" s="12" t="n">
        <v>5500</v>
      </c>
      <c r="Z1247" s="5" t="s">
        <v>1324</v>
      </c>
      <c r="AA1247" s="5" t="s">
        <v>1325</v>
      </c>
      <c r="AB1247" s="13" t="str">
        <f aca="true" t="array" ref="AB1247:AB1247">LEFT(AA1247,LOOKUP(2^15,FIND(".",AA1247,ROW(INDIRECT("1:"&amp;LEN(AA1247)))))-1)</f>
        <v>NB_2023_016 - 20230425 - 1</v>
      </c>
      <c r="AC1247" s="5" t="s">
        <v>1326</v>
      </c>
      <c r="AD1247" s="13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0" t="s">
        <v>1390</v>
      </c>
      <c r="B1248" s="31"/>
      <c r="C1248" s="3" t="s">
        <v>1391</v>
      </c>
      <c r="D1248" s="5" t="s">
        <v>14</v>
      </c>
      <c r="E1248" s="5" t="s">
        <v>1319</v>
      </c>
      <c r="F1248" s="6" t="s">
        <v>1320</v>
      </c>
      <c r="G1248" s="5" t="s">
        <v>1319</v>
      </c>
      <c r="H1248" s="14" t="s">
        <v>224</v>
      </c>
      <c r="I1248" s="5" t="str">
        <f aca="false">CONCATENATE(E1248, "_",H1248)</f>
        <v>NLA_2023_018_QC_P_4</v>
      </c>
      <c r="J1248" s="3" t="s">
        <v>52</v>
      </c>
      <c r="K1248" s="16" t="s">
        <v>224</v>
      </c>
      <c r="L1248" s="6" t="s">
        <v>69</v>
      </c>
      <c r="M1248" s="1" t="s">
        <v>46</v>
      </c>
      <c r="N1248" s="5" t="s">
        <v>78</v>
      </c>
      <c r="O1248" s="5" t="s">
        <v>46</v>
      </c>
      <c r="P1248" s="5" t="s">
        <v>79</v>
      </c>
      <c r="Q1248" s="5" t="s">
        <v>80</v>
      </c>
      <c r="R1248" s="5" t="s">
        <v>81</v>
      </c>
      <c r="S1248" s="5" t="s">
        <v>46</v>
      </c>
      <c r="T1248" s="5" t="s">
        <v>46</v>
      </c>
      <c r="U1248" s="5" t="s">
        <v>82</v>
      </c>
      <c r="V1248" s="1" t="n">
        <v>4</v>
      </c>
      <c r="W1248" s="3"/>
      <c r="X1248" s="5" t="s">
        <v>83</v>
      </c>
      <c r="Y1248" s="12" t="n">
        <v>5500</v>
      </c>
      <c r="Z1248" s="5" t="s">
        <v>1324</v>
      </c>
      <c r="AA1248" s="5" t="s">
        <v>1325</v>
      </c>
      <c r="AB1248" s="13" t="str">
        <f aca="true" t="array" ref="AB1248:AB1248">LEFT(AA1248,LOOKUP(2^15,FIND(".",AA1248,ROW(INDIRECT("1:"&amp;LEN(AA1248)))))-1)</f>
        <v>NB_2023_016 - 20230425 - 1</v>
      </c>
      <c r="AC1248" s="5" t="s">
        <v>1326</v>
      </c>
      <c r="AD1248" s="13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0" t="s">
        <v>1392</v>
      </c>
      <c r="B1249" s="31"/>
      <c r="C1249" s="3" t="s">
        <v>1393</v>
      </c>
      <c r="D1249" s="5" t="s">
        <v>14</v>
      </c>
      <c r="E1249" s="5" t="s">
        <v>1319</v>
      </c>
      <c r="F1249" s="6" t="s">
        <v>1320</v>
      </c>
      <c r="G1249" s="5" t="s">
        <v>1321</v>
      </c>
      <c r="H1249" s="6" t="s">
        <v>58</v>
      </c>
      <c r="I1249" s="5" t="str">
        <f aca="false">CONCATENATE(E1249, "_",H1249)</f>
        <v>NLA_2023_018_014</v>
      </c>
      <c r="J1249" s="5" t="s">
        <v>52</v>
      </c>
      <c r="K1249" s="5" t="s">
        <v>1384</v>
      </c>
      <c r="L1249" s="8" t="s">
        <v>69</v>
      </c>
      <c r="M1249" s="15" t="s">
        <v>1323</v>
      </c>
      <c r="N1249" s="5" t="s">
        <v>246</v>
      </c>
      <c r="O1249" s="32" t="s">
        <v>1220</v>
      </c>
      <c r="P1249" s="1" t="s">
        <v>43</v>
      </c>
      <c r="Q1249" s="5" t="s">
        <v>1358</v>
      </c>
      <c r="R1249" s="5" t="s">
        <v>44</v>
      </c>
      <c r="S1249" s="12"/>
      <c r="U1249" s="1" t="n">
        <v>1500</v>
      </c>
      <c r="V1249" s="12" t="n">
        <v>2</v>
      </c>
      <c r="W1249" s="3"/>
      <c r="X1249" s="8" t="s">
        <v>1215</v>
      </c>
      <c r="Y1249" s="12" t="n">
        <v>5500</v>
      </c>
      <c r="Z1249" s="5" t="s">
        <v>1324</v>
      </c>
      <c r="AA1249" s="5" t="s">
        <v>1325</v>
      </c>
      <c r="AB1249" s="13" t="str">
        <f aca="true" t="array" ref="AB1249:AB1249">LEFT(AA1249,LOOKUP(2^15,FIND(".",AA1249,ROW(INDIRECT("1:"&amp;LEN(AA1249)))))-1)</f>
        <v>NB_2023_016 - 20230425 - 1</v>
      </c>
      <c r="AC1249" s="5" t="s">
        <v>1326</v>
      </c>
      <c r="AD1249" s="13" t="str">
        <f aca="true" t="array" ref="AD1249:AD1249">LEFT(AC1249,LOOKUP(2^15,FIND(".",AC1249,ROW(INDIRECT("1:"&amp;LEN(AC1249)))))-1)</f>
        <v>NB_2023_016 - 20230425 - 2</v>
      </c>
      <c r="AE1249" s="5" t="str">
        <f aca="false">CONCATENATE(AB1249, "-",H1249, ".mzML")</f>
        <v>NB_2023_016 - 20230425 - 1-014.mzML</v>
      </c>
      <c r="AF1249" s="5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0" t="s">
        <v>1392</v>
      </c>
      <c r="B1250" s="31"/>
      <c r="C1250" s="3" t="s">
        <v>1393</v>
      </c>
      <c r="D1250" s="5" t="s">
        <v>14</v>
      </c>
      <c r="E1250" s="5" t="s">
        <v>1319</v>
      </c>
      <c r="F1250" s="6" t="s">
        <v>1320</v>
      </c>
      <c r="G1250" s="5" t="s">
        <v>1321</v>
      </c>
      <c r="H1250" s="6" t="s">
        <v>60</v>
      </c>
      <c r="I1250" s="5" t="str">
        <f aca="false">CONCATENATE(E1250, "_",H1250)</f>
        <v>NLA_2023_018_016</v>
      </c>
      <c r="J1250" s="5" t="s">
        <v>38</v>
      </c>
      <c r="K1250" s="5" t="s">
        <v>1327</v>
      </c>
      <c r="L1250" s="8" t="s">
        <v>69</v>
      </c>
      <c r="M1250" s="15" t="s">
        <v>1323</v>
      </c>
      <c r="N1250" s="5" t="s">
        <v>246</v>
      </c>
      <c r="O1250" s="32" t="s">
        <v>1212</v>
      </c>
      <c r="P1250" s="1" t="s">
        <v>43</v>
      </c>
      <c r="Q1250" s="1" t="s">
        <v>43</v>
      </c>
      <c r="R1250" s="5" t="s">
        <v>44</v>
      </c>
      <c r="U1250" s="1" t="n">
        <v>1500</v>
      </c>
      <c r="V1250" s="1" t="n">
        <v>2</v>
      </c>
      <c r="W1250" s="3"/>
      <c r="X1250" s="8" t="s">
        <v>1215</v>
      </c>
      <c r="Y1250" s="12" t="n">
        <v>5500</v>
      </c>
      <c r="Z1250" s="5" t="s">
        <v>1324</v>
      </c>
      <c r="AA1250" s="5" t="s">
        <v>1325</v>
      </c>
      <c r="AB1250" s="13" t="str">
        <f aca="true" t="array" ref="AB1250:AB1250">LEFT(AA1250,LOOKUP(2^15,FIND(".",AA1250,ROW(INDIRECT("1:"&amp;LEN(AA1250)))))-1)</f>
        <v>NB_2023_016 - 20230425 - 1</v>
      </c>
      <c r="AC1250" s="5" t="s">
        <v>1326</v>
      </c>
      <c r="AD1250" s="13" t="str">
        <f aca="true" t="array" ref="AD1250:AD1250">LEFT(AC1250,LOOKUP(2^15,FIND(".",AC1250,ROW(INDIRECT("1:"&amp;LEN(AC1250)))))-1)</f>
        <v>NB_2023_016 - 20230425 - 2</v>
      </c>
      <c r="AE1250" s="5" t="str">
        <f aca="false">CONCATENATE(AB1250, "-",H1250, ".mzML")</f>
        <v>NB_2023_016 - 20230425 - 1-016.mzML</v>
      </c>
      <c r="AF1250" s="5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0" t="s">
        <v>1392</v>
      </c>
      <c r="B1251" s="31"/>
      <c r="C1251" s="3" t="s">
        <v>1393</v>
      </c>
      <c r="D1251" s="5" t="s">
        <v>14</v>
      </c>
      <c r="E1251" s="5" t="s">
        <v>1319</v>
      </c>
      <c r="F1251" s="6" t="s">
        <v>1320</v>
      </c>
      <c r="G1251" s="5" t="s">
        <v>1321</v>
      </c>
      <c r="H1251" s="6" t="s">
        <v>316</v>
      </c>
      <c r="I1251" s="5" t="str">
        <f aca="false">CONCATENATE(E1251, "_",H1251)</f>
        <v>NLA_2023_018_026</v>
      </c>
      <c r="J1251" s="5" t="s">
        <v>52</v>
      </c>
      <c r="K1251" s="5" t="s">
        <v>1386</v>
      </c>
      <c r="L1251" s="8" t="s">
        <v>69</v>
      </c>
      <c r="M1251" s="15" t="s">
        <v>1323</v>
      </c>
      <c r="N1251" s="5" t="s">
        <v>246</v>
      </c>
      <c r="O1251" s="32" t="s">
        <v>1220</v>
      </c>
      <c r="P1251" s="1" t="s">
        <v>43</v>
      </c>
      <c r="Q1251" s="5" t="s">
        <v>1358</v>
      </c>
      <c r="R1251" s="5" t="s">
        <v>44</v>
      </c>
      <c r="S1251" s="12"/>
      <c r="U1251" s="1" t="n">
        <v>1500</v>
      </c>
      <c r="V1251" s="12" t="n">
        <v>1</v>
      </c>
      <c r="W1251" s="3"/>
      <c r="X1251" s="8" t="s">
        <v>1215</v>
      </c>
      <c r="Y1251" s="12" t="n">
        <v>5500</v>
      </c>
      <c r="Z1251" s="5" t="s">
        <v>1324</v>
      </c>
      <c r="AA1251" s="5" t="s">
        <v>1325</v>
      </c>
      <c r="AB1251" s="13" t="str">
        <f aca="true" t="array" ref="AB1251:AB1251">LEFT(AA1251,LOOKUP(2^15,FIND(".",AA1251,ROW(INDIRECT("1:"&amp;LEN(AA1251)))))-1)</f>
        <v>NB_2023_016 - 20230425 - 1</v>
      </c>
      <c r="AC1251" s="5" t="s">
        <v>1326</v>
      </c>
      <c r="AD1251" s="13" t="str">
        <f aca="true" t="array" ref="AD1251:AD1251">LEFT(AC1251,LOOKUP(2^15,FIND(".",AC1251,ROW(INDIRECT("1:"&amp;LEN(AC1251)))))-1)</f>
        <v>NB_2023_016 - 20230425 - 2</v>
      </c>
      <c r="AE1251" s="5" t="str">
        <f aca="false">CONCATENATE(AB1251, "-",H1251, ".mzML")</f>
        <v>NB_2023_016 - 20230425 - 1-026.mzML</v>
      </c>
      <c r="AF1251" s="5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0" t="s">
        <v>1392</v>
      </c>
      <c r="B1252" s="31"/>
      <c r="C1252" s="3" t="s">
        <v>1393</v>
      </c>
      <c r="D1252" s="5" t="s">
        <v>14</v>
      </c>
      <c r="E1252" s="5" t="s">
        <v>1319</v>
      </c>
      <c r="F1252" s="6" t="s">
        <v>1320</v>
      </c>
      <c r="G1252" s="5" t="s">
        <v>1321</v>
      </c>
      <c r="H1252" s="6" t="s">
        <v>1329</v>
      </c>
      <c r="I1252" s="5" t="str">
        <f aca="false">CONCATENATE(E1252, "_",H1252)</f>
        <v>NLA_2023_018_028</v>
      </c>
      <c r="J1252" s="5" t="s">
        <v>38</v>
      </c>
      <c r="K1252" s="5" t="s">
        <v>1330</v>
      </c>
      <c r="L1252" s="8" t="s">
        <v>69</v>
      </c>
      <c r="M1252" s="15" t="s">
        <v>1323</v>
      </c>
      <c r="N1252" s="5" t="s">
        <v>246</v>
      </c>
      <c r="O1252" s="32" t="s">
        <v>1212</v>
      </c>
      <c r="P1252" s="1" t="s">
        <v>43</v>
      </c>
      <c r="Q1252" s="1" t="s">
        <v>43</v>
      </c>
      <c r="R1252" s="5" t="s">
        <v>44</v>
      </c>
      <c r="U1252" s="1" t="n">
        <v>1500</v>
      </c>
      <c r="V1252" s="1" t="n">
        <v>4</v>
      </c>
      <c r="W1252" s="3"/>
      <c r="X1252" s="8" t="s">
        <v>1215</v>
      </c>
      <c r="Y1252" s="12" t="n">
        <v>5500</v>
      </c>
      <c r="Z1252" s="5" t="s">
        <v>1324</v>
      </c>
      <c r="AA1252" s="5" t="s">
        <v>1325</v>
      </c>
      <c r="AB1252" s="13" t="str">
        <f aca="true" t="array" ref="AB1252:AB1252">LEFT(AA1252,LOOKUP(2^15,FIND(".",AA1252,ROW(INDIRECT("1:"&amp;LEN(AA1252)))))-1)</f>
        <v>NB_2023_016 - 20230425 - 1</v>
      </c>
      <c r="AC1252" s="5" t="s">
        <v>1326</v>
      </c>
      <c r="AD1252" s="13" t="str">
        <f aca="true" t="array" ref="AD1252:AD1252">LEFT(AC1252,LOOKUP(2^15,FIND(".",AC1252,ROW(INDIRECT("1:"&amp;LEN(AC1252)))))-1)</f>
        <v>NB_2023_016 - 20230425 - 2</v>
      </c>
      <c r="AE1252" s="5" t="str">
        <f aca="false">CONCATENATE(AB1252, "-",H1252, ".mzML")</f>
        <v>NB_2023_016 - 20230425 - 1-028.mzML</v>
      </c>
      <c r="AF1252" s="5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0" t="s">
        <v>1392</v>
      </c>
      <c r="B1253" s="31"/>
      <c r="C1253" s="3" t="s">
        <v>1393</v>
      </c>
      <c r="D1253" s="5" t="s">
        <v>14</v>
      </c>
      <c r="E1253" s="5" t="s">
        <v>1319</v>
      </c>
      <c r="F1253" s="6" t="s">
        <v>1320</v>
      </c>
      <c r="G1253" s="5" t="s">
        <v>1321</v>
      </c>
      <c r="H1253" s="6" t="s">
        <v>1063</v>
      </c>
      <c r="I1253" s="5" t="str">
        <f aca="false">CONCATENATE(E1253, "_",H1253)</f>
        <v>NLA_2023_018_033</v>
      </c>
      <c r="J1253" s="5" t="s">
        <v>38</v>
      </c>
      <c r="K1253" s="5" t="s">
        <v>1332</v>
      </c>
      <c r="L1253" s="8" t="s">
        <v>69</v>
      </c>
      <c r="M1253" s="15" t="s">
        <v>1323</v>
      </c>
      <c r="N1253" s="5" t="s">
        <v>246</v>
      </c>
      <c r="O1253" s="32" t="s">
        <v>1212</v>
      </c>
      <c r="P1253" s="1" t="s">
        <v>43</v>
      </c>
      <c r="Q1253" s="5" t="s">
        <v>43</v>
      </c>
      <c r="R1253" s="5" t="s">
        <v>44</v>
      </c>
      <c r="U1253" s="1" t="n">
        <v>1500</v>
      </c>
      <c r="V1253" s="1" t="n">
        <v>3</v>
      </c>
      <c r="W1253" s="3"/>
      <c r="X1253" s="8" t="s">
        <v>1215</v>
      </c>
      <c r="Y1253" s="12" t="n">
        <v>5500</v>
      </c>
      <c r="Z1253" s="5" t="s">
        <v>1324</v>
      </c>
      <c r="AA1253" s="5" t="s">
        <v>1325</v>
      </c>
      <c r="AB1253" s="13" t="str">
        <f aca="true" t="array" ref="AB1253:AB1253">LEFT(AA1253,LOOKUP(2^15,FIND(".",AA1253,ROW(INDIRECT("1:"&amp;LEN(AA1253)))))-1)</f>
        <v>NB_2023_016 - 20230425 - 1</v>
      </c>
      <c r="AC1253" s="5" t="s">
        <v>1326</v>
      </c>
      <c r="AD1253" s="13" t="str">
        <f aca="true" t="array" ref="AD1253:AD1253">LEFT(AC1253,LOOKUP(2^15,FIND(".",AC1253,ROW(INDIRECT("1:"&amp;LEN(AC1253)))))-1)</f>
        <v>NB_2023_016 - 20230425 - 2</v>
      </c>
      <c r="AE1253" s="5" t="str">
        <f aca="false">CONCATENATE(AB1253, "-",H1253, ".mzML")</f>
        <v>NB_2023_016 - 20230425 - 1-033.mzML</v>
      </c>
      <c r="AF1253" s="5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0" t="s">
        <v>1392</v>
      </c>
      <c r="B1254" s="31"/>
      <c r="C1254" s="3" t="s">
        <v>1393</v>
      </c>
      <c r="D1254" s="5" t="s">
        <v>14</v>
      </c>
      <c r="E1254" s="5" t="s">
        <v>1319</v>
      </c>
      <c r="F1254" s="6" t="s">
        <v>1320</v>
      </c>
      <c r="G1254" s="5" t="s">
        <v>1321</v>
      </c>
      <c r="H1254" s="6" t="s">
        <v>1244</v>
      </c>
      <c r="I1254" s="5" t="str">
        <f aca="false">CONCATENATE(E1254, "_",H1254)</f>
        <v>NLA_2023_018_035</v>
      </c>
      <c r="J1254" s="5" t="s">
        <v>52</v>
      </c>
      <c r="K1254" s="5" t="s">
        <v>1389</v>
      </c>
      <c r="L1254" s="8" t="s">
        <v>69</v>
      </c>
      <c r="M1254" s="15" t="s">
        <v>1323</v>
      </c>
      <c r="N1254" s="5" t="s">
        <v>246</v>
      </c>
      <c r="O1254" s="32" t="s">
        <v>1220</v>
      </c>
      <c r="P1254" s="1" t="s">
        <v>43</v>
      </c>
      <c r="Q1254" s="5" t="s">
        <v>1358</v>
      </c>
      <c r="R1254" s="5" t="s">
        <v>44</v>
      </c>
      <c r="S1254" s="12"/>
      <c r="U1254" s="1" t="n">
        <v>1500</v>
      </c>
      <c r="V1254" s="12" t="n">
        <v>3</v>
      </c>
      <c r="W1254" s="3"/>
      <c r="X1254" s="8" t="s">
        <v>1215</v>
      </c>
      <c r="Y1254" s="12" t="n">
        <v>5500</v>
      </c>
      <c r="Z1254" s="5" t="s">
        <v>1324</v>
      </c>
      <c r="AA1254" s="5" t="s">
        <v>1325</v>
      </c>
      <c r="AB1254" s="13" t="str">
        <f aca="true" t="array" ref="AB1254:AB1254">LEFT(AA1254,LOOKUP(2^15,FIND(".",AA1254,ROW(INDIRECT("1:"&amp;LEN(AA1254)))))-1)</f>
        <v>NB_2023_016 - 20230425 - 1</v>
      </c>
      <c r="AC1254" s="5" t="s">
        <v>1326</v>
      </c>
      <c r="AD1254" s="13" t="str">
        <f aca="true" t="array" ref="AD1254:AD1254">LEFT(AC1254,LOOKUP(2^15,FIND(".",AC1254,ROW(INDIRECT("1:"&amp;LEN(AC1254)))))-1)</f>
        <v>NB_2023_016 - 20230425 - 2</v>
      </c>
      <c r="AE1254" s="5" t="str">
        <f aca="false">CONCATENATE(AB1254, "-",H1254, ".mzML")</f>
        <v>NB_2023_016 - 20230425 - 1-035.mzML</v>
      </c>
      <c r="AF1254" s="5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0" t="s">
        <v>1392</v>
      </c>
      <c r="B1255" s="31"/>
      <c r="C1255" s="3" t="s">
        <v>1393</v>
      </c>
      <c r="D1255" s="5" t="s">
        <v>14</v>
      </c>
      <c r="E1255" s="5" t="s">
        <v>1319</v>
      </c>
      <c r="F1255" s="6" t="s">
        <v>1320</v>
      </c>
      <c r="G1255" s="5" t="s">
        <v>1321</v>
      </c>
      <c r="H1255" s="6" t="s">
        <v>925</v>
      </c>
      <c r="I1255" s="5" t="str">
        <f aca="false">CONCATENATE(E1255, "_",H1255)</f>
        <v>NLA_2023_018_036</v>
      </c>
      <c r="J1255" s="5" t="s">
        <v>38</v>
      </c>
      <c r="K1255" s="5" t="s">
        <v>1333</v>
      </c>
      <c r="L1255" s="8" t="s">
        <v>69</v>
      </c>
      <c r="M1255" s="15" t="s">
        <v>1323</v>
      </c>
      <c r="N1255" s="5" t="s">
        <v>246</v>
      </c>
      <c r="O1255" s="32" t="s">
        <v>1212</v>
      </c>
      <c r="P1255" s="1" t="s">
        <v>43</v>
      </c>
      <c r="Q1255" s="5" t="s">
        <v>43</v>
      </c>
      <c r="R1255" s="5" t="s">
        <v>44</v>
      </c>
      <c r="U1255" s="1" t="n">
        <v>1500</v>
      </c>
      <c r="V1255" s="1" t="n">
        <v>1</v>
      </c>
      <c r="W1255" s="3"/>
      <c r="X1255" s="8" t="s">
        <v>1215</v>
      </c>
      <c r="Y1255" s="12" t="n">
        <v>5500</v>
      </c>
      <c r="Z1255" s="5" t="s">
        <v>1324</v>
      </c>
      <c r="AA1255" s="5" t="s">
        <v>1325</v>
      </c>
      <c r="AB1255" s="13" t="str">
        <f aca="true" t="array" ref="AB1255:AB1255">LEFT(AA1255,LOOKUP(2^15,FIND(".",AA1255,ROW(INDIRECT("1:"&amp;LEN(AA1255)))))-1)</f>
        <v>NB_2023_016 - 20230425 - 1</v>
      </c>
      <c r="AC1255" s="5" t="s">
        <v>1326</v>
      </c>
      <c r="AD1255" s="13" t="str">
        <f aca="true" t="array" ref="AD1255:AD1255">LEFT(AC1255,LOOKUP(2^15,FIND(".",AC1255,ROW(INDIRECT("1:"&amp;LEN(AC1255)))))-1)</f>
        <v>NB_2023_016 - 20230425 - 2</v>
      </c>
      <c r="AE1255" s="5" t="str">
        <f aca="false">CONCATENATE(AB1255, "-",H1255, ".mzML")</f>
        <v>NB_2023_016 - 20230425 - 1-036.mzML</v>
      </c>
      <c r="AF1255" s="5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0" t="s">
        <v>1392</v>
      </c>
      <c r="B1256" s="31"/>
      <c r="C1256" s="3" t="s">
        <v>1393</v>
      </c>
      <c r="D1256" s="5" t="s">
        <v>14</v>
      </c>
      <c r="E1256" s="5" t="s">
        <v>1319</v>
      </c>
      <c r="F1256" s="6" t="s">
        <v>1320</v>
      </c>
      <c r="G1256" s="5" t="s">
        <v>1319</v>
      </c>
      <c r="H1256" s="14" t="s">
        <v>64</v>
      </c>
      <c r="I1256" s="5" t="str">
        <f aca="false">CONCATENATE(E1256, "_",H1256)</f>
        <v>NLA_2023_018_Blank_1</v>
      </c>
      <c r="J1256" s="5" t="s">
        <v>52</v>
      </c>
      <c r="K1256" s="16" t="s">
        <v>64</v>
      </c>
      <c r="L1256" s="6" t="s">
        <v>46</v>
      </c>
      <c r="M1256" s="15" t="s">
        <v>46</v>
      </c>
      <c r="N1256" s="5" t="s">
        <v>65</v>
      </c>
      <c r="O1256" s="5" t="s">
        <v>46</v>
      </c>
      <c r="P1256" s="5" t="s">
        <v>46</v>
      </c>
      <c r="Q1256" s="5" t="s">
        <v>46</v>
      </c>
      <c r="R1256" s="5" t="s">
        <v>46</v>
      </c>
      <c r="S1256" s="5" t="s">
        <v>46</v>
      </c>
      <c r="T1256" s="5" t="s">
        <v>46</v>
      </c>
      <c r="U1256" s="5" t="s">
        <v>46</v>
      </c>
      <c r="V1256" s="1" t="n">
        <v>1</v>
      </c>
      <c r="W1256" s="3"/>
      <c r="X1256" s="5" t="s">
        <v>46</v>
      </c>
      <c r="Y1256" s="12" t="n">
        <v>5500</v>
      </c>
      <c r="Z1256" s="5" t="s">
        <v>1324</v>
      </c>
      <c r="AA1256" s="5" t="s">
        <v>1325</v>
      </c>
      <c r="AB1256" s="13" t="str">
        <f aca="true" t="array" ref="AB1256:AB1256">LEFT(AA1256,LOOKUP(2^15,FIND(".",AA1256,ROW(INDIRECT("1:"&amp;LEN(AA1256)))))-1)</f>
        <v>NB_2023_016 - 20230425 - 1</v>
      </c>
      <c r="AC1256" s="5" t="s">
        <v>1326</v>
      </c>
      <c r="AD1256" s="13" t="str">
        <f aca="true" t="array" ref="AD1256:AD1256">LEFT(AC1256,LOOKUP(2^15,FIND(".",AC1256,ROW(INDIRECT("1:"&amp;LEN(AC1256)))))-1)</f>
        <v>NB_2023_016 - 20230425 - 2</v>
      </c>
      <c r="AE1256" s="5" t="str">
        <f aca="false">CONCATENATE(AB1256, "-",H1256, ".mzML")</f>
        <v>NB_2023_016 - 20230425 - 1-Blank_1.mzML</v>
      </c>
      <c r="AF1256" s="5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0" t="s">
        <v>1392</v>
      </c>
      <c r="B1257" s="31"/>
      <c r="C1257" s="3" t="s">
        <v>1393</v>
      </c>
      <c r="D1257" s="5" t="s">
        <v>14</v>
      </c>
      <c r="E1257" s="5" t="s">
        <v>1319</v>
      </c>
      <c r="F1257" s="6" t="s">
        <v>1320</v>
      </c>
      <c r="G1257" s="5" t="s">
        <v>1319</v>
      </c>
      <c r="H1257" s="14" t="s">
        <v>67</v>
      </c>
      <c r="I1257" s="5" t="str">
        <f aca="false">CONCATENATE(E1257, "_",H1257)</f>
        <v>NLA_2023_018_Blank_3</v>
      </c>
      <c r="J1257" s="5" t="s">
        <v>52</v>
      </c>
      <c r="K1257" s="16" t="s">
        <v>67</v>
      </c>
      <c r="L1257" s="6" t="s">
        <v>46</v>
      </c>
      <c r="M1257" s="15" t="s">
        <v>46</v>
      </c>
      <c r="N1257" s="5" t="s">
        <v>65</v>
      </c>
      <c r="O1257" s="5" t="s">
        <v>46</v>
      </c>
      <c r="P1257" s="5" t="s">
        <v>46</v>
      </c>
      <c r="Q1257" s="5" t="s">
        <v>46</v>
      </c>
      <c r="R1257" s="5" t="s">
        <v>46</v>
      </c>
      <c r="S1257" s="5" t="s">
        <v>46</v>
      </c>
      <c r="T1257" s="5" t="s">
        <v>46</v>
      </c>
      <c r="U1257" s="5" t="s">
        <v>46</v>
      </c>
      <c r="V1257" s="1" t="n">
        <v>3</v>
      </c>
      <c r="W1257" s="3"/>
      <c r="X1257" s="5" t="s">
        <v>46</v>
      </c>
      <c r="Y1257" s="12" t="n">
        <v>5500</v>
      </c>
      <c r="Z1257" s="5" t="s">
        <v>1324</v>
      </c>
      <c r="AA1257" s="5" t="s">
        <v>1325</v>
      </c>
      <c r="AB1257" s="13" t="str">
        <f aca="true" t="array" ref="AB1257:AB1257">LEFT(AA1257,LOOKUP(2^15,FIND(".",AA1257,ROW(INDIRECT("1:"&amp;LEN(AA1257)))))-1)</f>
        <v>NB_2023_016 - 20230425 - 1</v>
      </c>
      <c r="AC1257" s="5" t="s">
        <v>1326</v>
      </c>
      <c r="AD1257" s="13" t="str">
        <f aca="true" t="array" ref="AD1257:AD1257">LEFT(AC1257,LOOKUP(2^15,FIND(".",AC1257,ROW(INDIRECT("1:"&amp;LEN(AC1257)))))-1)</f>
        <v>NB_2023_016 - 20230425 - 2</v>
      </c>
      <c r="AE1257" s="5" t="str">
        <f aca="false">CONCATENATE(AB1257, "-",H1257, ".mzML")</f>
        <v>NB_2023_016 - 20230425 - 1-Blank_3.mzML</v>
      </c>
      <c r="AF1257" s="5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0" t="s">
        <v>1392</v>
      </c>
      <c r="B1258" s="31"/>
      <c r="C1258" s="3" t="s">
        <v>1393</v>
      </c>
      <c r="D1258" s="5" t="s">
        <v>14</v>
      </c>
      <c r="E1258" s="5" t="s">
        <v>1319</v>
      </c>
      <c r="F1258" s="6" t="s">
        <v>1320</v>
      </c>
      <c r="G1258" s="5" t="s">
        <v>1319</v>
      </c>
      <c r="H1258" s="14" t="s">
        <v>221</v>
      </c>
      <c r="I1258" s="5" t="str">
        <f aca="false">CONCATENATE(E1258, "_",H1258)</f>
        <v>NLA_2023_018_Blank_4</v>
      </c>
      <c r="J1258" s="5" t="s">
        <v>52</v>
      </c>
      <c r="K1258" s="16" t="s">
        <v>221</v>
      </c>
      <c r="L1258" s="6" t="s">
        <v>46</v>
      </c>
      <c r="M1258" s="15" t="s">
        <v>46</v>
      </c>
      <c r="N1258" s="5" t="s">
        <v>65</v>
      </c>
      <c r="O1258" s="5" t="s">
        <v>46</v>
      </c>
      <c r="P1258" s="5" t="s">
        <v>46</v>
      </c>
      <c r="Q1258" s="5" t="s">
        <v>46</v>
      </c>
      <c r="R1258" s="5" t="s">
        <v>46</v>
      </c>
      <c r="S1258" s="5" t="s">
        <v>46</v>
      </c>
      <c r="T1258" s="5" t="s">
        <v>46</v>
      </c>
      <c r="U1258" s="5" t="s">
        <v>46</v>
      </c>
      <c r="V1258" s="1" t="n">
        <v>4</v>
      </c>
      <c r="W1258" s="3"/>
      <c r="X1258" s="5" t="s">
        <v>46</v>
      </c>
      <c r="Y1258" s="12" t="n">
        <v>5500</v>
      </c>
      <c r="Z1258" s="5" t="s">
        <v>1324</v>
      </c>
      <c r="AA1258" s="5" t="s">
        <v>1325</v>
      </c>
      <c r="AB1258" s="13" t="str">
        <f aca="true" t="array" ref="AB1258:AB1258">LEFT(AA1258,LOOKUP(2^15,FIND(".",AA1258,ROW(INDIRECT("1:"&amp;LEN(AA1258)))))-1)</f>
        <v>NB_2023_016 - 20230425 - 1</v>
      </c>
      <c r="AC1258" s="5" t="s">
        <v>1326</v>
      </c>
      <c r="AD1258" s="13" t="str">
        <f aca="true" t="array" ref="AD1258:AD1258">LEFT(AC1258,LOOKUP(2^15,FIND(".",AC1258,ROW(INDIRECT("1:"&amp;LEN(AC1258)))))-1)</f>
        <v>NB_2023_016 - 20230425 - 2</v>
      </c>
      <c r="AE1258" s="5" t="str">
        <f aca="false">CONCATENATE(AB1258, "-",H1258, ".mzML")</f>
        <v>NB_2023_016 - 20230425 - 1-Blank_4.mzML</v>
      </c>
      <c r="AF1258" s="5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0" t="s">
        <v>1392</v>
      </c>
      <c r="B1259" s="31"/>
      <c r="C1259" s="3" t="s">
        <v>1393</v>
      </c>
      <c r="D1259" s="5" t="s">
        <v>14</v>
      </c>
      <c r="E1259" s="5" t="s">
        <v>1319</v>
      </c>
      <c r="F1259" s="6" t="s">
        <v>1320</v>
      </c>
      <c r="G1259" s="5" t="s">
        <v>1319</v>
      </c>
      <c r="H1259" s="14" t="s">
        <v>68</v>
      </c>
      <c r="I1259" s="5" t="str">
        <f aca="false">CONCATENATE(E1259, "_",H1259)</f>
        <v>NLA_2023_018_QC_C_1</v>
      </c>
      <c r="J1259" s="5" t="s">
        <v>52</v>
      </c>
      <c r="K1259" s="16" t="s">
        <v>68</v>
      </c>
      <c r="L1259" s="8" t="s">
        <v>69</v>
      </c>
      <c r="M1259" s="1" t="s">
        <v>46</v>
      </c>
      <c r="N1259" s="5" t="s">
        <v>70</v>
      </c>
      <c r="O1259" s="5" t="s">
        <v>46</v>
      </c>
      <c r="P1259" s="5" t="s">
        <v>71</v>
      </c>
      <c r="Q1259" s="5" t="s">
        <v>71</v>
      </c>
      <c r="R1259" s="5" t="s">
        <v>72</v>
      </c>
      <c r="S1259" s="5" t="s">
        <v>73</v>
      </c>
      <c r="T1259" s="5" t="s">
        <v>46</v>
      </c>
      <c r="U1259" s="5" t="n">
        <v>1000</v>
      </c>
      <c r="V1259" s="1" t="n">
        <v>1</v>
      </c>
      <c r="W1259" s="3"/>
      <c r="X1259" s="5" t="s">
        <v>74</v>
      </c>
      <c r="Y1259" s="12" t="n">
        <v>5500</v>
      </c>
      <c r="Z1259" s="5" t="s">
        <v>1324</v>
      </c>
      <c r="AA1259" s="5" t="s">
        <v>1325</v>
      </c>
      <c r="AB1259" s="13" t="str">
        <f aca="true" t="array" ref="AB1259:AB1259">LEFT(AA1259,LOOKUP(2^15,FIND(".",AA1259,ROW(INDIRECT("1:"&amp;LEN(AA1259)))))-1)</f>
        <v>NB_2023_016 - 20230425 - 1</v>
      </c>
      <c r="AC1259" s="5" t="s">
        <v>1326</v>
      </c>
      <c r="AD1259" s="13" t="str">
        <f aca="true" t="array" ref="AD1259:AD1259">LEFT(AC1259,LOOKUP(2^15,FIND(".",AC1259,ROW(INDIRECT("1:"&amp;LEN(AC1259)))))-1)</f>
        <v>NB_2023_016 - 20230425 - 2</v>
      </c>
      <c r="AE1259" s="5" t="str">
        <f aca="false">CONCATENATE(AB1259, "-",H1259, ".mzML")</f>
        <v>NB_2023_016 - 20230425 - 1-QC_C_1.mzML</v>
      </c>
      <c r="AF1259" s="5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0" t="s">
        <v>1392</v>
      </c>
      <c r="B1260" s="31"/>
      <c r="C1260" s="3" t="s">
        <v>1393</v>
      </c>
      <c r="D1260" s="5" t="s">
        <v>14</v>
      </c>
      <c r="E1260" s="5" t="s">
        <v>1319</v>
      </c>
      <c r="F1260" s="6" t="s">
        <v>1320</v>
      </c>
      <c r="G1260" s="5" t="s">
        <v>1319</v>
      </c>
      <c r="H1260" s="14" t="s">
        <v>75</v>
      </c>
      <c r="I1260" s="5" t="str">
        <f aca="false">CONCATENATE(E1260, "_",H1260)</f>
        <v>NLA_2023_018_QC_C_2</v>
      </c>
      <c r="J1260" s="5" t="s">
        <v>52</v>
      </c>
      <c r="K1260" s="16" t="s">
        <v>75</v>
      </c>
      <c r="L1260" s="8" t="s">
        <v>69</v>
      </c>
      <c r="M1260" s="1" t="s">
        <v>46</v>
      </c>
      <c r="N1260" s="5" t="s">
        <v>70</v>
      </c>
      <c r="O1260" s="5" t="s">
        <v>46</v>
      </c>
      <c r="P1260" s="5" t="s">
        <v>71</v>
      </c>
      <c r="Q1260" s="5" t="s">
        <v>71</v>
      </c>
      <c r="R1260" s="5" t="s">
        <v>72</v>
      </c>
      <c r="S1260" s="5" t="s">
        <v>73</v>
      </c>
      <c r="T1260" s="5" t="s">
        <v>46</v>
      </c>
      <c r="U1260" s="5" t="n">
        <v>1000</v>
      </c>
      <c r="V1260" s="1" t="n">
        <v>2</v>
      </c>
      <c r="W1260" s="3"/>
      <c r="X1260" s="5" t="s">
        <v>74</v>
      </c>
      <c r="Y1260" s="12" t="n">
        <v>5500</v>
      </c>
      <c r="Z1260" s="5" t="s">
        <v>1324</v>
      </c>
      <c r="AA1260" s="5" t="s">
        <v>1325</v>
      </c>
      <c r="AB1260" s="13" t="str">
        <f aca="true" t="array" ref="AB1260:AB1260">LEFT(AA1260,LOOKUP(2^15,FIND(".",AA1260,ROW(INDIRECT("1:"&amp;LEN(AA1260)))))-1)</f>
        <v>NB_2023_016 - 20230425 - 1</v>
      </c>
      <c r="AC1260" s="5" t="s">
        <v>1326</v>
      </c>
      <c r="AD1260" s="13" t="str">
        <f aca="true" t="array" ref="AD1260:AD1260">LEFT(AC1260,LOOKUP(2^15,FIND(".",AC1260,ROW(INDIRECT("1:"&amp;LEN(AC1260)))))-1)</f>
        <v>NB_2023_016 - 20230425 - 2</v>
      </c>
      <c r="AE1260" s="5" t="str">
        <f aca="false">CONCATENATE(AB1260, "-",H1260, ".mzML")</f>
        <v>NB_2023_016 - 20230425 - 1-QC_C_2.mzML</v>
      </c>
      <c r="AF1260" s="5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0" t="s">
        <v>1392</v>
      </c>
      <c r="B1261" s="31"/>
      <c r="C1261" s="3" t="s">
        <v>1393</v>
      </c>
      <c r="D1261" s="5" t="s">
        <v>14</v>
      </c>
      <c r="E1261" s="5" t="s">
        <v>1319</v>
      </c>
      <c r="F1261" s="6" t="s">
        <v>1320</v>
      </c>
      <c r="G1261" s="5" t="s">
        <v>1319</v>
      </c>
      <c r="H1261" s="14" t="s">
        <v>76</v>
      </c>
      <c r="I1261" s="5" t="str">
        <f aca="false">CONCATENATE(E1261, "_",H1261)</f>
        <v>NLA_2023_018_QC_C_3</v>
      </c>
      <c r="J1261" s="5" t="s">
        <v>52</v>
      </c>
      <c r="K1261" s="16" t="s">
        <v>76</v>
      </c>
      <c r="L1261" s="8" t="s">
        <v>69</v>
      </c>
      <c r="M1261" s="1" t="s">
        <v>46</v>
      </c>
      <c r="N1261" s="5" t="s">
        <v>70</v>
      </c>
      <c r="O1261" s="5" t="s">
        <v>46</v>
      </c>
      <c r="P1261" s="5" t="s">
        <v>71</v>
      </c>
      <c r="Q1261" s="5" t="s">
        <v>71</v>
      </c>
      <c r="R1261" s="5" t="s">
        <v>72</v>
      </c>
      <c r="S1261" s="5" t="s">
        <v>73</v>
      </c>
      <c r="T1261" s="5" t="s">
        <v>46</v>
      </c>
      <c r="U1261" s="5" t="n">
        <v>1000</v>
      </c>
      <c r="V1261" s="1" t="n">
        <v>3</v>
      </c>
      <c r="W1261" s="3"/>
      <c r="X1261" s="5" t="s">
        <v>74</v>
      </c>
      <c r="Y1261" s="12" t="n">
        <v>5500</v>
      </c>
      <c r="Z1261" s="5" t="s">
        <v>1324</v>
      </c>
      <c r="AA1261" s="5" t="s">
        <v>1325</v>
      </c>
      <c r="AB1261" s="13" t="str">
        <f aca="true" t="array" ref="AB1261:AB1261">LEFT(AA1261,LOOKUP(2^15,FIND(".",AA1261,ROW(INDIRECT("1:"&amp;LEN(AA1261)))))-1)</f>
        <v>NB_2023_016 - 20230425 - 1</v>
      </c>
      <c r="AC1261" s="5" t="s">
        <v>1326</v>
      </c>
      <c r="AD1261" s="13" t="str">
        <f aca="true" t="array" ref="AD1261:AD1261">LEFT(AC1261,LOOKUP(2^15,FIND(".",AC1261,ROW(INDIRECT("1:"&amp;LEN(AC1261)))))-1)</f>
        <v>NB_2023_016 - 20230425 - 2</v>
      </c>
      <c r="AE1261" s="5" t="str">
        <f aca="false">CONCATENATE(AB1261, "-",H1261, ".mzML")</f>
        <v>NB_2023_016 - 20230425 - 1-QC_C_3.mzML</v>
      </c>
      <c r="AF1261" s="5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0" t="s">
        <v>1392</v>
      </c>
      <c r="B1262" s="31"/>
      <c r="C1262" s="3" t="s">
        <v>1393</v>
      </c>
      <c r="D1262" s="5" t="s">
        <v>14</v>
      </c>
      <c r="E1262" s="5" t="s">
        <v>1319</v>
      </c>
      <c r="F1262" s="6" t="s">
        <v>1320</v>
      </c>
      <c r="G1262" s="5" t="s">
        <v>1319</v>
      </c>
      <c r="H1262" s="14" t="s">
        <v>222</v>
      </c>
      <c r="I1262" s="5" t="str">
        <f aca="false">CONCATENATE(E1262, "_",H1262)</f>
        <v>NLA_2023_018_QC_C_4</v>
      </c>
      <c r="J1262" s="5" t="s">
        <v>52</v>
      </c>
      <c r="K1262" s="16" t="s">
        <v>222</v>
      </c>
      <c r="L1262" s="8" t="s">
        <v>69</v>
      </c>
      <c r="M1262" s="1" t="s">
        <v>46</v>
      </c>
      <c r="N1262" s="5" t="s">
        <v>70</v>
      </c>
      <c r="O1262" s="5" t="s">
        <v>46</v>
      </c>
      <c r="P1262" s="5" t="s">
        <v>71</v>
      </c>
      <c r="Q1262" s="5" t="s">
        <v>71</v>
      </c>
      <c r="R1262" s="5" t="s">
        <v>72</v>
      </c>
      <c r="S1262" s="5" t="s">
        <v>73</v>
      </c>
      <c r="T1262" s="5" t="s">
        <v>46</v>
      </c>
      <c r="U1262" s="5" t="n">
        <v>1000</v>
      </c>
      <c r="V1262" s="1" t="n">
        <v>4</v>
      </c>
      <c r="W1262" s="3"/>
      <c r="X1262" s="5" t="s">
        <v>74</v>
      </c>
      <c r="Y1262" s="12" t="n">
        <v>5500</v>
      </c>
      <c r="Z1262" s="5" t="s">
        <v>1324</v>
      </c>
      <c r="AA1262" s="5" t="s">
        <v>1325</v>
      </c>
      <c r="AB1262" s="13" t="str">
        <f aca="true" t="array" ref="AB1262:AB1262">LEFT(AA1262,LOOKUP(2^15,FIND(".",AA1262,ROW(INDIRECT("1:"&amp;LEN(AA1262)))))-1)</f>
        <v>NB_2023_016 - 20230425 - 1</v>
      </c>
      <c r="AC1262" s="5" t="s">
        <v>1326</v>
      </c>
      <c r="AD1262" s="13" t="str">
        <f aca="true" t="array" ref="AD1262:AD1262">LEFT(AC1262,LOOKUP(2^15,FIND(".",AC1262,ROW(INDIRECT("1:"&amp;LEN(AC1262)))))-1)</f>
        <v>NB_2023_016 - 20230425 - 2</v>
      </c>
      <c r="AE1262" s="5" t="str">
        <f aca="false">CONCATENATE(AB1262, "-",H1262, ".mzML")</f>
        <v>NB_2023_016 - 20230425 - 1-QC_C_4.mzML</v>
      </c>
      <c r="AF1262" s="5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0" t="s">
        <v>1392</v>
      </c>
      <c r="B1263" s="31"/>
      <c r="C1263" s="3" t="s">
        <v>1393</v>
      </c>
      <c r="D1263" s="5" t="s">
        <v>14</v>
      </c>
      <c r="E1263" s="5" t="s">
        <v>1319</v>
      </c>
      <c r="F1263" s="6" t="s">
        <v>1320</v>
      </c>
      <c r="G1263" s="5" t="s">
        <v>1319</v>
      </c>
      <c r="H1263" s="14" t="s">
        <v>77</v>
      </c>
      <c r="I1263" s="5" t="str">
        <f aca="false">CONCATENATE(E1263, "_",H1263)</f>
        <v>NLA_2023_018_QC_P_1</v>
      </c>
      <c r="J1263" s="5" t="s">
        <v>52</v>
      </c>
      <c r="K1263" s="16" t="s">
        <v>77</v>
      </c>
      <c r="L1263" s="6" t="s">
        <v>69</v>
      </c>
      <c r="M1263" s="1" t="s">
        <v>46</v>
      </c>
      <c r="N1263" s="5" t="s">
        <v>78</v>
      </c>
      <c r="O1263" s="5" t="s">
        <v>46</v>
      </c>
      <c r="P1263" s="5" t="s">
        <v>79</v>
      </c>
      <c r="Q1263" s="5" t="s">
        <v>80</v>
      </c>
      <c r="R1263" s="5" t="s">
        <v>81</v>
      </c>
      <c r="S1263" s="5" t="s">
        <v>46</v>
      </c>
      <c r="T1263" s="5" t="s">
        <v>46</v>
      </c>
      <c r="U1263" s="5" t="s">
        <v>82</v>
      </c>
      <c r="V1263" s="1" t="n">
        <v>1</v>
      </c>
      <c r="W1263" s="3"/>
      <c r="X1263" s="5" t="s">
        <v>83</v>
      </c>
      <c r="Y1263" s="12" t="n">
        <v>5500</v>
      </c>
      <c r="Z1263" s="5" t="s">
        <v>1324</v>
      </c>
      <c r="AA1263" s="5" t="s">
        <v>1325</v>
      </c>
      <c r="AB1263" s="13" t="str">
        <f aca="true" t="array" ref="AB1263:AB1263">LEFT(AA1263,LOOKUP(2^15,FIND(".",AA1263,ROW(INDIRECT("1:"&amp;LEN(AA1263)))))-1)</f>
        <v>NB_2023_016 - 20230425 - 1</v>
      </c>
      <c r="AC1263" s="5" t="s">
        <v>1326</v>
      </c>
      <c r="AD1263" s="13" t="str">
        <f aca="true" t="array" ref="AD1263:AD1263">LEFT(AC1263,LOOKUP(2^15,FIND(".",AC1263,ROW(INDIRECT("1:"&amp;LEN(AC1263)))))-1)</f>
        <v>NB_2023_016 - 20230425 - 2</v>
      </c>
      <c r="AE1263" s="5" t="str">
        <f aca="false">CONCATENATE(AB1263, "-",H1263, ".mzML")</f>
        <v>NB_2023_016 - 20230425 - 1-QC_P_1.mzML</v>
      </c>
      <c r="AF1263" s="5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0" t="s">
        <v>1392</v>
      </c>
      <c r="B1264" s="31"/>
      <c r="C1264" s="3" t="s">
        <v>1393</v>
      </c>
      <c r="D1264" s="5" t="s">
        <v>14</v>
      </c>
      <c r="E1264" s="5" t="s">
        <v>1319</v>
      </c>
      <c r="F1264" s="6" t="s">
        <v>1320</v>
      </c>
      <c r="G1264" s="5" t="s">
        <v>1319</v>
      </c>
      <c r="H1264" s="14" t="s">
        <v>84</v>
      </c>
      <c r="I1264" s="5" t="str">
        <f aca="false">CONCATENATE(E1264, "_",H1264)</f>
        <v>NLA_2023_018_QC_P_2</v>
      </c>
      <c r="J1264" s="5" t="s">
        <v>52</v>
      </c>
      <c r="K1264" s="16" t="s">
        <v>84</v>
      </c>
      <c r="L1264" s="6" t="s">
        <v>69</v>
      </c>
      <c r="M1264" s="1" t="s">
        <v>46</v>
      </c>
      <c r="N1264" s="5" t="s">
        <v>78</v>
      </c>
      <c r="O1264" s="5" t="s">
        <v>46</v>
      </c>
      <c r="P1264" s="5" t="s">
        <v>79</v>
      </c>
      <c r="Q1264" s="5" t="s">
        <v>80</v>
      </c>
      <c r="R1264" s="5" t="s">
        <v>81</v>
      </c>
      <c r="S1264" s="5" t="s">
        <v>46</v>
      </c>
      <c r="T1264" s="5" t="s">
        <v>46</v>
      </c>
      <c r="U1264" s="5" t="s">
        <v>82</v>
      </c>
      <c r="V1264" s="1" t="n">
        <v>2</v>
      </c>
      <c r="W1264" s="3"/>
      <c r="X1264" s="5" t="s">
        <v>83</v>
      </c>
      <c r="Y1264" s="12" t="n">
        <v>5500</v>
      </c>
      <c r="Z1264" s="5" t="s">
        <v>1324</v>
      </c>
      <c r="AA1264" s="5" t="s">
        <v>1325</v>
      </c>
      <c r="AB1264" s="13" t="str">
        <f aca="true" t="array" ref="AB1264:AB1264">LEFT(AA1264,LOOKUP(2^15,FIND(".",AA1264,ROW(INDIRECT("1:"&amp;LEN(AA1264)))))-1)</f>
        <v>NB_2023_016 - 20230425 - 1</v>
      </c>
      <c r="AC1264" s="5" t="s">
        <v>1326</v>
      </c>
      <c r="AD1264" s="13" t="str">
        <f aca="true" t="array" ref="AD1264:AD1264">LEFT(AC1264,LOOKUP(2^15,FIND(".",AC1264,ROW(INDIRECT("1:"&amp;LEN(AC1264)))))-1)</f>
        <v>NB_2023_016 - 20230425 - 2</v>
      </c>
      <c r="AE1264" s="5" t="str">
        <f aca="false">CONCATENATE(AB1264, "-",H1264, ".mzML")</f>
        <v>NB_2023_016 - 20230425 - 1-QC_P_2.mzML</v>
      </c>
      <c r="AF1264" s="5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0" t="s">
        <v>1392</v>
      </c>
      <c r="B1265" s="31"/>
      <c r="C1265" s="3" t="s">
        <v>1393</v>
      </c>
      <c r="D1265" s="5" t="s">
        <v>14</v>
      </c>
      <c r="E1265" s="5" t="s">
        <v>1319</v>
      </c>
      <c r="F1265" s="6" t="s">
        <v>1320</v>
      </c>
      <c r="G1265" s="5" t="s">
        <v>1319</v>
      </c>
      <c r="H1265" s="14" t="s">
        <v>85</v>
      </c>
      <c r="I1265" s="5" t="str">
        <f aca="false">CONCATENATE(E1265, "_",H1265)</f>
        <v>NLA_2023_018_QC_P_3</v>
      </c>
      <c r="J1265" s="3" t="s">
        <v>52</v>
      </c>
      <c r="K1265" s="16" t="s">
        <v>85</v>
      </c>
      <c r="L1265" s="6" t="s">
        <v>69</v>
      </c>
      <c r="M1265" s="1" t="s">
        <v>46</v>
      </c>
      <c r="N1265" s="5" t="s">
        <v>78</v>
      </c>
      <c r="O1265" s="5" t="s">
        <v>46</v>
      </c>
      <c r="P1265" s="5" t="s">
        <v>79</v>
      </c>
      <c r="Q1265" s="5" t="s">
        <v>80</v>
      </c>
      <c r="R1265" s="5" t="s">
        <v>81</v>
      </c>
      <c r="S1265" s="5" t="s">
        <v>46</v>
      </c>
      <c r="T1265" s="5" t="s">
        <v>46</v>
      </c>
      <c r="U1265" s="5" t="s">
        <v>82</v>
      </c>
      <c r="V1265" s="1" t="n">
        <v>3</v>
      </c>
      <c r="W1265" s="3"/>
      <c r="X1265" s="5" t="s">
        <v>83</v>
      </c>
      <c r="Y1265" s="12" t="n">
        <v>5500</v>
      </c>
      <c r="Z1265" s="5" t="s">
        <v>1324</v>
      </c>
      <c r="AA1265" s="5" t="s">
        <v>1325</v>
      </c>
      <c r="AB1265" s="13" t="str">
        <f aca="true" t="array" ref="AB1265:AB1265">LEFT(AA1265,LOOKUP(2^15,FIND(".",AA1265,ROW(INDIRECT("1:"&amp;LEN(AA1265)))))-1)</f>
        <v>NB_2023_016 - 20230425 - 1</v>
      </c>
      <c r="AC1265" s="5" t="s">
        <v>1326</v>
      </c>
      <c r="AD1265" s="13" t="str">
        <f aca="true" t="array" ref="AD1265:AD1265">LEFT(AC1265,LOOKUP(2^15,FIND(".",AC1265,ROW(INDIRECT("1:"&amp;LEN(AC1265)))))-1)</f>
        <v>NB_2023_016 - 20230425 - 2</v>
      </c>
      <c r="AE1265" s="5" t="str">
        <f aca="false">CONCATENATE(AB1265, "-",H1265, ".mzML")</f>
        <v>NB_2023_016 - 20230425 - 1-QC_P_3.mzML</v>
      </c>
      <c r="AF1265" s="5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0" t="s">
        <v>1392</v>
      </c>
      <c r="B1266" s="31"/>
      <c r="C1266" s="3" t="s">
        <v>1393</v>
      </c>
      <c r="D1266" s="5" t="s">
        <v>14</v>
      </c>
      <c r="E1266" s="5" t="s">
        <v>1319</v>
      </c>
      <c r="F1266" s="6" t="s">
        <v>1320</v>
      </c>
      <c r="G1266" s="5" t="s">
        <v>1319</v>
      </c>
      <c r="H1266" s="14" t="s">
        <v>224</v>
      </c>
      <c r="I1266" s="5" t="str">
        <f aca="false">CONCATENATE(E1266, "_",H1266)</f>
        <v>NLA_2023_018_QC_P_4</v>
      </c>
      <c r="J1266" s="3" t="s">
        <v>52</v>
      </c>
      <c r="K1266" s="16" t="s">
        <v>224</v>
      </c>
      <c r="L1266" s="6" t="s">
        <v>69</v>
      </c>
      <c r="M1266" s="1" t="s">
        <v>46</v>
      </c>
      <c r="N1266" s="5" t="s">
        <v>78</v>
      </c>
      <c r="O1266" s="5" t="s">
        <v>46</v>
      </c>
      <c r="P1266" s="5" t="s">
        <v>79</v>
      </c>
      <c r="Q1266" s="5" t="s">
        <v>80</v>
      </c>
      <c r="R1266" s="5" t="s">
        <v>81</v>
      </c>
      <c r="S1266" s="5" t="s">
        <v>46</v>
      </c>
      <c r="T1266" s="5" t="s">
        <v>46</v>
      </c>
      <c r="U1266" s="5" t="s">
        <v>82</v>
      </c>
      <c r="V1266" s="1" t="n">
        <v>4</v>
      </c>
      <c r="W1266" s="3"/>
      <c r="X1266" s="5" t="s">
        <v>83</v>
      </c>
      <c r="Y1266" s="12" t="n">
        <v>5500</v>
      </c>
      <c r="Z1266" s="5" t="s">
        <v>1324</v>
      </c>
      <c r="AA1266" s="5" t="s">
        <v>1325</v>
      </c>
      <c r="AB1266" s="13" t="str">
        <f aca="true" t="array" ref="AB1266:AB1266">LEFT(AA1266,LOOKUP(2^15,FIND(".",AA1266,ROW(INDIRECT("1:"&amp;LEN(AA1266)))))-1)</f>
        <v>NB_2023_016 - 20230425 - 1</v>
      </c>
      <c r="AC1266" s="5" t="s">
        <v>1326</v>
      </c>
      <c r="AD1266" s="13" t="str">
        <f aca="true" t="array" ref="AD1266:AD1266">LEFT(AC1266,LOOKUP(2^15,FIND(".",AC1266,ROW(INDIRECT("1:"&amp;LEN(AC1266)))))-1)</f>
        <v>NB_2023_016 - 20230425 - 2</v>
      </c>
      <c r="AE1266" s="5" t="str">
        <f aca="false">CONCATENATE(AB1266, "-",H1266, ".mzML")</f>
        <v>NB_2023_016 - 20230425 - 1-QC_P_4.mzML</v>
      </c>
      <c r="AF1266" s="5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0" t="s">
        <v>1394</v>
      </c>
      <c r="B1267" s="31"/>
      <c r="C1267" s="3" t="s">
        <v>1395</v>
      </c>
      <c r="D1267" s="5" t="s">
        <v>14</v>
      </c>
      <c r="E1267" s="5" t="s">
        <v>1319</v>
      </c>
      <c r="F1267" s="6" t="s">
        <v>1320</v>
      </c>
      <c r="G1267" s="5" t="s">
        <v>1336</v>
      </c>
      <c r="H1267" s="6" t="s">
        <v>132</v>
      </c>
      <c r="I1267" s="5" t="str">
        <f aca="false">CONCATENATE(E1267, "_",H1267)</f>
        <v>NLA_2023_018_011</v>
      </c>
      <c r="J1267" s="5" t="s">
        <v>52</v>
      </c>
      <c r="K1267" s="5" t="s">
        <v>1383</v>
      </c>
      <c r="L1267" s="8" t="s">
        <v>69</v>
      </c>
      <c r="M1267" s="15" t="s">
        <v>1338</v>
      </c>
      <c r="N1267" s="5" t="s">
        <v>246</v>
      </c>
      <c r="O1267" s="32" t="s">
        <v>1220</v>
      </c>
      <c r="P1267" s="1" t="s">
        <v>43</v>
      </c>
      <c r="Q1267" s="5" t="s">
        <v>1358</v>
      </c>
      <c r="R1267" s="5" t="s">
        <v>44</v>
      </c>
      <c r="S1267" s="12"/>
      <c r="T1267" s="5"/>
      <c r="U1267" s="5" t="n">
        <v>1500</v>
      </c>
      <c r="V1267" s="12" t="n">
        <v>1</v>
      </c>
      <c r="W1267" s="3"/>
      <c r="X1267" s="8" t="s">
        <v>1215</v>
      </c>
      <c r="Y1267" s="12" t="n">
        <v>5500</v>
      </c>
      <c r="Z1267" s="5" t="s">
        <v>1324</v>
      </c>
      <c r="AA1267" s="5" t="s">
        <v>1325</v>
      </c>
      <c r="AB1267" s="13" t="str">
        <f aca="true" t="array" ref="AB1267:AB1267">LEFT(AA1267,LOOKUP(2^15,FIND(".",AA1267,ROW(INDIRECT("1:"&amp;LEN(AA1267)))))-1)</f>
        <v>NB_2023_016 - 20230425 - 1</v>
      </c>
      <c r="AC1267" s="5" t="s">
        <v>1326</v>
      </c>
      <c r="AD1267" s="13" t="str">
        <f aca="true" t="array" ref="AD1267:AD1267">LEFT(AC1267,LOOKUP(2^15,FIND(".",AC1267,ROW(INDIRECT("1:"&amp;LEN(AC1267)))))-1)</f>
        <v>NB_2023_016 - 20230425 - 2</v>
      </c>
      <c r="AE1267" s="5" t="str">
        <f aca="false">CONCATENATE(AB1267, "-",H1267, ".mzML")</f>
        <v>NB_2023_016 - 20230425 - 1-011.mzML</v>
      </c>
      <c r="AF1267" s="5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0" t="s">
        <v>1394</v>
      </c>
      <c r="B1268" s="31"/>
      <c r="C1268" s="3" t="s">
        <v>1395</v>
      </c>
      <c r="D1268" s="5" t="s">
        <v>14</v>
      </c>
      <c r="E1268" s="5" t="s">
        <v>1319</v>
      </c>
      <c r="F1268" s="6" t="s">
        <v>1320</v>
      </c>
      <c r="G1268" s="5" t="s">
        <v>1336</v>
      </c>
      <c r="H1268" s="6" t="s">
        <v>181</v>
      </c>
      <c r="I1268" s="5" t="str">
        <f aca="false">CONCATENATE(E1268, "_",H1268)</f>
        <v>NLA_2023_018_017</v>
      </c>
      <c r="J1268" s="5" t="s">
        <v>38</v>
      </c>
      <c r="K1268" s="5" t="s">
        <v>1340</v>
      </c>
      <c r="L1268" s="8" t="s">
        <v>69</v>
      </c>
      <c r="M1268" s="15" t="s">
        <v>1338</v>
      </c>
      <c r="N1268" s="5" t="s">
        <v>246</v>
      </c>
      <c r="O1268" s="32" t="s">
        <v>1212</v>
      </c>
      <c r="P1268" s="1" t="s">
        <v>43</v>
      </c>
      <c r="Q1268" s="1" t="s">
        <v>43</v>
      </c>
      <c r="R1268" s="5" t="s">
        <v>44</v>
      </c>
      <c r="S1268" s="12"/>
      <c r="T1268" s="5"/>
      <c r="U1268" s="5" t="n">
        <v>1500</v>
      </c>
      <c r="V1268" s="12" t="n">
        <v>2</v>
      </c>
      <c r="W1268" s="3"/>
      <c r="X1268" s="8" t="s">
        <v>1215</v>
      </c>
      <c r="Y1268" s="12" t="n">
        <v>5500</v>
      </c>
      <c r="Z1268" s="5" t="s">
        <v>1324</v>
      </c>
      <c r="AA1268" s="5" t="s">
        <v>1325</v>
      </c>
      <c r="AB1268" s="13" t="str">
        <f aca="true" t="array" ref="AB1268:AB1268">LEFT(AA1268,LOOKUP(2^15,FIND(".",AA1268,ROW(INDIRECT("1:"&amp;LEN(AA1268)))))-1)</f>
        <v>NB_2023_016 - 20230425 - 1</v>
      </c>
      <c r="AC1268" s="5" t="s">
        <v>1326</v>
      </c>
      <c r="AD1268" s="13" t="str">
        <f aca="true" t="array" ref="AD1268:AD1268">LEFT(AC1268,LOOKUP(2^15,FIND(".",AC1268,ROW(INDIRECT("1:"&amp;LEN(AC1268)))))-1)</f>
        <v>NB_2023_016 - 20230425 - 2</v>
      </c>
      <c r="AE1268" s="5" t="str">
        <f aca="false">CONCATENATE(AB1268, "-",H1268, ".mzML")</f>
        <v>NB_2023_016 - 20230425 - 1-017.mzML</v>
      </c>
      <c r="AF1268" s="5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0" t="s">
        <v>1394</v>
      </c>
      <c r="B1269" s="31"/>
      <c r="C1269" s="3" t="s">
        <v>1395</v>
      </c>
      <c r="D1269" s="5" t="s">
        <v>14</v>
      </c>
      <c r="E1269" s="5" t="s">
        <v>1319</v>
      </c>
      <c r="F1269" s="6" t="s">
        <v>1320</v>
      </c>
      <c r="G1269" s="5" t="s">
        <v>1336</v>
      </c>
      <c r="H1269" s="6" t="s">
        <v>288</v>
      </c>
      <c r="I1269" s="5" t="str">
        <f aca="false">CONCATENATE(E1269, "_",H1269)</f>
        <v>NLA_2023_018_022</v>
      </c>
      <c r="J1269" s="5" t="s">
        <v>52</v>
      </c>
      <c r="K1269" s="5" t="s">
        <v>1385</v>
      </c>
      <c r="L1269" s="8" t="s">
        <v>69</v>
      </c>
      <c r="M1269" s="15" t="s">
        <v>1338</v>
      </c>
      <c r="N1269" s="5" t="s">
        <v>246</v>
      </c>
      <c r="O1269" s="32" t="s">
        <v>1220</v>
      </c>
      <c r="P1269" s="1" t="s">
        <v>43</v>
      </c>
      <c r="Q1269" s="5" t="s">
        <v>1358</v>
      </c>
      <c r="R1269" s="5" t="s">
        <v>44</v>
      </c>
      <c r="S1269" s="12"/>
      <c r="T1269" s="5"/>
      <c r="U1269" s="5" t="n">
        <v>1500</v>
      </c>
      <c r="V1269" s="12" t="n">
        <v>3</v>
      </c>
      <c r="W1269" s="3"/>
      <c r="X1269" s="8" t="s">
        <v>1215</v>
      </c>
      <c r="Y1269" s="12" t="n">
        <v>5500</v>
      </c>
      <c r="Z1269" s="5" t="s">
        <v>1324</v>
      </c>
      <c r="AA1269" s="5" t="s">
        <v>1325</v>
      </c>
      <c r="AB1269" s="13" t="str">
        <f aca="true" t="array" ref="AB1269:AB1269">LEFT(AA1269,LOOKUP(2^15,FIND(".",AA1269,ROW(INDIRECT("1:"&amp;LEN(AA1269)))))-1)</f>
        <v>NB_2023_016 - 20230425 - 1</v>
      </c>
      <c r="AC1269" s="5" t="s">
        <v>1326</v>
      </c>
      <c r="AD1269" s="13" t="str">
        <f aca="true" t="array" ref="AD1269:AD1269">LEFT(AC1269,LOOKUP(2^15,FIND(".",AC1269,ROW(INDIRECT("1:"&amp;LEN(AC1269)))))-1)</f>
        <v>NB_2023_016 - 20230425 - 2</v>
      </c>
      <c r="AE1269" s="5" t="str">
        <f aca="false">CONCATENATE(AB1269, "-",H1269, ".mzML")</f>
        <v>NB_2023_016 - 20230425 - 1-022.mzML</v>
      </c>
      <c r="AF1269" s="5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0" t="s">
        <v>1394</v>
      </c>
      <c r="B1270" s="31"/>
      <c r="C1270" s="3" t="s">
        <v>1395</v>
      </c>
      <c r="D1270" s="5" t="s">
        <v>14</v>
      </c>
      <c r="E1270" s="5" t="s">
        <v>1319</v>
      </c>
      <c r="F1270" s="6" t="s">
        <v>1320</v>
      </c>
      <c r="G1270" s="5" t="s">
        <v>1336</v>
      </c>
      <c r="H1270" s="6" t="s">
        <v>439</v>
      </c>
      <c r="I1270" s="5" t="str">
        <f aca="false">CONCATENATE(E1270, "_",H1270)</f>
        <v>NLA_2023_018_029</v>
      </c>
      <c r="J1270" s="5" t="s">
        <v>38</v>
      </c>
      <c r="K1270" s="5" t="s">
        <v>1342</v>
      </c>
      <c r="L1270" s="8" t="s">
        <v>69</v>
      </c>
      <c r="M1270" s="15" t="s">
        <v>1338</v>
      </c>
      <c r="N1270" s="5" t="s">
        <v>246</v>
      </c>
      <c r="O1270" s="32" t="s">
        <v>1212</v>
      </c>
      <c r="P1270" s="1" t="s">
        <v>43</v>
      </c>
      <c r="Q1270" s="5" t="s">
        <v>43</v>
      </c>
      <c r="R1270" s="5" t="s">
        <v>44</v>
      </c>
      <c r="S1270" s="5"/>
      <c r="T1270" s="5"/>
      <c r="U1270" s="5" t="n">
        <v>1500</v>
      </c>
      <c r="V1270" s="1" t="n">
        <v>1</v>
      </c>
      <c r="W1270" s="3"/>
      <c r="X1270" s="8" t="s">
        <v>1215</v>
      </c>
      <c r="Y1270" s="12" t="n">
        <v>5500</v>
      </c>
      <c r="Z1270" s="5" t="s">
        <v>1324</v>
      </c>
      <c r="AA1270" s="5" t="s">
        <v>1325</v>
      </c>
      <c r="AB1270" s="13" t="str">
        <f aca="true" t="array" ref="AB1270:AB1270">LEFT(AA1270,LOOKUP(2^15,FIND(".",AA1270,ROW(INDIRECT("1:"&amp;LEN(AA1270)))))-1)</f>
        <v>NB_2023_016 - 20230425 - 1</v>
      </c>
      <c r="AC1270" s="5" t="s">
        <v>1326</v>
      </c>
      <c r="AD1270" s="13" t="str">
        <f aca="true" t="array" ref="AD1270:AD1270">LEFT(AC1270,LOOKUP(2^15,FIND(".",AC1270,ROW(INDIRECT("1:"&amp;LEN(AC1270)))))-1)</f>
        <v>NB_2023_016 - 20230425 - 2</v>
      </c>
      <c r="AE1270" s="5" t="str">
        <f aca="false">CONCATENATE(AB1270, "-",H1270, ".mzML")</f>
        <v>NB_2023_016 - 20230425 - 1-029.mzML</v>
      </c>
      <c r="AF1270" s="5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0" t="s">
        <v>1394</v>
      </c>
      <c r="B1271" s="31"/>
      <c r="C1271" s="3" t="s">
        <v>1395</v>
      </c>
      <c r="D1271" s="5" t="s">
        <v>14</v>
      </c>
      <c r="E1271" s="5" t="s">
        <v>1319</v>
      </c>
      <c r="F1271" s="6" t="s">
        <v>1320</v>
      </c>
      <c r="G1271" s="5" t="s">
        <v>1336</v>
      </c>
      <c r="H1271" s="6" t="s">
        <v>1241</v>
      </c>
      <c r="I1271" s="5" t="str">
        <f aca="false">CONCATENATE(E1271, "_",H1271)</f>
        <v>NLA_2023_018_032</v>
      </c>
      <c r="J1271" s="5" t="s">
        <v>52</v>
      </c>
      <c r="K1271" s="5" t="s">
        <v>1387</v>
      </c>
      <c r="L1271" s="8" t="s">
        <v>69</v>
      </c>
      <c r="M1271" s="15" t="s">
        <v>1338</v>
      </c>
      <c r="N1271" s="5" t="s">
        <v>246</v>
      </c>
      <c r="O1271" s="32" t="s">
        <v>1220</v>
      </c>
      <c r="P1271" s="1" t="s">
        <v>43</v>
      </c>
      <c r="Q1271" s="5" t="s">
        <v>1358</v>
      </c>
      <c r="R1271" s="5" t="s">
        <v>44</v>
      </c>
      <c r="S1271" s="12"/>
      <c r="T1271" s="5"/>
      <c r="U1271" s="5" t="n">
        <v>1500</v>
      </c>
      <c r="V1271" s="12" t="n">
        <v>2</v>
      </c>
      <c r="W1271" s="3"/>
      <c r="X1271" s="8" t="s">
        <v>1215</v>
      </c>
      <c r="Y1271" s="12" t="n">
        <v>5500</v>
      </c>
      <c r="Z1271" s="5" t="s">
        <v>1324</v>
      </c>
      <c r="AA1271" s="5" t="s">
        <v>1325</v>
      </c>
      <c r="AB1271" s="13" t="str">
        <f aca="true" t="array" ref="AB1271:AB1271">LEFT(AA1271,LOOKUP(2^15,FIND(".",AA1271,ROW(INDIRECT("1:"&amp;LEN(AA1271)))))-1)</f>
        <v>NB_2023_016 - 20230425 - 1</v>
      </c>
      <c r="AC1271" s="5" t="s">
        <v>1326</v>
      </c>
      <c r="AD1271" s="13" t="str">
        <f aca="true" t="array" ref="AD1271:AD1271">LEFT(AC1271,LOOKUP(2^15,FIND(".",AC1271,ROW(INDIRECT("1:"&amp;LEN(AC1271)))))-1)</f>
        <v>NB_2023_016 - 20230425 - 2</v>
      </c>
      <c r="AE1271" s="5" t="str">
        <f aca="false">CONCATENATE(AB1271, "-",H1271, ".mzML")</f>
        <v>NB_2023_016 - 20230425 - 1-032.mzML</v>
      </c>
      <c r="AF1271" s="5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0" t="s">
        <v>1394</v>
      </c>
      <c r="B1272" s="31"/>
      <c r="C1272" s="3" t="s">
        <v>1395</v>
      </c>
      <c r="D1272" s="5" t="s">
        <v>14</v>
      </c>
      <c r="E1272" s="5" t="s">
        <v>1319</v>
      </c>
      <c r="F1272" s="6" t="s">
        <v>1320</v>
      </c>
      <c r="G1272" s="5" t="s">
        <v>1319</v>
      </c>
      <c r="H1272" s="14" t="s">
        <v>64</v>
      </c>
      <c r="I1272" s="5" t="str">
        <f aca="false">CONCATENATE(E1272, "_",H1272)</f>
        <v>NLA_2023_018_Blank_1</v>
      </c>
      <c r="J1272" s="5" t="s">
        <v>52</v>
      </c>
      <c r="K1272" s="16" t="s">
        <v>64</v>
      </c>
      <c r="L1272" s="6" t="s">
        <v>46</v>
      </c>
      <c r="M1272" s="15" t="s">
        <v>46</v>
      </c>
      <c r="N1272" s="5" t="s">
        <v>65</v>
      </c>
      <c r="O1272" s="5" t="s">
        <v>46</v>
      </c>
      <c r="P1272" s="5" t="s">
        <v>46</v>
      </c>
      <c r="Q1272" s="5" t="s">
        <v>46</v>
      </c>
      <c r="R1272" s="5" t="s">
        <v>46</v>
      </c>
      <c r="S1272" s="5" t="s">
        <v>46</v>
      </c>
      <c r="T1272" s="5" t="s">
        <v>46</v>
      </c>
      <c r="U1272" s="5" t="s">
        <v>46</v>
      </c>
      <c r="V1272" s="1" t="n">
        <v>1</v>
      </c>
      <c r="W1272" s="3"/>
      <c r="X1272" s="5" t="s">
        <v>46</v>
      </c>
      <c r="Y1272" s="12" t="n">
        <v>5500</v>
      </c>
      <c r="Z1272" s="5" t="s">
        <v>1324</v>
      </c>
      <c r="AA1272" s="5" t="s">
        <v>1325</v>
      </c>
      <c r="AB1272" s="13" t="str">
        <f aca="true" t="array" ref="AB1272:AB1272">LEFT(AA1272,LOOKUP(2^15,FIND(".",AA1272,ROW(INDIRECT("1:"&amp;LEN(AA1272)))))-1)</f>
        <v>NB_2023_016 - 20230425 - 1</v>
      </c>
      <c r="AC1272" s="5" t="s">
        <v>1326</v>
      </c>
      <c r="AD1272" s="13" t="str">
        <f aca="true" t="array" ref="AD1272:AD1272">LEFT(AC1272,LOOKUP(2^15,FIND(".",AC1272,ROW(INDIRECT("1:"&amp;LEN(AC1272)))))-1)</f>
        <v>NB_2023_016 - 20230425 - 2</v>
      </c>
      <c r="AE1272" s="5" t="str">
        <f aca="false">CONCATENATE(AB1272, "-",H1272, ".mzML")</f>
        <v>NB_2023_016 - 20230425 - 1-Blank_1.mzML</v>
      </c>
      <c r="AF1272" s="5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0" t="s">
        <v>1394</v>
      </c>
      <c r="B1273" s="31"/>
      <c r="C1273" s="3" t="s">
        <v>1395</v>
      </c>
      <c r="D1273" s="5" t="s">
        <v>14</v>
      </c>
      <c r="E1273" s="5" t="s">
        <v>1319</v>
      </c>
      <c r="F1273" s="6" t="s">
        <v>1320</v>
      </c>
      <c r="G1273" s="5" t="s">
        <v>1319</v>
      </c>
      <c r="H1273" s="14" t="s">
        <v>67</v>
      </c>
      <c r="I1273" s="5" t="str">
        <f aca="false">CONCATENATE(E1273, "_",H1273)</f>
        <v>NLA_2023_018_Blank_3</v>
      </c>
      <c r="J1273" s="5" t="s">
        <v>52</v>
      </c>
      <c r="K1273" s="16" t="s">
        <v>67</v>
      </c>
      <c r="L1273" s="6" t="s">
        <v>46</v>
      </c>
      <c r="M1273" s="15" t="s">
        <v>46</v>
      </c>
      <c r="N1273" s="5" t="s">
        <v>65</v>
      </c>
      <c r="O1273" s="5" t="s">
        <v>46</v>
      </c>
      <c r="P1273" s="5" t="s">
        <v>46</v>
      </c>
      <c r="Q1273" s="5" t="s">
        <v>46</v>
      </c>
      <c r="R1273" s="5" t="s">
        <v>46</v>
      </c>
      <c r="S1273" s="5" t="s">
        <v>46</v>
      </c>
      <c r="T1273" s="5" t="s">
        <v>46</v>
      </c>
      <c r="U1273" s="5" t="s">
        <v>46</v>
      </c>
      <c r="V1273" s="1" t="n">
        <v>3</v>
      </c>
      <c r="W1273" s="3"/>
      <c r="X1273" s="5" t="s">
        <v>46</v>
      </c>
      <c r="Y1273" s="12" t="n">
        <v>5500</v>
      </c>
      <c r="Z1273" s="5" t="s">
        <v>1324</v>
      </c>
      <c r="AA1273" s="5" t="s">
        <v>1325</v>
      </c>
      <c r="AB1273" s="13" t="str">
        <f aca="true" t="array" ref="AB1273:AB1273">LEFT(AA1273,LOOKUP(2^15,FIND(".",AA1273,ROW(INDIRECT("1:"&amp;LEN(AA1273)))))-1)</f>
        <v>NB_2023_016 - 20230425 - 1</v>
      </c>
      <c r="AC1273" s="5" t="s">
        <v>1326</v>
      </c>
      <c r="AD1273" s="13" t="str">
        <f aca="true" t="array" ref="AD1273:AD1273">LEFT(AC1273,LOOKUP(2^15,FIND(".",AC1273,ROW(INDIRECT("1:"&amp;LEN(AC1273)))))-1)</f>
        <v>NB_2023_016 - 20230425 - 2</v>
      </c>
      <c r="AE1273" s="5" t="str">
        <f aca="false">CONCATENATE(AB1273, "-",H1273, ".mzML")</f>
        <v>NB_2023_016 - 20230425 - 1-Blank_3.mzML</v>
      </c>
      <c r="AF1273" s="5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0" t="s">
        <v>1394</v>
      </c>
      <c r="B1274" s="31"/>
      <c r="C1274" s="3" t="s">
        <v>1395</v>
      </c>
      <c r="D1274" s="5" t="s">
        <v>14</v>
      </c>
      <c r="E1274" s="5" t="s">
        <v>1319</v>
      </c>
      <c r="F1274" s="6" t="s">
        <v>1320</v>
      </c>
      <c r="G1274" s="5" t="s">
        <v>1319</v>
      </c>
      <c r="H1274" s="14" t="s">
        <v>221</v>
      </c>
      <c r="I1274" s="5" t="str">
        <f aca="false">CONCATENATE(E1274, "_",H1274)</f>
        <v>NLA_2023_018_Blank_4</v>
      </c>
      <c r="J1274" s="5" t="s">
        <v>52</v>
      </c>
      <c r="K1274" s="16" t="s">
        <v>221</v>
      </c>
      <c r="L1274" s="6" t="s">
        <v>46</v>
      </c>
      <c r="M1274" s="15" t="s">
        <v>46</v>
      </c>
      <c r="N1274" s="5" t="s">
        <v>65</v>
      </c>
      <c r="O1274" s="5" t="s">
        <v>46</v>
      </c>
      <c r="P1274" s="5" t="s">
        <v>46</v>
      </c>
      <c r="Q1274" s="5" t="s">
        <v>46</v>
      </c>
      <c r="R1274" s="5" t="s">
        <v>46</v>
      </c>
      <c r="S1274" s="5" t="s">
        <v>46</v>
      </c>
      <c r="T1274" s="5" t="s">
        <v>46</v>
      </c>
      <c r="U1274" s="5" t="s">
        <v>46</v>
      </c>
      <c r="V1274" s="1" t="n">
        <v>4</v>
      </c>
      <c r="W1274" s="3"/>
      <c r="X1274" s="5" t="s">
        <v>46</v>
      </c>
      <c r="Y1274" s="12" t="n">
        <v>5500</v>
      </c>
      <c r="Z1274" s="5" t="s">
        <v>1324</v>
      </c>
      <c r="AA1274" s="5" t="s">
        <v>1325</v>
      </c>
      <c r="AB1274" s="13" t="str">
        <f aca="true" t="array" ref="AB1274:AB1274">LEFT(AA1274,LOOKUP(2^15,FIND(".",AA1274,ROW(INDIRECT("1:"&amp;LEN(AA1274)))))-1)</f>
        <v>NB_2023_016 - 20230425 - 1</v>
      </c>
      <c r="AC1274" s="5" t="s">
        <v>1326</v>
      </c>
      <c r="AD1274" s="13" t="str">
        <f aca="true" t="array" ref="AD1274:AD1274">LEFT(AC1274,LOOKUP(2^15,FIND(".",AC1274,ROW(INDIRECT("1:"&amp;LEN(AC1274)))))-1)</f>
        <v>NB_2023_016 - 20230425 - 2</v>
      </c>
      <c r="AE1274" s="5" t="str">
        <f aca="false">CONCATENATE(AB1274, "-",H1274, ".mzML")</f>
        <v>NB_2023_016 - 20230425 - 1-Blank_4.mzML</v>
      </c>
      <c r="AF1274" s="5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0" t="s">
        <v>1394</v>
      </c>
      <c r="B1275" s="31"/>
      <c r="C1275" s="3" t="s">
        <v>1395</v>
      </c>
      <c r="D1275" s="5" t="s">
        <v>14</v>
      </c>
      <c r="E1275" s="5" t="s">
        <v>1319</v>
      </c>
      <c r="F1275" s="6" t="s">
        <v>1320</v>
      </c>
      <c r="G1275" s="5" t="s">
        <v>1319</v>
      </c>
      <c r="H1275" s="14" t="s">
        <v>68</v>
      </c>
      <c r="I1275" s="5" t="str">
        <f aca="false">CONCATENATE(E1275, "_",H1275)</f>
        <v>NLA_2023_018_QC_C_1</v>
      </c>
      <c r="J1275" s="5" t="s">
        <v>52</v>
      </c>
      <c r="K1275" s="16" t="s">
        <v>68</v>
      </c>
      <c r="L1275" s="8" t="s">
        <v>69</v>
      </c>
      <c r="M1275" s="1" t="s">
        <v>46</v>
      </c>
      <c r="N1275" s="5" t="s">
        <v>70</v>
      </c>
      <c r="O1275" s="5" t="s">
        <v>46</v>
      </c>
      <c r="P1275" s="5" t="s">
        <v>71</v>
      </c>
      <c r="Q1275" s="5" t="s">
        <v>71</v>
      </c>
      <c r="R1275" s="5" t="s">
        <v>72</v>
      </c>
      <c r="S1275" s="5" t="s">
        <v>73</v>
      </c>
      <c r="T1275" s="5" t="s">
        <v>46</v>
      </c>
      <c r="U1275" s="5" t="n">
        <v>1000</v>
      </c>
      <c r="V1275" s="1" t="n">
        <v>1</v>
      </c>
      <c r="W1275" s="3"/>
      <c r="X1275" s="5" t="s">
        <v>74</v>
      </c>
      <c r="Y1275" s="12" t="n">
        <v>5500</v>
      </c>
      <c r="Z1275" s="5" t="s">
        <v>1324</v>
      </c>
      <c r="AA1275" s="5" t="s">
        <v>1325</v>
      </c>
      <c r="AB1275" s="13" t="str">
        <f aca="true" t="array" ref="AB1275:AB1275">LEFT(AA1275,LOOKUP(2^15,FIND(".",AA1275,ROW(INDIRECT("1:"&amp;LEN(AA1275)))))-1)</f>
        <v>NB_2023_016 - 20230425 - 1</v>
      </c>
      <c r="AC1275" s="5" t="s">
        <v>1326</v>
      </c>
      <c r="AD1275" s="13" t="str">
        <f aca="true" t="array" ref="AD1275:AD1275">LEFT(AC1275,LOOKUP(2^15,FIND(".",AC1275,ROW(INDIRECT("1:"&amp;LEN(AC1275)))))-1)</f>
        <v>NB_2023_016 - 20230425 - 2</v>
      </c>
      <c r="AE1275" s="5" t="str">
        <f aca="false">CONCATENATE(AB1275, "-",H1275, ".mzML")</f>
        <v>NB_2023_016 - 20230425 - 1-QC_C_1.mzML</v>
      </c>
      <c r="AF1275" s="5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0" t="s">
        <v>1394</v>
      </c>
      <c r="B1276" s="31"/>
      <c r="C1276" s="3" t="s">
        <v>1395</v>
      </c>
      <c r="D1276" s="5" t="s">
        <v>14</v>
      </c>
      <c r="E1276" s="5" t="s">
        <v>1319</v>
      </c>
      <c r="F1276" s="6" t="s">
        <v>1320</v>
      </c>
      <c r="G1276" s="5" t="s">
        <v>1319</v>
      </c>
      <c r="H1276" s="14" t="s">
        <v>75</v>
      </c>
      <c r="I1276" s="5" t="str">
        <f aca="false">CONCATENATE(E1276, "_",H1276)</f>
        <v>NLA_2023_018_QC_C_2</v>
      </c>
      <c r="J1276" s="5" t="s">
        <v>52</v>
      </c>
      <c r="K1276" s="16" t="s">
        <v>75</v>
      </c>
      <c r="L1276" s="8" t="s">
        <v>69</v>
      </c>
      <c r="M1276" s="1" t="s">
        <v>46</v>
      </c>
      <c r="N1276" s="5" t="s">
        <v>70</v>
      </c>
      <c r="O1276" s="5" t="s">
        <v>46</v>
      </c>
      <c r="P1276" s="5" t="s">
        <v>71</v>
      </c>
      <c r="Q1276" s="5" t="s">
        <v>71</v>
      </c>
      <c r="R1276" s="5" t="s">
        <v>72</v>
      </c>
      <c r="S1276" s="5" t="s">
        <v>73</v>
      </c>
      <c r="T1276" s="5" t="s">
        <v>46</v>
      </c>
      <c r="U1276" s="5" t="n">
        <v>1000</v>
      </c>
      <c r="V1276" s="1" t="n">
        <v>2</v>
      </c>
      <c r="W1276" s="3"/>
      <c r="X1276" s="5" t="s">
        <v>74</v>
      </c>
      <c r="Y1276" s="12" t="n">
        <v>5500</v>
      </c>
      <c r="Z1276" s="5" t="s">
        <v>1324</v>
      </c>
      <c r="AA1276" s="5" t="s">
        <v>1325</v>
      </c>
      <c r="AB1276" s="13" t="str">
        <f aca="true" t="array" ref="AB1276:AB1276">LEFT(AA1276,LOOKUP(2^15,FIND(".",AA1276,ROW(INDIRECT("1:"&amp;LEN(AA1276)))))-1)</f>
        <v>NB_2023_016 - 20230425 - 1</v>
      </c>
      <c r="AC1276" s="5" t="s">
        <v>1326</v>
      </c>
      <c r="AD1276" s="13" t="str">
        <f aca="true" t="array" ref="AD1276:AD1276">LEFT(AC1276,LOOKUP(2^15,FIND(".",AC1276,ROW(INDIRECT("1:"&amp;LEN(AC1276)))))-1)</f>
        <v>NB_2023_016 - 20230425 - 2</v>
      </c>
      <c r="AE1276" s="5" t="str">
        <f aca="false">CONCATENATE(AB1276, "-",H1276, ".mzML")</f>
        <v>NB_2023_016 - 20230425 - 1-QC_C_2.mzML</v>
      </c>
      <c r="AF1276" s="5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0" t="s">
        <v>1394</v>
      </c>
      <c r="B1277" s="31"/>
      <c r="C1277" s="3" t="s">
        <v>1395</v>
      </c>
      <c r="D1277" s="5" t="s">
        <v>14</v>
      </c>
      <c r="E1277" s="5" t="s">
        <v>1319</v>
      </c>
      <c r="F1277" s="6" t="s">
        <v>1320</v>
      </c>
      <c r="G1277" s="5" t="s">
        <v>1319</v>
      </c>
      <c r="H1277" s="14" t="s">
        <v>76</v>
      </c>
      <c r="I1277" s="5" t="str">
        <f aca="false">CONCATENATE(E1277, "_",H1277)</f>
        <v>NLA_2023_018_QC_C_3</v>
      </c>
      <c r="J1277" s="5" t="s">
        <v>52</v>
      </c>
      <c r="K1277" s="16" t="s">
        <v>76</v>
      </c>
      <c r="L1277" s="8" t="s">
        <v>69</v>
      </c>
      <c r="M1277" s="1" t="s">
        <v>46</v>
      </c>
      <c r="N1277" s="5" t="s">
        <v>70</v>
      </c>
      <c r="O1277" s="5" t="s">
        <v>46</v>
      </c>
      <c r="P1277" s="5" t="s">
        <v>71</v>
      </c>
      <c r="Q1277" s="5" t="s">
        <v>71</v>
      </c>
      <c r="R1277" s="5" t="s">
        <v>72</v>
      </c>
      <c r="S1277" s="5" t="s">
        <v>73</v>
      </c>
      <c r="T1277" s="5" t="s">
        <v>46</v>
      </c>
      <c r="U1277" s="5" t="n">
        <v>1000</v>
      </c>
      <c r="V1277" s="1" t="n">
        <v>3</v>
      </c>
      <c r="W1277" s="3"/>
      <c r="X1277" s="5" t="s">
        <v>74</v>
      </c>
      <c r="Y1277" s="12" t="n">
        <v>5500</v>
      </c>
      <c r="Z1277" s="5" t="s">
        <v>1324</v>
      </c>
      <c r="AA1277" s="5" t="s">
        <v>1325</v>
      </c>
      <c r="AB1277" s="13" t="str">
        <f aca="true" t="array" ref="AB1277:AB1277">LEFT(AA1277,LOOKUP(2^15,FIND(".",AA1277,ROW(INDIRECT("1:"&amp;LEN(AA1277)))))-1)</f>
        <v>NB_2023_016 - 20230425 - 1</v>
      </c>
      <c r="AC1277" s="5" t="s">
        <v>1326</v>
      </c>
      <c r="AD1277" s="13" t="str">
        <f aca="true" t="array" ref="AD1277:AD1277">LEFT(AC1277,LOOKUP(2^15,FIND(".",AC1277,ROW(INDIRECT("1:"&amp;LEN(AC1277)))))-1)</f>
        <v>NB_2023_016 - 20230425 - 2</v>
      </c>
      <c r="AE1277" s="5" t="str">
        <f aca="false">CONCATENATE(AB1277, "-",H1277, ".mzML")</f>
        <v>NB_2023_016 - 20230425 - 1-QC_C_3.mzML</v>
      </c>
      <c r="AF1277" s="5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0" t="s">
        <v>1394</v>
      </c>
      <c r="B1278" s="31"/>
      <c r="C1278" s="3" t="s">
        <v>1395</v>
      </c>
      <c r="D1278" s="5" t="s">
        <v>14</v>
      </c>
      <c r="E1278" s="5" t="s">
        <v>1319</v>
      </c>
      <c r="F1278" s="6" t="s">
        <v>1320</v>
      </c>
      <c r="G1278" s="5" t="s">
        <v>1319</v>
      </c>
      <c r="H1278" s="14" t="s">
        <v>222</v>
      </c>
      <c r="I1278" s="5" t="str">
        <f aca="false">CONCATENATE(E1278, "_",H1278)</f>
        <v>NLA_2023_018_QC_C_4</v>
      </c>
      <c r="J1278" s="5" t="s">
        <v>52</v>
      </c>
      <c r="K1278" s="16" t="s">
        <v>222</v>
      </c>
      <c r="L1278" s="8" t="s">
        <v>69</v>
      </c>
      <c r="M1278" s="1" t="s">
        <v>46</v>
      </c>
      <c r="N1278" s="5" t="s">
        <v>70</v>
      </c>
      <c r="O1278" s="5" t="s">
        <v>46</v>
      </c>
      <c r="P1278" s="5" t="s">
        <v>71</v>
      </c>
      <c r="Q1278" s="5" t="s">
        <v>71</v>
      </c>
      <c r="R1278" s="5" t="s">
        <v>72</v>
      </c>
      <c r="S1278" s="5" t="s">
        <v>73</v>
      </c>
      <c r="T1278" s="5" t="s">
        <v>46</v>
      </c>
      <c r="U1278" s="5" t="n">
        <v>1000</v>
      </c>
      <c r="V1278" s="1" t="n">
        <v>4</v>
      </c>
      <c r="W1278" s="3"/>
      <c r="X1278" s="5" t="s">
        <v>74</v>
      </c>
      <c r="Y1278" s="12" t="n">
        <v>5500</v>
      </c>
      <c r="Z1278" s="5" t="s">
        <v>1324</v>
      </c>
      <c r="AA1278" s="5" t="s">
        <v>1325</v>
      </c>
      <c r="AB1278" s="13" t="str">
        <f aca="true" t="array" ref="AB1278:AB1278">LEFT(AA1278,LOOKUP(2^15,FIND(".",AA1278,ROW(INDIRECT("1:"&amp;LEN(AA1278)))))-1)</f>
        <v>NB_2023_016 - 20230425 - 1</v>
      </c>
      <c r="AC1278" s="5" t="s">
        <v>1326</v>
      </c>
      <c r="AD1278" s="13" t="str">
        <f aca="true" t="array" ref="AD1278:AD1278">LEFT(AC1278,LOOKUP(2^15,FIND(".",AC1278,ROW(INDIRECT("1:"&amp;LEN(AC1278)))))-1)</f>
        <v>NB_2023_016 - 20230425 - 2</v>
      </c>
      <c r="AE1278" s="5" t="str">
        <f aca="false">CONCATENATE(AB1278, "-",H1278, ".mzML")</f>
        <v>NB_2023_016 - 20230425 - 1-QC_C_4.mzML</v>
      </c>
      <c r="AF1278" s="5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0" t="s">
        <v>1394</v>
      </c>
      <c r="B1279" s="31"/>
      <c r="C1279" s="3" t="s">
        <v>1395</v>
      </c>
      <c r="D1279" s="5" t="s">
        <v>14</v>
      </c>
      <c r="E1279" s="5" t="s">
        <v>1319</v>
      </c>
      <c r="F1279" s="6" t="s">
        <v>1320</v>
      </c>
      <c r="G1279" s="5" t="s">
        <v>1319</v>
      </c>
      <c r="H1279" s="14" t="s">
        <v>77</v>
      </c>
      <c r="I1279" s="5" t="str">
        <f aca="false">CONCATENATE(E1279, "_",H1279)</f>
        <v>NLA_2023_018_QC_P_1</v>
      </c>
      <c r="J1279" s="5" t="s">
        <v>52</v>
      </c>
      <c r="K1279" s="16" t="s">
        <v>77</v>
      </c>
      <c r="L1279" s="6" t="s">
        <v>69</v>
      </c>
      <c r="M1279" s="1" t="s">
        <v>46</v>
      </c>
      <c r="N1279" s="5" t="s">
        <v>78</v>
      </c>
      <c r="O1279" s="5" t="s">
        <v>46</v>
      </c>
      <c r="P1279" s="5" t="s">
        <v>79</v>
      </c>
      <c r="Q1279" s="5" t="s">
        <v>80</v>
      </c>
      <c r="R1279" s="5" t="s">
        <v>81</v>
      </c>
      <c r="S1279" s="5" t="s">
        <v>46</v>
      </c>
      <c r="T1279" s="5" t="s">
        <v>46</v>
      </c>
      <c r="U1279" s="5" t="s">
        <v>82</v>
      </c>
      <c r="V1279" s="1" t="n">
        <v>1</v>
      </c>
      <c r="W1279" s="3"/>
      <c r="X1279" s="5" t="s">
        <v>83</v>
      </c>
      <c r="Y1279" s="12" t="n">
        <v>5500</v>
      </c>
      <c r="Z1279" s="5" t="s">
        <v>1324</v>
      </c>
      <c r="AA1279" s="5" t="s">
        <v>1325</v>
      </c>
      <c r="AB1279" s="13" t="str">
        <f aca="true" t="array" ref="AB1279:AB1279">LEFT(AA1279,LOOKUP(2^15,FIND(".",AA1279,ROW(INDIRECT("1:"&amp;LEN(AA1279)))))-1)</f>
        <v>NB_2023_016 - 20230425 - 1</v>
      </c>
      <c r="AC1279" s="5" t="s">
        <v>1326</v>
      </c>
      <c r="AD1279" s="13" t="str">
        <f aca="true" t="array" ref="AD1279:AD1279">LEFT(AC1279,LOOKUP(2^15,FIND(".",AC1279,ROW(INDIRECT("1:"&amp;LEN(AC1279)))))-1)</f>
        <v>NB_2023_016 - 20230425 - 2</v>
      </c>
      <c r="AE1279" s="5" t="str">
        <f aca="false">CONCATENATE(AB1279, "-",H1279, ".mzML")</f>
        <v>NB_2023_016 - 20230425 - 1-QC_P_1.mzML</v>
      </c>
      <c r="AF1279" s="5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0" t="s">
        <v>1394</v>
      </c>
      <c r="B1280" s="31"/>
      <c r="C1280" s="3" t="s">
        <v>1395</v>
      </c>
      <c r="D1280" s="5" t="s">
        <v>14</v>
      </c>
      <c r="E1280" s="5" t="s">
        <v>1319</v>
      </c>
      <c r="F1280" s="6" t="s">
        <v>1320</v>
      </c>
      <c r="G1280" s="5" t="s">
        <v>1319</v>
      </c>
      <c r="H1280" s="14" t="s">
        <v>84</v>
      </c>
      <c r="I1280" s="5" t="str">
        <f aca="false">CONCATENATE(E1280, "_",H1280)</f>
        <v>NLA_2023_018_QC_P_2</v>
      </c>
      <c r="J1280" s="5" t="s">
        <v>52</v>
      </c>
      <c r="K1280" s="16" t="s">
        <v>84</v>
      </c>
      <c r="L1280" s="6" t="s">
        <v>69</v>
      </c>
      <c r="M1280" s="1" t="s">
        <v>46</v>
      </c>
      <c r="N1280" s="5" t="s">
        <v>78</v>
      </c>
      <c r="O1280" s="5" t="s">
        <v>46</v>
      </c>
      <c r="P1280" s="5" t="s">
        <v>79</v>
      </c>
      <c r="Q1280" s="5" t="s">
        <v>80</v>
      </c>
      <c r="R1280" s="5" t="s">
        <v>81</v>
      </c>
      <c r="S1280" s="5" t="s">
        <v>46</v>
      </c>
      <c r="T1280" s="5" t="s">
        <v>46</v>
      </c>
      <c r="U1280" s="5" t="s">
        <v>82</v>
      </c>
      <c r="V1280" s="1" t="n">
        <v>2</v>
      </c>
      <c r="W1280" s="3"/>
      <c r="X1280" s="5" t="s">
        <v>83</v>
      </c>
      <c r="Y1280" s="12" t="n">
        <v>5500</v>
      </c>
      <c r="Z1280" s="5" t="s">
        <v>1324</v>
      </c>
      <c r="AA1280" s="5" t="s">
        <v>1325</v>
      </c>
      <c r="AB1280" s="13" t="str">
        <f aca="true" t="array" ref="AB1280:AB1280">LEFT(AA1280,LOOKUP(2^15,FIND(".",AA1280,ROW(INDIRECT("1:"&amp;LEN(AA1280)))))-1)</f>
        <v>NB_2023_016 - 20230425 - 1</v>
      </c>
      <c r="AC1280" s="5" t="s">
        <v>1326</v>
      </c>
      <c r="AD1280" s="13" t="str">
        <f aca="true" t="array" ref="AD1280:AD1280">LEFT(AC1280,LOOKUP(2^15,FIND(".",AC1280,ROW(INDIRECT("1:"&amp;LEN(AC1280)))))-1)</f>
        <v>NB_2023_016 - 20230425 - 2</v>
      </c>
      <c r="AE1280" s="5" t="str">
        <f aca="false">CONCATENATE(AB1280, "-",H1280, ".mzML")</f>
        <v>NB_2023_016 - 20230425 - 1-QC_P_2.mzML</v>
      </c>
      <c r="AF1280" s="5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0" t="s">
        <v>1394</v>
      </c>
      <c r="B1281" s="31"/>
      <c r="C1281" s="3" t="s">
        <v>1395</v>
      </c>
      <c r="D1281" s="5" t="s">
        <v>14</v>
      </c>
      <c r="E1281" s="5" t="s">
        <v>1319</v>
      </c>
      <c r="F1281" s="6" t="s">
        <v>1320</v>
      </c>
      <c r="G1281" s="5" t="s">
        <v>1319</v>
      </c>
      <c r="H1281" s="14" t="s">
        <v>85</v>
      </c>
      <c r="I1281" s="5" t="str">
        <f aca="false">CONCATENATE(E1281, "_",H1281)</f>
        <v>NLA_2023_018_QC_P_3</v>
      </c>
      <c r="J1281" s="3" t="s">
        <v>52</v>
      </c>
      <c r="K1281" s="16" t="s">
        <v>85</v>
      </c>
      <c r="L1281" s="6" t="s">
        <v>69</v>
      </c>
      <c r="M1281" s="1" t="s">
        <v>46</v>
      </c>
      <c r="N1281" s="5" t="s">
        <v>78</v>
      </c>
      <c r="O1281" s="5" t="s">
        <v>46</v>
      </c>
      <c r="P1281" s="5" t="s">
        <v>79</v>
      </c>
      <c r="Q1281" s="5" t="s">
        <v>80</v>
      </c>
      <c r="R1281" s="5" t="s">
        <v>81</v>
      </c>
      <c r="S1281" s="5" t="s">
        <v>46</v>
      </c>
      <c r="T1281" s="5" t="s">
        <v>46</v>
      </c>
      <c r="U1281" s="5" t="s">
        <v>82</v>
      </c>
      <c r="V1281" s="1" t="n">
        <v>3</v>
      </c>
      <c r="W1281" s="3"/>
      <c r="X1281" s="5" t="s">
        <v>83</v>
      </c>
      <c r="Y1281" s="12" t="n">
        <v>5500</v>
      </c>
      <c r="Z1281" s="5" t="s">
        <v>1324</v>
      </c>
      <c r="AA1281" s="5" t="s">
        <v>1325</v>
      </c>
      <c r="AB1281" s="13" t="str">
        <f aca="true" t="array" ref="AB1281:AB1281">LEFT(AA1281,LOOKUP(2^15,FIND(".",AA1281,ROW(INDIRECT("1:"&amp;LEN(AA1281)))))-1)</f>
        <v>NB_2023_016 - 20230425 - 1</v>
      </c>
      <c r="AC1281" s="5" t="s">
        <v>1326</v>
      </c>
      <c r="AD1281" s="13" t="str">
        <f aca="true" t="array" ref="AD1281:AD1281">LEFT(AC1281,LOOKUP(2^15,FIND(".",AC1281,ROW(INDIRECT("1:"&amp;LEN(AC1281)))))-1)</f>
        <v>NB_2023_016 - 20230425 - 2</v>
      </c>
      <c r="AE1281" s="5" t="str">
        <f aca="false">CONCATENATE(AB1281, "-",H1281, ".mzML")</f>
        <v>NB_2023_016 - 20230425 - 1-QC_P_3.mzML</v>
      </c>
      <c r="AF1281" s="5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0" t="s">
        <v>1394</v>
      </c>
      <c r="B1282" s="31"/>
      <c r="C1282" s="3" t="s">
        <v>1395</v>
      </c>
      <c r="D1282" s="5" t="s">
        <v>14</v>
      </c>
      <c r="E1282" s="5" t="s">
        <v>1319</v>
      </c>
      <c r="F1282" s="6" t="s">
        <v>1320</v>
      </c>
      <c r="G1282" s="5" t="s">
        <v>1319</v>
      </c>
      <c r="H1282" s="14" t="s">
        <v>224</v>
      </c>
      <c r="I1282" s="5" t="str">
        <f aca="false">CONCATENATE(E1282, "_",H1282)</f>
        <v>NLA_2023_018_QC_P_4</v>
      </c>
      <c r="J1282" s="3" t="s">
        <v>52</v>
      </c>
      <c r="K1282" s="16" t="s">
        <v>224</v>
      </c>
      <c r="L1282" s="6" t="s">
        <v>69</v>
      </c>
      <c r="M1282" s="1" t="s">
        <v>46</v>
      </c>
      <c r="N1282" s="5" t="s">
        <v>78</v>
      </c>
      <c r="O1282" s="5" t="s">
        <v>46</v>
      </c>
      <c r="P1282" s="5" t="s">
        <v>79</v>
      </c>
      <c r="Q1282" s="5" t="s">
        <v>80</v>
      </c>
      <c r="R1282" s="5" t="s">
        <v>81</v>
      </c>
      <c r="S1282" s="5" t="s">
        <v>46</v>
      </c>
      <c r="T1282" s="5" t="s">
        <v>46</v>
      </c>
      <c r="U1282" s="5" t="s">
        <v>82</v>
      </c>
      <c r="V1282" s="1" t="n">
        <v>4</v>
      </c>
      <c r="W1282" s="3"/>
      <c r="X1282" s="5" t="s">
        <v>83</v>
      </c>
      <c r="Y1282" s="12" t="n">
        <v>5500</v>
      </c>
      <c r="Z1282" s="5" t="s">
        <v>1324</v>
      </c>
      <c r="AA1282" s="5" t="s">
        <v>1325</v>
      </c>
      <c r="AB1282" s="13" t="str">
        <f aca="true" t="array" ref="AB1282:AB1282">LEFT(AA1282,LOOKUP(2^15,FIND(".",AA1282,ROW(INDIRECT("1:"&amp;LEN(AA1282)))))-1)</f>
        <v>NB_2023_016 - 20230425 - 1</v>
      </c>
      <c r="AC1282" s="5" t="s">
        <v>1326</v>
      </c>
      <c r="AD1282" s="13" t="str">
        <f aca="true" t="array" ref="AD1282:AD1282">LEFT(AC1282,LOOKUP(2^15,FIND(".",AC1282,ROW(INDIRECT("1:"&amp;LEN(AC1282)))))-1)</f>
        <v>NB_2023_016 - 20230425 - 2</v>
      </c>
      <c r="AE1282" s="5" t="str">
        <f aca="false">CONCATENATE(AB1282, "-",H1282, ".mzML")</f>
        <v>NB_2023_016 - 20230425 - 1-QC_P_4.mzML</v>
      </c>
      <c r="AF1282" s="5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0" t="s">
        <v>1396</v>
      </c>
      <c r="B1283" s="31"/>
      <c r="C1283" s="3" t="s">
        <v>1397</v>
      </c>
      <c r="D1283" s="5" t="s">
        <v>14</v>
      </c>
      <c r="E1283" s="5" t="s">
        <v>1319</v>
      </c>
      <c r="F1283" s="6" t="s">
        <v>1320</v>
      </c>
      <c r="G1283" s="5" t="s">
        <v>1345</v>
      </c>
      <c r="H1283" s="6" t="s">
        <v>62</v>
      </c>
      <c r="I1283" s="5" t="str">
        <f aca="false">CONCATENATE(E1283, "_",H1283)</f>
        <v>NLA_2023_018_021</v>
      </c>
      <c r="J1283" s="5" t="s">
        <v>38</v>
      </c>
      <c r="K1283" s="5" t="s">
        <v>1350</v>
      </c>
      <c r="L1283" s="8" t="s">
        <v>69</v>
      </c>
      <c r="M1283" s="15" t="s">
        <v>1347</v>
      </c>
      <c r="N1283" s="5" t="s">
        <v>246</v>
      </c>
      <c r="O1283" s="32" t="s">
        <v>1212</v>
      </c>
      <c r="P1283" s="1" t="s">
        <v>43</v>
      </c>
      <c r="Q1283" s="1" t="s">
        <v>43</v>
      </c>
      <c r="R1283" s="5" t="s">
        <v>44</v>
      </c>
      <c r="S1283" s="12"/>
      <c r="T1283" s="5"/>
      <c r="U1283" s="5" t="n">
        <v>1500</v>
      </c>
      <c r="V1283" s="12" t="n">
        <v>1</v>
      </c>
      <c r="W1283" s="3"/>
      <c r="X1283" s="8" t="s">
        <v>1215</v>
      </c>
      <c r="Y1283" s="12" t="n">
        <v>5500</v>
      </c>
      <c r="Z1283" s="5" t="s">
        <v>1324</v>
      </c>
      <c r="AA1283" s="5" t="s">
        <v>1325</v>
      </c>
      <c r="AB1283" s="13" t="str">
        <f aca="true" t="array" ref="AB1283:AB1283">LEFT(AA1283,LOOKUP(2^15,FIND(".",AA1283,ROW(INDIRECT("1:"&amp;LEN(AA1283)))))-1)</f>
        <v>NB_2023_016 - 20230425 - 1</v>
      </c>
      <c r="AC1283" s="5" t="s">
        <v>1326</v>
      </c>
      <c r="AD1283" s="13" t="str">
        <f aca="true" t="array" ref="AD1283:AD1283">LEFT(AC1283,LOOKUP(2^15,FIND(".",AC1283,ROW(INDIRECT("1:"&amp;LEN(AC1283)))))-1)</f>
        <v>NB_2023_016 - 20230425 - 2</v>
      </c>
      <c r="AE1283" s="5" t="str">
        <f aca="false">CONCATENATE(AB1283, "-",H1283, ".mzML")</f>
        <v>NB_2023_016 - 20230425 - 1-021.mzML</v>
      </c>
      <c r="AF1283" s="5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0" t="s">
        <v>1396</v>
      </c>
      <c r="B1284" s="31"/>
      <c r="C1284" s="3" t="s">
        <v>1397</v>
      </c>
      <c r="D1284" s="5" t="s">
        <v>14</v>
      </c>
      <c r="E1284" s="5" t="s">
        <v>1319</v>
      </c>
      <c r="F1284" s="6" t="s">
        <v>1320</v>
      </c>
      <c r="G1284" s="5" t="s">
        <v>1345</v>
      </c>
      <c r="H1284" s="6" t="s">
        <v>1351</v>
      </c>
      <c r="I1284" s="5" t="str">
        <f aca="false">CONCATENATE(E1284, "_",H1284)</f>
        <v>NLA_2023_018_025</v>
      </c>
      <c r="J1284" s="5" t="s">
        <v>38</v>
      </c>
      <c r="K1284" s="5" t="s">
        <v>1352</v>
      </c>
      <c r="L1284" s="8" t="s">
        <v>69</v>
      </c>
      <c r="M1284" s="15" t="s">
        <v>1347</v>
      </c>
      <c r="N1284" s="5" t="s">
        <v>246</v>
      </c>
      <c r="O1284" s="32" t="s">
        <v>1212</v>
      </c>
      <c r="P1284" s="1" t="s">
        <v>43</v>
      </c>
      <c r="Q1284" s="1" t="s">
        <v>43</v>
      </c>
      <c r="R1284" s="5" t="s">
        <v>44</v>
      </c>
      <c r="S1284" s="12"/>
      <c r="T1284" s="5"/>
      <c r="U1284" s="5" t="n">
        <v>1500</v>
      </c>
      <c r="V1284" s="12" t="n">
        <v>2</v>
      </c>
      <c r="W1284" s="3"/>
      <c r="X1284" s="8" t="s">
        <v>1215</v>
      </c>
      <c r="Y1284" s="12" t="n">
        <v>5500</v>
      </c>
      <c r="Z1284" s="5" t="s">
        <v>1324</v>
      </c>
      <c r="AA1284" s="5" t="s">
        <v>1325</v>
      </c>
      <c r="AB1284" s="13" t="str">
        <f aca="true" t="array" ref="AB1284:AB1284">LEFT(AA1284,LOOKUP(2^15,FIND(".",AA1284,ROW(INDIRECT("1:"&amp;LEN(AA1284)))))-1)</f>
        <v>NB_2023_016 - 20230425 - 1</v>
      </c>
      <c r="AC1284" s="5" t="s">
        <v>1326</v>
      </c>
      <c r="AD1284" s="13" t="str">
        <f aca="true" t="array" ref="AD1284:AD1284">LEFT(AC1284,LOOKUP(2^15,FIND(".",AC1284,ROW(INDIRECT("1:"&amp;LEN(AC1284)))))-1)</f>
        <v>NB_2023_016 - 20230425 - 2</v>
      </c>
      <c r="AE1284" s="5" t="str">
        <f aca="false">CONCATENATE(AB1284, "-",H1284, ".mzML")</f>
        <v>NB_2023_016 - 20230425 - 1-025.mzML</v>
      </c>
      <c r="AF1284" s="5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0" t="s">
        <v>1396</v>
      </c>
      <c r="B1285" s="31"/>
      <c r="C1285" s="3" t="s">
        <v>1397</v>
      </c>
      <c r="D1285" s="5" t="s">
        <v>14</v>
      </c>
      <c r="E1285" s="5" t="s">
        <v>1319</v>
      </c>
      <c r="F1285" s="6" t="s">
        <v>1320</v>
      </c>
      <c r="G1285" s="5" t="s">
        <v>1345</v>
      </c>
      <c r="H1285" s="6" t="s">
        <v>1353</v>
      </c>
      <c r="I1285" s="5" t="str">
        <f aca="false">CONCATENATE(E1285, "_",H1285)</f>
        <v>NLA_2023_018_027</v>
      </c>
      <c r="J1285" s="5" t="s">
        <v>38</v>
      </c>
      <c r="K1285" s="5" t="s">
        <v>1354</v>
      </c>
      <c r="L1285" s="8" t="s">
        <v>69</v>
      </c>
      <c r="M1285" s="15" t="s">
        <v>1347</v>
      </c>
      <c r="N1285" s="5" t="s">
        <v>246</v>
      </c>
      <c r="O1285" s="32" t="s">
        <v>1212</v>
      </c>
      <c r="P1285" s="1" t="s">
        <v>43</v>
      </c>
      <c r="Q1285" s="1" t="s">
        <v>43</v>
      </c>
      <c r="R1285" s="5" t="s">
        <v>44</v>
      </c>
      <c r="S1285" s="12"/>
      <c r="T1285" s="5"/>
      <c r="U1285" s="5" t="n">
        <v>1500</v>
      </c>
      <c r="V1285" s="12" t="n">
        <v>3</v>
      </c>
      <c r="W1285" s="3"/>
      <c r="X1285" s="8" t="s">
        <v>1215</v>
      </c>
      <c r="Y1285" s="12" t="n">
        <v>5500</v>
      </c>
      <c r="Z1285" s="5" t="s">
        <v>1324</v>
      </c>
      <c r="AA1285" s="5" t="s">
        <v>1325</v>
      </c>
      <c r="AB1285" s="13" t="str">
        <f aca="true" t="array" ref="AB1285:AB1285">LEFT(AA1285,LOOKUP(2^15,FIND(".",AA1285,ROW(INDIRECT("1:"&amp;LEN(AA1285)))))-1)</f>
        <v>NB_2023_016 - 20230425 - 1</v>
      </c>
      <c r="AC1285" s="5" t="s">
        <v>1326</v>
      </c>
      <c r="AD1285" s="13" t="str">
        <f aca="true" t="array" ref="AD1285:AD1285">LEFT(AC1285,LOOKUP(2^15,FIND(".",AC1285,ROW(INDIRECT("1:"&amp;LEN(AC1285)))))-1)</f>
        <v>NB_2023_016 - 20230425 - 2</v>
      </c>
      <c r="AE1285" s="5" t="str">
        <f aca="false">CONCATENATE(AB1285, "-",H1285, ".mzML")</f>
        <v>NB_2023_016 - 20230425 - 1-027.mzML</v>
      </c>
      <c r="AF1285" s="5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0" t="s">
        <v>1396</v>
      </c>
      <c r="B1286" s="31"/>
      <c r="C1286" s="3" t="s">
        <v>1397</v>
      </c>
      <c r="D1286" s="5" t="s">
        <v>14</v>
      </c>
      <c r="E1286" s="5" t="s">
        <v>1319</v>
      </c>
      <c r="F1286" s="6" t="s">
        <v>1320</v>
      </c>
      <c r="G1286" s="5" t="s">
        <v>1345</v>
      </c>
      <c r="H1286" s="6" t="s">
        <v>920</v>
      </c>
      <c r="I1286" s="5" t="str">
        <f aca="false">CONCATENATE(E1286, "_",H1286)</f>
        <v>NLA_2023_018_034</v>
      </c>
      <c r="J1286" s="5" t="s">
        <v>52</v>
      </c>
      <c r="K1286" s="5" t="s">
        <v>1388</v>
      </c>
      <c r="L1286" s="8" t="s">
        <v>69</v>
      </c>
      <c r="M1286" s="15" t="s">
        <v>1347</v>
      </c>
      <c r="N1286" s="5" t="s">
        <v>246</v>
      </c>
      <c r="O1286" s="32" t="s">
        <v>1220</v>
      </c>
      <c r="P1286" s="1" t="s">
        <v>43</v>
      </c>
      <c r="Q1286" s="5" t="s">
        <v>1358</v>
      </c>
      <c r="R1286" s="5" t="s">
        <v>44</v>
      </c>
      <c r="S1286" s="12"/>
      <c r="T1286" s="5"/>
      <c r="U1286" s="5" t="n">
        <v>1500</v>
      </c>
      <c r="V1286" s="12" t="n">
        <v>1</v>
      </c>
      <c r="W1286" s="3"/>
      <c r="X1286" s="8" t="s">
        <v>1215</v>
      </c>
      <c r="Y1286" s="12" t="n">
        <v>5500</v>
      </c>
      <c r="Z1286" s="5" t="s">
        <v>1324</v>
      </c>
      <c r="AA1286" s="5" t="s">
        <v>1325</v>
      </c>
      <c r="AB1286" s="13" t="str">
        <f aca="true" t="array" ref="AB1286:AB1286">LEFT(AA1286,LOOKUP(2^15,FIND(".",AA1286,ROW(INDIRECT("1:"&amp;LEN(AA1286)))))-1)</f>
        <v>NB_2023_016 - 20230425 - 1</v>
      </c>
      <c r="AC1286" s="5" t="s">
        <v>1326</v>
      </c>
      <c r="AD1286" s="13" t="str">
        <f aca="true" t="array" ref="AD1286:AD1286">LEFT(AC1286,LOOKUP(2^15,FIND(".",AC1286,ROW(INDIRECT("1:"&amp;LEN(AC1286)))))-1)</f>
        <v>NB_2023_016 - 20230425 - 2</v>
      </c>
      <c r="AE1286" s="5" t="str">
        <f aca="false">CONCATENATE(AB1286, "-",H1286, ".mzML")</f>
        <v>NB_2023_016 - 20230425 - 1-034.mzML</v>
      </c>
      <c r="AF1286" s="5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0" t="s">
        <v>1396</v>
      </c>
      <c r="B1287" s="31"/>
      <c r="C1287" s="3" t="s">
        <v>1397</v>
      </c>
      <c r="D1287" s="5" t="s">
        <v>14</v>
      </c>
      <c r="E1287" s="5" t="s">
        <v>1319</v>
      </c>
      <c r="F1287" s="6" t="s">
        <v>1320</v>
      </c>
      <c r="G1287" s="5" t="s">
        <v>1319</v>
      </c>
      <c r="H1287" s="14" t="s">
        <v>64</v>
      </c>
      <c r="I1287" s="5" t="str">
        <f aca="false">CONCATENATE(E1287, "_",H1287)</f>
        <v>NLA_2023_018_Blank_1</v>
      </c>
      <c r="J1287" s="5" t="s">
        <v>52</v>
      </c>
      <c r="K1287" s="16" t="s">
        <v>64</v>
      </c>
      <c r="L1287" s="6" t="s">
        <v>46</v>
      </c>
      <c r="M1287" s="15" t="s">
        <v>46</v>
      </c>
      <c r="N1287" s="5" t="s">
        <v>65</v>
      </c>
      <c r="O1287" s="5" t="s">
        <v>46</v>
      </c>
      <c r="P1287" s="5" t="s">
        <v>46</v>
      </c>
      <c r="Q1287" s="5" t="s">
        <v>46</v>
      </c>
      <c r="R1287" s="5" t="s">
        <v>46</v>
      </c>
      <c r="S1287" s="5" t="s">
        <v>46</v>
      </c>
      <c r="T1287" s="5" t="s">
        <v>46</v>
      </c>
      <c r="U1287" s="5" t="s">
        <v>46</v>
      </c>
      <c r="V1287" s="1" t="n">
        <v>1</v>
      </c>
      <c r="W1287" s="3"/>
      <c r="X1287" s="5" t="s">
        <v>46</v>
      </c>
      <c r="Y1287" s="12" t="n">
        <v>5500</v>
      </c>
      <c r="Z1287" s="5" t="s">
        <v>1324</v>
      </c>
      <c r="AA1287" s="5" t="s">
        <v>1325</v>
      </c>
      <c r="AB1287" s="13" t="str">
        <f aca="true" t="array" ref="AB1287:AB1287">LEFT(AA1287,LOOKUP(2^15,FIND(".",AA1287,ROW(INDIRECT("1:"&amp;LEN(AA1287)))))-1)</f>
        <v>NB_2023_016 - 20230425 - 1</v>
      </c>
      <c r="AC1287" s="5" t="s">
        <v>1326</v>
      </c>
      <c r="AD1287" s="13" t="str">
        <f aca="true" t="array" ref="AD1287:AD1287">LEFT(AC1287,LOOKUP(2^15,FIND(".",AC1287,ROW(INDIRECT("1:"&amp;LEN(AC1287)))))-1)</f>
        <v>NB_2023_016 - 20230425 - 2</v>
      </c>
      <c r="AE1287" s="5" t="str">
        <f aca="false">CONCATENATE(AB1287, "-",H1287, ".mzML")</f>
        <v>NB_2023_016 - 20230425 - 1-Blank_1.mzML</v>
      </c>
      <c r="AF1287" s="5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0" t="s">
        <v>1396</v>
      </c>
      <c r="B1288" s="31"/>
      <c r="C1288" s="3" t="s">
        <v>1397</v>
      </c>
      <c r="D1288" s="5" t="s">
        <v>14</v>
      </c>
      <c r="E1288" s="5" t="s">
        <v>1319</v>
      </c>
      <c r="F1288" s="6" t="s">
        <v>1320</v>
      </c>
      <c r="G1288" s="5" t="s">
        <v>1319</v>
      </c>
      <c r="H1288" s="14" t="s">
        <v>67</v>
      </c>
      <c r="I1288" s="5" t="str">
        <f aca="false">CONCATENATE(E1288, "_",H1288)</f>
        <v>NLA_2023_018_Blank_3</v>
      </c>
      <c r="J1288" s="5" t="s">
        <v>52</v>
      </c>
      <c r="K1288" s="16" t="s">
        <v>67</v>
      </c>
      <c r="L1288" s="6" t="s">
        <v>46</v>
      </c>
      <c r="M1288" s="15" t="s">
        <v>46</v>
      </c>
      <c r="N1288" s="5" t="s">
        <v>65</v>
      </c>
      <c r="O1288" s="5" t="s">
        <v>46</v>
      </c>
      <c r="P1288" s="5" t="s">
        <v>46</v>
      </c>
      <c r="Q1288" s="5" t="s">
        <v>46</v>
      </c>
      <c r="R1288" s="5" t="s">
        <v>46</v>
      </c>
      <c r="S1288" s="5" t="s">
        <v>46</v>
      </c>
      <c r="T1288" s="5" t="s">
        <v>46</v>
      </c>
      <c r="U1288" s="5" t="s">
        <v>46</v>
      </c>
      <c r="V1288" s="1" t="n">
        <v>3</v>
      </c>
      <c r="W1288" s="3"/>
      <c r="X1288" s="5" t="s">
        <v>46</v>
      </c>
      <c r="Y1288" s="12" t="n">
        <v>5500</v>
      </c>
      <c r="Z1288" s="5" t="s">
        <v>1324</v>
      </c>
      <c r="AA1288" s="5" t="s">
        <v>1325</v>
      </c>
      <c r="AB1288" s="13" t="str">
        <f aca="true" t="array" ref="AB1288:AB1288">LEFT(AA1288,LOOKUP(2^15,FIND(".",AA1288,ROW(INDIRECT("1:"&amp;LEN(AA1288)))))-1)</f>
        <v>NB_2023_016 - 20230425 - 1</v>
      </c>
      <c r="AC1288" s="5" t="s">
        <v>1326</v>
      </c>
      <c r="AD1288" s="13" t="str">
        <f aca="true" t="array" ref="AD1288:AD1288">LEFT(AC1288,LOOKUP(2^15,FIND(".",AC1288,ROW(INDIRECT("1:"&amp;LEN(AC1288)))))-1)</f>
        <v>NB_2023_016 - 20230425 - 2</v>
      </c>
      <c r="AE1288" s="5" t="str">
        <f aca="false">CONCATENATE(AB1288, "-",H1288, ".mzML")</f>
        <v>NB_2023_016 - 20230425 - 1-Blank_3.mzML</v>
      </c>
      <c r="AF1288" s="5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0" t="s">
        <v>1396</v>
      </c>
      <c r="B1289" s="31"/>
      <c r="C1289" s="3" t="s">
        <v>1397</v>
      </c>
      <c r="D1289" s="5" t="s">
        <v>14</v>
      </c>
      <c r="E1289" s="5" t="s">
        <v>1319</v>
      </c>
      <c r="F1289" s="6" t="s">
        <v>1320</v>
      </c>
      <c r="G1289" s="5" t="s">
        <v>1319</v>
      </c>
      <c r="H1289" s="14" t="s">
        <v>221</v>
      </c>
      <c r="I1289" s="5" t="str">
        <f aca="false">CONCATENATE(E1289, "_",H1289)</f>
        <v>NLA_2023_018_Blank_4</v>
      </c>
      <c r="J1289" s="5" t="s">
        <v>52</v>
      </c>
      <c r="K1289" s="16" t="s">
        <v>221</v>
      </c>
      <c r="L1289" s="6" t="s">
        <v>46</v>
      </c>
      <c r="M1289" s="15" t="s">
        <v>46</v>
      </c>
      <c r="N1289" s="5" t="s">
        <v>65</v>
      </c>
      <c r="O1289" s="5" t="s">
        <v>46</v>
      </c>
      <c r="P1289" s="5" t="s">
        <v>46</v>
      </c>
      <c r="Q1289" s="5" t="s">
        <v>46</v>
      </c>
      <c r="R1289" s="5" t="s">
        <v>46</v>
      </c>
      <c r="S1289" s="5" t="s">
        <v>46</v>
      </c>
      <c r="T1289" s="5" t="s">
        <v>46</v>
      </c>
      <c r="U1289" s="5" t="s">
        <v>46</v>
      </c>
      <c r="V1289" s="1" t="n">
        <v>4</v>
      </c>
      <c r="W1289" s="3"/>
      <c r="X1289" s="5" t="s">
        <v>46</v>
      </c>
      <c r="Y1289" s="12" t="n">
        <v>5500</v>
      </c>
      <c r="Z1289" s="5" t="s">
        <v>1324</v>
      </c>
      <c r="AA1289" s="5" t="s">
        <v>1325</v>
      </c>
      <c r="AB1289" s="13" t="str">
        <f aca="true" t="array" ref="AB1289:AB1289">LEFT(AA1289,LOOKUP(2^15,FIND(".",AA1289,ROW(INDIRECT("1:"&amp;LEN(AA1289)))))-1)</f>
        <v>NB_2023_016 - 20230425 - 1</v>
      </c>
      <c r="AC1289" s="5" t="s">
        <v>1326</v>
      </c>
      <c r="AD1289" s="13" t="str">
        <f aca="true" t="array" ref="AD1289:AD1289">LEFT(AC1289,LOOKUP(2^15,FIND(".",AC1289,ROW(INDIRECT("1:"&amp;LEN(AC1289)))))-1)</f>
        <v>NB_2023_016 - 20230425 - 2</v>
      </c>
      <c r="AE1289" s="5" t="str">
        <f aca="false">CONCATENATE(AB1289, "-",H1289, ".mzML")</f>
        <v>NB_2023_016 - 20230425 - 1-Blank_4.mzML</v>
      </c>
      <c r="AF1289" s="5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0" t="s">
        <v>1396</v>
      </c>
      <c r="B1290" s="31"/>
      <c r="C1290" s="3" t="s">
        <v>1397</v>
      </c>
      <c r="D1290" s="5" t="s">
        <v>14</v>
      </c>
      <c r="E1290" s="5" t="s">
        <v>1319</v>
      </c>
      <c r="F1290" s="6" t="s">
        <v>1320</v>
      </c>
      <c r="G1290" s="5" t="s">
        <v>1319</v>
      </c>
      <c r="H1290" s="14" t="s">
        <v>68</v>
      </c>
      <c r="I1290" s="5" t="str">
        <f aca="false">CONCATENATE(E1290, "_",H1290)</f>
        <v>NLA_2023_018_QC_C_1</v>
      </c>
      <c r="J1290" s="5" t="s">
        <v>52</v>
      </c>
      <c r="K1290" s="16" t="s">
        <v>68</v>
      </c>
      <c r="L1290" s="8" t="s">
        <v>69</v>
      </c>
      <c r="M1290" s="1" t="s">
        <v>46</v>
      </c>
      <c r="N1290" s="5" t="s">
        <v>70</v>
      </c>
      <c r="O1290" s="5" t="s">
        <v>46</v>
      </c>
      <c r="P1290" s="5" t="s">
        <v>71</v>
      </c>
      <c r="Q1290" s="5" t="s">
        <v>71</v>
      </c>
      <c r="R1290" s="5" t="s">
        <v>72</v>
      </c>
      <c r="S1290" s="5" t="s">
        <v>73</v>
      </c>
      <c r="T1290" s="5" t="s">
        <v>46</v>
      </c>
      <c r="U1290" s="5" t="n">
        <v>1000</v>
      </c>
      <c r="V1290" s="1" t="n">
        <v>1</v>
      </c>
      <c r="W1290" s="3"/>
      <c r="X1290" s="5" t="s">
        <v>74</v>
      </c>
      <c r="Y1290" s="12" t="n">
        <v>5500</v>
      </c>
      <c r="Z1290" s="5" t="s">
        <v>1324</v>
      </c>
      <c r="AA1290" s="5" t="s">
        <v>1325</v>
      </c>
      <c r="AB1290" s="13" t="str">
        <f aca="true" t="array" ref="AB1290:AB1290">LEFT(AA1290,LOOKUP(2^15,FIND(".",AA1290,ROW(INDIRECT("1:"&amp;LEN(AA1290)))))-1)</f>
        <v>NB_2023_016 - 20230425 - 1</v>
      </c>
      <c r="AC1290" s="5" t="s">
        <v>1326</v>
      </c>
      <c r="AD1290" s="13" t="str">
        <f aca="true" t="array" ref="AD1290:AD1290">LEFT(AC1290,LOOKUP(2^15,FIND(".",AC1290,ROW(INDIRECT("1:"&amp;LEN(AC1290)))))-1)</f>
        <v>NB_2023_016 - 20230425 - 2</v>
      </c>
      <c r="AE1290" s="5" t="str">
        <f aca="false">CONCATENATE(AB1290, "-",H1290, ".mzML")</f>
        <v>NB_2023_016 - 20230425 - 1-QC_C_1.mzML</v>
      </c>
      <c r="AF1290" s="5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0" t="s">
        <v>1396</v>
      </c>
      <c r="B1291" s="31"/>
      <c r="C1291" s="3" t="s">
        <v>1397</v>
      </c>
      <c r="D1291" s="5" t="s">
        <v>14</v>
      </c>
      <c r="E1291" s="5" t="s">
        <v>1319</v>
      </c>
      <c r="F1291" s="6" t="s">
        <v>1320</v>
      </c>
      <c r="G1291" s="5" t="s">
        <v>1319</v>
      </c>
      <c r="H1291" s="14" t="s">
        <v>75</v>
      </c>
      <c r="I1291" s="5" t="str">
        <f aca="false">CONCATENATE(E1291, "_",H1291)</f>
        <v>NLA_2023_018_QC_C_2</v>
      </c>
      <c r="J1291" s="5" t="s">
        <v>52</v>
      </c>
      <c r="K1291" s="16" t="s">
        <v>75</v>
      </c>
      <c r="L1291" s="8" t="s">
        <v>69</v>
      </c>
      <c r="M1291" s="1" t="s">
        <v>46</v>
      </c>
      <c r="N1291" s="5" t="s">
        <v>70</v>
      </c>
      <c r="O1291" s="5" t="s">
        <v>46</v>
      </c>
      <c r="P1291" s="5" t="s">
        <v>71</v>
      </c>
      <c r="Q1291" s="5" t="s">
        <v>71</v>
      </c>
      <c r="R1291" s="5" t="s">
        <v>72</v>
      </c>
      <c r="S1291" s="5" t="s">
        <v>73</v>
      </c>
      <c r="T1291" s="5" t="s">
        <v>46</v>
      </c>
      <c r="U1291" s="5" t="n">
        <v>1000</v>
      </c>
      <c r="V1291" s="1" t="n">
        <v>2</v>
      </c>
      <c r="W1291" s="3"/>
      <c r="X1291" s="5" t="s">
        <v>74</v>
      </c>
      <c r="Y1291" s="12" t="n">
        <v>5500</v>
      </c>
      <c r="Z1291" s="5" t="s">
        <v>1324</v>
      </c>
      <c r="AA1291" s="5" t="s">
        <v>1325</v>
      </c>
      <c r="AB1291" s="13" t="str">
        <f aca="true" t="array" ref="AB1291:AB1291">LEFT(AA1291,LOOKUP(2^15,FIND(".",AA1291,ROW(INDIRECT("1:"&amp;LEN(AA1291)))))-1)</f>
        <v>NB_2023_016 - 20230425 - 1</v>
      </c>
      <c r="AC1291" s="5" t="s">
        <v>1326</v>
      </c>
      <c r="AD1291" s="13" t="str">
        <f aca="true" t="array" ref="AD1291:AD1291">LEFT(AC1291,LOOKUP(2^15,FIND(".",AC1291,ROW(INDIRECT("1:"&amp;LEN(AC1291)))))-1)</f>
        <v>NB_2023_016 - 20230425 - 2</v>
      </c>
      <c r="AE1291" s="5" t="str">
        <f aca="false">CONCATENATE(AB1291, "-",H1291, ".mzML")</f>
        <v>NB_2023_016 - 20230425 - 1-QC_C_2.mzML</v>
      </c>
      <c r="AF1291" s="5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0" t="s">
        <v>1396</v>
      </c>
      <c r="B1292" s="31"/>
      <c r="C1292" s="3" t="s">
        <v>1397</v>
      </c>
      <c r="D1292" s="5" t="s">
        <v>14</v>
      </c>
      <c r="E1292" s="5" t="s">
        <v>1319</v>
      </c>
      <c r="F1292" s="6" t="s">
        <v>1320</v>
      </c>
      <c r="G1292" s="5" t="s">
        <v>1319</v>
      </c>
      <c r="H1292" s="14" t="s">
        <v>76</v>
      </c>
      <c r="I1292" s="5" t="str">
        <f aca="false">CONCATENATE(E1292, "_",H1292)</f>
        <v>NLA_2023_018_QC_C_3</v>
      </c>
      <c r="J1292" s="5" t="s">
        <v>52</v>
      </c>
      <c r="K1292" s="16" t="s">
        <v>76</v>
      </c>
      <c r="L1292" s="8" t="s">
        <v>69</v>
      </c>
      <c r="M1292" s="1" t="s">
        <v>46</v>
      </c>
      <c r="N1292" s="5" t="s">
        <v>70</v>
      </c>
      <c r="O1292" s="5" t="s">
        <v>46</v>
      </c>
      <c r="P1292" s="5" t="s">
        <v>71</v>
      </c>
      <c r="Q1292" s="5" t="s">
        <v>71</v>
      </c>
      <c r="R1292" s="5" t="s">
        <v>72</v>
      </c>
      <c r="S1292" s="5" t="s">
        <v>73</v>
      </c>
      <c r="T1292" s="5" t="s">
        <v>46</v>
      </c>
      <c r="U1292" s="5" t="n">
        <v>1000</v>
      </c>
      <c r="V1292" s="1" t="n">
        <v>3</v>
      </c>
      <c r="W1292" s="3"/>
      <c r="X1292" s="5" t="s">
        <v>74</v>
      </c>
      <c r="Y1292" s="12" t="n">
        <v>5500</v>
      </c>
      <c r="Z1292" s="5" t="s">
        <v>1324</v>
      </c>
      <c r="AA1292" s="5" t="s">
        <v>1325</v>
      </c>
      <c r="AB1292" s="13" t="str">
        <f aca="true" t="array" ref="AB1292:AB1292">LEFT(AA1292,LOOKUP(2^15,FIND(".",AA1292,ROW(INDIRECT("1:"&amp;LEN(AA1292)))))-1)</f>
        <v>NB_2023_016 - 20230425 - 1</v>
      </c>
      <c r="AC1292" s="5" t="s">
        <v>1326</v>
      </c>
      <c r="AD1292" s="13" t="str">
        <f aca="true" t="array" ref="AD1292:AD1292">LEFT(AC1292,LOOKUP(2^15,FIND(".",AC1292,ROW(INDIRECT("1:"&amp;LEN(AC1292)))))-1)</f>
        <v>NB_2023_016 - 20230425 - 2</v>
      </c>
      <c r="AE1292" s="5" t="str">
        <f aca="false">CONCATENATE(AB1292, "-",H1292, ".mzML")</f>
        <v>NB_2023_016 - 20230425 - 1-QC_C_3.mzML</v>
      </c>
      <c r="AF1292" s="5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0" t="s">
        <v>1396</v>
      </c>
      <c r="B1293" s="31"/>
      <c r="C1293" s="3" t="s">
        <v>1397</v>
      </c>
      <c r="D1293" s="5" t="s">
        <v>14</v>
      </c>
      <c r="E1293" s="5" t="s">
        <v>1319</v>
      </c>
      <c r="F1293" s="6" t="s">
        <v>1320</v>
      </c>
      <c r="G1293" s="5" t="s">
        <v>1319</v>
      </c>
      <c r="H1293" s="14" t="s">
        <v>222</v>
      </c>
      <c r="I1293" s="5" t="str">
        <f aca="false">CONCATENATE(E1293, "_",H1293)</f>
        <v>NLA_2023_018_QC_C_4</v>
      </c>
      <c r="J1293" s="5" t="s">
        <v>52</v>
      </c>
      <c r="K1293" s="16" t="s">
        <v>222</v>
      </c>
      <c r="L1293" s="8" t="s">
        <v>69</v>
      </c>
      <c r="M1293" s="1" t="s">
        <v>46</v>
      </c>
      <c r="N1293" s="5" t="s">
        <v>70</v>
      </c>
      <c r="O1293" s="5" t="s">
        <v>46</v>
      </c>
      <c r="P1293" s="5" t="s">
        <v>71</v>
      </c>
      <c r="Q1293" s="5" t="s">
        <v>71</v>
      </c>
      <c r="R1293" s="5" t="s">
        <v>72</v>
      </c>
      <c r="S1293" s="5" t="s">
        <v>73</v>
      </c>
      <c r="T1293" s="5" t="s">
        <v>46</v>
      </c>
      <c r="U1293" s="5" t="n">
        <v>1000</v>
      </c>
      <c r="V1293" s="1" t="n">
        <v>4</v>
      </c>
      <c r="W1293" s="3"/>
      <c r="X1293" s="5" t="s">
        <v>74</v>
      </c>
      <c r="Y1293" s="12" t="n">
        <v>5500</v>
      </c>
      <c r="Z1293" s="5" t="s">
        <v>1324</v>
      </c>
      <c r="AA1293" s="5" t="s">
        <v>1325</v>
      </c>
      <c r="AB1293" s="13" t="str">
        <f aca="true" t="array" ref="AB1293:AB1293">LEFT(AA1293,LOOKUP(2^15,FIND(".",AA1293,ROW(INDIRECT("1:"&amp;LEN(AA1293)))))-1)</f>
        <v>NB_2023_016 - 20230425 - 1</v>
      </c>
      <c r="AC1293" s="5" t="s">
        <v>1326</v>
      </c>
      <c r="AD1293" s="13" t="str">
        <f aca="true" t="array" ref="AD1293:AD1293">LEFT(AC1293,LOOKUP(2^15,FIND(".",AC1293,ROW(INDIRECT("1:"&amp;LEN(AC1293)))))-1)</f>
        <v>NB_2023_016 - 20230425 - 2</v>
      </c>
      <c r="AE1293" s="5" t="str">
        <f aca="false">CONCATENATE(AB1293, "-",H1293, ".mzML")</f>
        <v>NB_2023_016 - 20230425 - 1-QC_C_4.mzML</v>
      </c>
      <c r="AF1293" s="5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0" t="s">
        <v>1396</v>
      </c>
      <c r="B1294" s="31"/>
      <c r="C1294" s="3" t="s">
        <v>1397</v>
      </c>
      <c r="D1294" s="5" t="s">
        <v>14</v>
      </c>
      <c r="E1294" s="5" t="s">
        <v>1319</v>
      </c>
      <c r="F1294" s="6" t="s">
        <v>1320</v>
      </c>
      <c r="G1294" s="5" t="s">
        <v>1319</v>
      </c>
      <c r="H1294" s="14" t="s">
        <v>77</v>
      </c>
      <c r="I1294" s="5" t="str">
        <f aca="false">CONCATENATE(E1294, "_",H1294)</f>
        <v>NLA_2023_018_QC_P_1</v>
      </c>
      <c r="J1294" s="5" t="s">
        <v>52</v>
      </c>
      <c r="K1294" s="16" t="s">
        <v>77</v>
      </c>
      <c r="L1294" s="6" t="s">
        <v>69</v>
      </c>
      <c r="M1294" s="1" t="s">
        <v>46</v>
      </c>
      <c r="N1294" s="5" t="s">
        <v>78</v>
      </c>
      <c r="O1294" s="5" t="s">
        <v>46</v>
      </c>
      <c r="P1294" s="5" t="s">
        <v>79</v>
      </c>
      <c r="Q1294" s="5" t="s">
        <v>80</v>
      </c>
      <c r="R1294" s="5" t="s">
        <v>81</v>
      </c>
      <c r="S1294" s="5" t="s">
        <v>46</v>
      </c>
      <c r="T1294" s="5" t="s">
        <v>46</v>
      </c>
      <c r="U1294" s="5" t="s">
        <v>82</v>
      </c>
      <c r="V1294" s="1" t="n">
        <v>1</v>
      </c>
      <c r="W1294" s="3"/>
      <c r="X1294" s="5" t="s">
        <v>83</v>
      </c>
      <c r="Y1294" s="12" t="n">
        <v>5500</v>
      </c>
      <c r="Z1294" s="5" t="s">
        <v>1324</v>
      </c>
      <c r="AA1294" s="5" t="s">
        <v>1325</v>
      </c>
      <c r="AB1294" s="13" t="str">
        <f aca="true" t="array" ref="AB1294:AB1294">LEFT(AA1294,LOOKUP(2^15,FIND(".",AA1294,ROW(INDIRECT("1:"&amp;LEN(AA1294)))))-1)</f>
        <v>NB_2023_016 - 20230425 - 1</v>
      </c>
      <c r="AC1294" s="5" t="s">
        <v>1326</v>
      </c>
      <c r="AD1294" s="13" t="str">
        <f aca="true" t="array" ref="AD1294:AD1294">LEFT(AC1294,LOOKUP(2^15,FIND(".",AC1294,ROW(INDIRECT("1:"&amp;LEN(AC1294)))))-1)</f>
        <v>NB_2023_016 - 20230425 - 2</v>
      </c>
      <c r="AE1294" s="5" t="str">
        <f aca="false">CONCATENATE(AB1294, "-",H1294, ".mzML")</f>
        <v>NB_2023_016 - 20230425 - 1-QC_P_1.mzML</v>
      </c>
      <c r="AF1294" s="5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0" t="s">
        <v>1396</v>
      </c>
      <c r="B1295" s="31"/>
      <c r="C1295" s="3" t="s">
        <v>1397</v>
      </c>
      <c r="D1295" s="5" t="s">
        <v>14</v>
      </c>
      <c r="E1295" s="5" t="s">
        <v>1319</v>
      </c>
      <c r="F1295" s="6" t="s">
        <v>1320</v>
      </c>
      <c r="G1295" s="5" t="s">
        <v>1319</v>
      </c>
      <c r="H1295" s="14" t="s">
        <v>84</v>
      </c>
      <c r="I1295" s="5" t="str">
        <f aca="false">CONCATENATE(E1295, "_",H1295)</f>
        <v>NLA_2023_018_QC_P_2</v>
      </c>
      <c r="J1295" s="5" t="s">
        <v>52</v>
      </c>
      <c r="K1295" s="16" t="s">
        <v>84</v>
      </c>
      <c r="L1295" s="6" t="s">
        <v>69</v>
      </c>
      <c r="M1295" s="1" t="s">
        <v>46</v>
      </c>
      <c r="N1295" s="5" t="s">
        <v>78</v>
      </c>
      <c r="O1295" s="5" t="s">
        <v>46</v>
      </c>
      <c r="P1295" s="5" t="s">
        <v>79</v>
      </c>
      <c r="Q1295" s="5" t="s">
        <v>80</v>
      </c>
      <c r="R1295" s="5" t="s">
        <v>81</v>
      </c>
      <c r="S1295" s="5" t="s">
        <v>46</v>
      </c>
      <c r="T1295" s="5" t="s">
        <v>46</v>
      </c>
      <c r="U1295" s="5" t="s">
        <v>82</v>
      </c>
      <c r="V1295" s="1" t="n">
        <v>2</v>
      </c>
      <c r="W1295" s="3"/>
      <c r="X1295" s="5" t="s">
        <v>83</v>
      </c>
      <c r="Y1295" s="12" t="n">
        <v>5500</v>
      </c>
      <c r="Z1295" s="5" t="s">
        <v>1324</v>
      </c>
      <c r="AA1295" s="5" t="s">
        <v>1325</v>
      </c>
      <c r="AB1295" s="13" t="str">
        <f aca="true" t="array" ref="AB1295:AB1295">LEFT(AA1295,LOOKUP(2^15,FIND(".",AA1295,ROW(INDIRECT("1:"&amp;LEN(AA1295)))))-1)</f>
        <v>NB_2023_016 - 20230425 - 1</v>
      </c>
      <c r="AC1295" s="5" t="s">
        <v>1326</v>
      </c>
      <c r="AD1295" s="13" t="str">
        <f aca="true" t="array" ref="AD1295:AD1295">LEFT(AC1295,LOOKUP(2^15,FIND(".",AC1295,ROW(INDIRECT("1:"&amp;LEN(AC1295)))))-1)</f>
        <v>NB_2023_016 - 20230425 - 2</v>
      </c>
      <c r="AE1295" s="5" t="str">
        <f aca="false">CONCATENATE(AB1295, "-",H1295, ".mzML")</f>
        <v>NB_2023_016 - 20230425 - 1-QC_P_2.mzML</v>
      </c>
      <c r="AF1295" s="5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0" t="s">
        <v>1396</v>
      </c>
      <c r="B1296" s="31"/>
      <c r="C1296" s="3" t="s">
        <v>1397</v>
      </c>
      <c r="D1296" s="5" t="s">
        <v>14</v>
      </c>
      <c r="E1296" s="5" t="s">
        <v>1319</v>
      </c>
      <c r="F1296" s="6" t="s">
        <v>1320</v>
      </c>
      <c r="G1296" s="5" t="s">
        <v>1319</v>
      </c>
      <c r="H1296" s="14" t="s">
        <v>85</v>
      </c>
      <c r="I1296" s="5" t="str">
        <f aca="false">CONCATENATE(E1296, "_",H1296)</f>
        <v>NLA_2023_018_QC_P_3</v>
      </c>
      <c r="J1296" s="3" t="s">
        <v>52</v>
      </c>
      <c r="K1296" s="16" t="s">
        <v>85</v>
      </c>
      <c r="L1296" s="6" t="s">
        <v>69</v>
      </c>
      <c r="M1296" s="1" t="s">
        <v>46</v>
      </c>
      <c r="N1296" s="5" t="s">
        <v>78</v>
      </c>
      <c r="O1296" s="5" t="s">
        <v>46</v>
      </c>
      <c r="P1296" s="5" t="s">
        <v>79</v>
      </c>
      <c r="Q1296" s="5" t="s">
        <v>80</v>
      </c>
      <c r="R1296" s="5" t="s">
        <v>81</v>
      </c>
      <c r="S1296" s="5" t="s">
        <v>46</v>
      </c>
      <c r="T1296" s="5" t="s">
        <v>46</v>
      </c>
      <c r="U1296" s="5" t="s">
        <v>82</v>
      </c>
      <c r="V1296" s="1" t="n">
        <v>3</v>
      </c>
      <c r="W1296" s="3"/>
      <c r="X1296" s="5" t="s">
        <v>83</v>
      </c>
      <c r="Y1296" s="12" t="n">
        <v>5500</v>
      </c>
      <c r="Z1296" s="5" t="s">
        <v>1324</v>
      </c>
      <c r="AA1296" s="5" t="s">
        <v>1325</v>
      </c>
      <c r="AB1296" s="13" t="str">
        <f aca="true" t="array" ref="AB1296:AB1296">LEFT(AA1296,LOOKUP(2^15,FIND(".",AA1296,ROW(INDIRECT("1:"&amp;LEN(AA1296)))))-1)</f>
        <v>NB_2023_016 - 20230425 - 1</v>
      </c>
      <c r="AC1296" s="5" t="s">
        <v>1326</v>
      </c>
      <c r="AD1296" s="13" t="str">
        <f aca="true" t="array" ref="AD1296:AD1296">LEFT(AC1296,LOOKUP(2^15,FIND(".",AC1296,ROW(INDIRECT("1:"&amp;LEN(AC1296)))))-1)</f>
        <v>NB_2023_016 - 20230425 - 2</v>
      </c>
      <c r="AE1296" s="5" t="str">
        <f aca="false">CONCATENATE(AB1296, "-",H1296, ".mzML")</f>
        <v>NB_2023_016 - 20230425 - 1-QC_P_3.mzML</v>
      </c>
      <c r="AF1296" s="5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0" t="s">
        <v>1396</v>
      </c>
      <c r="B1297" s="31"/>
      <c r="C1297" s="3" t="s">
        <v>1397</v>
      </c>
      <c r="D1297" s="5" t="s">
        <v>14</v>
      </c>
      <c r="E1297" s="5" t="s">
        <v>1319</v>
      </c>
      <c r="F1297" s="6" t="s">
        <v>1320</v>
      </c>
      <c r="G1297" s="5" t="s">
        <v>1319</v>
      </c>
      <c r="H1297" s="14" t="s">
        <v>224</v>
      </c>
      <c r="I1297" s="5" t="str">
        <f aca="false">CONCATENATE(E1297, "_",H1297)</f>
        <v>NLA_2023_018_QC_P_4</v>
      </c>
      <c r="J1297" s="3" t="s">
        <v>52</v>
      </c>
      <c r="K1297" s="16" t="s">
        <v>224</v>
      </c>
      <c r="L1297" s="6" t="s">
        <v>69</v>
      </c>
      <c r="M1297" s="1" t="s">
        <v>46</v>
      </c>
      <c r="N1297" s="5" t="s">
        <v>78</v>
      </c>
      <c r="O1297" s="5" t="s">
        <v>46</v>
      </c>
      <c r="P1297" s="5" t="s">
        <v>79</v>
      </c>
      <c r="Q1297" s="5" t="s">
        <v>80</v>
      </c>
      <c r="R1297" s="5" t="s">
        <v>81</v>
      </c>
      <c r="S1297" s="5" t="s">
        <v>46</v>
      </c>
      <c r="T1297" s="5" t="s">
        <v>46</v>
      </c>
      <c r="U1297" s="5" t="s">
        <v>82</v>
      </c>
      <c r="V1297" s="1" t="n">
        <v>4</v>
      </c>
      <c r="W1297" s="3"/>
      <c r="X1297" s="5" t="s">
        <v>83</v>
      </c>
      <c r="Y1297" s="12" t="n">
        <v>5500</v>
      </c>
      <c r="Z1297" s="5" t="s">
        <v>1324</v>
      </c>
      <c r="AA1297" s="5" t="s">
        <v>1325</v>
      </c>
      <c r="AB1297" s="13" t="str">
        <f aca="true" t="array" ref="AB1297:AB1297">LEFT(AA1297,LOOKUP(2^15,FIND(".",AA1297,ROW(INDIRECT("1:"&amp;LEN(AA1297)))))-1)</f>
        <v>NB_2023_016 - 20230425 - 1</v>
      </c>
      <c r="AC1297" s="5" t="s">
        <v>1326</v>
      </c>
      <c r="AD1297" s="13" t="str">
        <f aca="true" t="array" ref="AD1297:AD1297">LEFT(AC1297,LOOKUP(2^15,FIND(".",AC1297,ROW(INDIRECT("1:"&amp;LEN(AC1297)))))-1)</f>
        <v>NB_2023_016 - 20230425 - 2</v>
      </c>
      <c r="AE1297" s="5" t="str">
        <f aca="false">CONCATENATE(AB1297, "-",H1297, ".mzML")</f>
        <v>NB_2023_016 - 20230425 - 1-QC_P_4.mzML</v>
      </c>
      <c r="AF1297" s="5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1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5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5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1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5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5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1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5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5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1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5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5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1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5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5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1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5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5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1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5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5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1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5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5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1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5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5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1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5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5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1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5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5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1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5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5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1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5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5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1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5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5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1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5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5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1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5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5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1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5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5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1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5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5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1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5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5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1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5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5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1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5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5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1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5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5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1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5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5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1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5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5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1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5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5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1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5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5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1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5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5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1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5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5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1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5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5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1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5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5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1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5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5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1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5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5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1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5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5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1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5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5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1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5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5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1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5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5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1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5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5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1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5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5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1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5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5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1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5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5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1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5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5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1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5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5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1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5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5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1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5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5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1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5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5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1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5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5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1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5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5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1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5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5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1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5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5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1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5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5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1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5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5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1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5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5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1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5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5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1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5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5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1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5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5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1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5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5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1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5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5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1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5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5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1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5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5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1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5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5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1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5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5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1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5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5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1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5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5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1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5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5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1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5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5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1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5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5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1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5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5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1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5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5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1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5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5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1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5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5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1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5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5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1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5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5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1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5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5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1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5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5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1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5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5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1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5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5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1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5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5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1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5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5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1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5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5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1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5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5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1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5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5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1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5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5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1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5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5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1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5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5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1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5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5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1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5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5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1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5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5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1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5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5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1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5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5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1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5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5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1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5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5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1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5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5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1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5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5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1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5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5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1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5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5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1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5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5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1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5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5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1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5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5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1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5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5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1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5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5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1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5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5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1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5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5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1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5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5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1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5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5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1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5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5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1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5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5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1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5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5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1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5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5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1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5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5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1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5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5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1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5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5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1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5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5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1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5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5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1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5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5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1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5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5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1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5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5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1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5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5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1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5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5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1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5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5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1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5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5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1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5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5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1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5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5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1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5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5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1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5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5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1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5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5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1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5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5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1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5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5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1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5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5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1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5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5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1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5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5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1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5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5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1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5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5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1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5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5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1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5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5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1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5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5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1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5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5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1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5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5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1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5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5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1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5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5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1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5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5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1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5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5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1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5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5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1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5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5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1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5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5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1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5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5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1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5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5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1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5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5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1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5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5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1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5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5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1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5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5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1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5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5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1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5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5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1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5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5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1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5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5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1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5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5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1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5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5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1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5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5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1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5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5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1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5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5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1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5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5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1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5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5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1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5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5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1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5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5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1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5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5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1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5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5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1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5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5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1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5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5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1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5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5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1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5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5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1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5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5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1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5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5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1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5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5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1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5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5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1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5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5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1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5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5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1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5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5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1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5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5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1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5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5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1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5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5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1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5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5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1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5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5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1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5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5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1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5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5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1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5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5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1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5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5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1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5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5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1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5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5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1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5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5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1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5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5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1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5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5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1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5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5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1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5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5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1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5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5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1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5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5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1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5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5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1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5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5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1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5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5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1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5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5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1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5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5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1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5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5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1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5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5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1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5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5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1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5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5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1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5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5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1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5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5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1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5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5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1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5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5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1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5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5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1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5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5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1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5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5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1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5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5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1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5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5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1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5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5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1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5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5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1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5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5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1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5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5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1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5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5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1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5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5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1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5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5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1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5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5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1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5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5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1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5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5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1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5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5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1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5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5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1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5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5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1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5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5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1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5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5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1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5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5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1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5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5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1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5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5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1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5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5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1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5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5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1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5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5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1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5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5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1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5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5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1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5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5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1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5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5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1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5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5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1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5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5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1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5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5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1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5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5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1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5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5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1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5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5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1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5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5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1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5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5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1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5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5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1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5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5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1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5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5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1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5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5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1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5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5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1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5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5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1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5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5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1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5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5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1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5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5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1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5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5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1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5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5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1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5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5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1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5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5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1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5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5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1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5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5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1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5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5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1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5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5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1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5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5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1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5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5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1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5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5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1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5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5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1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5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5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1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5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5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1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5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5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1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5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5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1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5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5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1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5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5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1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5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5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1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5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5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1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5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5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1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5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5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1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5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5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1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5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5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1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5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5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1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5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5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1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5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5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1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5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5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1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5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5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1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5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5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1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5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5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1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5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5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1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5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5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1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5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5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1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5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5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1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5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5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1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5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5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1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5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5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1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5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5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1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5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5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1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5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5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1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5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5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1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5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5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1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5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5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1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5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5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1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5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5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1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5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5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1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5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5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1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5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5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1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5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5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1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5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5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1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5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5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1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5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5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1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5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5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1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5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5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1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5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5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1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5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5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1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5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5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1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5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5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1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5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5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1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5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5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1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5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5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1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5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5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1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5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5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1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5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5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1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5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5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1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5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5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1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5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5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1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5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5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1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5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5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1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5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5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1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5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5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1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5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5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1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5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5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1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5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5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1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5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5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1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5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5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1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5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5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1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5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5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1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5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5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1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5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5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1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5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5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1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5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5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1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5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5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1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5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5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1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5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5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1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5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5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1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5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5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1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5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5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1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5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5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1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5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5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1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5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5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1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5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5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1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5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5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1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5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5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1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5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5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1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5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5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1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5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5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1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5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5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1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5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5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1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5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5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1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5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5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1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5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5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1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5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5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1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5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5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1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5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5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1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5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5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1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5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5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1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5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5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1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5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5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1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5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5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1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5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5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1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5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5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1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5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5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1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5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5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1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5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5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1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5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5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1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5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5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1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5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5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1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5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5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1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5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5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1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5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5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1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5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5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1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5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5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1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5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5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1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5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5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1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5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5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1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5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5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1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5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5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1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5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5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1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5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5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1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5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5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1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5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5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1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5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5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1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5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5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1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5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5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1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5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5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1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5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5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1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5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5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1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5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5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1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5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5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1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5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5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1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5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5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1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5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5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1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5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5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1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5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5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1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5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5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1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5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5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1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5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5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1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5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5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1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5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5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1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5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5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1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5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5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1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5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5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1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5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5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1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5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5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1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5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5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1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5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5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1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5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5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1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5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5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1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5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5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1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5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5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1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5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5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1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5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5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1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5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5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1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5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5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1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5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5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1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5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5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1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5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5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1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5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5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1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5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5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1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5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5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1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5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5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1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5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5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1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5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5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1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5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5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1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5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5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1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5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5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1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5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5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1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5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5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1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5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5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1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5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5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1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5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5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1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5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5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1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5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5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1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5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5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1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5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5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1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5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5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1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5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5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1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5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5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1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5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5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1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5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5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1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5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5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1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5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5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1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5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5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1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5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5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1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5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5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1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5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5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1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5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5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1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5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5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1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5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5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1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5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5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1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5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5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1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5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5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1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5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5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1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5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5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1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5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5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1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5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5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1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5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5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1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5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5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1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5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5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1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5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5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1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5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5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1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5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5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1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5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5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1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5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5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1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5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5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1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5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5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1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5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5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1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5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5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1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5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5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1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5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5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1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5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5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1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5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5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1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5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5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1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5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5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1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5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5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1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5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5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1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5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5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1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5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5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1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5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5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1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5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5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1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5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5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1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5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5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1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5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5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1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5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5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1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5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5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1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5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5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1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5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5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1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5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5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1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5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5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1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5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5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1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5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5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1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5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5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1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5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5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1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5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5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1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5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5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1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5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5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1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5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5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1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5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5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1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5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5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1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5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5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1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5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5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1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5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5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1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5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5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1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5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5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1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5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5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1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5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5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1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5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5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1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5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5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1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5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5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1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5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5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1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5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5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1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5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5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1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5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5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1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5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5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1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5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5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1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5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5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1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5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5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1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5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5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1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5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5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1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5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5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1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5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5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1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5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5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1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5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5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1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5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5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1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5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5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1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5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5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1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5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5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1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5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5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1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5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5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1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5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5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1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5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5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1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5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5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1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5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5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1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5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5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1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5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5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1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5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5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1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5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5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1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5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5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1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5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5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1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5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5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1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5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5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1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5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5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1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5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5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1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5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5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1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5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5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1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5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5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1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5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5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1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5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5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1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5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5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1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5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5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1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5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5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1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5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5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1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5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5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1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5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5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1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5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5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1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5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5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1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5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5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1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5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5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1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5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5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1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5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5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1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5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5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1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5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5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1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5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5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1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5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5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1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5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5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1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5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5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1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5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5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1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5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5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1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5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5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1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5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5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1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5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5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1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5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5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1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5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5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1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5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5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1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5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5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1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5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5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1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5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5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1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5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5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1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5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5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1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5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5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1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5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5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1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5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5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1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5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5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1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5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5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1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5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5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1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5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5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1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5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5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1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5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5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1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5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5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1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5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5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1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5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5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1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5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5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1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5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5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1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5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5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1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5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5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1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5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5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1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5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5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1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5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5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1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5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5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1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5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5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1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5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5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1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5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5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1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5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5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1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5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5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1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5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5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1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5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5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1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5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5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1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5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5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1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5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5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1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5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5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1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5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5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1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5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5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1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5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5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1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5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5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1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5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5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1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5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5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1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5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5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1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5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5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1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5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5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1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5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5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1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5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5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1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5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5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1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5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5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1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5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5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1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5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5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1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5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5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1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5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5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1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5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5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1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5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5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1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5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5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1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5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5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1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5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5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1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5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5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1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5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5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1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5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5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1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5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5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1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5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5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1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5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5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1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5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5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1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5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5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1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5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5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1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5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5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1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5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5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1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5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5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1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5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5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1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5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5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1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5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5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1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5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5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1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5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5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1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5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5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1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5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5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1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5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5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1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5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5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1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5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5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1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5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5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1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5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5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1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5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5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1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5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5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1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5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5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1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5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5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1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5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5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1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5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5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1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5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5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1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5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5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1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5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5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1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5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5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1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5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5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5" t="s">
        <v>2629</v>
      </c>
      <c r="B1971" s="6" t="s">
        <v>2630</v>
      </c>
      <c r="C1971" s="5" t="s">
        <v>2631</v>
      </c>
      <c r="D1971" s="5" t="s">
        <v>14</v>
      </c>
      <c r="E1971" s="5" t="s">
        <v>2632</v>
      </c>
      <c r="F1971" s="5" t="s">
        <v>2633</v>
      </c>
      <c r="G1971" s="5" t="s">
        <v>2634</v>
      </c>
      <c r="H1971" s="6" t="s">
        <v>2635</v>
      </c>
      <c r="I1971" s="5" t="s">
        <v>2636</v>
      </c>
      <c r="J1971" s="5" t="s">
        <v>38</v>
      </c>
      <c r="K1971" s="5" t="s">
        <v>2637</v>
      </c>
      <c r="L1971" s="5" t="s">
        <v>69</v>
      </c>
      <c r="M1971" s="5" t="s">
        <v>69</v>
      </c>
      <c r="N1971" s="5" t="s">
        <v>325</v>
      </c>
      <c r="O1971" s="5" t="s">
        <v>419</v>
      </c>
      <c r="P1971" s="5"/>
      <c r="Q1971" s="5" t="s">
        <v>2638</v>
      </c>
      <c r="R1971" s="5" t="s">
        <v>69</v>
      </c>
      <c r="S1971" s="5"/>
      <c r="T1971" s="5"/>
      <c r="U1971" s="5" t="s">
        <v>2639</v>
      </c>
      <c r="V1971" s="5" t="n">
        <v>1</v>
      </c>
      <c r="W1971" s="5"/>
      <c r="X1971" s="5" t="s">
        <v>2640</v>
      </c>
      <c r="Y1971" s="5" t="s">
        <v>153</v>
      </c>
      <c r="Z1971" s="5" t="s">
        <v>2641</v>
      </c>
      <c r="AA1971" s="5" t="s">
        <v>2642</v>
      </c>
      <c r="AB1971" s="5" t="s">
        <v>2643</v>
      </c>
      <c r="AC1971" s="5" t="s">
        <v>2644</v>
      </c>
      <c r="AD1971" s="5" t="s">
        <v>2645</v>
      </c>
      <c r="AE1971" s="5" t="s">
        <v>2646</v>
      </c>
      <c r="AF1971" s="5" t="s">
        <v>2647</v>
      </c>
    </row>
    <row r="1972" s="1" customFormat="true" ht="13.8" hidden="false" customHeight="false" outlineLevel="0" collapsed="false">
      <c r="A1972" s="5" t="s">
        <v>2629</v>
      </c>
      <c r="B1972" s="6" t="s">
        <v>2630</v>
      </c>
      <c r="C1972" s="5" t="s">
        <v>2631</v>
      </c>
      <c r="D1972" s="5" t="s">
        <v>14</v>
      </c>
      <c r="E1972" s="5" t="s">
        <v>2632</v>
      </c>
      <c r="F1972" s="5" t="s">
        <v>2633</v>
      </c>
      <c r="G1972" s="5" t="s">
        <v>2634</v>
      </c>
      <c r="H1972" s="6" t="s">
        <v>2648</v>
      </c>
      <c r="I1972" s="5" t="s">
        <v>2649</v>
      </c>
      <c r="J1972" s="5" t="s">
        <v>38</v>
      </c>
      <c r="K1972" s="5" t="s">
        <v>2650</v>
      </c>
      <c r="L1972" s="5" t="s">
        <v>69</v>
      </c>
      <c r="M1972" s="5" t="s">
        <v>69</v>
      </c>
      <c r="N1972" s="5" t="s">
        <v>325</v>
      </c>
      <c r="O1972" s="5" t="s">
        <v>419</v>
      </c>
      <c r="P1972" s="5"/>
      <c r="Q1972" s="5" t="s">
        <v>2638</v>
      </c>
      <c r="R1972" s="5" t="s">
        <v>69</v>
      </c>
      <c r="S1972" s="5"/>
      <c r="T1972" s="5"/>
      <c r="U1972" s="5" t="s">
        <v>2639</v>
      </c>
      <c r="V1972" s="5" t="n">
        <v>2</v>
      </c>
      <c r="W1972" s="5"/>
      <c r="X1972" s="5" t="s">
        <v>2640</v>
      </c>
      <c r="Y1972" s="5" t="s">
        <v>153</v>
      </c>
      <c r="Z1972" s="5" t="s">
        <v>2641</v>
      </c>
      <c r="AA1972" s="5" t="s">
        <v>2642</v>
      </c>
      <c r="AB1972" s="5" t="s">
        <v>2643</v>
      </c>
      <c r="AC1972" s="5" t="s">
        <v>2644</v>
      </c>
      <c r="AD1972" s="5" t="s">
        <v>2645</v>
      </c>
      <c r="AE1972" s="5" t="s">
        <v>2651</v>
      </c>
      <c r="AF1972" s="5" t="s">
        <v>2652</v>
      </c>
    </row>
    <row r="1973" s="1" customFormat="true" ht="13.8" hidden="false" customHeight="false" outlineLevel="0" collapsed="false">
      <c r="A1973" s="5" t="s">
        <v>2629</v>
      </c>
      <c r="B1973" s="6" t="s">
        <v>2630</v>
      </c>
      <c r="C1973" s="5" t="s">
        <v>2631</v>
      </c>
      <c r="D1973" s="5" t="s">
        <v>14</v>
      </c>
      <c r="E1973" s="5" t="s">
        <v>2632</v>
      </c>
      <c r="F1973" s="5" t="s">
        <v>2633</v>
      </c>
      <c r="G1973" s="5" t="s">
        <v>2634</v>
      </c>
      <c r="H1973" s="6" t="s">
        <v>2653</v>
      </c>
      <c r="I1973" s="5" t="s">
        <v>2654</v>
      </c>
      <c r="J1973" s="5" t="s">
        <v>38</v>
      </c>
      <c r="K1973" s="5" t="s">
        <v>2655</v>
      </c>
      <c r="L1973" s="5" t="s">
        <v>69</v>
      </c>
      <c r="M1973" s="5" t="s">
        <v>69</v>
      </c>
      <c r="N1973" s="5" t="s">
        <v>325</v>
      </c>
      <c r="O1973" s="5" t="s">
        <v>419</v>
      </c>
      <c r="P1973" s="5"/>
      <c r="Q1973" s="5" t="s">
        <v>2638</v>
      </c>
      <c r="R1973" s="5" t="s">
        <v>69</v>
      </c>
      <c r="S1973" s="5"/>
      <c r="T1973" s="5"/>
      <c r="U1973" s="5" t="s">
        <v>2639</v>
      </c>
      <c r="V1973" s="5" t="n">
        <v>3</v>
      </c>
      <c r="W1973" s="5"/>
      <c r="X1973" s="5" t="s">
        <v>2640</v>
      </c>
      <c r="Y1973" s="5" t="s">
        <v>153</v>
      </c>
      <c r="Z1973" s="5" t="s">
        <v>2641</v>
      </c>
      <c r="AA1973" s="5" t="s">
        <v>2642</v>
      </c>
      <c r="AB1973" s="5" t="s">
        <v>2643</v>
      </c>
      <c r="AC1973" s="5" t="s">
        <v>2644</v>
      </c>
      <c r="AD1973" s="5" t="s">
        <v>2645</v>
      </c>
      <c r="AE1973" s="5" t="s">
        <v>2656</v>
      </c>
      <c r="AF1973" s="5" t="s">
        <v>2657</v>
      </c>
    </row>
    <row r="1974" s="1" customFormat="true" ht="13.8" hidden="false" customHeight="false" outlineLevel="0" collapsed="false">
      <c r="A1974" s="5" t="s">
        <v>2629</v>
      </c>
      <c r="B1974" s="6" t="s">
        <v>2630</v>
      </c>
      <c r="C1974" s="5" t="s">
        <v>2631</v>
      </c>
      <c r="D1974" s="5" t="s">
        <v>14</v>
      </c>
      <c r="E1974" s="5" t="s">
        <v>2632</v>
      </c>
      <c r="F1974" s="5" t="s">
        <v>2633</v>
      </c>
      <c r="G1974" s="5" t="s">
        <v>2634</v>
      </c>
      <c r="H1974" s="6" t="s">
        <v>2658</v>
      </c>
      <c r="I1974" s="5" t="s">
        <v>2659</v>
      </c>
      <c r="J1974" s="5" t="s">
        <v>38</v>
      </c>
      <c r="K1974" s="5" t="s">
        <v>2660</v>
      </c>
      <c r="L1974" s="5" t="s">
        <v>69</v>
      </c>
      <c r="M1974" s="5" t="s">
        <v>69</v>
      </c>
      <c r="N1974" s="5" t="s">
        <v>325</v>
      </c>
      <c r="O1974" s="5" t="s">
        <v>419</v>
      </c>
      <c r="P1974" s="5"/>
      <c r="Q1974" s="5" t="s">
        <v>2638</v>
      </c>
      <c r="R1974" s="5" t="s">
        <v>69</v>
      </c>
      <c r="S1974" s="5"/>
      <c r="T1974" s="5"/>
      <c r="U1974" s="5" t="s">
        <v>2639</v>
      </c>
      <c r="V1974" s="5" t="n">
        <v>1</v>
      </c>
      <c r="W1974" s="5"/>
      <c r="X1974" s="5" t="s">
        <v>2640</v>
      </c>
      <c r="Y1974" s="5" t="s">
        <v>153</v>
      </c>
      <c r="Z1974" s="5" t="s">
        <v>2641</v>
      </c>
      <c r="AA1974" s="5" t="s">
        <v>2642</v>
      </c>
      <c r="AB1974" s="5" t="s">
        <v>2643</v>
      </c>
      <c r="AC1974" s="5" t="s">
        <v>2644</v>
      </c>
      <c r="AD1974" s="5" t="s">
        <v>2645</v>
      </c>
      <c r="AE1974" s="5" t="s">
        <v>2661</v>
      </c>
      <c r="AF1974" s="5" t="s">
        <v>2662</v>
      </c>
    </row>
    <row r="1975" s="1" customFormat="true" ht="13.8" hidden="false" customHeight="false" outlineLevel="0" collapsed="false">
      <c r="A1975" s="5" t="s">
        <v>2629</v>
      </c>
      <c r="B1975" s="6" t="s">
        <v>2630</v>
      </c>
      <c r="C1975" s="5" t="s">
        <v>2631</v>
      </c>
      <c r="D1975" s="5" t="s">
        <v>14</v>
      </c>
      <c r="E1975" s="5" t="s">
        <v>2632</v>
      </c>
      <c r="F1975" s="5" t="s">
        <v>2633</v>
      </c>
      <c r="G1975" s="5" t="s">
        <v>2634</v>
      </c>
      <c r="H1975" s="6" t="s">
        <v>2663</v>
      </c>
      <c r="I1975" s="5" t="s">
        <v>2664</v>
      </c>
      <c r="J1975" s="5" t="s">
        <v>52</v>
      </c>
      <c r="K1975" s="5" t="s">
        <v>2665</v>
      </c>
      <c r="L1975" s="5" t="s">
        <v>69</v>
      </c>
      <c r="M1975" s="5" t="s">
        <v>69</v>
      </c>
      <c r="N1975" s="5" t="s">
        <v>325</v>
      </c>
      <c r="O1975" s="5" t="s">
        <v>2666</v>
      </c>
      <c r="P1975" s="5"/>
      <c r="Q1975" s="5" t="s">
        <v>2638</v>
      </c>
      <c r="R1975" s="5" t="s">
        <v>69</v>
      </c>
      <c r="S1975" s="5"/>
      <c r="T1975" s="5"/>
      <c r="U1975" s="5" t="s">
        <v>2639</v>
      </c>
      <c r="V1975" s="5" t="n">
        <v>2</v>
      </c>
      <c r="W1975" s="5"/>
      <c r="X1975" s="5" t="s">
        <v>2640</v>
      </c>
      <c r="Y1975" s="5" t="s">
        <v>153</v>
      </c>
      <c r="Z1975" s="5" t="s">
        <v>2641</v>
      </c>
      <c r="AA1975" s="5" t="s">
        <v>2642</v>
      </c>
      <c r="AB1975" s="5" t="s">
        <v>2643</v>
      </c>
      <c r="AC1975" s="5" t="s">
        <v>2644</v>
      </c>
      <c r="AD1975" s="5" t="s">
        <v>2645</v>
      </c>
      <c r="AE1975" s="5" t="s">
        <v>2667</v>
      </c>
      <c r="AF1975" s="5" t="s">
        <v>2668</v>
      </c>
    </row>
    <row r="1976" s="1" customFormat="true" ht="13.8" hidden="false" customHeight="false" outlineLevel="0" collapsed="false">
      <c r="A1976" s="5" t="s">
        <v>2629</v>
      </c>
      <c r="B1976" s="6" t="s">
        <v>2630</v>
      </c>
      <c r="C1976" s="5" t="s">
        <v>2631</v>
      </c>
      <c r="D1976" s="5" t="s">
        <v>14</v>
      </c>
      <c r="E1976" s="5" t="s">
        <v>2632</v>
      </c>
      <c r="F1976" s="5" t="s">
        <v>2633</v>
      </c>
      <c r="G1976" s="5" t="s">
        <v>2634</v>
      </c>
      <c r="H1976" s="6" t="s">
        <v>2669</v>
      </c>
      <c r="I1976" s="5" t="s">
        <v>2670</v>
      </c>
      <c r="J1976" s="5" t="s">
        <v>52</v>
      </c>
      <c r="K1976" s="5" t="s">
        <v>2671</v>
      </c>
      <c r="L1976" s="5" t="s">
        <v>69</v>
      </c>
      <c r="M1976" s="5" t="s">
        <v>69</v>
      </c>
      <c r="N1976" s="5" t="s">
        <v>325</v>
      </c>
      <c r="O1976" s="5" t="s">
        <v>2666</v>
      </c>
      <c r="P1976" s="5"/>
      <c r="Q1976" s="5" t="s">
        <v>2638</v>
      </c>
      <c r="R1976" s="5" t="s">
        <v>69</v>
      </c>
      <c r="S1976" s="5"/>
      <c r="T1976" s="5"/>
      <c r="U1976" s="5" t="s">
        <v>2639</v>
      </c>
      <c r="V1976" s="5" t="n">
        <v>3</v>
      </c>
      <c r="W1976" s="5"/>
      <c r="X1976" s="5" t="s">
        <v>2640</v>
      </c>
      <c r="Y1976" s="5" t="s">
        <v>153</v>
      </c>
      <c r="Z1976" s="5" t="s">
        <v>2641</v>
      </c>
      <c r="AA1976" s="5" t="s">
        <v>2642</v>
      </c>
      <c r="AB1976" s="5" t="s">
        <v>2643</v>
      </c>
      <c r="AC1976" s="5" t="s">
        <v>2644</v>
      </c>
      <c r="AD1976" s="5" t="s">
        <v>2645</v>
      </c>
      <c r="AE1976" s="5" t="s">
        <v>2672</v>
      </c>
      <c r="AF1976" s="5" t="s">
        <v>2673</v>
      </c>
    </row>
    <row r="1977" s="1" customFormat="true" ht="13.8" hidden="false" customHeight="false" outlineLevel="0" collapsed="false">
      <c r="A1977" s="5" t="s">
        <v>2629</v>
      </c>
      <c r="B1977" s="6" t="s">
        <v>2630</v>
      </c>
      <c r="C1977" s="5" t="s">
        <v>2631</v>
      </c>
      <c r="D1977" s="5" t="s">
        <v>14</v>
      </c>
      <c r="E1977" s="5" t="s">
        <v>2632</v>
      </c>
      <c r="F1977" s="5" t="s">
        <v>2633</v>
      </c>
      <c r="G1977" s="5" t="s">
        <v>2634</v>
      </c>
      <c r="H1977" s="6" t="s">
        <v>2674</v>
      </c>
      <c r="I1977" s="5" t="s">
        <v>2675</v>
      </c>
      <c r="J1977" s="5" t="s">
        <v>52</v>
      </c>
      <c r="K1977" s="5" t="s">
        <v>2676</v>
      </c>
      <c r="L1977" s="5" t="s">
        <v>69</v>
      </c>
      <c r="M1977" s="5" t="s">
        <v>69</v>
      </c>
      <c r="N1977" s="5" t="s">
        <v>325</v>
      </c>
      <c r="O1977" s="5" t="s">
        <v>2666</v>
      </c>
      <c r="P1977" s="5"/>
      <c r="Q1977" s="5" t="s">
        <v>2638</v>
      </c>
      <c r="R1977" s="5" t="s">
        <v>69</v>
      </c>
      <c r="S1977" s="5"/>
      <c r="T1977" s="5"/>
      <c r="U1977" s="5" t="s">
        <v>2639</v>
      </c>
      <c r="V1977" s="5" t="n">
        <v>1</v>
      </c>
      <c r="W1977" s="5"/>
      <c r="X1977" s="5" t="s">
        <v>2640</v>
      </c>
      <c r="Y1977" s="5" t="s">
        <v>153</v>
      </c>
      <c r="Z1977" s="5" t="s">
        <v>2641</v>
      </c>
      <c r="AA1977" s="5" t="s">
        <v>2642</v>
      </c>
      <c r="AB1977" s="5" t="s">
        <v>2643</v>
      </c>
      <c r="AC1977" s="5" t="s">
        <v>2644</v>
      </c>
      <c r="AD1977" s="5" t="s">
        <v>2645</v>
      </c>
      <c r="AE1977" s="5" t="s">
        <v>2677</v>
      </c>
      <c r="AF1977" s="5" t="s">
        <v>2678</v>
      </c>
    </row>
    <row r="1978" s="1" customFormat="true" ht="13.8" hidden="false" customHeight="false" outlineLevel="0" collapsed="false">
      <c r="A1978" s="5" t="s">
        <v>2629</v>
      </c>
      <c r="B1978" s="6" t="s">
        <v>2630</v>
      </c>
      <c r="C1978" s="5" t="s">
        <v>2631</v>
      </c>
      <c r="D1978" s="5" t="s">
        <v>14</v>
      </c>
      <c r="E1978" s="5" t="s">
        <v>2632</v>
      </c>
      <c r="F1978" s="5" t="s">
        <v>2633</v>
      </c>
      <c r="G1978" s="5" t="s">
        <v>2634</v>
      </c>
      <c r="H1978" s="6" t="n">
        <v>10</v>
      </c>
      <c r="I1978" s="5" t="s">
        <v>2679</v>
      </c>
      <c r="J1978" s="5" t="s">
        <v>52</v>
      </c>
      <c r="K1978" s="5" t="s">
        <v>2680</v>
      </c>
      <c r="L1978" s="5" t="s">
        <v>69</v>
      </c>
      <c r="M1978" s="5" t="s">
        <v>69</v>
      </c>
      <c r="N1978" s="5" t="s">
        <v>325</v>
      </c>
      <c r="O1978" s="5" t="s">
        <v>2666</v>
      </c>
      <c r="P1978" s="5"/>
      <c r="Q1978" s="5" t="s">
        <v>2638</v>
      </c>
      <c r="R1978" s="5" t="s">
        <v>69</v>
      </c>
      <c r="S1978" s="5"/>
      <c r="T1978" s="5"/>
      <c r="U1978" s="5" t="s">
        <v>2639</v>
      </c>
      <c r="V1978" s="5" t="n">
        <v>2</v>
      </c>
      <c r="W1978" s="5"/>
      <c r="X1978" s="5" t="s">
        <v>2640</v>
      </c>
      <c r="Y1978" s="5" t="s">
        <v>153</v>
      </c>
      <c r="Z1978" s="5" t="s">
        <v>2641</v>
      </c>
      <c r="AA1978" s="5" t="s">
        <v>2642</v>
      </c>
      <c r="AB1978" s="5" t="s">
        <v>2643</v>
      </c>
      <c r="AC1978" s="5" t="s">
        <v>2644</v>
      </c>
      <c r="AD1978" s="5" t="s">
        <v>2645</v>
      </c>
      <c r="AE1978" s="5" t="s">
        <v>2681</v>
      </c>
      <c r="AF1978" s="5" t="s">
        <v>2682</v>
      </c>
    </row>
    <row r="1979" s="1" customFormat="true" ht="13.8" hidden="false" customHeight="false" outlineLevel="0" collapsed="false">
      <c r="A1979" s="5" t="s">
        <v>2629</v>
      </c>
      <c r="B1979" s="6" t="s">
        <v>2630</v>
      </c>
      <c r="C1979" s="5" t="s">
        <v>2631</v>
      </c>
      <c r="D1979" s="5" t="s">
        <v>14</v>
      </c>
      <c r="E1979" s="5" t="s">
        <v>2632</v>
      </c>
      <c r="F1979" s="5" t="s">
        <v>2633</v>
      </c>
      <c r="G1979" s="5" t="s">
        <v>2634</v>
      </c>
      <c r="H1979" s="6" t="s">
        <v>2683</v>
      </c>
      <c r="I1979" s="5" t="s">
        <v>2684</v>
      </c>
      <c r="J1979" s="5" t="s">
        <v>52</v>
      </c>
      <c r="K1979" s="5" t="s">
        <v>157</v>
      </c>
      <c r="L1979" s="5" t="s">
        <v>69</v>
      </c>
      <c r="M1979" s="5" t="s">
        <v>46</v>
      </c>
      <c r="N1979" s="5" t="s">
        <v>65</v>
      </c>
      <c r="O1979" s="5" t="s">
        <v>46</v>
      </c>
      <c r="P1979" s="5" t="s">
        <v>46</v>
      </c>
      <c r="Q1979" s="5" t="s">
        <v>46</v>
      </c>
      <c r="R1979" s="5" t="s">
        <v>46</v>
      </c>
      <c r="S1979" s="5" t="s">
        <v>65</v>
      </c>
      <c r="T1979" s="5" t="s">
        <v>46</v>
      </c>
      <c r="U1979" s="5" t="s">
        <v>46</v>
      </c>
      <c r="V1979" s="5" t="n">
        <v>1</v>
      </c>
      <c r="W1979" s="5"/>
      <c r="X1979" s="5" t="s">
        <v>46</v>
      </c>
      <c r="Y1979" s="5" t="s">
        <v>153</v>
      </c>
      <c r="Z1979" s="5" t="s">
        <v>2641</v>
      </c>
      <c r="AA1979" s="5" t="s">
        <v>2642</v>
      </c>
      <c r="AB1979" s="5" t="s">
        <v>2643</v>
      </c>
      <c r="AC1979" s="5" t="s">
        <v>2644</v>
      </c>
      <c r="AD1979" s="5" t="s">
        <v>2645</v>
      </c>
      <c r="AE1979" s="5" t="s">
        <v>2685</v>
      </c>
      <c r="AF1979" s="5" t="s">
        <v>2686</v>
      </c>
    </row>
    <row r="1980" s="1" customFormat="true" ht="13.8" hidden="false" customHeight="false" outlineLevel="0" collapsed="false">
      <c r="A1980" s="5" t="s">
        <v>2629</v>
      </c>
      <c r="B1980" s="6" t="s">
        <v>2630</v>
      </c>
      <c r="C1980" s="5" t="s">
        <v>2631</v>
      </c>
      <c r="D1980" s="5" t="s">
        <v>14</v>
      </c>
      <c r="E1980" s="5" t="s">
        <v>2632</v>
      </c>
      <c r="F1980" s="5" t="s">
        <v>2633</v>
      </c>
      <c r="G1980" s="5" t="s">
        <v>2634</v>
      </c>
      <c r="H1980" s="6" t="n">
        <v>12</v>
      </c>
      <c r="I1980" s="5" t="s">
        <v>2687</v>
      </c>
      <c r="J1980" s="5" t="s">
        <v>52</v>
      </c>
      <c r="K1980" s="5" t="s">
        <v>165</v>
      </c>
      <c r="L1980" s="5" t="s">
        <v>69</v>
      </c>
      <c r="M1980" s="5" t="s">
        <v>46</v>
      </c>
      <c r="N1980" s="5" t="s">
        <v>65</v>
      </c>
      <c r="O1980" s="5" t="s">
        <v>46</v>
      </c>
      <c r="P1980" s="5" t="s">
        <v>46</v>
      </c>
      <c r="Q1980" s="5" t="s">
        <v>46</v>
      </c>
      <c r="R1980" s="5" t="s">
        <v>46</v>
      </c>
      <c r="S1980" s="5" t="s">
        <v>65</v>
      </c>
      <c r="T1980" s="5" t="s">
        <v>46</v>
      </c>
      <c r="U1980" s="5" t="s">
        <v>46</v>
      </c>
      <c r="V1980" s="5" t="n">
        <v>2</v>
      </c>
      <c r="W1980" s="5"/>
      <c r="X1980" s="5" t="s">
        <v>46</v>
      </c>
      <c r="Y1980" s="5" t="s">
        <v>153</v>
      </c>
      <c r="Z1980" s="5" t="s">
        <v>2641</v>
      </c>
      <c r="AA1980" s="5" t="s">
        <v>2642</v>
      </c>
      <c r="AB1980" s="5" t="s">
        <v>2643</v>
      </c>
      <c r="AC1980" s="5" t="s">
        <v>2644</v>
      </c>
      <c r="AD1980" s="5" t="s">
        <v>2645</v>
      </c>
      <c r="AE1980" s="5" t="s">
        <v>2688</v>
      </c>
      <c r="AF1980" s="5" t="s">
        <v>2689</v>
      </c>
    </row>
    <row r="1981" s="1" customFormat="true" ht="13.8" hidden="false" customHeight="false" outlineLevel="0" collapsed="false">
      <c r="A1981" s="5" t="s">
        <v>2629</v>
      </c>
      <c r="B1981" s="6" t="s">
        <v>2630</v>
      </c>
      <c r="C1981" s="5" t="s">
        <v>2631</v>
      </c>
      <c r="D1981" s="5" t="s">
        <v>14</v>
      </c>
      <c r="E1981" s="5" t="s">
        <v>2632</v>
      </c>
      <c r="F1981" s="5" t="s">
        <v>2633</v>
      </c>
      <c r="G1981" s="5" t="s">
        <v>2634</v>
      </c>
      <c r="H1981" s="6" t="n">
        <v>18</v>
      </c>
      <c r="I1981" s="5" t="s">
        <v>2690</v>
      </c>
      <c r="J1981" s="5" t="s">
        <v>52</v>
      </c>
      <c r="K1981" s="5" t="s">
        <v>171</v>
      </c>
      <c r="L1981" s="5" t="s">
        <v>69</v>
      </c>
      <c r="M1981" s="5" t="s">
        <v>46</v>
      </c>
      <c r="N1981" s="5" t="s">
        <v>65</v>
      </c>
      <c r="O1981" s="5" t="s">
        <v>46</v>
      </c>
      <c r="P1981" s="5" t="s">
        <v>46</v>
      </c>
      <c r="Q1981" s="5" t="s">
        <v>46</v>
      </c>
      <c r="R1981" s="5" t="s">
        <v>46</v>
      </c>
      <c r="S1981" s="5" t="s">
        <v>65</v>
      </c>
      <c r="T1981" s="5" t="s">
        <v>46</v>
      </c>
      <c r="U1981" s="5" t="s">
        <v>46</v>
      </c>
      <c r="V1981" s="5" t="n">
        <v>3</v>
      </c>
      <c r="W1981" s="5"/>
      <c r="X1981" s="5" t="s">
        <v>46</v>
      </c>
      <c r="Y1981" s="5" t="s">
        <v>153</v>
      </c>
      <c r="Z1981" s="5" t="s">
        <v>2641</v>
      </c>
      <c r="AA1981" s="5" t="s">
        <v>2642</v>
      </c>
      <c r="AB1981" s="5" t="s">
        <v>2643</v>
      </c>
      <c r="AC1981" s="5" t="s">
        <v>2644</v>
      </c>
      <c r="AD1981" s="5" t="s">
        <v>2645</v>
      </c>
      <c r="AE1981" s="5" t="s">
        <v>2691</v>
      </c>
      <c r="AF1981" s="5" t="s">
        <v>2692</v>
      </c>
    </row>
    <row r="1982" s="1" customFormat="true" ht="13.8" hidden="false" customHeight="false" outlineLevel="0" collapsed="false">
      <c r="A1982" s="5" t="s">
        <v>2629</v>
      </c>
      <c r="B1982" s="6" t="s">
        <v>2630</v>
      </c>
      <c r="C1982" s="5" t="s">
        <v>2631</v>
      </c>
      <c r="D1982" s="5" t="s">
        <v>14</v>
      </c>
      <c r="E1982" s="5" t="s">
        <v>2632</v>
      </c>
      <c r="F1982" s="5" t="s">
        <v>2633</v>
      </c>
      <c r="G1982" s="5" t="s">
        <v>2634</v>
      </c>
      <c r="H1982" s="6" t="s">
        <v>2693</v>
      </c>
      <c r="I1982" s="5" t="s">
        <v>2694</v>
      </c>
      <c r="J1982" s="5" t="s">
        <v>52</v>
      </c>
      <c r="K1982" s="5" t="s">
        <v>152</v>
      </c>
      <c r="L1982" s="5" t="s">
        <v>69</v>
      </c>
      <c r="M1982" s="5" t="s">
        <v>69</v>
      </c>
      <c r="N1982" s="5" t="s">
        <v>70</v>
      </c>
      <c r="O1982" s="5" t="s">
        <v>46</v>
      </c>
      <c r="P1982" s="5" t="s">
        <v>71</v>
      </c>
      <c r="Q1982" s="5" t="s">
        <v>71</v>
      </c>
      <c r="R1982" s="5" t="s">
        <v>72</v>
      </c>
      <c r="S1982" s="5" t="s">
        <v>2695</v>
      </c>
      <c r="T1982" s="5" t="s">
        <v>46</v>
      </c>
      <c r="U1982" s="5" t="n">
        <v>1000</v>
      </c>
      <c r="V1982" s="5" t="n">
        <v>1</v>
      </c>
      <c r="W1982" s="5"/>
      <c r="X1982" s="5" t="s">
        <v>74</v>
      </c>
      <c r="Y1982" s="5" t="s">
        <v>153</v>
      </c>
      <c r="Z1982" s="5" t="s">
        <v>2641</v>
      </c>
      <c r="AA1982" s="5" t="s">
        <v>2642</v>
      </c>
      <c r="AB1982" s="5" t="s">
        <v>2643</v>
      </c>
      <c r="AC1982" s="5" t="s">
        <v>2644</v>
      </c>
      <c r="AD1982" s="5" t="s">
        <v>2645</v>
      </c>
      <c r="AE1982" s="5" t="s">
        <v>2696</v>
      </c>
      <c r="AF1982" s="5" t="s">
        <v>2697</v>
      </c>
    </row>
    <row r="1983" s="1" customFormat="true" ht="13.8" hidden="false" customHeight="false" outlineLevel="0" collapsed="false">
      <c r="A1983" s="5" t="s">
        <v>2629</v>
      </c>
      <c r="B1983" s="6" t="s">
        <v>2630</v>
      </c>
      <c r="C1983" s="5" t="s">
        <v>2631</v>
      </c>
      <c r="D1983" s="5" t="s">
        <v>14</v>
      </c>
      <c r="E1983" s="5" t="s">
        <v>2632</v>
      </c>
      <c r="F1983" s="5" t="s">
        <v>2633</v>
      </c>
      <c r="G1983" s="5" t="s">
        <v>2634</v>
      </c>
      <c r="H1983" s="6" t="n">
        <v>11</v>
      </c>
      <c r="I1983" s="5" t="s">
        <v>2698</v>
      </c>
      <c r="J1983" s="5" t="s">
        <v>52</v>
      </c>
      <c r="K1983" s="5" t="s">
        <v>164</v>
      </c>
      <c r="L1983" s="5" t="s">
        <v>69</v>
      </c>
      <c r="M1983" s="5" t="s">
        <v>69</v>
      </c>
      <c r="N1983" s="5" t="s">
        <v>70</v>
      </c>
      <c r="O1983" s="5" t="s">
        <v>46</v>
      </c>
      <c r="P1983" s="5" t="s">
        <v>71</v>
      </c>
      <c r="Q1983" s="5" t="s">
        <v>71</v>
      </c>
      <c r="R1983" s="5" t="s">
        <v>72</v>
      </c>
      <c r="S1983" s="5" t="s">
        <v>2695</v>
      </c>
      <c r="T1983" s="5" t="s">
        <v>46</v>
      </c>
      <c r="U1983" s="5" t="n">
        <v>1000</v>
      </c>
      <c r="V1983" s="5" t="n">
        <v>2</v>
      </c>
      <c r="W1983" s="5"/>
      <c r="X1983" s="5" t="s">
        <v>74</v>
      </c>
      <c r="Y1983" s="5" t="s">
        <v>153</v>
      </c>
      <c r="Z1983" s="5" t="s">
        <v>2641</v>
      </c>
      <c r="AA1983" s="5" t="s">
        <v>2642</v>
      </c>
      <c r="AB1983" s="5" t="s">
        <v>2643</v>
      </c>
      <c r="AC1983" s="5" t="s">
        <v>2644</v>
      </c>
      <c r="AD1983" s="5" t="s">
        <v>2645</v>
      </c>
      <c r="AE1983" s="5" t="s">
        <v>2699</v>
      </c>
      <c r="AF1983" s="5" t="s">
        <v>2700</v>
      </c>
    </row>
    <row r="1984" s="1" customFormat="true" ht="13.8" hidden="false" customHeight="false" outlineLevel="0" collapsed="false">
      <c r="A1984" s="5" t="s">
        <v>2629</v>
      </c>
      <c r="B1984" s="6" t="s">
        <v>2630</v>
      </c>
      <c r="C1984" s="5" t="s">
        <v>2631</v>
      </c>
      <c r="D1984" s="5" t="s">
        <v>14</v>
      </c>
      <c r="E1984" s="5" t="s">
        <v>2632</v>
      </c>
      <c r="F1984" s="5" t="s">
        <v>2633</v>
      </c>
      <c r="G1984" s="5" t="s">
        <v>2634</v>
      </c>
      <c r="H1984" s="6" t="n">
        <v>17</v>
      </c>
      <c r="I1984" s="5" t="s">
        <v>2701</v>
      </c>
      <c r="J1984" s="5" t="s">
        <v>52</v>
      </c>
      <c r="K1984" s="5" t="s">
        <v>170</v>
      </c>
      <c r="L1984" s="5" t="s">
        <v>69</v>
      </c>
      <c r="M1984" s="5" t="s">
        <v>69</v>
      </c>
      <c r="N1984" s="5" t="s">
        <v>70</v>
      </c>
      <c r="O1984" s="5" t="s">
        <v>46</v>
      </c>
      <c r="P1984" s="5" t="s">
        <v>71</v>
      </c>
      <c r="Q1984" s="5" t="s">
        <v>71</v>
      </c>
      <c r="R1984" s="5" t="s">
        <v>72</v>
      </c>
      <c r="S1984" s="5" t="s">
        <v>2695</v>
      </c>
      <c r="T1984" s="5" t="s">
        <v>46</v>
      </c>
      <c r="U1984" s="5" t="n">
        <v>1000</v>
      </c>
      <c r="V1984" s="5" t="n">
        <v>3</v>
      </c>
      <c r="W1984" s="5"/>
      <c r="X1984" s="5" t="s">
        <v>74</v>
      </c>
      <c r="Y1984" s="5" t="s">
        <v>153</v>
      </c>
      <c r="Z1984" s="5" t="s">
        <v>2641</v>
      </c>
      <c r="AA1984" s="5" t="s">
        <v>2642</v>
      </c>
      <c r="AB1984" s="5" t="s">
        <v>2643</v>
      </c>
      <c r="AC1984" s="5" t="s">
        <v>2644</v>
      </c>
      <c r="AD1984" s="5" t="s">
        <v>2645</v>
      </c>
      <c r="AE1984" s="5" t="s">
        <v>2702</v>
      </c>
      <c r="AF1984" s="5" t="s">
        <v>2703</v>
      </c>
    </row>
    <row r="1985" customFormat="false" ht="13.8" hidden="false" customHeight="false" outlineLevel="0" collapsed="false">
      <c r="A1985" s="5" t="s">
        <v>2704</v>
      </c>
      <c r="C1985" s="5" t="s">
        <v>2705</v>
      </c>
      <c r="D1985" s="5" t="s">
        <v>14</v>
      </c>
      <c r="E1985" s="5" t="s">
        <v>2706</v>
      </c>
      <c r="F1985" s="5" t="s">
        <v>2707</v>
      </c>
      <c r="G1985" s="5" t="s">
        <v>2708</v>
      </c>
      <c r="H1985" s="2" t="s">
        <v>2648</v>
      </c>
      <c r="I1985" s="5" t="s">
        <v>2709</v>
      </c>
      <c r="J1985" s="5" t="s">
        <v>38</v>
      </c>
      <c r="K1985" s="5" t="s">
        <v>2710</v>
      </c>
      <c r="L1985" s="5" t="s">
        <v>46</v>
      </c>
      <c r="M1985" s="5" t="s">
        <v>46</v>
      </c>
      <c r="N1985" s="5" t="s">
        <v>41</v>
      </c>
      <c r="O1985" s="5" t="s">
        <v>42</v>
      </c>
      <c r="P1985" s="5" t="s">
        <v>43</v>
      </c>
      <c r="Q1985" s="5" t="s">
        <v>43</v>
      </c>
      <c r="R1985" s="5" t="s">
        <v>44</v>
      </c>
      <c r="S1985" s="5" t="s">
        <v>90</v>
      </c>
      <c r="T1985" s="5" t="s">
        <v>46</v>
      </c>
      <c r="U1985" s="5" t="n">
        <v>500</v>
      </c>
      <c r="V1985" s="5" t="n">
        <v>1</v>
      </c>
      <c r="W1985" s="5" t="s">
        <v>46</v>
      </c>
      <c r="X1985" s="5" t="s">
        <v>47</v>
      </c>
      <c r="Y1985" s="5" t="s">
        <v>153</v>
      </c>
      <c r="Z1985" s="5" t="s">
        <v>2711</v>
      </c>
      <c r="AA1985" s="5" t="s">
        <v>2712</v>
      </c>
      <c r="AB1985" s="5" t="s">
        <v>2713</v>
      </c>
      <c r="AC1985" s="5" t="s">
        <v>2714</v>
      </c>
      <c r="AD1985" s="5" t="s">
        <v>2715</v>
      </c>
      <c r="AE1985" s="5" t="s">
        <v>2716</v>
      </c>
      <c r="AF1985" s="5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5" t="s">
        <v>2719</v>
      </c>
      <c r="J1986" s="1" t="s">
        <v>38</v>
      </c>
      <c r="K1986" s="1" t="s">
        <v>2710</v>
      </c>
      <c r="L1986" s="1" t="s">
        <v>46</v>
      </c>
      <c r="M1986" s="1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5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5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5" t="s">
        <v>2723</v>
      </c>
      <c r="J1987" s="1" t="s">
        <v>38</v>
      </c>
      <c r="K1987" s="1" t="s">
        <v>2710</v>
      </c>
      <c r="L1987" s="1" t="s">
        <v>46</v>
      </c>
      <c r="M1987" s="1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5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5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5" t="s">
        <v>2726</v>
      </c>
      <c r="J1988" s="1" t="s">
        <v>52</v>
      </c>
      <c r="K1988" s="1" t="s">
        <v>2727</v>
      </c>
      <c r="L1988" s="1" t="s">
        <v>46</v>
      </c>
      <c r="M1988" s="1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5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5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5" t="s">
        <v>2732</v>
      </c>
      <c r="J1989" s="1" t="s">
        <v>52</v>
      </c>
      <c r="K1989" s="1" t="s">
        <v>2727</v>
      </c>
      <c r="L1989" s="1" t="s">
        <v>46</v>
      </c>
      <c r="M1989" s="1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5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5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5" t="s">
        <v>2736</v>
      </c>
      <c r="J1990" s="1" t="s">
        <v>52</v>
      </c>
      <c r="K1990" s="1" t="s">
        <v>2727</v>
      </c>
      <c r="L1990" s="1" t="s">
        <v>46</v>
      </c>
      <c r="M1990" s="1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5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5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5" t="s">
        <v>2739</v>
      </c>
      <c r="J1991" s="1" t="s">
        <v>52</v>
      </c>
      <c r="K1991" s="1" t="s">
        <v>1935</v>
      </c>
      <c r="L1991" s="1" t="s">
        <v>46</v>
      </c>
      <c r="M1991" s="1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5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5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5" t="s">
        <v>2744</v>
      </c>
      <c r="J1992" s="1" t="s">
        <v>52</v>
      </c>
      <c r="K1992" s="1" t="s">
        <v>1935</v>
      </c>
      <c r="L1992" s="1" t="s">
        <v>46</v>
      </c>
      <c r="M1992" s="1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5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5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5" t="s">
        <v>2748</v>
      </c>
      <c r="J1993" s="1" t="s">
        <v>52</v>
      </c>
      <c r="K1993" s="1" t="s">
        <v>1935</v>
      </c>
      <c r="L1993" s="1" t="s">
        <v>46</v>
      </c>
      <c r="M1993" s="1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5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5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5" t="s">
        <v>2752</v>
      </c>
      <c r="J1994" s="1" t="s">
        <v>52</v>
      </c>
      <c r="K1994" s="1" t="s">
        <v>1935</v>
      </c>
      <c r="L1994" s="1" t="s">
        <v>46</v>
      </c>
      <c r="M1994" s="1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5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5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5" t="s">
        <v>2755</v>
      </c>
      <c r="J1995" s="1" t="s">
        <v>52</v>
      </c>
      <c r="K1995" s="1" t="s">
        <v>65</v>
      </c>
      <c r="L1995" s="1" t="s">
        <v>46</v>
      </c>
      <c r="M1995" s="1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5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5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5" t="s">
        <v>2759</v>
      </c>
      <c r="J1996" s="1" t="s">
        <v>52</v>
      </c>
      <c r="K1996" s="1" t="s">
        <v>65</v>
      </c>
      <c r="L1996" s="1" t="s">
        <v>46</v>
      </c>
      <c r="M1996" s="1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5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5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5" t="s">
        <v>2763</v>
      </c>
      <c r="J1997" s="1" t="s">
        <v>52</v>
      </c>
      <c r="K1997" s="1" t="s">
        <v>65</v>
      </c>
      <c r="L1997" s="1" t="s">
        <v>46</v>
      </c>
      <c r="M1997" s="1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5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5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5" t="s">
        <v>2769</v>
      </c>
      <c r="J1998" s="1" t="s">
        <v>38</v>
      </c>
      <c r="K1998" s="1" t="s">
        <v>2770</v>
      </c>
      <c r="L1998" s="1" t="s">
        <v>46</v>
      </c>
      <c r="M1998" s="1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5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5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5" t="s">
        <v>2774</v>
      </c>
      <c r="J1999" s="1" t="s">
        <v>38</v>
      </c>
      <c r="K1999" s="1" t="s">
        <v>2770</v>
      </c>
      <c r="L1999" s="1" t="s">
        <v>46</v>
      </c>
      <c r="M1999" s="1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5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5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5" t="s">
        <v>2778</v>
      </c>
      <c r="J2000" s="1" t="s">
        <v>52</v>
      </c>
      <c r="K2000" s="1" t="s">
        <v>2779</v>
      </c>
      <c r="L2000" s="1" t="s">
        <v>46</v>
      </c>
      <c r="M2000" s="1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5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5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5" t="s">
        <v>2783</v>
      </c>
      <c r="J2001" s="1" t="s">
        <v>52</v>
      </c>
      <c r="K2001" s="1" t="s">
        <v>2779</v>
      </c>
      <c r="L2001" s="1" t="s">
        <v>46</v>
      </c>
      <c r="M2001" s="1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5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5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5" t="s">
        <v>2787</v>
      </c>
      <c r="J2002" s="1" t="s">
        <v>52</v>
      </c>
      <c r="K2002" s="1" t="s">
        <v>2779</v>
      </c>
      <c r="L2002" s="1" t="s">
        <v>46</v>
      </c>
      <c r="M2002" s="1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5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5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5" t="s">
        <v>2739</v>
      </c>
      <c r="J2003" s="1" t="s">
        <v>52</v>
      </c>
      <c r="K2003" s="1" t="s">
        <v>1935</v>
      </c>
      <c r="L2003" s="1" t="s">
        <v>46</v>
      </c>
      <c r="M2003" s="1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5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5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5" t="s">
        <v>2744</v>
      </c>
      <c r="J2004" s="1" t="s">
        <v>52</v>
      </c>
      <c r="K2004" s="1" t="s">
        <v>1935</v>
      </c>
      <c r="L2004" s="1" t="s">
        <v>46</v>
      </c>
      <c r="M2004" s="1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5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5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5" t="s">
        <v>2748</v>
      </c>
      <c r="J2005" s="1" t="s">
        <v>52</v>
      </c>
      <c r="K2005" s="1" t="s">
        <v>1935</v>
      </c>
      <c r="L2005" s="1" t="s">
        <v>46</v>
      </c>
      <c r="M2005" s="1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5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5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5" t="s">
        <v>2752</v>
      </c>
      <c r="J2006" s="1" t="s">
        <v>52</v>
      </c>
      <c r="K2006" s="1" t="s">
        <v>1935</v>
      </c>
      <c r="L2006" s="1" t="s">
        <v>46</v>
      </c>
      <c r="M2006" s="1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5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5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5" t="s">
        <v>2755</v>
      </c>
      <c r="J2007" s="1" t="s">
        <v>52</v>
      </c>
      <c r="K2007" s="1" t="s">
        <v>65</v>
      </c>
      <c r="L2007" s="1" t="s">
        <v>46</v>
      </c>
      <c r="M2007" s="1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5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5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5" t="s">
        <v>2759</v>
      </c>
      <c r="J2008" s="1" t="s">
        <v>52</v>
      </c>
      <c r="K2008" s="1" t="s">
        <v>65</v>
      </c>
      <c r="L2008" s="1" t="s">
        <v>46</v>
      </c>
      <c r="M2008" s="1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5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5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5" t="s">
        <v>2763</v>
      </c>
      <c r="J2009" s="1" t="s">
        <v>52</v>
      </c>
      <c r="K2009" s="1" t="s">
        <v>65</v>
      </c>
      <c r="L2009" s="1" t="s">
        <v>46</v>
      </c>
      <c r="M2009" s="1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5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5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5" t="s">
        <v>2793</v>
      </c>
      <c r="J2010" s="1" t="s">
        <v>38</v>
      </c>
      <c r="K2010" s="1" t="s">
        <v>2794</v>
      </c>
      <c r="L2010" s="1" t="s">
        <v>46</v>
      </c>
      <c r="M2010" s="1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5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5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5" t="s">
        <v>2798</v>
      </c>
      <c r="J2011" s="1" t="s">
        <v>38</v>
      </c>
      <c r="K2011" s="1" t="s">
        <v>2794</v>
      </c>
      <c r="L2011" s="1" t="s">
        <v>46</v>
      </c>
      <c r="M2011" s="1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5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5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5" t="s">
        <v>2802</v>
      </c>
      <c r="J2012" s="1" t="s">
        <v>52</v>
      </c>
      <c r="K2012" s="1" t="s">
        <v>2803</v>
      </c>
      <c r="L2012" s="1" t="s">
        <v>46</v>
      </c>
      <c r="M2012" s="1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5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5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5" t="s">
        <v>2808</v>
      </c>
      <c r="J2013" s="1" t="s">
        <v>52</v>
      </c>
      <c r="K2013" s="1" t="s">
        <v>2803</v>
      </c>
      <c r="L2013" s="1" t="s">
        <v>46</v>
      </c>
      <c r="M2013" s="1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5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5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5" t="s">
        <v>2812</v>
      </c>
      <c r="J2014" s="1" t="s">
        <v>52</v>
      </c>
      <c r="K2014" s="1" t="s">
        <v>2803</v>
      </c>
      <c r="L2014" s="1" t="s">
        <v>46</v>
      </c>
      <c r="M2014" s="1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5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5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5" t="s">
        <v>2739</v>
      </c>
      <c r="J2015" s="1" t="s">
        <v>52</v>
      </c>
      <c r="K2015" s="1" t="s">
        <v>1935</v>
      </c>
      <c r="L2015" s="1" t="s">
        <v>46</v>
      </c>
      <c r="M2015" s="1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5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5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5" t="s">
        <v>2744</v>
      </c>
      <c r="J2016" s="1" t="s">
        <v>52</v>
      </c>
      <c r="K2016" s="1" t="s">
        <v>1935</v>
      </c>
      <c r="L2016" s="1" t="s">
        <v>46</v>
      </c>
      <c r="M2016" s="1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5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5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5" t="s">
        <v>2748</v>
      </c>
      <c r="J2017" s="1" t="s">
        <v>52</v>
      </c>
      <c r="K2017" s="1" t="s">
        <v>1935</v>
      </c>
      <c r="L2017" s="1" t="s">
        <v>46</v>
      </c>
      <c r="M2017" s="1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5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5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5" t="s">
        <v>2752</v>
      </c>
      <c r="J2018" s="1" t="s">
        <v>52</v>
      </c>
      <c r="K2018" s="1" t="s">
        <v>1935</v>
      </c>
      <c r="L2018" s="1" t="s">
        <v>46</v>
      </c>
      <c r="M2018" s="1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5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5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5" t="s">
        <v>2755</v>
      </c>
      <c r="J2019" s="1" t="s">
        <v>52</v>
      </c>
      <c r="K2019" s="1" t="s">
        <v>65</v>
      </c>
      <c r="L2019" s="1" t="s">
        <v>46</v>
      </c>
      <c r="M2019" s="1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5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5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5" t="s">
        <v>2759</v>
      </c>
      <c r="J2020" s="1" t="s">
        <v>52</v>
      </c>
      <c r="K2020" s="1" t="s">
        <v>65</v>
      </c>
      <c r="L2020" s="1" t="s">
        <v>46</v>
      </c>
      <c r="M2020" s="1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5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5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5" t="s">
        <v>2763</v>
      </c>
      <c r="J2021" s="1" t="s">
        <v>52</v>
      </c>
      <c r="K2021" s="1" t="s">
        <v>65</v>
      </c>
      <c r="L2021" s="1" t="s">
        <v>46</v>
      </c>
      <c r="M2021" s="1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5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5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5" t="s">
        <v>2820</v>
      </c>
      <c r="J2022" s="1" t="s">
        <v>38</v>
      </c>
      <c r="K2022" s="1" t="s">
        <v>2821</v>
      </c>
      <c r="L2022" s="1" t="s">
        <v>46</v>
      </c>
      <c r="M2022" s="1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5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5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5" t="s">
        <v>2829</v>
      </c>
      <c r="J2023" s="1" t="s">
        <v>38</v>
      </c>
      <c r="K2023" s="1" t="s">
        <v>2821</v>
      </c>
      <c r="L2023" s="1" t="s">
        <v>46</v>
      </c>
      <c r="M2023" s="1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5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5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5" t="s">
        <v>2832</v>
      </c>
      <c r="J2024" s="1" t="s">
        <v>38</v>
      </c>
      <c r="K2024" s="1" t="s">
        <v>2821</v>
      </c>
      <c r="L2024" s="1" t="s">
        <v>46</v>
      </c>
      <c r="M2024" s="1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5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5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5" t="s">
        <v>2835</v>
      </c>
      <c r="J2025" s="1" t="s">
        <v>52</v>
      </c>
      <c r="K2025" s="1" t="s">
        <v>2836</v>
      </c>
      <c r="L2025" s="1" t="s">
        <v>46</v>
      </c>
      <c r="M2025" s="1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5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5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5" t="s">
        <v>2839</v>
      </c>
      <c r="J2026" s="1" t="s">
        <v>52</v>
      </c>
      <c r="K2026" s="1" t="s">
        <v>2836</v>
      </c>
      <c r="L2026" s="1" t="s">
        <v>46</v>
      </c>
      <c r="M2026" s="1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5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5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5" t="s">
        <v>2842</v>
      </c>
      <c r="J2027" s="1" t="s">
        <v>52</v>
      </c>
      <c r="K2027" s="1" t="s">
        <v>2836</v>
      </c>
      <c r="L2027" s="1" t="s">
        <v>46</v>
      </c>
      <c r="M2027" s="1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5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5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5" t="s">
        <v>2845</v>
      </c>
      <c r="J2028" s="1" t="s">
        <v>52</v>
      </c>
      <c r="K2028" s="1" t="s">
        <v>1935</v>
      </c>
      <c r="L2028" s="1" t="s">
        <v>46</v>
      </c>
      <c r="M2028" s="1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5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5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5" t="s">
        <v>2848</v>
      </c>
      <c r="J2029" s="1" t="s">
        <v>52</v>
      </c>
      <c r="K2029" s="1" t="s">
        <v>1935</v>
      </c>
      <c r="L2029" s="1" t="s">
        <v>46</v>
      </c>
      <c r="M2029" s="1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5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5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5" t="s">
        <v>2851</v>
      </c>
      <c r="J2030" s="1" t="s">
        <v>52</v>
      </c>
      <c r="K2030" s="1" t="s">
        <v>1935</v>
      </c>
      <c r="L2030" s="1" t="s">
        <v>46</v>
      </c>
      <c r="M2030" s="1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5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5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5" t="s">
        <v>2854</v>
      </c>
      <c r="J2031" s="1" t="s">
        <v>52</v>
      </c>
      <c r="K2031" s="1" t="s">
        <v>1935</v>
      </c>
      <c r="L2031" s="1" t="s">
        <v>46</v>
      </c>
      <c r="M2031" s="1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5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5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5" t="s">
        <v>2857</v>
      </c>
      <c r="J2032" s="1" t="s">
        <v>52</v>
      </c>
      <c r="K2032" s="1" t="s">
        <v>1935</v>
      </c>
      <c r="L2032" s="1" t="s">
        <v>46</v>
      </c>
      <c r="M2032" s="1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5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5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5" t="s">
        <v>2860</v>
      </c>
      <c r="J2033" s="1" t="s">
        <v>52</v>
      </c>
      <c r="K2033" s="1" t="s">
        <v>65</v>
      </c>
      <c r="L2033" s="1" t="s">
        <v>46</v>
      </c>
      <c r="M2033" s="1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5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5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5" t="s">
        <v>2863</v>
      </c>
      <c r="J2034" s="1" t="s">
        <v>52</v>
      </c>
      <c r="K2034" s="1" t="s">
        <v>65</v>
      </c>
      <c r="L2034" s="1" t="s">
        <v>46</v>
      </c>
      <c r="M2034" s="1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5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5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5" t="s">
        <v>2866</v>
      </c>
      <c r="J2035" s="1" t="s">
        <v>52</v>
      </c>
      <c r="K2035" s="1" t="s">
        <v>65</v>
      </c>
      <c r="L2035" s="1" t="s">
        <v>46</v>
      </c>
      <c r="M2035" s="1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5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5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5" t="s">
        <v>2871</v>
      </c>
      <c r="J2036" s="1" t="s">
        <v>38</v>
      </c>
      <c r="K2036" s="1" t="s">
        <v>2872</v>
      </c>
      <c r="L2036" s="1" t="s">
        <v>46</v>
      </c>
      <c r="M2036" s="1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5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5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5" t="s">
        <v>2875</v>
      </c>
      <c r="J2037" s="1" t="s">
        <v>38</v>
      </c>
      <c r="K2037" s="1" t="s">
        <v>2872</v>
      </c>
      <c r="L2037" s="1" t="s">
        <v>46</v>
      </c>
      <c r="M2037" s="1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5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5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5" t="s">
        <v>2878</v>
      </c>
      <c r="J2038" s="1" t="s">
        <v>38</v>
      </c>
      <c r="K2038" s="1" t="s">
        <v>2872</v>
      </c>
      <c r="L2038" s="1" t="s">
        <v>46</v>
      </c>
      <c r="M2038" s="1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5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5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5" t="s">
        <v>2881</v>
      </c>
      <c r="J2039" s="1" t="s">
        <v>52</v>
      </c>
      <c r="K2039" s="1" t="s">
        <v>2882</v>
      </c>
      <c r="L2039" s="1" t="s">
        <v>46</v>
      </c>
      <c r="M2039" s="1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5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5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5" t="s">
        <v>2885</v>
      </c>
      <c r="J2040" s="1" t="s">
        <v>52</v>
      </c>
      <c r="K2040" s="1" t="s">
        <v>2882</v>
      </c>
      <c r="L2040" s="1" t="s">
        <v>46</v>
      </c>
      <c r="M2040" s="1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5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5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5" t="s">
        <v>2888</v>
      </c>
      <c r="J2041" s="1" t="s">
        <v>52</v>
      </c>
      <c r="K2041" s="1" t="s">
        <v>2882</v>
      </c>
      <c r="L2041" s="1" t="s">
        <v>46</v>
      </c>
      <c r="M2041" s="1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5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5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5" t="s">
        <v>2845</v>
      </c>
      <c r="J2042" s="1" t="s">
        <v>52</v>
      </c>
      <c r="K2042" s="1" t="s">
        <v>1935</v>
      </c>
      <c r="L2042" s="1" t="s">
        <v>46</v>
      </c>
      <c r="M2042" s="1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5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5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5" t="s">
        <v>2848</v>
      </c>
      <c r="J2043" s="1" t="s">
        <v>52</v>
      </c>
      <c r="K2043" s="1" t="s">
        <v>1935</v>
      </c>
      <c r="L2043" s="1" t="s">
        <v>46</v>
      </c>
      <c r="M2043" s="1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5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5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5" t="s">
        <v>2851</v>
      </c>
      <c r="J2044" s="1" t="s">
        <v>52</v>
      </c>
      <c r="K2044" s="1" t="s">
        <v>1935</v>
      </c>
      <c r="L2044" s="1" t="s">
        <v>46</v>
      </c>
      <c r="M2044" s="1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5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5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5" t="s">
        <v>2854</v>
      </c>
      <c r="J2045" s="1" t="s">
        <v>52</v>
      </c>
      <c r="K2045" s="1" t="s">
        <v>1935</v>
      </c>
      <c r="L2045" s="1" t="s">
        <v>46</v>
      </c>
      <c r="M2045" s="1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5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5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5" t="s">
        <v>2857</v>
      </c>
      <c r="J2046" s="1" t="s">
        <v>52</v>
      </c>
      <c r="K2046" s="1" t="s">
        <v>1935</v>
      </c>
      <c r="L2046" s="1" t="s">
        <v>46</v>
      </c>
      <c r="M2046" s="1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5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5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5" t="s">
        <v>2860</v>
      </c>
      <c r="J2047" s="1" t="s">
        <v>52</v>
      </c>
      <c r="K2047" s="1" t="s">
        <v>65</v>
      </c>
      <c r="L2047" s="1" t="s">
        <v>46</v>
      </c>
      <c r="M2047" s="1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5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5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5" t="s">
        <v>2863</v>
      </c>
      <c r="J2048" s="1" t="s">
        <v>52</v>
      </c>
      <c r="K2048" s="1" t="s">
        <v>65</v>
      </c>
      <c r="L2048" s="1" t="s">
        <v>46</v>
      </c>
      <c r="M2048" s="1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5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5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5" t="s">
        <v>2866</v>
      </c>
      <c r="J2049" s="1" t="s">
        <v>52</v>
      </c>
      <c r="K2049" s="1" t="s">
        <v>65</v>
      </c>
      <c r="L2049" s="1" t="s">
        <v>46</v>
      </c>
      <c r="M2049" s="1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5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5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5" t="s">
        <v>2893</v>
      </c>
      <c r="J2050" s="1" t="s">
        <v>38</v>
      </c>
      <c r="K2050" s="1" t="s">
        <v>2894</v>
      </c>
      <c r="L2050" s="1" t="s">
        <v>46</v>
      </c>
      <c r="M2050" s="1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5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5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5" t="s">
        <v>2897</v>
      </c>
      <c r="J2051" s="1" t="s">
        <v>38</v>
      </c>
      <c r="K2051" s="1" t="s">
        <v>2894</v>
      </c>
      <c r="L2051" s="1" t="s">
        <v>46</v>
      </c>
      <c r="M2051" s="1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5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5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5" t="s">
        <v>2900</v>
      </c>
      <c r="J2052" s="1" t="s">
        <v>38</v>
      </c>
      <c r="K2052" s="1" t="s">
        <v>2894</v>
      </c>
      <c r="L2052" s="1" t="s">
        <v>46</v>
      </c>
      <c r="M2052" s="1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5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5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5" t="s">
        <v>2903</v>
      </c>
      <c r="J2053" s="1" t="s">
        <v>52</v>
      </c>
      <c r="K2053" s="1" t="s">
        <v>2904</v>
      </c>
      <c r="L2053" s="1" t="s">
        <v>46</v>
      </c>
      <c r="M2053" s="1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5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5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5" t="s">
        <v>2907</v>
      </c>
      <c r="J2054" s="1" t="s">
        <v>52</v>
      </c>
      <c r="K2054" s="1" t="s">
        <v>2904</v>
      </c>
      <c r="L2054" s="1" t="s">
        <v>46</v>
      </c>
      <c r="M2054" s="1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5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5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5" t="s">
        <v>2910</v>
      </c>
      <c r="J2055" s="1" t="s">
        <v>52</v>
      </c>
      <c r="K2055" s="1" t="s">
        <v>2904</v>
      </c>
      <c r="L2055" s="1" t="s">
        <v>46</v>
      </c>
      <c r="M2055" s="1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5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5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5" t="s">
        <v>2845</v>
      </c>
      <c r="J2056" s="1" t="s">
        <v>52</v>
      </c>
      <c r="K2056" s="1" t="s">
        <v>1935</v>
      </c>
      <c r="L2056" s="1" t="s">
        <v>46</v>
      </c>
      <c r="M2056" s="1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5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5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5" t="s">
        <v>2848</v>
      </c>
      <c r="J2057" s="1" t="s">
        <v>52</v>
      </c>
      <c r="K2057" s="1" t="s">
        <v>1935</v>
      </c>
      <c r="L2057" s="1" t="s">
        <v>46</v>
      </c>
      <c r="M2057" s="1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5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5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5" t="s">
        <v>2851</v>
      </c>
      <c r="J2058" s="1" t="s">
        <v>52</v>
      </c>
      <c r="K2058" s="1" t="s">
        <v>1935</v>
      </c>
      <c r="L2058" s="1" t="s">
        <v>46</v>
      </c>
      <c r="M2058" s="1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5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5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5" t="s">
        <v>2854</v>
      </c>
      <c r="J2059" s="1" t="s">
        <v>52</v>
      </c>
      <c r="K2059" s="1" t="s">
        <v>1935</v>
      </c>
      <c r="L2059" s="1" t="s">
        <v>46</v>
      </c>
      <c r="M2059" s="1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5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5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5" t="s">
        <v>2857</v>
      </c>
      <c r="J2060" s="1" t="s">
        <v>52</v>
      </c>
      <c r="K2060" s="1" t="s">
        <v>1935</v>
      </c>
      <c r="L2060" s="1" t="s">
        <v>46</v>
      </c>
      <c r="M2060" s="1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5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5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5" t="s">
        <v>2860</v>
      </c>
      <c r="J2061" s="1" t="s">
        <v>52</v>
      </c>
      <c r="K2061" s="1" t="s">
        <v>65</v>
      </c>
      <c r="L2061" s="1" t="s">
        <v>46</v>
      </c>
      <c r="M2061" s="1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5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5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5" t="s">
        <v>2863</v>
      </c>
      <c r="J2062" s="1" t="s">
        <v>52</v>
      </c>
      <c r="K2062" s="1" t="s">
        <v>65</v>
      </c>
      <c r="L2062" s="1" t="s">
        <v>46</v>
      </c>
      <c r="M2062" s="1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5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5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5" t="s">
        <v>2866</v>
      </c>
      <c r="J2063" s="1" t="s">
        <v>52</v>
      </c>
      <c r="K2063" s="1" t="s">
        <v>65</v>
      </c>
      <c r="L2063" s="1" t="s">
        <v>46</v>
      </c>
      <c r="M2063" s="1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5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5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5" t="s">
        <v>2915</v>
      </c>
      <c r="J2064" s="1" t="s">
        <v>38</v>
      </c>
      <c r="K2064" s="1" t="s">
        <v>2916</v>
      </c>
      <c r="L2064" s="1" t="s">
        <v>46</v>
      </c>
      <c r="M2064" s="1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5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5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5" t="s">
        <v>2919</v>
      </c>
      <c r="J2065" s="1" t="s">
        <v>38</v>
      </c>
      <c r="K2065" s="1" t="s">
        <v>2916</v>
      </c>
      <c r="L2065" s="1" t="s">
        <v>46</v>
      </c>
      <c r="M2065" s="1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5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5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5" t="s">
        <v>2922</v>
      </c>
      <c r="J2066" s="1" t="s">
        <v>38</v>
      </c>
      <c r="K2066" s="1" t="s">
        <v>2916</v>
      </c>
      <c r="L2066" s="1" t="s">
        <v>46</v>
      </c>
      <c r="M2066" s="1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5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5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5" t="s">
        <v>2925</v>
      </c>
      <c r="J2067" s="1" t="s">
        <v>52</v>
      </c>
      <c r="K2067" s="1" t="s">
        <v>2926</v>
      </c>
      <c r="L2067" s="1" t="s">
        <v>46</v>
      </c>
      <c r="M2067" s="1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5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5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5" t="s">
        <v>2929</v>
      </c>
      <c r="J2068" s="1" t="s">
        <v>52</v>
      </c>
      <c r="K2068" s="1" t="s">
        <v>2926</v>
      </c>
      <c r="L2068" s="1" t="s">
        <v>46</v>
      </c>
      <c r="M2068" s="1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5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5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5" t="s">
        <v>2932</v>
      </c>
      <c r="J2069" s="1" t="s">
        <v>52</v>
      </c>
      <c r="K2069" s="1" t="s">
        <v>2926</v>
      </c>
      <c r="L2069" s="1" t="s">
        <v>46</v>
      </c>
      <c r="M2069" s="1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5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5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5" t="s">
        <v>2845</v>
      </c>
      <c r="J2070" s="1" t="s">
        <v>52</v>
      </c>
      <c r="K2070" s="1" t="s">
        <v>1935</v>
      </c>
      <c r="L2070" s="1" t="s">
        <v>46</v>
      </c>
      <c r="M2070" s="1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5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5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5" t="s">
        <v>2848</v>
      </c>
      <c r="J2071" s="1" t="s">
        <v>52</v>
      </c>
      <c r="K2071" s="1" t="s">
        <v>1935</v>
      </c>
      <c r="L2071" s="1" t="s">
        <v>46</v>
      </c>
      <c r="M2071" s="1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5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5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5" t="s">
        <v>2851</v>
      </c>
      <c r="J2072" s="1" t="s">
        <v>52</v>
      </c>
      <c r="K2072" s="1" t="s">
        <v>1935</v>
      </c>
      <c r="L2072" s="1" t="s">
        <v>46</v>
      </c>
      <c r="M2072" s="1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5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5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5" t="s">
        <v>2854</v>
      </c>
      <c r="J2073" s="1" t="s">
        <v>52</v>
      </c>
      <c r="K2073" s="1" t="s">
        <v>1935</v>
      </c>
      <c r="L2073" s="1" t="s">
        <v>46</v>
      </c>
      <c r="M2073" s="1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5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5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5" t="s">
        <v>2857</v>
      </c>
      <c r="J2074" s="1" t="s">
        <v>52</v>
      </c>
      <c r="K2074" s="1" t="s">
        <v>1935</v>
      </c>
      <c r="L2074" s="1" t="s">
        <v>46</v>
      </c>
      <c r="M2074" s="1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5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5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5" t="s">
        <v>2860</v>
      </c>
      <c r="J2075" s="1" t="s">
        <v>52</v>
      </c>
      <c r="K2075" s="1" t="s">
        <v>65</v>
      </c>
      <c r="L2075" s="1" t="s">
        <v>46</v>
      </c>
      <c r="M2075" s="1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5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5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5" t="s">
        <v>2863</v>
      </c>
      <c r="J2076" s="1" t="s">
        <v>52</v>
      </c>
      <c r="K2076" s="1" t="s">
        <v>65</v>
      </c>
      <c r="L2076" s="1" t="s">
        <v>46</v>
      </c>
      <c r="M2076" s="1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5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5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5" t="s">
        <v>2866</v>
      </c>
      <c r="J2077" s="1" t="s">
        <v>52</v>
      </c>
      <c r="K2077" s="1" t="s">
        <v>65</v>
      </c>
      <c r="L2077" s="1" t="s">
        <v>46</v>
      </c>
      <c r="M2077" s="1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5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5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5" t="s">
        <v>2935</v>
      </c>
      <c r="C2078" s="5" t="s">
        <v>2936</v>
      </c>
      <c r="D2078" s="5" t="s">
        <v>19</v>
      </c>
      <c r="E2078" s="5" t="s">
        <v>2937</v>
      </c>
      <c r="F2078" s="5" t="s">
        <v>2938</v>
      </c>
      <c r="G2078" s="5" t="s">
        <v>2939</v>
      </c>
      <c r="H2078" s="2" t="s">
        <v>2635</v>
      </c>
      <c r="I2078" s="5" t="s">
        <v>2940</v>
      </c>
      <c r="J2078" s="5" t="s">
        <v>38</v>
      </c>
      <c r="K2078" s="5" t="s">
        <v>2821</v>
      </c>
      <c r="L2078" s="5" t="s">
        <v>46</v>
      </c>
      <c r="M2078" s="5" t="s">
        <v>2941</v>
      </c>
      <c r="N2078" s="5" t="s">
        <v>41</v>
      </c>
      <c r="O2078" s="5" t="s">
        <v>42</v>
      </c>
      <c r="P2078" s="5" t="s">
        <v>162</v>
      </c>
      <c r="Q2078" s="5" t="s">
        <v>162</v>
      </c>
      <c r="R2078" s="5" t="s">
        <v>72</v>
      </c>
      <c r="S2078" s="5" t="s">
        <v>90</v>
      </c>
      <c r="T2078" s="5" t="s">
        <v>168</v>
      </c>
      <c r="U2078" s="5" t="s">
        <v>46</v>
      </c>
      <c r="V2078" s="5" t="n">
        <v>1</v>
      </c>
      <c r="W2078" s="5" t="s">
        <v>46</v>
      </c>
      <c r="X2078" s="5" t="s">
        <v>47</v>
      </c>
      <c r="Y2078" s="5" t="s">
        <v>153</v>
      </c>
      <c r="Z2078" s="5" t="s">
        <v>2942</v>
      </c>
      <c r="AA2078" s="5" t="s">
        <v>2943</v>
      </c>
      <c r="AB2078" s="5" t="s">
        <v>2944</v>
      </c>
      <c r="AC2078" s="5" t="s">
        <v>2945</v>
      </c>
      <c r="AD2078" s="5" t="s">
        <v>2946</v>
      </c>
      <c r="AE2078" s="5" t="s">
        <v>2947</v>
      </c>
      <c r="AF2078" s="5" t="s">
        <v>2948</v>
      </c>
    </row>
    <row r="2079" customFormat="false" ht="13.8" hidden="false" customHeight="false" outlineLevel="0" collapsed="false">
      <c r="A2079" s="5" t="s">
        <v>2935</v>
      </c>
      <c r="C2079" s="5" t="s">
        <v>2936</v>
      </c>
      <c r="D2079" s="5" t="s">
        <v>19</v>
      </c>
      <c r="E2079" s="5" t="s">
        <v>2937</v>
      </c>
      <c r="F2079" s="5" t="s">
        <v>2938</v>
      </c>
      <c r="G2079" s="5" t="s">
        <v>2939</v>
      </c>
      <c r="H2079" s="2" t="s">
        <v>2949</v>
      </c>
      <c r="I2079" s="5" t="s">
        <v>2950</v>
      </c>
      <c r="J2079" s="5" t="s">
        <v>38</v>
      </c>
      <c r="K2079" s="5" t="s">
        <v>2821</v>
      </c>
      <c r="L2079" s="5" t="s">
        <v>46</v>
      </c>
      <c r="M2079" s="5" t="s">
        <v>2941</v>
      </c>
      <c r="N2079" s="5" t="s">
        <v>41</v>
      </c>
      <c r="O2079" s="5" t="s">
        <v>42</v>
      </c>
      <c r="P2079" s="5" t="s">
        <v>162</v>
      </c>
      <c r="Q2079" s="5" t="s">
        <v>162</v>
      </c>
      <c r="R2079" s="5" t="s">
        <v>72</v>
      </c>
      <c r="S2079" s="5" t="s">
        <v>90</v>
      </c>
      <c r="T2079" s="5" t="s">
        <v>168</v>
      </c>
      <c r="U2079" s="5" t="s">
        <v>46</v>
      </c>
      <c r="V2079" s="5" t="n">
        <v>2</v>
      </c>
      <c r="W2079" s="5" t="s">
        <v>46</v>
      </c>
      <c r="X2079" s="5" t="s">
        <v>47</v>
      </c>
      <c r="Y2079" s="5" t="s">
        <v>153</v>
      </c>
      <c r="Z2079" s="5" t="s">
        <v>2942</v>
      </c>
      <c r="AA2079" s="5" t="s">
        <v>2943</v>
      </c>
      <c r="AB2079" s="5" t="s">
        <v>2944</v>
      </c>
      <c r="AC2079" s="5" t="s">
        <v>2945</v>
      </c>
      <c r="AD2079" s="5" t="s">
        <v>2946</v>
      </c>
      <c r="AE2079" s="5" t="s">
        <v>2951</v>
      </c>
      <c r="AF2079" s="5" t="s">
        <v>2952</v>
      </c>
    </row>
    <row r="2080" customFormat="false" ht="13.8" hidden="false" customHeight="false" outlineLevel="0" collapsed="false">
      <c r="A2080" s="5" t="s">
        <v>2935</v>
      </c>
      <c r="C2080" s="5" t="s">
        <v>2936</v>
      </c>
      <c r="D2080" s="5" t="s">
        <v>19</v>
      </c>
      <c r="E2080" s="5" t="s">
        <v>2937</v>
      </c>
      <c r="F2080" s="5" t="s">
        <v>2938</v>
      </c>
      <c r="G2080" s="5" t="s">
        <v>2939</v>
      </c>
      <c r="H2080" s="2" t="s">
        <v>2722</v>
      </c>
      <c r="I2080" s="5" t="s">
        <v>2953</v>
      </c>
      <c r="J2080" s="5" t="s">
        <v>38</v>
      </c>
      <c r="K2080" s="5" t="s">
        <v>2821</v>
      </c>
      <c r="L2080" s="5" t="s">
        <v>46</v>
      </c>
      <c r="M2080" s="5" t="s">
        <v>2941</v>
      </c>
      <c r="N2080" s="5" t="s">
        <v>41</v>
      </c>
      <c r="O2080" s="5" t="s">
        <v>42</v>
      </c>
      <c r="P2080" s="5" t="s">
        <v>162</v>
      </c>
      <c r="Q2080" s="5" t="s">
        <v>162</v>
      </c>
      <c r="R2080" s="5" t="s">
        <v>72</v>
      </c>
      <c r="S2080" s="5" t="s">
        <v>90</v>
      </c>
      <c r="T2080" s="5" t="s">
        <v>168</v>
      </c>
      <c r="U2080" s="5" t="s">
        <v>46</v>
      </c>
      <c r="V2080" s="5" t="n">
        <v>3</v>
      </c>
      <c r="W2080" s="5" t="s">
        <v>46</v>
      </c>
      <c r="X2080" s="5" t="s">
        <v>47</v>
      </c>
      <c r="Y2080" s="5" t="s">
        <v>153</v>
      </c>
      <c r="Z2080" s="5" t="s">
        <v>2942</v>
      </c>
      <c r="AA2080" s="5" t="s">
        <v>2943</v>
      </c>
      <c r="AB2080" s="5" t="s">
        <v>2944</v>
      </c>
      <c r="AC2080" s="5" t="s">
        <v>2945</v>
      </c>
      <c r="AD2080" s="5" t="s">
        <v>2946</v>
      </c>
      <c r="AE2080" s="5" t="s">
        <v>2954</v>
      </c>
      <c r="AF2080" s="5" t="s">
        <v>2955</v>
      </c>
    </row>
    <row r="2081" customFormat="false" ht="13.8" hidden="false" customHeight="false" outlineLevel="0" collapsed="false">
      <c r="A2081" s="5" t="s">
        <v>2935</v>
      </c>
      <c r="C2081" s="5" t="s">
        <v>2936</v>
      </c>
      <c r="D2081" s="5" t="s">
        <v>19</v>
      </c>
      <c r="E2081" s="5" t="s">
        <v>2937</v>
      </c>
      <c r="F2081" s="5" t="s">
        <v>2938</v>
      </c>
      <c r="G2081" s="5" t="s">
        <v>2939</v>
      </c>
      <c r="H2081" s="2" t="s">
        <v>2663</v>
      </c>
      <c r="I2081" s="5" t="s">
        <v>2956</v>
      </c>
      <c r="J2081" s="5" t="s">
        <v>52</v>
      </c>
      <c r="K2081" s="5" t="s">
        <v>2836</v>
      </c>
      <c r="L2081" s="5" t="s">
        <v>46</v>
      </c>
      <c r="M2081" s="5" t="s">
        <v>2941</v>
      </c>
      <c r="N2081" s="5" t="s">
        <v>41</v>
      </c>
      <c r="O2081" s="5" t="s">
        <v>42</v>
      </c>
      <c r="P2081" s="5" t="s">
        <v>162</v>
      </c>
      <c r="Q2081" s="5" t="s">
        <v>162</v>
      </c>
      <c r="R2081" s="5" t="s">
        <v>72</v>
      </c>
      <c r="S2081" s="5" t="s">
        <v>90</v>
      </c>
      <c r="T2081" s="5" t="s">
        <v>163</v>
      </c>
      <c r="U2081" s="5" t="s">
        <v>46</v>
      </c>
      <c r="V2081" s="5" t="n">
        <v>1</v>
      </c>
      <c r="W2081" s="5" t="s">
        <v>46</v>
      </c>
      <c r="X2081" s="5" t="s">
        <v>47</v>
      </c>
      <c r="Y2081" s="5" t="s">
        <v>153</v>
      </c>
      <c r="Z2081" s="5" t="s">
        <v>2942</v>
      </c>
      <c r="AA2081" s="5" t="s">
        <v>2943</v>
      </c>
      <c r="AB2081" s="5" t="s">
        <v>2944</v>
      </c>
      <c r="AC2081" s="5" t="s">
        <v>2945</v>
      </c>
      <c r="AD2081" s="5" t="s">
        <v>2946</v>
      </c>
      <c r="AE2081" s="5" t="s">
        <v>2957</v>
      </c>
      <c r="AF2081" s="5" t="s">
        <v>2958</v>
      </c>
    </row>
    <row r="2082" customFormat="false" ht="13.8" hidden="false" customHeight="false" outlineLevel="0" collapsed="false">
      <c r="A2082" s="5" t="s">
        <v>2935</v>
      </c>
      <c r="C2082" s="5" t="s">
        <v>2936</v>
      </c>
      <c r="D2082" s="5" t="s">
        <v>19</v>
      </c>
      <c r="E2082" s="5" t="s">
        <v>2937</v>
      </c>
      <c r="F2082" s="5" t="s">
        <v>2938</v>
      </c>
      <c r="G2082" s="5" t="s">
        <v>2939</v>
      </c>
      <c r="H2082" s="2" t="s">
        <v>2718</v>
      </c>
      <c r="I2082" s="5" t="s">
        <v>2959</v>
      </c>
      <c r="J2082" s="5" t="s">
        <v>52</v>
      </c>
      <c r="K2082" s="5" t="s">
        <v>2836</v>
      </c>
      <c r="L2082" s="5" t="s">
        <v>46</v>
      </c>
      <c r="M2082" s="5" t="s">
        <v>2941</v>
      </c>
      <c r="N2082" s="5" t="s">
        <v>41</v>
      </c>
      <c r="O2082" s="5" t="s">
        <v>42</v>
      </c>
      <c r="P2082" s="5" t="s">
        <v>162</v>
      </c>
      <c r="Q2082" s="5" t="s">
        <v>162</v>
      </c>
      <c r="R2082" s="5" t="s">
        <v>72</v>
      </c>
      <c r="S2082" s="5" t="s">
        <v>90</v>
      </c>
      <c r="T2082" s="5" t="s">
        <v>163</v>
      </c>
      <c r="U2082" s="5" t="s">
        <v>46</v>
      </c>
      <c r="V2082" s="5" t="n">
        <v>2</v>
      </c>
      <c r="W2082" s="5" t="s">
        <v>46</v>
      </c>
      <c r="X2082" s="5" t="s">
        <v>47</v>
      </c>
      <c r="Y2082" s="5" t="s">
        <v>153</v>
      </c>
      <c r="Z2082" s="5" t="s">
        <v>2942</v>
      </c>
      <c r="AA2082" s="5" t="s">
        <v>2943</v>
      </c>
      <c r="AB2082" s="5" t="s">
        <v>2944</v>
      </c>
      <c r="AC2082" s="5" t="s">
        <v>2945</v>
      </c>
      <c r="AD2082" s="5" t="s">
        <v>2946</v>
      </c>
      <c r="AE2082" s="5" t="s">
        <v>2960</v>
      </c>
      <c r="AF2082" s="5" t="s">
        <v>2961</v>
      </c>
    </row>
    <row r="2083" customFormat="false" ht="13.8" hidden="false" customHeight="false" outlineLevel="0" collapsed="false">
      <c r="A2083" s="5" t="s">
        <v>2935</v>
      </c>
      <c r="C2083" s="5" t="s">
        <v>2936</v>
      </c>
      <c r="D2083" s="5" t="s">
        <v>19</v>
      </c>
      <c r="E2083" s="5" t="s">
        <v>2937</v>
      </c>
      <c r="F2083" s="5" t="s">
        <v>2938</v>
      </c>
      <c r="G2083" s="5" t="s">
        <v>2939</v>
      </c>
      <c r="H2083" s="2" t="s">
        <v>2735</v>
      </c>
      <c r="I2083" s="5" t="s">
        <v>2962</v>
      </c>
      <c r="J2083" s="5" t="s">
        <v>52</v>
      </c>
      <c r="K2083" s="5" t="s">
        <v>2836</v>
      </c>
      <c r="L2083" s="5" t="s">
        <v>46</v>
      </c>
      <c r="M2083" s="5" t="s">
        <v>2941</v>
      </c>
      <c r="N2083" s="5" t="s">
        <v>41</v>
      </c>
      <c r="O2083" s="5" t="s">
        <v>42</v>
      </c>
      <c r="P2083" s="5" t="s">
        <v>162</v>
      </c>
      <c r="Q2083" s="5" t="s">
        <v>162</v>
      </c>
      <c r="R2083" s="5" t="s">
        <v>72</v>
      </c>
      <c r="S2083" s="5" t="s">
        <v>90</v>
      </c>
      <c r="T2083" s="5" t="s">
        <v>163</v>
      </c>
      <c r="U2083" s="5" t="s">
        <v>46</v>
      </c>
      <c r="V2083" s="5" t="n">
        <v>3</v>
      </c>
      <c r="W2083" s="5" t="s">
        <v>46</v>
      </c>
      <c r="X2083" s="5" t="s">
        <v>47</v>
      </c>
      <c r="Y2083" s="5" t="s">
        <v>153</v>
      </c>
      <c r="Z2083" s="5" t="s">
        <v>2942</v>
      </c>
      <c r="AA2083" s="5" t="s">
        <v>2943</v>
      </c>
      <c r="AB2083" s="5" t="s">
        <v>2944</v>
      </c>
      <c r="AC2083" s="5" t="s">
        <v>2945</v>
      </c>
      <c r="AD2083" s="5" t="s">
        <v>2946</v>
      </c>
      <c r="AE2083" s="5" t="s">
        <v>2963</v>
      </c>
      <c r="AF2083" s="5" t="s">
        <v>2964</v>
      </c>
    </row>
    <row r="2084" customFormat="false" ht="13.8" hidden="false" customHeight="false" outlineLevel="0" collapsed="false">
      <c r="A2084" s="5" t="s">
        <v>2935</v>
      </c>
      <c r="C2084" s="5" t="s">
        <v>2936</v>
      </c>
      <c r="D2084" s="5" t="s">
        <v>19</v>
      </c>
      <c r="E2084" s="5" t="s">
        <v>2937</v>
      </c>
      <c r="F2084" s="5" t="s">
        <v>2938</v>
      </c>
      <c r="G2084" s="5" t="s">
        <v>2939</v>
      </c>
      <c r="H2084" s="2" t="s">
        <v>2693</v>
      </c>
      <c r="I2084" s="5" t="s">
        <v>2965</v>
      </c>
      <c r="J2084" s="5" t="s">
        <v>52</v>
      </c>
      <c r="K2084" s="5" t="s">
        <v>1935</v>
      </c>
      <c r="L2084" s="5" t="s">
        <v>69</v>
      </c>
      <c r="M2084" s="5" t="s">
        <v>69</v>
      </c>
      <c r="N2084" s="5" t="s">
        <v>1935</v>
      </c>
      <c r="O2084" s="5" t="s">
        <v>46</v>
      </c>
      <c r="P2084" s="5" t="s">
        <v>71</v>
      </c>
      <c r="Q2084" s="5" t="s">
        <v>71</v>
      </c>
      <c r="R2084" s="5" t="s">
        <v>72</v>
      </c>
      <c r="S2084" s="5" t="s">
        <v>73</v>
      </c>
      <c r="T2084" s="5" t="s">
        <v>46</v>
      </c>
      <c r="U2084" s="5" t="n">
        <v>1000</v>
      </c>
      <c r="V2084" s="5" t="n">
        <v>1</v>
      </c>
      <c r="W2084" s="5" t="s">
        <v>46</v>
      </c>
      <c r="X2084" s="5" t="s">
        <v>74</v>
      </c>
      <c r="Y2084" s="5" t="s">
        <v>153</v>
      </c>
      <c r="Z2084" s="5" t="s">
        <v>2942</v>
      </c>
      <c r="AA2084" s="5" t="s">
        <v>2943</v>
      </c>
      <c r="AB2084" s="5" t="s">
        <v>2944</v>
      </c>
      <c r="AC2084" s="5" t="s">
        <v>2945</v>
      </c>
      <c r="AD2084" s="5" t="s">
        <v>2946</v>
      </c>
      <c r="AE2084" s="5" t="s">
        <v>2966</v>
      </c>
      <c r="AF2084" s="5" t="s">
        <v>2967</v>
      </c>
    </row>
    <row r="2085" customFormat="false" ht="13.8" hidden="false" customHeight="false" outlineLevel="0" collapsed="false">
      <c r="A2085" s="5" t="s">
        <v>2935</v>
      </c>
      <c r="C2085" s="5" t="s">
        <v>2936</v>
      </c>
      <c r="D2085" s="5" t="s">
        <v>19</v>
      </c>
      <c r="E2085" s="5" t="s">
        <v>2937</v>
      </c>
      <c r="F2085" s="5" t="s">
        <v>2938</v>
      </c>
      <c r="G2085" s="5" t="s">
        <v>2939</v>
      </c>
      <c r="H2085" s="2" t="s">
        <v>2968</v>
      </c>
      <c r="I2085" s="5" t="s">
        <v>2969</v>
      </c>
      <c r="J2085" s="5" t="s">
        <v>52</v>
      </c>
      <c r="K2085" s="5" t="s">
        <v>1935</v>
      </c>
      <c r="L2085" s="5" t="s">
        <v>69</v>
      </c>
      <c r="M2085" s="5" t="s">
        <v>69</v>
      </c>
      <c r="N2085" s="5" t="s">
        <v>1935</v>
      </c>
      <c r="O2085" s="5" t="s">
        <v>46</v>
      </c>
      <c r="P2085" s="5" t="s">
        <v>71</v>
      </c>
      <c r="Q2085" s="5" t="s">
        <v>71</v>
      </c>
      <c r="R2085" s="5" t="s">
        <v>72</v>
      </c>
      <c r="S2085" s="5" t="s">
        <v>73</v>
      </c>
      <c r="T2085" s="5" t="s">
        <v>46</v>
      </c>
      <c r="U2085" s="5" t="n">
        <v>1000</v>
      </c>
      <c r="V2085" s="5" t="n">
        <v>2</v>
      </c>
      <c r="W2085" s="5" t="s">
        <v>46</v>
      </c>
      <c r="X2085" s="5" t="s">
        <v>74</v>
      </c>
      <c r="Y2085" s="5" t="s">
        <v>153</v>
      </c>
      <c r="Z2085" s="5" t="s">
        <v>2942</v>
      </c>
      <c r="AA2085" s="5" t="s">
        <v>2943</v>
      </c>
      <c r="AB2085" s="5" t="s">
        <v>2944</v>
      </c>
      <c r="AC2085" s="5" t="s">
        <v>2945</v>
      </c>
      <c r="AD2085" s="5" t="s">
        <v>2946</v>
      </c>
      <c r="AE2085" s="5" t="s">
        <v>2970</v>
      </c>
      <c r="AF2085" s="5" t="s">
        <v>2971</v>
      </c>
    </row>
    <row r="2086" customFormat="false" ht="13.8" hidden="false" customHeight="false" outlineLevel="0" collapsed="false">
      <c r="A2086" s="5" t="s">
        <v>2935</v>
      </c>
      <c r="C2086" s="5" t="s">
        <v>2936</v>
      </c>
      <c r="D2086" s="5" t="s">
        <v>19</v>
      </c>
      <c r="E2086" s="5" t="s">
        <v>2937</v>
      </c>
      <c r="F2086" s="5" t="s">
        <v>2938</v>
      </c>
      <c r="G2086" s="5" t="s">
        <v>2939</v>
      </c>
      <c r="H2086" s="2" t="s">
        <v>2758</v>
      </c>
      <c r="I2086" s="5" t="s">
        <v>2972</v>
      </c>
      <c r="J2086" s="5" t="s">
        <v>52</v>
      </c>
      <c r="K2086" s="5" t="s">
        <v>1935</v>
      </c>
      <c r="L2086" s="5" t="s">
        <v>69</v>
      </c>
      <c r="M2086" s="5" t="s">
        <v>69</v>
      </c>
      <c r="N2086" s="5" t="s">
        <v>1935</v>
      </c>
      <c r="O2086" s="5" t="s">
        <v>46</v>
      </c>
      <c r="P2086" s="5" t="s">
        <v>71</v>
      </c>
      <c r="Q2086" s="5" t="s">
        <v>71</v>
      </c>
      <c r="R2086" s="5" t="s">
        <v>72</v>
      </c>
      <c r="S2086" s="5" t="s">
        <v>73</v>
      </c>
      <c r="T2086" s="5" t="s">
        <v>46</v>
      </c>
      <c r="U2086" s="5" t="n">
        <v>1000</v>
      </c>
      <c r="V2086" s="5" t="n">
        <v>3</v>
      </c>
      <c r="W2086" s="5" t="s">
        <v>46</v>
      </c>
      <c r="X2086" s="5" t="s">
        <v>74</v>
      </c>
      <c r="Y2086" s="5" t="s">
        <v>153</v>
      </c>
      <c r="Z2086" s="5" t="s">
        <v>2942</v>
      </c>
      <c r="AA2086" s="5" t="s">
        <v>2943</v>
      </c>
      <c r="AB2086" s="5" t="s">
        <v>2944</v>
      </c>
      <c r="AC2086" s="5" t="s">
        <v>2945</v>
      </c>
      <c r="AD2086" s="5" t="s">
        <v>2946</v>
      </c>
      <c r="AE2086" s="5" t="s">
        <v>2973</v>
      </c>
      <c r="AF2086" s="5" t="s">
        <v>2974</v>
      </c>
    </row>
    <row r="2087" customFormat="false" ht="13.8" hidden="false" customHeight="false" outlineLevel="0" collapsed="false">
      <c r="A2087" s="5" t="s">
        <v>2935</v>
      </c>
      <c r="C2087" s="5" t="s">
        <v>2936</v>
      </c>
      <c r="D2087" s="5" t="s">
        <v>19</v>
      </c>
      <c r="E2087" s="5" t="s">
        <v>2937</v>
      </c>
      <c r="F2087" s="5" t="s">
        <v>2938</v>
      </c>
      <c r="G2087" s="5" t="s">
        <v>2939</v>
      </c>
      <c r="H2087" s="2" t="s">
        <v>2975</v>
      </c>
      <c r="I2087" s="5" t="s">
        <v>2976</v>
      </c>
      <c r="J2087" s="5" t="s">
        <v>52</v>
      </c>
      <c r="K2087" s="5" t="s">
        <v>1935</v>
      </c>
      <c r="L2087" s="5" t="s">
        <v>69</v>
      </c>
      <c r="M2087" s="5" t="s">
        <v>69</v>
      </c>
      <c r="N2087" s="5" t="s">
        <v>1935</v>
      </c>
      <c r="O2087" s="5" t="s">
        <v>46</v>
      </c>
      <c r="P2087" s="5" t="s">
        <v>71</v>
      </c>
      <c r="Q2087" s="5" t="s">
        <v>71</v>
      </c>
      <c r="R2087" s="5" t="s">
        <v>72</v>
      </c>
      <c r="S2087" s="5" t="s">
        <v>73</v>
      </c>
      <c r="T2087" s="5" t="s">
        <v>46</v>
      </c>
      <c r="U2087" s="5" t="n">
        <v>1000</v>
      </c>
      <c r="V2087" s="5" t="n">
        <v>4</v>
      </c>
      <c r="W2087" s="5" t="s">
        <v>46</v>
      </c>
      <c r="X2087" s="5" t="s">
        <v>74</v>
      </c>
      <c r="Y2087" s="5" t="s">
        <v>153</v>
      </c>
      <c r="Z2087" s="5" t="s">
        <v>2942</v>
      </c>
      <c r="AA2087" s="5" t="s">
        <v>2943</v>
      </c>
      <c r="AB2087" s="5" t="s">
        <v>2944</v>
      </c>
      <c r="AC2087" s="5" t="s">
        <v>2945</v>
      </c>
      <c r="AD2087" s="5" t="s">
        <v>2946</v>
      </c>
      <c r="AE2087" s="5" t="s">
        <v>2977</v>
      </c>
      <c r="AF2087" s="5" t="s">
        <v>2978</v>
      </c>
    </row>
    <row r="2088" customFormat="false" ht="13.8" hidden="false" customHeight="false" outlineLevel="0" collapsed="false">
      <c r="A2088" s="5" t="s">
        <v>2935</v>
      </c>
      <c r="C2088" s="5" t="s">
        <v>2936</v>
      </c>
      <c r="D2088" s="5" t="s">
        <v>19</v>
      </c>
      <c r="E2088" s="5" t="s">
        <v>2937</v>
      </c>
      <c r="F2088" s="5" t="s">
        <v>2938</v>
      </c>
      <c r="G2088" s="5" t="s">
        <v>2939</v>
      </c>
      <c r="H2088" s="2" t="s">
        <v>2979</v>
      </c>
      <c r="I2088" s="5" t="s">
        <v>2980</v>
      </c>
      <c r="J2088" s="5" t="s">
        <v>52</v>
      </c>
      <c r="K2088" s="5" t="s">
        <v>1935</v>
      </c>
      <c r="L2088" s="5" t="s">
        <v>69</v>
      </c>
      <c r="M2088" s="5" t="s">
        <v>69</v>
      </c>
      <c r="N2088" s="5" t="s">
        <v>1935</v>
      </c>
      <c r="O2088" s="5" t="s">
        <v>46</v>
      </c>
      <c r="P2088" s="5" t="s">
        <v>71</v>
      </c>
      <c r="Q2088" s="5" t="s">
        <v>71</v>
      </c>
      <c r="R2088" s="5" t="s">
        <v>72</v>
      </c>
      <c r="S2088" s="5" t="s">
        <v>73</v>
      </c>
      <c r="T2088" s="5" t="s">
        <v>46</v>
      </c>
      <c r="U2088" s="5" t="n">
        <v>1000</v>
      </c>
      <c r="V2088" s="5" t="n">
        <v>5</v>
      </c>
      <c r="W2088" s="5" t="s">
        <v>46</v>
      </c>
      <c r="X2088" s="5" t="s">
        <v>74</v>
      </c>
      <c r="Y2088" s="5" t="s">
        <v>153</v>
      </c>
      <c r="Z2088" s="5" t="s">
        <v>2942</v>
      </c>
      <c r="AA2088" s="5" t="s">
        <v>2943</v>
      </c>
      <c r="AB2088" s="5" t="s">
        <v>2944</v>
      </c>
      <c r="AC2088" s="5" t="s">
        <v>2945</v>
      </c>
      <c r="AD2088" s="5" t="s">
        <v>2946</v>
      </c>
      <c r="AE2088" s="5" t="s">
        <v>2981</v>
      </c>
      <c r="AF2088" s="5" t="s">
        <v>2982</v>
      </c>
    </row>
    <row r="2089" customFormat="false" ht="13.8" hidden="false" customHeight="false" outlineLevel="0" collapsed="false">
      <c r="A2089" s="5" t="s">
        <v>2935</v>
      </c>
      <c r="C2089" s="5" t="s">
        <v>2936</v>
      </c>
      <c r="D2089" s="5" t="s">
        <v>19</v>
      </c>
      <c r="E2089" s="5" t="s">
        <v>2937</v>
      </c>
      <c r="F2089" s="5" t="s">
        <v>2938</v>
      </c>
      <c r="G2089" s="5" t="s">
        <v>2939</v>
      </c>
      <c r="H2089" s="2" t="s">
        <v>2683</v>
      </c>
      <c r="I2089" s="5" t="s">
        <v>2983</v>
      </c>
      <c r="J2089" s="5" t="s">
        <v>52</v>
      </c>
      <c r="K2089" s="5" t="s">
        <v>65</v>
      </c>
      <c r="L2089" s="5" t="s">
        <v>46</v>
      </c>
      <c r="M2089" s="5" t="s">
        <v>46</v>
      </c>
      <c r="N2089" s="5" t="s">
        <v>65</v>
      </c>
      <c r="O2089" s="5" t="s">
        <v>46</v>
      </c>
      <c r="P2089" s="5" t="s">
        <v>46</v>
      </c>
      <c r="Q2089" s="5" t="s">
        <v>46</v>
      </c>
      <c r="R2089" s="5" t="s">
        <v>46</v>
      </c>
      <c r="S2089" s="5" t="s">
        <v>46</v>
      </c>
      <c r="T2089" s="5" t="s">
        <v>46</v>
      </c>
      <c r="U2089" s="5" t="s">
        <v>46</v>
      </c>
      <c r="V2089" s="5" t="n">
        <v>1</v>
      </c>
      <c r="W2089" s="5" t="s">
        <v>46</v>
      </c>
      <c r="X2089" s="5" t="s">
        <v>83</v>
      </c>
      <c r="Y2089" s="5" t="s">
        <v>153</v>
      </c>
      <c r="Z2089" s="5" t="s">
        <v>2942</v>
      </c>
      <c r="AA2089" s="5" t="s">
        <v>2943</v>
      </c>
      <c r="AB2089" s="5" t="s">
        <v>2944</v>
      </c>
      <c r="AC2089" s="5" t="s">
        <v>2945</v>
      </c>
      <c r="AD2089" s="5" t="s">
        <v>2946</v>
      </c>
      <c r="AE2089" s="5" t="s">
        <v>2984</v>
      </c>
      <c r="AF2089" s="5" t="s">
        <v>2985</v>
      </c>
    </row>
    <row r="2090" customFormat="false" ht="13.8" hidden="false" customHeight="false" outlineLevel="0" collapsed="false">
      <c r="A2090" s="5" t="s">
        <v>2935</v>
      </c>
      <c r="C2090" s="5" t="s">
        <v>2936</v>
      </c>
      <c r="D2090" s="5" t="s">
        <v>19</v>
      </c>
      <c r="E2090" s="5" t="s">
        <v>2937</v>
      </c>
      <c r="F2090" s="5" t="s">
        <v>2938</v>
      </c>
      <c r="G2090" s="5" t="s">
        <v>2939</v>
      </c>
      <c r="H2090" s="2" t="s">
        <v>2986</v>
      </c>
      <c r="I2090" s="5" t="s">
        <v>2987</v>
      </c>
      <c r="J2090" s="5" t="s">
        <v>52</v>
      </c>
      <c r="K2090" s="5" t="s">
        <v>65</v>
      </c>
      <c r="L2090" s="5" t="s">
        <v>46</v>
      </c>
      <c r="M2090" s="5" t="s">
        <v>46</v>
      </c>
      <c r="N2090" s="5" t="s">
        <v>65</v>
      </c>
      <c r="O2090" s="5" t="s">
        <v>46</v>
      </c>
      <c r="P2090" s="5" t="s">
        <v>46</v>
      </c>
      <c r="Q2090" s="5" t="s">
        <v>46</v>
      </c>
      <c r="R2090" s="5" t="s">
        <v>46</v>
      </c>
      <c r="S2090" s="5" t="s">
        <v>46</v>
      </c>
      <c r="T2090" s="5" t="s">
        <v>46</v>
      </c>
      <c r="U2090" s="5" t="s">
        <v>46</v>
      </c>
      <c r="V2090" s="5" t="n">
        <v>2</v>
      </c>
      <c r="W2090" s="5" t="s">
        <v>46</v>
      </c>
      <c r="X2090" s="5" t="s">
        <v>83</v>
      </c>
      <c r="Y2090" s="5" t="s">
        <v>153</v>
      </c>
      <c r="Z2090" s="5" t="s">
        <v>2942</v>
      </c>
      <c r="AA2090" s="5" t="s">
        <v>2943</v>
      </c>
      <c r="AB2090" s="5" t="s">
        <v>2944</v>
      </c>
      <c r="AC2090" s="5" t="s">
        <v>2945</v>
      </c>
      <c r="AD2090" s="5" t="s">
        <v>2946</v>
      </c>
      <c r="AE2090" s="5" t="s">
        <v>2988</v>
      </c>
      <c r="AF2090" s="5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5" t="s">
        <v>2992</v>
      </c>
      <c r="J2091" s="1" t="s">
        <v>38</v>
      </c>
      <c r="K2091" s="1" t="s">
        <v>2872</v>
      </c>
      <c r="L2091" s="1" t="s">
        <v>46</v>
      </c>
      <c r="M2091" s="1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5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5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5" t="s">
        <v>2995</v>
      </c>
      <c r="J2092" s="1" t="s">
        <v>38</v>
      </c>
      <c r="K2092" s="1" t="s">
        <v>2872</v>
      </c>
      <c r="L2092" s="1" t="s">
        <v>46</v>
      </c>
      <c r="M2092" s="1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5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5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5" t="s">
        <v>2999</v>
      </c>
      <c r="J2093" s="1" t="s">
        <v>38</v>
      </c>
      <c r="K2093" s="1" t="s">
        <v>2872</v>
      </c>
      <c r="L2093" s="1" t="s">
        <v>46</v>
      </c>
      <c r="M2093" s="1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5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5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5" t="s">
        <v>3002</v>
      </c>
      <c r="J2094" s="1" t="s">
        <v>52</v>
      </c>
      <c r="K2094" s="1" t="s">
        <v>2882</v>
      </c>
      <c r="L2094" s="1" t="s">
        <v>46</v>
      </c>
      <c r="M2094" s="1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5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5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5" t="s">
        <v>3006</v>
      </c>
      <c r="J2095" s="1" t="s">
        <v>52</v>
      </c>
      <c r="K2095" s="1" t="s">
        <v>2882</v>
      </c>
      <c r="L2095" s="1" t="s">
        <v>46</v>
      </c>
      <c r="M2095" s="1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5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5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5" t="s">
        <v>3010</v>
      </c>
      <c r="J2096" s="1" t="s">
        <v>52</v>
      </c>
      <c r="K2096" s="1" t="s">
        <v>2882</v>
      </c>
      <c r="L2096" s="1" t="s">
        <v>46</v>
      </c>
      <c r="M2096" s="1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5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5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5" t="s">
        <v>2965</v>
      </c>
      <c r="J2097" s="1" t="s">
        <v>52</v>
      </c>
      <c r="K2097" s="1" t="s">
        <v>1935</v>
      </c>
      <c r="L2097" s="1" t="s">
        <v>69</v>
      </c>
      <c r="M2097" s="1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5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5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5" t="s">
        <v>2969</v>
      </c>
      <c r="J2098" s="1" t="s">
        <v>52</v>
      </c>
      <c r="K2098" s="1" t="s">
        <v>1935</v>
      </c>
      <c r="L2098" s="1" t="s">
        <v>69</v>
      </c>
      <c r="M2098" s="1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5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5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5" t="s">
        <v>2972</v>
      </c>
      <c r="J2099" s="1" t="s">
        <v>52</v>
      </c>
      <c r="K2099" s="1" t="s">
        <v>1935</v>
      </c>
      <c r="L2099" s="1" t="s">
        <v>69</v>
      </c>
      <c r="M2099" s="1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5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5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5" t="s">
        <v>2976</v>
      </c>
      <c r="J2100" s="1" t="s">
        <v>52</v>
      </c>
      <c r="K2100" s="1" t="s">
        <v>1935</v>
      </c>
      <c r="L2100" s="1" t="s">
        <v>69</v>
      </c>
      <c r="M2100" s="1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5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5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5" t="s">
        <v>2980</v>
      </c>
      <c r="J2101" s="1" t="s">
        <v>52</v>
      </c>
      <c r="K2101" s="1" t="s">
        <v>1935</v>
      </c>
      <c r="L2101" s="1" t="s">
        <v>69</v>
      </c>
      <c r="M2101" s="1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5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5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5" t="s">
        <v>2983</v>
      </c>
      <c r="J2102" s="1" t="s">
        <v>52</v>
      </c>
      <c r="K2102" s="1" t="s">
        <v>65</v>
      </c>
      <c r="L2102" s="1" t="s">
        <v>46</v>
      </c>
      <c r="M2102" s="1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5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5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5" t="s">
        <v>2987</v>
      </c>
      <c r="J2103" s="1" t="s">
        <v>52</v>
      </c>
      <c r="K2103" s="1" t="s">
        <v>65</v>
      </c>
      <c r="L2103" s="1" t="s">
        <v>46</v>
      </c>
      <c r="M2103" s="1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5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5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5" t="s">
        <v>3015</v>
      </c>
      <c r="J2104" s="1" t="s">
        <v>38</v>
      </c>
      <c r="K2104" s="1" t="s">
        <v>2894</v>
      </c>
      <c r="L2104" s="1" t="s">
        <v>46</v>
      </c>
      <c r="M2104" s="1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5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5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5" t="s">
        <v>3019</v>
      </c>
      <c r="J2105" s="1" t="s">
        <v>38</v>
      </c>
      <c r="K2105" s="1" t="s">
        <v>2894</v>
      </c>
      <c r="L2105" s="1" t="s">
        <v>46</v>
      </c>
      <c r="M2105" s="1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5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5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5" t="s">
        <v>3023</v>
      </c>
      <c r="J2106" s="1" t="s">
        <v>38</v>
      </c>
      <c r="K2106" s="1" t="s">
        <v>2894</v>
      </c>
      <c r="L2106" s="1" t="s">
        <v>46</v>
      </c>
      <c r="M2106" s="1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5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5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5" t="s">
        <v>3026</v>
      </c>
      <c r="J2107" s="1" t="s">
        <v>52</v>
      </c>
      <c r="K2107" s="1" t="s">
        <v>2904</v>
      </c>
      <c r="L2107" s="1" t="s">
        <v>46</v>
      </c>
      <c r="M2107" s="1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5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5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5" t="s">
        <v>3030</v>
      </c>
      <c r="J2108" s="1" t="s">
        <v>52</v>
      </c>
      <c r="K2108" s="1" t="s">
        <v>2904</v>
      </c>
      <c r="L2108" s="1" t="s">
        <v>46</v>
      </c>
      <c r="M2108" s="1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5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5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5" t="s">
        <v>3034</v>
      </c>
      <c r="J2109" s="1" t="s">
        <v>52</v>
      </c>
      <c r="K2109" s="1" t="s">
        <v>2904</v>
      </c>
      <c r="L2109" s="1" t="s">
        <v>46</v>
      </c>
      <c r="M2109" s="1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5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5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5" t="s">
        <v>2965</v>
      </c>
      <c r="J2110" s="1" t="s">
        <v>52</v>
      </c>
      <c r="K2110" s="1" t="s">
        <v>1935</v>
      </c>
      <c r="L2110" s="1" t="s">
        <v>69</v>
      </c>
      <c r="M2110" s="1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5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5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5" t="s">
        <v>2969</v>
      </c>
      <c r="J2111" s="1" t="s">
        <v>52</v>
      </c>
      <c r="K2111" s="1" t="s">
        <v>1935</v>
      </c>
      <c r="L2111" s="1" t="s">
        <v>69</v>
      </c>
      <c r="M2111" s="1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5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5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5" t="s">
        <v>2972</v>
      </c>
      <c r="J2112" s="1" t="s">
        <v>52</v>
      </c>
      <c r="K2112" s="1" t="s">
        <v>1935</v>
      </c>
      <c r="L2112" s="1" t="s">
        <v>69</v>
      </c>
      <c r="M2112" s="1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5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5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5" t="s">
        <v>2976</v>
      </c>
      <c r="J2113" s="1" t="s">
        <v>52</v>
      </c>
      <c r="K2113" s="1" t="s">
        <v>1935</v>
      </c>
      <c r="L2113" s="1" t="s">
        <v>69</v>
      </c>
      <c r="M2113" s="1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5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5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5" t="s">
        <v>2980</v>
      </c>
      <c r="J2114" s="1" t="s">
        <v>52</v>
      </c>
      <c r="K2114" s="1" t="s">
        <v>1935</v>
      </c>
      <c r="L2114" s="1" t="s">
        <v>69</v>
      </c>
      <c r="M2114" s="1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5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5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5" t="s">
        <v>2983</v>
      </c>
      <c r="J2115" s="1" t="s">
        <v>52</v>
      </c>
      <c r="K2115" s="1" t="s">
        <v>65</v>
      </c>
      <c r="L2115" s="1" t="s">
        <v>46</v>
      </c>
      <c r="M2115" s="1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5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5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5" t="s">
        <v>2987</v>
      </c>
      <c r="J2116" s="1" t="s">
        <v>52</v>
      </c>
      <c r="K2116" s="1" t="s">
        <v>65</v>
      </c>
      <c r="L2116" s="1" t="s">
        <v>46</v>
      </c>
      <c r="M2116" s="1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5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5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5" t="s">
        <v>3037</v>
      </c>
      <c r="C2117" s="5" t="s">
        <v>3038</v>
      </c>
      <c r="D2117" s="5" t="s">
        <v>19</v>
      </c>
      <c r="E2117" s="5" t="s">
        <v>2937</v>
      </c>
      <c r="F2117" s="5" t="s">
        <v>2938</v>
      </c>
      <c r="G2117" s="5" t="s">
        <v>2939</v>
      </c>
      <c r="H2117" s="2" t="s">
        <v>2658</v>
      </c>
      <c r="I2117" s="5" t="s">
        <v>3039</v>
      </c>
      <c r="J2117" s="5" t="s">
        <v>38</v>
      </c>
      <c r="K2117" s="5" t="s">
        <v>2916</v>
      </c>
      <c r="L2117" s="5" t="s">
        <v>46</v>
      </c>
      <c r="M2117" s="5" t="s">
        <v>2941</v>
      </c>
      <c r="N2117" s="5" t="s">
        <v>41</v>
      </c>
      <c r="O2117" s="5" t="s">
        <v>54</v>
      </c>
      <c r="P2117" s="5" t="s">
        <v>43</v>
      </c>
      <c r="Q2117" s="5" t="s">
        <v>55</v>
      </c>
      <c r="R2117" s="5" t="s">
        <v>44</v>
      </c>
      <c r="S2117" s="5" t="s">
        <v>90</v>
      </c>
      <c r="T2117" s="5" t="s">
        <v>168</v>
      </c>
      <c r="U2117" s="5" t="s">
        <v>46</v>
      </c>
      <c r="V2117" s="5" t="n">
        <v>1</v>
      </c>
      <c r="W2117" s="5" t="s">
        <v>46</v>
      </c>
      <c r="X2117" s="5" t="s">
        <v>47</v>
      </c>
      <c r="Y2117" s="5" t="s">
        <v>153</v>
      </c>
      <c r="Z2117" s="5" t="s">
        <v>2942</v>
      </c>
      <c r="AA2117" s="5" t="s">
        <v>2943</v>
      </c>
      <c r="AB2117" s="5" t="s">
        <v>2944</v>
      </c>
      <c r="AC2117" s="5" t="s">
        <v>2945</v>
      </c>
      <c r="AD2117" s="5" t="s">
        <v>2946</v>
      </c>
      <c r="AE2117" s="5" t="s">
        <v>3040</v>
      </c>
      <c r="AF2117" s="5" t="s">
        <v>3041</v>
      </c>
    </row>
    <row r="2118" customFormat="false" ht="13.8" hidden="false" customHeight="false" outlineLevel="0" collapsed="false">
      <c r="A2118" s="5" t="s">
        <v>3037</v>
      </c>
      <c r="C2118" s="5" t="s">
        <v>3038</v>
      </c>
      <c r="D2118" s="5" t="s">
        <v>19</v>
      </c>
      <c r="E2118" s="5" t="s">
        <v>2937</v>
      </c>
      <c r="F2118" s="5" t="s">
        <v>2938</v>
      </c>
      <c r="G2118" s="5" t="s">
        <v>2939</v>
      </c>
      <c r="H2118" s="2" t="s">
        <v>2773</v>
      </c>
      <c r="I2118" s="5" t="s">
        <v>3042</v>
      </c>
      <c r="J2118" s="5" t="s">
        <v>38</v>
      </c>
      <c r="K2118" s="5" t="s">
        <v>2916</v>
      </c>
      <c r="L2118" s="5" t="s">
        <v>46</v>
      </c>
      <c r="M2118" s="5" t="s">
        <v>2941</v>
      </c>
      <c r="N2118" s="5" t="s">
        <v>41</v>
      </c>
      <c r="O2118" s="5" t="s">
        <v>54</v>
      </c>
      <c r="P2118" s="5" t="s">
        <v>43</v>
      </c>
      <c r="Q2118" s="5" t="s">
        <v>55</v>
      </c>
      <c r="R2118" s="5" t="s">
        <v>44</v>
      </c>
      <c r="S2118" s="5" t="s">
        <v>90</v>
      </c>
      <c r="T2118" s="5" t="s">
        <v>168</v>
      </c>
      <c r="U2118" s="5" t="s">
        <v>46</v>
      </c>
      <c r="V2118" s="5" t="n">
        <v>2</v>
      </c>
      <c r="W2118" s="5" t="s">
        <v>46</v>
      </c>
      <c r="X2118" s="5" t="s">
        <v>47</v>
      </c>
      <c r="Y2118" s="5" t="s">
        <v>153</v>
      </c>
      <c r="Z2118" s="5" t="s">
        <v>2942</v>
      </c>
      <c r="AA2118" s="5" t="s">
        <v>2943</v>
      </c>
      <c r="AB2118" s="5" t="s">
        <v>2944</v>
      </c>
      <c r="AC2118" s="5" t="s">
        <v>2945</v>
      </c>
      <c r="AD2118" s="5" t="s">
        <v>2946</v>
      </c>
      <c r="AE2118" s="5" t="s">
        <v>3043</v>
      </c>
      <c r="AF2118" s="5" t="s">
        <v>3044</v>
      </c>
    </row>
    <row r="2119" customFormat="false" ht="13.8" hidden="false" customHeight="false" outlineLevel="0" collapsed="false">
      <c r="A2119" s="5" t="s">
        <v>3037</v>
      </c>
      <c r="C2119" s="5" t="s">
        <v>3038</v>
      </c>
      <c r="D2119" s="5" t="s">
        <v>19</v>
      </c>
      <c r="E2119" s="5" t="s">
        <v>2937</v>
      </c>
      <c r="F2119" s="5" t="s">
        <v>2938</v>
      </c>
      <c r="G2119" s="5" t="s">
        <v>2939</v>
      </c>
      <c r="H2119" s="2" t="s">
        <v>2786</v>
      </c>
      <c r="I2119" s="5" t="s">
        <v>3045</v>
      </c>
      <c r="J2119" s="5" t="s">
        <v>38</v>
      </c>
      <c r="K2119" s="5" t="s">
        <v>2916</v>
      </c>
      <c r="L2119" s="5" t="s">
        <v>46</v>
      </c>
      <c r="M2119" s="5" t="s">
        <v>2941</v>
      </c>
      <c r="N2119" s="5" t="s">
        <v>41</v>
      </c>
      <c r="O2119" s="5" t="s">
        <v>54</v>
      </c>
      <c r="P2119" s="5" t="s">
        <v>43</v>
      </c>
      <c r="Q2119" s="5" t="s">
        <v>55</v>
      </c>
      <c r="R2119" s="5" t="s">
        <v>44</v>
      </c>
      <c r="S2119" s="5" t="s">
        <v>90</v>
      </c>
      <c r="T2119" s="5" t="s">
        <v>168</v>
      </c>
      <c r="U2119" s="5" t="s">
        <v>46</v>
      </c>
      <c r="V2119" s="5" t="n">
        <v>3</v>
      </c>
      <c r="W2119" s="5" t="s">
        <v>46</v>
      </c>
      <c r="X2119" s="5" t="s">
        <v>47</v>
      </c>
      <c r="Y2119" s="5" t="s">
        <v>153</v>
      </c>
      <c r="Z2119" s="5" t="s">
        <v>2942</v>
      </c>
      <c r="AA2119" s="5" t="s">
        <v>2943</v>
      </c>
      <c r="AB2119" s="5" t="s">
        <v>2944</v>
      </c>
      <c r="AC2119" s="5" t="s">
        <v>2945</v>
      </c>
      <c r="AD2119" s="5" t="s">
        <v>2946</v>
      </c>
      <c r="AE2119" s="5" t="s">
        <v>3046</v>
      </c>
      <c r="AF2119" s="5" t="s">
        <v>3047</v>
      </c>
    </row>
    <row r="2120" customFormat="false" ht="13.8" hidden="false" customHeight="false" outlineLevel="0" collapsed="false">
      <c r="A2120" s="5" t="s">
        <v>3037</v>
      </c>
      <c r="C2120" s="5" t="s">
        <v>3038</v>
      </c>
      <c r="D2120" s="5" t="s">
        <v>19</v>
      </c>
      <c r="E2120" s="5" t="s">
        <v>2937</v>
      </c>
      <c r="F2120" s="5" t="s">
        <v>2938</v>
      </c>
      <c r="G2120" s="5" t="s">
        <v>2939</v>
      </c>
      <c r="H2120" s="2" t="s">
        <v>2768</v>
      </c>
      <c r="I2120" s="5" t="s">
        <v>3048</v>
      </c>
      <c r="J2120" s="5" t="s">
        <v>52</v>
      </c>
      <c r="K2120" s="5" t="s">
        <v>2926</v>
      </c>
      <c r="L2120" s="5" t="s">
        <v>46</v>
      </c>
      <c r="M2120" s="5" t="s">
        <v>2941</v>
      </c>
      <c r="N2120" s="5" t="s">
        <v>41</v>
      </c>
      <c r="O2120" s="5" t="s">
        <v>54</v>
      </c>
      <c r="P2120" s="5" t="s">
        <v>43</v>
      </c>
      <c r="Q2120" s="5" t="s">
        <v>55</v>
      </c>
      <c r="R2120" s="5" t="s">
        <v>44</v>
      </c>
      <c r="S2120" s="5" t="s">
        <v>90</v>
      </c>
      <c r="T2120" s="5" t="s">
        <v>163</v>
      </c>
      <c r="U2120" s="5" t="s">
        <v>46</v>
      </c>
      <c r="V2120" s="5" t="n">
        <v>1</v>
      </c>
      <c r="W2120" s="5" t="s">
        <v>46</v>
      </c>
      <c r="X2120" s="5" t="s">
        <v>47</v>
      </c>
      <c r="Y2120" s="5" t="s">
        <v>153</v>
      </c>
      <c r="Z2120" s="5" t="s">
        <v>2942</v>
      </c>
      <c r="AA2120" s="5" t="s">
        <v>2943</v>
      </c>
      <c r="AB2120" s="5" t="s">
        <v>2944</v>
      </c>
      <c r="AC2120" s="5" t="s">
        <v>2945</v>
      </c>
      <c r="AD2120" s="5" t="s">
        <v>2946</v>
      </c>
      <c r="AE2120" s="5" t="s">
        <v>3049</v>
      </c>
      <c r="AF2120" s="5" t="s">
        <v>3050</v>
      </c>
    </row>
    <row r="2121" customFormat="false" ht="13.8" hidden="false" customHeight="false" outlineLevel="0" collapsed="false">
      <c r="A2121" s="5" t="s">
        <v>3037</v>
      </c>
      <c r="C2121" s="5" t="s">
        <v>3038</v>
      </c>
      <c r="D2121" s="5" t="s">
        <v>19</v>
      </c>
      <c r="E2121" s="5" t="s">
        <v>2937</v>
      </c>
      <c r="F2121" s="5" t="s">
        <v>2938</v>
      </c>
      <c r="G2121" s="5" t="s">
        <v>2939</v>
      </c>
      <c r="H2121" s="2" t="s">
        <v>2782</v>
      </c>
      <c r="I2121" s="5" t="s">
        <v>3051</v>
      </c>
      <c r="J2121" s="5" t="s">
        <v>52</v>
      </c>
      <c r="K2121" s="5" t="s">
        <v>2926</v>
      </c>
      <c r="L2121" s="5" t="s">
        <v>46</v>
      </c>
      <c r="M2121" s="5" t="s">
        <v>2941</v>
      </c>
      <c r="N2121" s="5" t="s">
        <v>41</v>
      </c>
      <c r="O2121" s="5" t="s">
        <v>54</v>
      </c>
      <c r="P2121" s="5" t="s">
        <v>43</v>
      </c>
      <c r="Q2121" s="5" t="s">
        <v>55</v>
      </c>
      <c r="R2121" s="5" t="s">
        <v>44</v>
      </c>
      <c r="S2121" s="5" t="s">
        <v>90</v>
      </c>
      <c r="T2121" s="5" t="s">
        <v>163</v>
      </c>
      <c r="U2121" s="5" t="s">
        <v>46</v>
      </c>
      <c r="V2121" s="5" t="n">
        <v>2</v>
      </c>
      <c r="W2121" s="5" t="s">
        <v>46</v>
      </c>
      <c r="X2121" s="5" t="s">
        <v>47</v>
      </c>
      <c r="Y2121" s="5" t="s">
        <v>153</v>
      </c>
      <c r="Z2121" s="5" t="s">
        <v>2942</v>
      </c>
      <c r="AA2121" s="5" t="s">
        <v>2943</v>
      </c>
      <c r="AB2121" s="5" t="s">
        <v>2944</v>
      </c>
      <c r="AC2121" s="5" t="s">
        <v>2945</v>
      </c>
      <c r="AD2121" s="5" t="s">
        <v>2946</v>
      </c>
      <c r="AE2121" s="5" t="s">
        <v>3052</v>
      </c>
      <c r="AF2121" s="5" t="s">
        <v>3053</v>
      </c>
    </row>
    <row r="2122" customFormat="false" ht="13.8" hidden="false" customHeight="false" outlineLevel="0" collapsed="false">
      <c r="A2122" s="5" t="s">
        <v>3037</v>
      </c>
      <c r="C2122" s="5" t="s">
        <v>3038</v>
      </c>
      <c r="D2122" s="5" t="s">
        <v>19</v>
      </c>
      <c r="E2122" s="5" t="s">
        <v>2937</v>
      </c>
      <c r="F2122" s="5" t="s">
        <v>2938</v>
      </c>
      <c r="G2122" s="5" t="s">
        <v>2939</v>
      </c>
      <c r="H2122" s="2" t="s">
        <v>2797</v>
      </c>
      <c r="I2122" s="5" t="s">
        <v>3054</v>
      </c>
      <c r="J2122" s="5" t="s">
        <v>52</v>
      </c>
      <c r="K2122" s="5" t="s">
        <v>2926</v>
      </c>
      <c r="L2122" s="5" t="s">
        <v>46</v>
      </c>
      <c r="M2122" s="5" t="s">
        <v>2941</v>
      </c>
      <c r="N2122" s="5" t="s">
        <v>41</v>
      </c>
      <c r="O2122" s="5" t="s">
        <v>54</v>
      </c>
      <c r="P2122" s="5" t="s">
        <v>43</v>
      </c>
      <c r="Q2122" s="5" t="s">
        <v>55</v>
      </c>
      <c r="R2122" s="5" t="s">
        <v>44</v>
      </c>
      <c r="S2122" s="5" t="s">
        <v>90</v>
      </c>
      <c r="T2122" s="5" t="s">
        <v>163</v>
      </c>
      <c r="U2122" s="5" t="s">
        <v>46</v>
      </c>
      <c r="V2122" s="5" t="n">
        <v>3</v>
      </c>
      <c r="W2122" s="5" t="s">
        <v>46</v>
      </c>
      <c r="X2122" s="5" t="s">
        <v>47</v>
      </c>
      <c r="Y2122" s="5" t="s">
        <v>153</v>
      </c>
      <c r="Z2122" s="5" t="s">
        <v>2942</v>
      </c>
      <c r="AA2122" s="5" t="s">
        <v>2943</v>
      </c>
      <c r="AB2122" s="5" t="s">
        <v>2944</v>
      </c>
      <c r="AC2122" s="5" t="s">
        <v>2945</v>
      </c>
      <c r="AD2122" s="5" t="s">
        <v>2946</v>
      </c>
      <c r="AE2122" s="5" t="s">
        <v>3055</v>
      </c>
      <c r="AF2122" s="5" t="s">
        <v>3056</v>
      </c>
    </row>
    <row r="2123" customFormat="false" ht="13.8" hidden="false" customHeight="false" outlineLevel="0" collapsed="false">
      <c r="A2123" s="5" t="s">
        <v>3037</v>
      </c>
      <c r="C2123" s="5" t="s">
        <v>3038</v>
      </c>
      <c r="D2123" s="5" t="s">
        <v>19</v>
      </c>
      <c r="E2123" s="5" t="s">
        <v>2937</v>
      </c>
      <c r="F2123" s="5" t="s">
        <v>2938</v>
      </c>
      <c r="G2123" s="5" t="s">
        <v>2939</v>
      </c>
      <c r="H2123" s="2" t="s">
        <v>2693</v>
      </c>
      <c r="I2123" s="5" t="s">
        <v>2965</v>
      </c>
      <c r="J2123" s="5" t="s">
        <v>52</v>
      </c>
      <c r="K2123" s="5" t="s">
        <v>1935</v>
      </c>
      <c r="L2123" s="5" t="s">
        <v>69</v>
      </c>
      <c r="M2123" s="5" t="s">
        <v>69</v>
      </c>
      <c r="N2123" s="5" t="s">
        <v>1935</v>
      </c>
      <c r="O2123" s="5" t="s">
        <v>46</v>
      </c>
      <c r="P2123" s="5" t="s">
        <v>71</v>
      </c>
      <c r="Q2123" s="5" t="s">
        <v>71</v>
      </c>
      <c r="R2123" s="5" t="s">
        <v>72</v>
      </c>
      <c r="S2123" s="5" t="s">
        <v>73</v>
      </c>
      <c r="T2123" s="5" t="s">
        <v>46</v>
      </c>
      <c r="U2123" s="5" t="n">
        <v>1000</v>
      </c>
      <c r="V2123" s="5" t="n">
        <v>1</v>
      </c>
      <c r="W2123" s="5" t="s">
        <v>46</v>
      </c>
      <c r="X2123" s="5" t="s">
        <v>74</v>
      </c>
      <c r="Y2123" s="5" t="s">
        <v>153</v>
      </c>
      <c r="Z2123" s="5" t="s">
        <v>2942</v>
      </c>
      <c r="AA2123" s="5" t="s">
        <v>2943</v>
      </c>
      <c r="AB2123" s="5" t="s">
        <v>2944</v>
      </c>
      <c r="AC2123" s="5" t="s">
        <v>2945</v>
      </c>
      <c r="AD2123" s="5" t="s">
        <v>2946</v>
      </c>
      <c r="AE2123" s="5" t="s">
        <v>2966</v>
      </c>
      <c r="AF2123" s="5" t="s">
        <v>2967</v>
      </c>
    </row>
    <row r="2124" customFormat="false" ht="13.8" hidden="false" customHeight="false" outlineLevel="0" collapsed="false">
      <c r="A2124" s="5" t="s">
        <v>3037</v>
      </c>
      <c r="C2124" s="5" t="s">
        <v>3038</v>
      </c>
      <c r="D2124" s="5" t="s">
        <v>19</v>
      </c>
      <c r="E2124" s="5" t="s">
        <v>2937</v>
      </c>
      <c r="F2124" s="5" t="s">
        <v>2938</v>
      </c>
      <c r="G2124" s="5" t="s">
        <v>2939</v>
      </c>
      <c r="H2124" s="2" t="s">
        <v>2968</v>
      </c>
      <c r="I2124" s="5" t="s">
        <v>2969</v>
      </c>
      <c r="J2124" s="5" t="s">
        <v>52</v>
      </c>
      <c r="K2124" s="5" t="s">
        <v>1935</v>
      </c>
      <c r="L2124" s="5" t="s">
        <v>69</v>
      </c>
      <c r="M2124" s="5" t="s">
        <v>69</v>
      </c>
      <c r="N2124" s="5" t="s">
        <v>1935</v>
      </c>
      <c r="O2124" s="5" t="s">
        <v>46</v>
      </c>
      <c r="P2124" s="5" t="s">
        <v>71</v>
      </c>
      <c r="Q2124" s="5" t="s">
        <v>71</v>
      </c>
      <c r="R2124" s="5" t="s">
        <v>72</v>
      </c>
      <c r="S2124" s="5" t="s">
        <v>73</v>
      </c>
      <c r="T2124" s="5" t="s">
        <v>46</v>
      </c>
      <c r="U2124" s="5" t="n">
        <v>1000</v>
      </c>
      <c r="V2124" s="5" t="n">
        <v>2</v>
      </c>
      <c r="W2124" s="5" t="s">
        <v>46</v>
      </c>
      <c r="X2124" s="5" t="s">
        <v>74</v>
      </c>
      <c r="Y2124" s="5" t="s">
        <v>153</v>
      </c>
      <c r="Z2124" s="5" t="s">
        <v>2942</v>
      </c>
      <c r="AA2124" s="5" t="s">
        <v>2943</v>
      </c>
      <c r="AB2124" s="5" t="s">
        <v>2944</v>
      </c>
      <c r="AC2124" s="5" t="s">
        <v>2945</v>
      </c>
      <c r="AD2124" s="5" t="s">
        <v>2946</v>
      </c>
      <c r="AE2124" s="5" t="s">
        <v>2970</v>
      </c>
      <c r="AF2124" s="5" t="s">
        <v>2971</v>
      </c>
    </row>
    <row r="2125" customFormat="false" ht="13.8" hidden="false" customHeight="false" outlineLevel="0" collapsed="false">
      <c r="A2125" s="5" t="s">
        <v>3037</v>
      </c>
      <c r="C2125" s="5" t="s">
        <v>3038</v>
      </c>
      <c r="D2125" s="5" t="s">
        <v>19</v>
      </c>
      <c r="E2125" s="5" t="s">
        <v>2937</v>
      </c>
      <c r="F2125" s="5" t="s">
        <v>2938</v>
      </c>
      <c r="G2125" s="5" t="s">
        <v>2939</v>
      </c>
      <c r="H2125" s="2" t="s">
        <v>2758</v>
      </c>
      <c r="I2125" s="5" t="s">
        <v>2972</v>
      </c>
      <c r="J2125" s="5" t="s">
        <v>52</v>
      </c>
      <c r="K2125" s="5" t="s">
        <v>1935</v>
      </c>
      <c r="L2125" s="5" t="s">
        <v>69</v>
      </c>
      <c r="M2125" s="5" t="s">
        <v>69</v>
      </c>
      <c r="N2125" s="5" t="s">
        <v>1935</v>
      </c>
      <c r="O2125" s="5" t="s">
        <v>46</v>
      </c>
      <c r="P2125" s="5" t="s">
        <v>71</v>
      </c>
      <c r="Q2125" s="5" t="s">
        <v>71</v>
      </c>
      <c r="R2125" s="5" t="s">
        <v>72</v>
      </c>
      <c r="S2125" s="5" t="s">
        <v>73</v>
      </c>
      <c r="T2125" s="5" t="s">
        <v>46</v>
      </c>
      <c r="U2125" s="5" t="n">
        <v>1000</v>
      </c>
      <c r="V2125" s="5" t="n">
        <v>3</v>
      </c>
      <c r="W2125" s="5" t="s">
        <v>46</v>
      </c>
      <c r="X2125" s="5" t="s">
        <v>74</v>
      </c>
      <c r="Y2125" s="5" t="s">
        <v>153</v>
      </c>
      <c r="Z2125" s="5" t="s">
        <v>2942</v>
      </c>
      <c r="AA2125" s="5" t="s">
        <v>2943</v>
      </c>
      <c r="AB2125" s="5" t="s">
        <v>2944</v>
      </c>
      <c r="AC2125" s="5" t="s">
        <v>2945</v>
      </c>
      <c r="AD2125" s="5" t="s">
        <v>2946</v>
      </c>
      <c r="AE2125" s="5" t="s">
        <v>2973</v>
      </c>
      <c r="AF2125" s="5" t="s">
        <v>2974</v>
      </c>
    </row>
    <row r="2126" customFormat="false" ht="13.8" hidden="false" customHeight="false" outlineLevel="0" collapsed="false">
      <c r="A2126" s="5" t="s">
        <v>3037</v>
      </c>
      <c r="C2126" s="5" t="s">
        <v>3038</v>
      </c>
      <c r="D2126" s="5" t="s">
        <v>19</v>
      </c>
      <c r="E2126" s="5" t="s">
        <v>2937</v>
      </c>
      <c r="F2126" s="5" t="s">
        <v>2938</v>
      </c>
      <c r="G2126" s="5" t="s">
        <v>2939</v>
      </c>
      <c r="H2126" s="2" t="s">
        <v>2975</v>
      </c>
      <c r="I2126" s="5" t="s">
        <v>2976</v>
      </c>
      <c r="J2126" s="5" t="s">
        <v>52</v>
      </c>
      <c r="K2126" s="5" t="s">
        <v>1935</v>
      </c>
      <c r="L2126" s="5" t="s">
        <v>69</v>
      </c>
      <c r="M2126" s="5" t="s">
        <v>69</v>
      </c>
      <c r="N2126" s="5" t="s">
        <v>1935</v>
      </c>
      <c r="O2126" s="5" t="s">
        <v>46</v>
      </c>
      <c r="P2126" s="5" t="s">
        <v>71</v>
      </c>
      <c r="Q2126" s="5" t="s">
        <v>71</v>
      </c>
      <c r="R2126" s="5" t="s">
        <v>72</v>
      </c>
      <c r="S2126" s="5" t="s">
        <v>73</v>
      </c>
      <c r="T2126" s="5" t="s">
        <v>46</v>
      </c>
      <c r="U2126" s="5" t="n">
        <v>1000</v>
      </c>
      <c r="V2126" s="5" t="n">
        <v>4</v>
      </c>
      <c r="W2126" s="5" t="s">
        <v>46</v>
      </c>
      <c r="X2126" s="5" t="s">
        <v>74</v>
      </c>
      <c r="Y2126" s="5" t="s">
        <v>153</v>
      </c>
      <c r="Z2126" s="5" t="s">
        <v>2942</v>
      </c>
      <c r="AA2126" s="5" t="s">
        <v>2943</v>
      </c>
      <c r="AB2126" s="5" t="s">
        <v>2944</v>
      </c>
      <c r="AC2126" s="5" t="s">
        <v>2945</v>
      </c>
      <c r="AD2126" s="5" t="s">
        <v>2946</v>
      </c>
      <c r="AE2126" s="5" t="s">
        <v>2977</v>
      </c>
      <c r="AF2126" s="5" t="s">
        <v>2978</v>
      </c>
    </row>
    <row r="2127" customFormat="false" ht="13.8" hidden="false" customHeight="false" outlineLevel="0" collapsed="false">
      <c r="A2127" s="5" t="s">
        <v>3037</v>
      </c>
      <c r="C2127" s="5" t="s">
        <v>3038</v>
      </c>
      <c r="D2127" s="5" t="s">
        <v>19</v>
      </c>
      <c r="E2127" s="5" t="s">
        <v>2937</v>
      </c>
      <c r="F2127" s="5" t="s">
        <v>2938</v>
      </c>
      <c r="G2127" s="5" t="s">
        <v>2939</v>
      </c>
      <c r="H2127" s="2" t="s">
        <v>2979</v>
      </c>
      <c r="I2127" s="5" t="s">
        <v>2980</v>
      </c>
      <c r="J2127" s="5" t="s">
        <v>52</v>
      </c>
      <c r="K2127" s="5" t="s">
        <v>1935</v>
      </c>
      <c r="L2127" s="5" t="s">
        <v>69</v>
      </c>
      <c r="M2127" s="5" t="s">
        <v>69</v>
      </c>
      <c r="N2127" s="5" t="s">
        <v>1935</v>
      </c>
      <c r="O2127" s="5" t="s">
        <v>46</v>
      </c>
      <c r="P2127" s="5" t="s">
        <v>71</v>
      </c>
      <c r="Q2127" s="5" t="s">
        <v>71</v>
      </c>
      <c r="R2127" s="5" t="s">
        <v>72</v>
      </c>
      <c r="S2127" s="5" t="s">
        <v>73</v>
      </c>
      <c r="T2127" s="5" t="s">
        <v>46</v>
      </c>
      <c r="U2127" s="5" t="n">
        <v>1000</v>
      </c>
      <c r="V2127" s="5" t="n">
        <v>5</v>
      </c>
      <c r="W2127" s="5" t="s">
        <v>46</v>
      </c>
      <c r="X2127" s="5" t="s">
        <v>74</v>
      </c>
      <c r="Y2127" s="5" t="s">
        <v>153</v>
      </c>
      <c r="Z2127" s="5" t="s">
        <v>2942</v>
      </c>
      <c r="AA2127" s="5" t="s">
        <v>2943</v>
      </c>
      <c r="AB2127" s="5" t="s">
        <v>2944</v>
      </c>
      <c r="AC2127" s="5" t="s">
        <v>2945</v>
      </c>
      <c r="AD2127" s="5" t="s">
        <v>2946</v>
      </c>
      <c r="AE2127" s="5" t="s">
        <v>2981</v>
      </c>
      <c r="AF2127" s="5" t="s">
        <v>2982</v>
      </c>
    </row>
    <row r="2128" customFormat="false" ht="13.8" hidden="false" customHeight="false" outlineLevel="0" collapsed="false">
      <c r="A2128" s="5" t="s">
        <v>3037</v>
      </c>
      <c r="C2128" s="5" t="s">
        <v>3038</v>
      </c>
      <c r="D2128" s="5" t="s">
        <v>19</v>
      </c>
      <c r="E2128" s="5" t="s">
        <v>2937</v>
      </c>
      <c r="F2128" s="5" t="s">
        <v>2938</v>
      </c>
      <c r="G2128" s="5" t="s">
        <v>2939</v>
      </c>
      <c r="H2128" s="2" t="s">
        <v>2683</v>
      </c>
      <c r="I2128" s="5" t="s">
        <v>2983</v>
      </c>
      <c r="J2128" s="5" t="s">
        <v>52</v>
      </c>
      <c r="K2128" s="5" t="s">
        <v>65</v>
      </c>
      <c r="L2128" s="5" t="s">
        <v>46</v>
      </c>
      <c r="M2128" s="5" t="s">
        <v>46</v>
      </c>
      <c r="N2128" s="5" t="s">
        <v>65</v>
      </c>
      <c r="O2128" s="5" t="s">
        <v>46</v>
      </c>
      <c r="P2128" s="5" t="s">
        <v>46</v>
      </c>
      <c r="Q2128" s="5" t="s">
        <v>46</v>
      </c>
      <c r="R2128" s="5" t="s">
        <v>46</v>
      </c>
      <c r="S2128" s="5" t="s">
        <v>46</v>
      </c>
      <c r="T2128" s="5" t="s">
        <v>46</v>
      </c>
      <c r="U2128" s="5" t="s">
        <v>46</v>
      </c>
      <c r="V2128" s="5" t="n">
        <v>1</v>
      </c>
      <c r="W2128" s="5" t="s">
        <v>46</v>
      </c>
      <c r="X2128" s="5" t="s">
        <v>83</v>
      </c>
      <c r="Y2128" s="5" t="s">
        <v>153</v>
      </c>
      <c r="Z2128" s="5" t="s">
        <v>2942</v>
      </c>
      <c r="AA2128" s="5" t="s">
        <v>2943</v>
      </c>
      <c r="AB2128" s="5" t="s">
        <v>2944</v>
      </c>
      <c r="AC2128" s="5" t="s">
        <v>2945</v>
      </c>
      <c r="AD2128" s="5" t="s">
        <v>2946</v>
      </c>
      <c r="AE2128" s="5" t="s">
        <v>2984</v>
      </c>
      <c r="AF2128" s="5" t="s">
        <v>2985</v>
      </c>
    </row>
    <row r="2129" customFormat="false" ht="13.8" hidden="false" customHeight="false" outlineLevel="0" collapsed="false">
      <c r="A2129" s="5" t="s">
        <v>3037</v>
      </c>
      <c r="C2129" s="5" t="s">
        <v>3038</v>
      </c>
      <c r="D2129" s="5" t="s">
        <v>19</v>
      </c>
      <c r="E2129" s="5" t="s">
        <v>2937</v>
      </c>
      <c r="F2129" s="5" t="s">
        <v>2938</v>
      </c>
      <c r="G2129" s="5" t="s">
        <v>2939</v>
      </c>
      <c r="H2129" s="2" t="s">
        <v>2986</v>
      </c>
      <c r="I2129" s="5" t="s">
        <v>2987</v>
      </c>
      <c r="J2129" s="5" t="s">
        <v>52</v>
      </c>
      <c r="K2129" s="5" t="s">
        <v>65</v>
      </c>
      <c r="L2129" s="5" t="s">
        <v>46</v>
      </c>
      <c r="M2129" s="5" t="s">
        <v>46</v>
      </c>
      <c r="N2129" s="5" t="s">
        <v>65</v>
      </c>
      <c r="O2129" s="5" t="s">
        <v>46</v>
      </c>
      <c r="P2129" s="5" t="s">
        <v>46</v>
      </c>
      <c r="Q2129" s="5" t="s">
        <v>46</v>
      </c>
      <c r="R2129" s="5" t="s">
        <v>46</v>
      </c>
      <c r="S2129" s="5" t="s">
        <v>46</v>
      </c>
      <c r="T2129" s="5" t="s">
        <v>46</v>
      </c>
      <c r="U2129" s="5" t="s">
        <v>46</v>
      </c>
      <c r="V2129" s="5" t="n">
        <v>2</v>
      </c>
      <c r="W2129" s="5" t="s">
        <v>46</v>
      </c>
      <c r="X2129" s="5" t="s">
        <v>83</v>
      </c>
      <c r="Y2129" s="5" t="s">
        <v>153</v>
      </c>
      <c r="Z2129" s="5" t="s">
        <v>2942</v>
      </c>
      <c r="AA2129" s="5" t="s">
        <v>2943</v>
      </c>
      <c r="AB2129" s="5" t="s">
        <v>2944</v>
      </c>
      <c r="AC2129" s="5" t="s">
        <v>2945</v>
      </c>
      <c r="AD2129" s="5" t="s">
        <v>2946</v>
      </c>
      <c r="AE2129" s="5" t="s">
        <v>2988</v>
      </c>
      <c r="AF2129" s="5" t="s">
        <v>2989</v>
      </c>
    </row>
    <row r="2130" customFormat="false" ht="13.8" hidden="false" customHeight="false" outlineLevel="0" collapsed="false">
      <c r="A2130" s="5" t="s">
        <v>3057</v>
      </c>
      <c r="C2130" s="5" t="s">
        <v>3058</v>
      </c>
      <c r="D2130" s="5" t="s">
        <v>14</v>
      </c>
      <c r="E2130" s="5" t="s">
        <v>2937</v>
      </c>
      <c r="F2130" s="5" t="s">
        <v>2938</v>
      </c>
      <c r="G2130" s="5" t="s">
        <v>2939</v>
      </c>
      <c r="H2130" s="2" t="s">
        <v>2777</v>
      </c>
      <c r="I2130" s="5" t="s">
        <v>3059</v>
      </c>
      <c r="J2130" s="5" t="s">
        <v>38</v>
      </c>
      <c r="K2130" s="5" t="s">
        <v>3060</v>
      </c>
      <c r="L2130" s="5" t="s">
        <v>46</v>
      </c>
      <c r="M2130" s="5" t="s">
        <v>3061</v>
      </c>
      <c r="N2130" s="5" t="s">
        <v>41</v>
      </c>
      <c r="O2130" s="5" t="s">
        <v>42</v>
      </c>
      <c r="P2130" s="5" t="s">
        <v>43</v>
      </c>
      <c r="Q2130" s="5" t="s">
        <v>43</v>
      </c>
      <c r="R2130" s="5" t="s">
        <v>44</v>
      </c>
      <c r="S2130" s="5" t="s">
        <v>90</v>
      </c>
      <c r="T2130" s="5" t="s">
        <v>46</v>
      </c>
      <c r="U2130" s="5" t="s">
        <v>46</v>
      </c>
      <c r="V2130" s="5" t="n">
        <v>1</v>
      </c>
      <c r="W2130" s="5" t="s">
        <v>46</v>
      </c>
      <c r="X2130" s="5" t="s">
        <v>47</v>
      </c>
      <c r="Y2130" s="5" t="s">
        <v>153</v>
      </c>
      <c r="Z2130" s="5" t="s">
        <v>2942</v>
      </c>
      <c r="AA2130" s="5" t="s">
        <v>2943</v>
      </c>
      <c r="AB2130" s="5" t="s">
        <v>2944</v>
      </c>
      <c r="AC2130" s="5" t="s">
        <v>2945</v>
      </c>
      <c r="AD2130" s="5" t="s">
        <v>2946</v>
      </c>
      <c r="AE2130" s="5" t="s">
        <v>3062</v>
      </c>
      <c r="AF2130" s="5" t="s">
        <v>3063</v>
      </c>
    </row>
    <row r="2131" customFormat="false" ht="13.8" hidden="false" customHeight="false" outlineLevel="0" collapsed="false">
      <c r="A2131" s="5" t="s">
        <v>3057</v>
      </c>
      <c r="C2131" s="5" t="s">
        <v>3058</v>
      </c>
      <c r="D2131" s="5" t="s">
        <v>14</v>
      </c>
      <c r="E2131" s="5" t="s">
        <v>2937</v>
      </c>
      <c r="F2131" s="5" t="s">
        <v>2938</v>
      </c>
      <c r="G2131" s="5" t="s">
        <v>2939</v>
      </c>
      <c r="H2131" s="2" t="s">
        <v>3064</v>
      </c>
      <c r="I2131" s="5" t="s">
        <v>3065</v>
      </c>
      <c r="J2131" s="5" t="s">
        <v>38</v>
      </c>
      <c r="K2131" s="5" t="s">
        <v>3060</v>
      </c>
      <c r="L2131" s="5" t="s">
        <v>46</v>
      </c>
      <c r="M2131" s="5" t="s">
        <v>3061</v>
      </c>
      <c r="N2131" s="5" t="s">
        <v>41</v>
      </c>
      <c r="O2131" s="5" t="s">
        <v>42</v>
      </c>
      <c r="P2131" s="5" t="s">
        <v>43</v>
      </c>
      <c r="Q2131" s="5" t="s">
        <v>43</v>
      </c>
      <c r="R2131" s="5" t="s">
        <v>44</v>
      </c>
      <c r="S2131" s="5" t="s">
        <v>90</v>
      </c>
      <c r="T2131" s="5" t="s">
        <v>46</v>
      </c>
      <c r="U2131" s="5" t="s">
        <v>46</v>
      </c>
      <c r="V2131" s="5" t="n">
        <v>2</v>
      </c>
      <c r="W2131" s="5" t="s">
        <v>46</v>
      </c>
      <c r="X2131" s="5" t="s">
        <v>47</v>
      </c>
      <c r="Y2131" s="5" t="s">
        <v>153</v>
      </c>
      <c r="Z2131" s="5" t="s">
        <v>2942</v>
      </c>
      <c r="AA2131" s="5" t="s">
        <v>2943</v>
      </c>
      <c r="AB2131" s="5" t="s">
        <v>2944</v>
      </c>
      <c r="AC2131" s="5" t="s">
        <v>2945</v>
      </c>
      <c r="AD2131" s="5" t="s">
        <v>2946</v>
      </c>
      <c r="AE2131" s="5" t="s">
        <v>3066</v>
      </c>
      <c r="AF2131" s="5" t="s">
        <v>3067</v>
      </c>
    </row>
    <row r="2132" customFormat="false" ht="13.8" hidden="false" customHeight="false" outlineLevel="0" collapsed="false">
      <c r="A2132" s="5" t="s">
        <v>3057</v>
      </c>
      <c r="C2132" s="5" t="s">
        <v>3058</v>
      </c>
      <c r="D2132" s="5" t="s">
        <v>14</v>
      </c>
      <c r="E2132" s="5" t="s">
        <v>2937</v>
      </c>
      <c r="F2132" s="5" t="s">
        <v>2938</v>
      </c>
      <c r="G2132" s="5" t="s">
        <v>2939</v>
      </c>
      <c r="H2132" s="2" t="s">
        <v>2811</v>
      </c>
      <c r="I2132" s="5" t="s">
        <v>3068</v>
      </c>
      <c r="J2132" s="5" t="s">
        <v>38</v>
      </c>
      <c r="K2132" s="5" t="s">
        <v>3060</v>
      </c>
      <c r="L2132" s="5" t="s">
        <v>46</v>
      </c>
      <c r="M2132" s="5" t="s">
        <v>3061</v>
      </c>
      <c r="N2132" s="5" t="s">
        <v>41</v>
      </c>
      <c r="O2132" s="5" t="s">
        <v>42</v>
      </c>
      <c r="P2132" s="5" t="s">
        <v>43</v>
      </c>
      <c r="Q2132" s="5" t="s">
        <v>43</v>
      </c>
      <c r="R2132" s="5" t="s">
        <v>44</v>
      </c>
      <c r="S2132" s="5" t="s">
        <v>90</v>
      </c>
      <c r="T2132" s="5" t="s">
        <v>46</v>
      </c>
      <c r="U2132" s="5" t="s">
        <v>46</v>
      </c>
      <c r="V2132" s="5" t="n">
        <v>3</v>
      </c>
      <c r="W2132" s="5" t="s">
        <v>46</v>
      </c>
      <c r="X2132" s="5" t="s">
        <v>47</v>
      </c>
      <c r="Y2132" s="5" t="s">
        <v>153</v>
      </c>
      <c r="Z2132" s="5" t="s">
        <v>2942</v>
      </c>
      <c r="AA2132" s="5" t="s">
        <v>2943</v>
      </c>
      <c r="AB2132" s="5" t="s">
        <v>2944</v>
      </c>
      <c r="AC2132" s="5" t="s">
        <v>2945</v>
      </c>
      <c r="AD2132" s="5" t="s">
        <v>2946</v>
      </c>
      <c r="AE2132" s="5" t="s">
        <v>3069</v>
      </c>
      <c r="AF2132" s="5" t="s">
        <v>3070</v>
      </c>
    </row>
    <row r="2133" customFormat="false" ht="13.8" hidden="false" customHeight="false" outlineLevel="0" collapsed="false">
      <c r="A2133" s="5" t="s">
        <v>3057</v>
      </c>
      <c r="C2133" s="5" t="s">
        <v>3058</v>
      </c>
      <c r="D2133" s="5" t="s">
        <v>14</v>
      </c>
      <c r="E2133" s="5" t="s">
        <v>2937</v>
      </c>
      <c r="F2133" s="5" t="s">
        <v>2938</v>
      </c>
      <c r="G2133" s="5" t="s">
        <v>2939</v>
      </c>
      <c r="H2133" s="2" t="s">
        <v>2792</v>
      </c>
      <c r="I2133" s="5" t="s">
        <v>3071</v>
      </c>
      <c r="J2133" s="5" t="s">
        <v>52</v>
      </c>
      <c r="K2133" s="5" t="s">
        <v>3072</v>
      </c>
      <c r="L2133" s="5" t="s">
        <v>46</v>
      </c>
      <c r="M2133" s="5" t="s">
        <v>3061</v>
      </c>
      <c r="N2133" s="5" t="s">
        <v>41</v>
      </c>
      <c r="O2133" s="5" t="s">
        <v>54</v>
      </c>
      <c r="P2133" s="5" t="s">
        <v>43</v>
      </c>
      <c r="Q2133" s="5" t="s">
        <v>3073</v>
      </c>
      <c r="R2133" s="5" t="s">
        <v>44</v>
      </c>
      <c r="S2133" s="5" t="s">
        <v>90</v>
      </c>
      <c r="T2133" s="5" t="s">
        <v>46</v>
      </c>
      <c r="U2133" s="5" t="s">
        <v>46</v>
      </c>
      <c r="V2133" s="5" t="n">
        <v>1</v>
      </c>
      <c r="W2133" s="5" t="s">
        <v>46</v>
      </c>
      <c r="X2133" s="5" t="s">
        <v>47</v>
      </c>
      <c r="Y2133" s="5" t="s">
        <v>153</v>
      </c>
      <c r="Z2133" s="5" t="s">
        <v>2942</v>
      </c>
      <c r="AA2133" s="5" t="s">
        <v>2943</v>
      </c>
      <c r="AB2133" s="5" t="s">
        <v>2944</v>
      </c>
      <c r="AC2133" s="5" t="s">
        <v>2945</v>
      </c>
      <c r="AD2133" s="5" t="s">
        <v>2946</v>
      </c>
      <c r="AE2133" s="5" t="s">
        <v>3074</v>
      </c>
      <c r="AF2133" s="5" t="s">
        <v>3075</v>
      </c>
    </row>
    <row r="2134" customFormat="false" ht="13.8" hidden="false" customHeight="false" outlineLevel="0" collapsed="false">
      <c r="A2134" s="5" t="s">
        <v>3057</v>
      </c>
      <c r="C2134" s="5" t="s">
        <v>3058</v>
      </c>
      <c r="D2134" s="5" t="s">
        <v>14</v>
      </c>
      <c r="E2134" s="5" t="s">
        <v>2937</v>
      </c>
      <c r="F2134" s="5" t="s">
        <v>2938</v>
      </c>
      <c r="G2134" s="5" t="s">
        <v>2939</v>
      </c>
      <c r="H2134" s="2" t="s">
        <v>2807</v>
      </c>
      <c r="I2134" s="5" t="s">
        <v>3076</v>
      </c>
      <c r="J2134" s="5" t="s">
        <v>52</v>
      </c>
      <c r="K2134" s="5" t="s">
        <v>3072</v>
      </c>
      <c r="L2134" s="5" t="s">
        <v>46</v>
      </c>
      <c r="M2134" s="5" t="s">
        <v>3061</v>
      </c>
      <c r="N2134" s="5" t="s">
        <v>41</v>
      </c>
      <c r="O2134" s="5" t="s">
        <v>54</v>
      </c>
      <c r="P2134" s="5" t="s">
        <v>43</v>
      </c>
      <c r="Q2134" s="5" t="s">
        <v>3073</v>
      </c>
      <c r="R2134" s="5" t="s">
        <v>44</v>
      </c>
      <c r="S2134" s="5" t="s">
        <v>90</v>
      </c>
      <c r="T2134" s="5" t="s">
        <v>46</v>
      </c>
      <c r="U2134" s="5" t="s">
        <v>46</v>
      </c>
      <c r="V2134" s="5" t="n">
        <v>2</v>
      </c>
      <c r="W2134" s="5" t="s">
        <v>46</v>
      </c>
      <c r="X2134" s="5" t="s">
        <v>47</v>
      </c>
      <c r="Y2134" s="5" t="s">
        <v>153</v>
      </c>
      <c r="Z2134" s="5" t="s">
        <v>2942</v>
      </c>
      <c r="AA2134" s="5" t="s">
        <v>2943</v>
      </c>
      <c r="AB2134" s="5" t="s">
        <v>2944</v>
      </c>
      <c r="AC2134" s="5" t="s">
        <v>2945</v>
      </c>
      <c r="AD2134" s="5" t="s">
        <v>2946</v>
      </c>
      <c r="AE2134" s="5" t="s">
        <v>3077</v>
      </c>
      <c r="AF2134" s="5" t="s">
        <v>3078</v>
      </c>
    </row>
    <row r="2135" customFormat="false" ht="13.8" hidden="false" customHeight="false" outlineLevel="0" collapsed="false">
      <c r="A2135" s="5" t="s">
        <v>3057</v>
      </c>
      <c r="C2135" s="5" t="s">
        <v>3058</v>
      </c>
      <c r="D2135" s="5" t="s">
        <v>14</v>
      </c>
      <c r="E2135" s="5" t="s">
        <v>2937</v>
      </c>
      <c r="F2135" s="5" t="s">
        <v>2938</v>
      </c>
      <c r="G2135" s="5" t="s">
        <v>2939</v>
      </c>
      <c r="H2135" s="2" t="s">
        <v>3079</v>
      </c>
      <c r="I2135" s="5" t="s">
        <v>3080</v>
      </c>
      <c r="J2135" s="5" t="s">
        <v>52</v>
      </c>
      <c r="K2135" s="5" t="s">
        <v>3072</v>
      </c>
      <c r="L2135" s="5" t="s">
        <v>46</v>
      </c>
      <c r="M2135" s="5" t="s">
        <v>3061</v>
      </c>
      <c r="N2135" s="5" t="s">
        <v>41</v>
      </c>
      <c r="O2135" s="5" t="s">
        <v>54</v>
      </c>
      <c r="P2135" s="5" t="s">
        <v>43</v>
      </c>
      <c r="Q2135" s="5" t="s">
        <v>3073</v>
      </c>
      <c r="R2135" s="5" t="s">
        <v>44</v>
      </c>
      <c r="S2135" s="5" t="s">
        <v>90</v>
      </c>
      <c r="T2135" s="5" t="s">
        <v>46</v>
      </c>
      <c r="U2135" s="5" t="s">
        <v>46</v>
      </c>
      <c r="V2135" s="5" t="n">
        <v>3</v>
      </c>
      <c r="W2135" s="5" t="s">
        <v>46</v>
      </c>
      <c r="X2135" s="5" t="s">
        <v>47</v>
      </c>
      <c r="Y2135" s="5" t="s">
        <v>153</v>
      </c>
      <c r="Z2135" s="5" t="s">
        <v>2942</v>
      </c>
      <c r="AA2135" s="5" t="s">
        <v>2943</v>
      </c>
      <c r="AB2135" s="5" t="s">
        <v>2944</v>
      </c>
      <c r="AC2135" s="5" t="s">
        <v>2945</v>
      </c>
      <c r="AD2135" s="5" t="s">
        <v>2946</v>
      </c>
      <c r="AE2135" s="5" t="s">
        <v>3081</v>
      </c>
      <c r="AF2135" s="5" t="s">
        <v>3082</v>
      </c>
    </row>
    <row r="2136" customFormat="false" ht="13.8" hidden="false" customHeight="false" outlineLevel="0" collapsed="false">
      <c r="A2136" s="5" t="s">
        <v>3057</v>
      </c>
      <c r="C2136" s="5" t="s">
        <v>3058</v>
      </c>
      <c r="D2136" s="5" t="s">
        <v>14</v>
      </c>
      <c r="E2136" s="5" t="s">
        <v>2937</v>
      </c>
      <c r="F2136" s="5" t="s">
        <v>2938</v>
      </c>
      <c r="G2136" s="5" t="s">
        <v>2939</v>
      </c>
      <c r="H2136" s="2" t="s">
        <v>2693</v>
      </c>
      <c r="I2136" s="5" t="s">
        <v>2965</v>
      </c>
      <c r="J2136" s="5" t="s">
        <v>52</v>
      </c>
      <c r="K2136" s="5" t="s">
        <v>1935</v>
      </c>
      <c r="L2136" s="5" t="s">
        <v>69</v>
      </c>
      <c r="M2136" s="5" t="s">
        <v>69</v>
      </c>
      <c r="N2136" s="5" t="s">
        <v>1935</v>
      </c>
      <c r="O2136" s="5" t="s">
        <v>46</v>
      </c>
      <c r="P2136" s="5" t="s">
        <v>71</v>
      </c>
      <c r="Q2136" s="5" t="s">
        <v>71</v>
      </c>
      <c r="R2136" s="5" t="s">
        <v>72</v>
      </c>
      <c r="S2136" s="5" t="s">
        <v>73</v>
      </c>
      <c r="T2136" s="5" t="s">
        <v>46</v>
      </c>
      <c r="U2136" s="5" t="n">
        <v>1000</v>
      </c>
      <c r="V2136" s="5" t="n">
        <v>1</v>
      </c>
      <c r="W2136" s="5" t="s">
        <v>46</v>
      </c>
      <c r="X2136" s="5" t="s">
        <v>74</v>
      </c>
      <c r="Y2136" s="5" t="s">
        <v>153</v>
      </c>
      <c r="Z2136" s="5" t="s">
        <v>2942</v>
      </c>
      <c r="AA2136" s="5" t="s">
        <v>2943</v>
      </c>
      <c r="AB2136" s="5" t="s">
        <v>2944</v>
      </c>
      <c r="AC2136" s="5" t="s">
        <v>2945</v>
      </c>
      <c r="AD2136" s="5" t="s">
        <v>2946</v>
      </c>
      <c r="AE2136" s="5" t="s">
        <v>2966</v>
      </c>
      <c r="AF2136" s="5" t="s">
        <v>2967</v>
      </c>
    </row>
    <row r="2137" customFormat="false" ht="13.8" hidden="false" customHeight="false" outlineLevel="0" collapsed="false">
      <c r="A2137" s="5" t="s">
        <v>3057</v>
      </c>
      <c r="C2137" s="5" t="s">
        <v>3058</v>
      </c>
      <c r="D2137" s="5" t="s">
        <v>14</v>
      </c>
      <c r="E2137" s="5" t="s">
        <v>2937</v>
      </c>
      <c r="F2137" s="5" t="s">
        <v>2938</v>
      </c>
      <c r="G2137" s="5" t="s">
        <v>2939</v>
      </c>
      <c r="H2137" s="2" t="s">
        <v>2968</v>
      </c>
      <c r="I2137" s="5" t="s">
        <v>2969</v>
      </c>
      <c r="J2137" s="5" t="s">
        <v>52</v>
      </c>
      <c r="K2137" s="5" t="s">
        <v>1935</v>
      </c>
      <c r="L2137" s="5" t="s">
        <v>69</v>
      </c>
      <c r="M2137" s="5" t="s">
        <v>69</v>
      </c>
      <c r="N2137" s="5" t="s">
        <v>1935</v>
      </c>
      <c r="O2137" s="5" t="s">
        <v>46</v>
      </c>
      <c r="P2137" s="5" t="s">
        <v>71</v>
      </c>
      <c r="Q2137" s="5" t="s">
        <v>71</v>
      </c>
      <c r="R2137" s="5" t="s">
        <v>72</v>
      </c>
      <c r="S2137" s="5" t="s">
        <v>73</v>
      </c>
      <c r="T2137" s="5" t="s">
        <v>46</v>
      </c>
      <c r="U2137" s="5" t="n">
        <v>1000</v>
      </c>
      <c r="V2137" s="5" t="n">
        <v>2</v>
      </c>
      <c r="W2137" s="5" t="s">
        <v>46</v>
      </c>
      <c r="X2137" s="5" t="s">
        <v>74</v>
      </c>
      <c r="Y2137" s="5" t="s">
        <v>153</v>
      </c>
      <c r="Z2137" s="5" t="s">
        <v>2942</v>
      </c>
      <c r="AA2137" s="5" t="s">
        <v>2943</v>
      </c>
      <c r="AB2137" s="5" t="s">
        <v>2944</v>
      </c>
      <c r="AC2137" s="5" t="s">
        <v>2945</v>
      </c>
      <c r="AD2137" s="5" t="s">
        <v>2946</v>
      </c>
      <c r="AE2137" s="5" t="s">
        <v>2970</v>
      </c>
      <c r="AF2137" s="5" t="s">
        <v>2971</v>
      </c>
    </row>
    <row r="2138" customFormat="false" ht="13.8" hidden="false" customHeight="false" outlineLevel="0" collapsed="false">
      <c r="A2138" s="5" t="s">
        <v>3057</v>
      </c>
      <c r="C2138" s="5" t="s">
        <v>3058</v>
      </c>
      <c r="D2138" s="5" t="s">
        <v>14</v>
      </c>
      <c r="E2138" s="5" t="s">
        <v>2937</v>
      </c>
      <c r="F2138" s="5" t="s">
        <v>2938</v>
      </c>
      <c r="G2138" s="5" t="s">
        <v>2939</v>
      </c>
      <c r="H2138" s="2" t="s">
        <v>2758</v>
      </c>
      <c r="I2138" s="5" t="s">
        <v>2972</v>
      </c>
      <c r="J2138" s="5" t="s">
        <v>52</v>
      </c>
      <c r="K2138" s="5" t="s">
        <v>1935</v>
      </c>
      <c r="L2138" s="5" t="s">
        <v>69</v>
      </c>
      <c r="M2138" s="5" t="s">
        <v>69</v>
      </c>
      <c r="N2138" s="5" t="s">
        <v>1935</v>
      </c>
      <c r="O2138" s="5" t="s">
        <v>46</v>
      </c>
      <c r="P2138" s="5" t="s">
        <v>71</v>
      </c>
      <c r="Q2138" s="5" t="s">
        <v>71</v>
      </c>
      <c r="R2138" s="5" t="s">
        <v>72</v>
      </c>
      <c r="S2138" s="5" t="s">
        <v>73</v>
      </c>
      <c r="T2138" s="5" t="s">
        <v>46</v>
      </c>
      <c r="U2138" s="5" t="n">
        <v>1000</v>
      </c>
      <c r="V2138" s="5" t="n">
        <v>3</v>
      </c>
      <c r="W2138" s="5" t="s">
        <v>46</v>
      </c>
      <c r="X2138" s="5" t="s">
        <v>74</v>
      </c>
      <c r="Y2138" s="5" t="s">
        <v>153</v>
      </c>
      <c r="Z2138" s="5" t="s">
        <v>2942</v>
      </c>
      <c r="AA2138" s="5" t="s">
        <v>2943</v>
      </c>
      <c r="AB2138" s="5" t="s">
        <v>2944</v>
      </c>
      <c r="AC2138" s="5" t="s">
        <v>2945</v>
      </c>
      <c r="AD2138" s="5" t="s">
        <v>2946</v>
      </c>
      <c r="AE2138" s="5" t="s">
        <v>2973</v>
      </c>
      <c r="AF2138" s="5" t="s">
        <v>2974</v>
      </c>
    </row>
    <row r="2139" customFormat="false" ht="13.8" hidden="false" customHeight="false" outlineLevel="0" collapsed="false">
      <c r="A2139" s="5" t="s">
        <v>3057</v>
      </c>
      <c r="C2139" s="5" t="s">
        <v>3058</v>
      </c>
      <c r="D2139" s="5" t="s">
        <v>14</v>
      </c>
      <c r="E2139" s="5" t="s">
        <v>2937</v>
      </c>
      <c r="F2139" s="5" t="s">
        <v>2938</v>
      </c>
      <c r="G2139" s="5" t="s">
        <v>2939</v>
      </c>
      <c r="H2139" s="2" t="s">
        <v>2975</v>
      </c>
      <c r="I2139" s="5" t="s">
        <v>2976</v>
      </c>
      <c r="J2139" s="5" t="s">
        <v>52</v>
      </c>
      <c r="K2139" s="5" t="s">
        <v>1935</v>
      </c>
      <c r="L2139" s="5" t="s">
        <v>69</v>
      </c>
      <c r="M2139" s="5" t="s">
        <v>69</v>
      </c>
      <c r="N2139" s="5" t="s">
        <v>1935</v>
      </c>
      <c r="O2139" s="5" t="s">
        <v>46</v>
      </c>
      <c r="P2139" s="5" t="s">
        <v>71</v>
      </c>
      <c r="Q2139" s="5" t="s">
        <v>71</v>
      </c>
      <c r="R2139" s="5" t="s">
        <v>72</v>
      </c>
      <c r="S2139" s="5" t="s">
        <v>73</v>
      </c>
      <c r="T2139" s="5" t="s">
        <v>46</v>
      </c>
      <c r="U2139" s="5" t="n">
        <v>1000</v>
      </c>
      <c r="V2139" s="5" t="n">
        <v>4</v>
      </c>
      <c r="W2139" s="5" t="s">
        <v>46</v>
      </c>
      <c r="X2139" s="5" t="s">
        <v>74</v>
      </c>
      <c r="Y2139" s="5" t="s">
        <v>153</v>
      </c>
      <c r="Z2139" s="5" t="s">
        <v>2942</v>
      </c>
      <c r="AA2139" s="5" t="s">
        <v>2943</v>
      </c>
      <c r="AB2139" s="5" t="s">
        <v>2944</v>
      </c>
      <c r="AC2139" s="5" t="s">
        <v>2945</v>
      </c>
      <c r="AD2139" s="5" t="s">
        <v>2946</v>
      </c>
      <c r="AE2139" s="5" t="s">
        <v>2977</v>
      </c>
      <c r="AF2139" s="5" t="s">
        <v>2978</v>
      </c>
    </row>
    <row r="2140" customFormat="false" ht="13.8" hidden="false" customHeight="false" outlineLevel="0" collapsed="false">
      <c r="A2140" s="5" t="s">
        <v>3057</v>
      </c>
      <c r="C2140" s="5" t="s">
        <v>3058</v>
      </c>
      <c r="D2140" s="5" t="s">
        <v>14</v>
      </c>
      <c r="E2140" s="5" t="s">
        <v>2937</v>
      </c>
      <c r="F2140" s="5" t="s">
        <v>2938</v>
      </c>
      <c r="G2140" s="5" t="s">
        <v>2939</v>
      </c>
      <c r="H2140" s="2" t="s">
        <v>2979</v>
      </c>
      <c r="I2140" s="5" t="s">
        <v>2980</v>
      </c>
      <c r="J2140" s="5" t="s">
        <v>52</v>
      </c>
      <c r="K2140" s="5" t="s">
        <v>1935</v>
      </c>
      <c r="L2140" s="5" t="s">
        <v>69</v>
      </c>
      <c r="M2140" s="5" t="s">
        <v>69</v>
      </c>
      <c r="N2140" s="5" t="s">
        <v>1935</v>
      </c>
      <c r="O2140" s="5" t="s">
        <v>46</v>
      </c>
      <c r="P2140" s="5" t="s">
        <v>71</v>
      </c>
      <c r="Q2140" s="5" t="s">
        <v>71</v>
      </c>
      <c r="R2140" s="5" t="s">
        <v>72</v>
      </c>
      <c r="S2140" s="5" t="s">
        <v>73</v>
      </c>
      <c r="T2140" s="5" t="s">
        <v>46</v>
      </c>
      <c r="U2140" s="5" t="n">
        <v>1000</v>
      </c>
      <c r="V2140" s="5" t="n">
        <v>5</v>
      </c>
      <c r="W2140" s="5" t="s">
        <v>46</v>
      </c>
      <c r="X2140" s="5" t="s">
        <v>74</v>
      </c>
      <c r="Y2140" s="5" t="s">
        <v>153</v>
      </c>
      <c r="Z2140" s="5" t="s">
        <v>2942</v>
      </c>
      <c r="AA2140" s="5" t="s">
        <v>2943</v>
      </c>
      <c r="AB2140" s="5" t="s">
        <v>2944</v>
      </c>
      <c r="AC2140" s="5" t="s">
        <v>2945</v>
      </c>
      <c r="AD2140" s="5" t="s">
        <v>2946</v>
      </c>
      <c r="AE2140" s="5" t="s">
        <v>2981</v>
      </c>
      <c r="AF2140" s="5" t="s">
        <v>2982</v>
      </c>
    </row>
    <row r="2141" customFormat="false" ht="13.8" hidden="false" customHeight="false" outlineLevel="0" collapsed="false">
      <c r="A2141" s="5" t="s">
        <v>3057</v>
      </c>
      <c r="C2141" s="5" t="s">
        <v>3058</v>
      </c>
      <c r="D2141" s="5" t="s">
        <v>14</v>
      </c>
      <c r="E2141" s="5" t="s">
        <v>2937</v>
      </c>
      <c r="F2141" s="5" t="s">
        <v>2938</v>
      </c>
      <c r="G2141" s="5" t="s">
        <v>2939</v>
      </c>
      <c r="H2141" s="2" t="s">
        <v>2683</v>
      </c>
      <c r="I2141" s="5" t="s">
        <v>2983</v>
      </c>
      <c r="J2141" s="5" t="s">
        <v>52</v>
      </c>
      <c r="K2141" s="5" t="s">
        <v>65</v>
      </c>
      <c r="L2141" s="5" t="s">
        <v>46</v>
      </c>
      <c r="M2141" s="5" t="s">
        <v>46</v>
      </c>
      <c r="N2141" s="5" t="s">
        <v>65</v>
      </c>
      <c r="O2141" s="5" t="s">
        <v>46</v>
      </c>
      <c r="P2141" s="5" t="s">
        <v>46</v>
      </c>
      <c r="Q2141" s="5" t="s">
        <v>46</v>
      </c>
      <c r="R2141" s="5" t="s">
        <v>46</v>
      </c>
      <c r="S2141" s="5" t="s">
        <v>46</v>
      </c>
      <c r="T2141" s="5" t="s">
        <v>46</v>
      </c>
      <c r="U2141" s="5" t="s">
        <v>46</v>
      </c>
      <c r="V2141" s="5" t="n">
        <v>1</v>
      </c>
      <c r="W2141" s="5" t="s">
        <v>46</v>
      </c>
      <c r="X2141" s="5" t="s">
        <v>83</v>
      </c>
      <c r="Y2141" s="5" t="s">
        <v>153</v>
      </c>
      <c r="Z2141" s="5" t="s">
        <v>2942</v>
      </c>
      <c r="AA2141" s="5" t="s">
        <v>2943</v>
      </c>
      <c r="AB2141" s="5" t="s">
        <v>2944</v>
      </c>
      <c r="AC2141" s="5" t="s">
        <v>2945</v>
      </c>
      <c r="AD2141" s="5" t="s">
        <v>2946</v>
      </c>
      <c r="AE2141" s="5" t="s">
        <v>2984</v>
      </c>
      <c r="AF2141" s="5" t="s">
        <v>2985</v>
      </c>
    </row>
    <row r="2142" customFormat="false" ht="13.8" hidden="false" customHeight="false" outlineLevel="0" collapsed="false">
      <c r="A2142" s="5" t="s">
        <v>3057</v>
      </c>
      <c r="C2142" s="5" t="s">
        <v>3058</v>
      </c>
      <c r="D2142" s="5" t="s">
        <v>14</v>
      </c>
      <c r="E2142" s="5" t="s">
        <v>2937</v>
      </c>
      <c r="F2142" s="5" t="s">
        <v>2938</v>
      </c>
      <c r="G2142" s="5" t="s">
        <v>2939</v>
      </c>
      <c r="H2142" s="2" t="s">
        <v>2986</v>
      </c>
      <c r="I2142" s="5" t="s">
        <v>2987</v>
      </c>
      <c r="J2142" s="5" t="s">
        <v>52</v>
      </c>
      <c r="K2142" s="5" t="s">
        <v>65</v>
      </c>
      <c r="L2142" s="5" t="s">
        <v>46</v>
      </c>
      <c r="M2142" s="5" t="s">
        <v>46</v>
      </c>
      <c r="N2142" s="5" t="s">
        <v>65</v>
      </c>
      <c r="O2142" s="5" t="s">
        <v>46</v>
      </c>
      <c r="P2142" s="5" t="s">
        <v>46</v>
      </c>
      <c r="Q2142" s="5" t="s">
        <v>46</v>
      </c>
      <c r="R2142" s="5" t="s">
        <v>46</v>
      </c>
      <c r="S2142" s="5" t="s">
        <v>46</v>
      </c>
      <c r="T2142" s="5" t="s">
        <v>46</v>
      </c>
      <c r="U2142" s="5" t="s">
        <v>46</v>
      </c>
      <c r="V2142" s="5" t="n">
        <v>2</v>
      </c>
      <c r="W2142" s="5" t="s">
        <v>46</v>
      </c>
      <c r="X2142" s="5" t="s">
        <v>83</v>
      </c>
      <c r="Y2142" s="5" t="s">
        <v>153</v>
      </c>
      <c r="Z2142" s="5" t="s">
        <v>2942</v>
      </c>
      <c r="AA2142" s="5" t="s">
        <v>2943</v>
      </c>
      <c r="AB2142" s="5" t="s">
        <v>2944</v>
      </c>
      <c r="AC2142" s="5" t="s">
        <v>2945</v>
      </c>
      <c r="AD2142" s="5" t="s">
        <v>2946</v>
      </c>
      <c r="AE2142" s="5" t="s">
        <v>2988</v>
      </c>
      <c r="AF2142" s="5" t="s">
        <v>2989</v>
      </c>
    </row>
    <row r="2143" customFormat="false" ht="13.8" hidden="false" customHeight="false" outlineLevel="0" collapsed="false">
      <c r="A2143" s="5" t="s">
        <v>3083</v>
      </c>
      <c r="C2143" s="5" t="s">
        <v>3084</v>
      </c>
      <c r="D2143" s="5" t="s">
        <v>14</v>
      </c>
      <c r="E2143" s="5" t="s">
        <v>2937</v>
      </c>
      <c r="F2143" s="5" t="s">
        <v>2938</v>
      </c>
      <c r="G2143" s="5" t="s">
        <v>2939</v>
      </c>
      <c r="H2143" s="2" t="s">
        <v>2801</v>
      </c>
      <c r="I2143" s="5" t="s">
        <v>3085</v>
      </c>
      <c r="J2143" s="5" t="s">
        <v>38</v>
      </c>
      <c r="K2143" s="5" t="s">
        <v>3086</v>
      </c>
      <c r="L2143" s="5" t="s">
        <v>46</v>
      </c>
      <c r="M2143" s="5" t="s">
        <v>3087</v>
      </c>
      <c r="N2143" s="5" t="s">
        <v>41</v>
      </c>
      <c r="O2143" s="5" t="s">
        <v>42</v>
      </c>
      <c r="P2143" s="5" t="s">
        <v>3088</v>
      </c>
      <c r="Q2143" s="5" t="s">
        <v>3089</v>
      </c>
      <c r="R2143" s="5" t="s">
        <v>44</v>
      </c>
      <c r="S2143" s="5" t="s">
        <v>90</v>
      </c>
      <c r="T2143" s="5" t="s">
        <v>46</v>
      </c>
      <c r="U2143" s="5" t="n">
        <v>500</v>
      </c>
      <c r="V2143" s="5" t="n">
        <v>1</v>
      </c>
      <c r="W2143" s="5" t="s">
        <v>46</v>
      </c>
      <c r="X2143" s="5" t="s">
        <v>47</v>
      </c>
      <c r="Y2143" s="5" t="s">
        <v>153</v>
      </c>
      <c r="Z2143" s="5" t="s">
        <v>2942</v>
      </c>
      <c r="AA2143" s="5" t="s">
        <v>2943</v>
      </c>
      <c r="AB2143" s="5" t="s">
        <v>2944</v>
      </c>
      <c r="AC2143" s="5" t="s">
        <v>2945</v>
      </c>
      <c r="AD2143" s="5" t="s">
        <v>2946</v>
      </c>
      <c r="AE2143" s="5" t="s">
        <v>3090</v>
      </c>
      <c r="AF2143" s="5" t="s">
        <v>3091</v>
      </c>
    </row>
    <row r="2144" customFormat="false" ht="13.8" hidden="false" customHeight="false" outlineLevel="0" collapsed="false">
      <c r="A2144" s="5" t="s">
        <v>3083</v>
      </c>
      <c r="C2144" s="5" t="s">
        <v>3084</v>
      </c>
      <c r="D2144" s="5" t="s">
        <v>14</v>
      </c>
      <c r="E2144" s="5" t="s">
        <v>2937</v>
      </c>
      <c r="F2144" s="5" t="s">
        <v>2938</v>
      </c>
      <c r="G2144" s="5" t="s">
        <v>2939</v>
      </c>
      <c r="H2144" s="2" t="s">
        <v>3092</v>
      </c>
      <c r="I2144" s="5" t="s">
        <v>3093</v>
      </c>
      <c r="J2144" s="5" t="s">
        <v>38</v>
      </c>
      <c r="K2144" s="5" t="s">
        <v>3086</v>
      </c>
      <c r="L2144" s="5" t="s">
        <v>46</v>
      </c>
      <c r="M2144" s="5" t="s">
        <v>3087</v>
      </c>
      <c r="N2144" s="5" t="s">
        <v>41</v>
      </c>
      <c r="O2144" s="5" t="s">
        <v>42</v>
      </c>
      <c r="P2144" s="5" t="s">
        <v>3088</v>
      </c>
      <c r="Q2144" s="5" t="s">
        <v>3089</v>
      </c>
      <c r="R2144" s="5" t="s">
        <v>44</v>
      </c>
      <c r="S2144" s="5" t="s">
        <v>90</v>
      </c>
      <c r="T2144" s="5" t="s">
        <v>46</v>
      </c>
      <c r="U2144" s="5" t="n">
        <v>500</v>
      </c>
      <c r="V2144" s="5" t="n">
        <v>2</v>
      </c>
      <c r="W2144" s="5" t="s">
        <v>46</v>
      </c>
      <c r="X2144" s="5" t="s">
        <v>47</v>
      </c>
      <c r="Y2144" s="5" t="s">
        <v>153</v>
      </c>
      <c r="Z2144" s="5" t="s">
        <v>2942</v>
      </c>
      <c r="AA2144" s="5" t="s">
        <v>2943</v>
      </c>
      <c r="AB2144" s="5" t="s">
        <v>2944</v>
      </c>
      <c r="AC2144" s="5" t="s">
        <v>2945</v>
      </c>
      <c r="AD2144" s="5" t="s">
        <v>2946</v>
      </c>
      <c r="AE2144" s="5" t="s">
        <v>3094</v>
      </c>
      <c r="AF2144" s="5" t="s">
        <v>3095</v>
      </c>
    </row>
    <row r="2145" customFormat="false" ht="13.8" hidden="false" customHeight="false" outlineLevel="0" collapsed="false">
      <c r="A2145" s="5" t="s">
        <v>3083</v>
      </c>
      <c r="C2145" s="5" t="s">
        <v>3084</v>
      </c>
      <c r="D2145" s="5" t="s">
        <v>14</v>
      </c>
      <c r="E2145" s="5" t="s">
        <v>2937</v>
      </c>
      <c r="F2145" s="5" t="s">
        <v>2938</v>
      </c>
      <c r="G2145" s="5" t="s">
        <v>2939</v>
      </c>
      <c r="H2145" s="2" t="s">
        <v>3096</v>
      </c>
      <c r="I2145" s="5" t="s">
        <v>3097</v>
      </c>
      <c r="J2145" s="5" t="s">
        <v>38</v>
      </c>
      <c r="K2145" s="5" t="s">
        <v>3086</v>
      </c>
      <c r="L2145" s="5" t="s">
        <v>46</v>
      </c>
      <c r="M2145" s="5" t="s">
        <v>3087</v>
      </c>
      <c r="N2145" s="5" t="s">
        <v>41</v>
      </c>
      <c r="O2145" s="5" t="s">
        <v>42</v>
      </c>
      <c r="P2145" s="5" t="s">
        <v>3088</v>
      </c>
      <c r="Q2145" s="5" t="s">
        <v>3089</v>
      </c>
      <c r="R2145" s="5" t="s">
        <v>44</v>
      </c>
      <c r="S2145" s="5" t="s">
        <v>90</v>
      </c>
      <c r="T2145" s="5" t="s">
        <v>46</v>
      </c>
      <c r="U2145" s="5" t="n">
        <v>500</v>
      </c>
      <c r="V2145" s="5" t="n">
        <v>3</v>
      </c>
      <c r="W2145" s="5" t="s">
        <v>46</v>
      </c>
      <c r="X2145" s="5" t="s">
        <v>47</v>
      </c>
      <c r="Y2145" s="5" t="s">
        <v>153</v>
      </c>
      <c r="Z2145" s="5" t="s">
        <v>2942</v>
      </c>
      <c r="AA2145" s="5" t="s">
        <v>2943</v>
      </c>
      <c r="AB2145" s="5" t="s">
        <v>2944</v>
      </c>
      <c r="AC2145" s="5" t="s">
        <v>2945</v>
      </c>
      <c r="AD2145" s="5" t="s">
        <v>2946</v>
      </c>
      <c r="AE2145" s="5" t="s">
        <v>3098</v>
      </c>
      <c r="AF2145" s="5" t="s">
        <v>3099</v>
      </c>
    </row>
    <row r="2146" customFormat="false" ht="13.8" hidden="false" customHeight="false" outlineLevel="0" collapsed="false">
      <c r="A2146" s="5" t="s">
        <v>3083</v>
      </c>
      <c r="C2146" s="5" t="s">
        <v>3084</v>
      </c>
      <c r="D2146" s="5" t="s">
        <v>14</v>
      </c>
      <c r="E2146" s="5" t="s">
        <v>2937</v>
      </c>
      <c r="F2146" s="5" t="s">
        <v>2938</v>
      </c>
      <c r="G2146" s="5" t="s">
        <v>2939</v>
      </c>
      <c r="H2146" s="2" t="s">
        <v>3100</v>
      </c>
      <c r="I2146" s="5" t="s">
        <v>3101</v>
      </c>
      <c r="J2146" s="5" t="s">
        <v>52</v>
      </c>
      <c r="K2146" s="5" t="s">
        <v>3102</v>
      </c>
      <c r="L2146" s="5" t="s">
        <v>46</v>
      </c>
      <c r="M2146" s="5" t="s">
        <v>3087</v>
      </c>
      <c r="N2146" s="5" t="s">
        <v>41</v>
      </c>
      <c r="O2146" s="5" t="s">
        <v>54</v>
      </c>
      <c r="P2146" s="5" t="s">
        <v>3088</v>
      </c>
      <c r="Q2146" s="5" t="s">
        <v>3103</v>
      </c>
      <c r="R2146" s="5" t="s">
        <v>44</v>
      </c>
      <c r="S2146" s="5" t="s">
        <v>90</v>
      </c>
      <c r="T2146" s="5" t="s">
        <v>46</v>
      </c>
      <c r="U2146" s="5" t="n">
        <v>500</v>
      </c>
      <c r="V2146" s="5" t="n">
        <v>1</v>
      </c>
      <c r="W2146" s="5" t="s">
        <v>46</v>
      </c>
      <c r="X2146" s="5" t="s">
        <v>47</v>
      </c>
      <c r="Y2146" s="5" t="s">
        <v>153</v>
      </c>
      <c r="Z2146" s="5" t="s">
        <v>2942</v>
      </c>
      <c r="AA2146" s="5" t="s">
        <v>2943</v>
      </c>
      <c r="AB2146" s="5" t="s">
        <v>2944</v>
      </c>
      <c r="AC2146" s="5" t="s">
        <v>2945</v>
      </c>
      <c r="AD2146" s="5" t="s">
        <v>2946</v>
      </c>
      <c r="AE2146" s="5" t="s">
        <v>3104</v>
      </c>
      <c r="AF2146" s="5" t="s">
        <v>3105</v>
      </c>
    </row>
    <row r="2147" customFormat="false" ht="13.8" hidden="false" customHeight="false" outlineLevel="0" collapsed="false">
      <c r="A2147" s="5" t="s">
        <v>3083</v>
      </c>
      <c r="C2147" s="5" t="s">
        <v>3084</v>
      </c>
      <c r="D2147" s="5" t="s">
        <v>14</v>
      </c>
      <c r="E2147" s="5" t="s">
        <v>2937</v>
      </c>
      <c r="F2147" s="5" t="s">
        <v>2938</v>
      </c>
      <c r="G2147" s="5" t="s">
        <v>2939</v>
      </c>
      <c r="H2147" s="2" t="s">
        <v>3106</v>
      </c>
      <c r="I2147" s="5" t="s">
        <v>3107</v>
      </c>
      <c r="J2147" s="5" t="s">
        <v>52</v>
      </c>
      <c r="K2147" s="5" t="s">
        <v>3102</v>
      </c>
      <c r="L2147" s="5" t="s">
        <v>46</v>
      </c>
      <c r="M2147" s="5" t="s">
        <v>3087</v>
      </c>
      <c r="N2147" s="5" t="s">
        <v>41</v>
      </c>
      <c r="O2147" s="5" t="s">
        <v>54</v>
      </c>
      <c r="P2147" s="5" t="s">
        <v>3088</v>
      </c>
      <c r="Q2147" s="5" t="s">
        <v>3103</v>
      </c>
      <c r="R2147" s="5" t="s">
        <v>44</v>
      </c>
      <c r="S2147" s="5" t="s">
        <v>90</v>
      </c>
      <c r="T2147" s="5" t="s">
        <v>46</v>
      </c>
      <c r="U2147" s="5" t="n">
        <v>500</v>
      </c>
      <c r="V2147" s="5" t="n">
        <v>2</v>
      </c>
      <c r="W2147" s="5" t="s">
        <v>46</v>
      </c>
      <c r="X2147" s="5" t="s">
        <v>47</v>
      </c>
      <c r="Y2147" s="5" t="s">
        <v>153</v>
      </c>
      <c r="Z2147" s="5" t="s">
        <v>2942</v>
      </c>
      <c r="AA2147" s="5" t="s">
        <v>2943</v>
      </c>
      <c r="AB2147" s="5" t="s">
        <v>2944</v>
      </c>
      <c r="AC2147" s="5" t="s">
        <v>2945</v>
      </c>
      <c r="AD2147" s="5" t="s">
        <v>2946</v>
      </c>
      <c r="AE2147" s="5" t="s">
        <v>3108</v>
      </c>
      <c r="AF2147" s="5" t="s">
        <v>3109</v>
      </c>
    </row>
    <row r="2148" customFormat="false" ht="13.8" hidden="false" customHeight="false" outlineLevel="0" collapsed="false">
      <c r="A2148" s="5" t="s">
        <v>3083</v>
      </c>
      <c r="C2148" s="5" t="s">
        <v>3084</v>
      </c>
      <c r="D2148" s="5" t="s">
        <v>14</v>
      </c>
      <c r="E2148" s="5" t="s">
        <v>2937</v>
      </c>
      <c r="F2148" s="5" t="s">
        <v>2938</v>
      </c>
      <c r="G2148" s="5" t="s">
        <v>2939</v>
      </c>
      <c r="H2148" s="2" t="s">
        <v>2751</v>
      </c>
      <c r="I2148" s="5" t="s">
        <v>3110</v>
      </c>
      <c r="J2148" s="5" t="s">
        <v>52</v>
      </c>
      <c r="K2148" s="5" t="s">
        <v>3102</v>
      </c>
      <c r="L2148" s="5" t="s">
        <v>46</v>
      </c>
      <c r="M2148" s="5" t="s">
        <v>3087</v>
      </c>
      <c r="N2148" s="5" t="s">
        <v>41</v>
      </c>
      <c r="O2148" s="5" t="s">
        <v>54</v>
      </c>
      <c r="P2148" s="5" t="s">
        <v>3088</v>
      </c>
      <c r="Q2148" s="5" t="s">
        <v>3103</v>
      </c>
      <c r="R2148" s="5" t="s">
        <v>44</v>
      </c>
      <c r="S2148" s="5" t="s">
        <v>90</v>
      </c>
      <c r="T2148" s="5" t="s">
        <v>46</v>
      </c>
      <c r="U2148" s="5" t="n">
        <v>500</v>
      </c>
      <c r="V2148" s="5" t="n">
        <v>3</v>
      </c>
      <c r="W2148" s="5" t="s">
        <v>46</v>
      </c>
      <c r="X2148" s="5" t="s">
        <v>47</v>
      </c>
      <c r="Y2148" s="5" t="s">
        <v>153</v>
      </c>
      <c r="Z2148" s="5" t="s">
        <v>2942</v>
      </c>
      <c r="AA2148" s="5" t="s">
        <v>2943</v>
      </c>
      <c r="AB2148" s="5" t="s">
        <v>2944</v>
      </c>
      <c r="AC2148" s="5" t="s">
        <v>2945</v>
      </c>
      <c r="AD2148" s="5" t="s">
        <v>2946</v>
      </c>
      <c r="AE2148" s="5" t="s">
        <v>3111</v>
      </c>
      <c r="AF2148" s="5" t="s">
        <v>3112</v>
      </c>
    </row>
    <row r="2149" customFormat="false" ht="13.8" hidden="false" customHeight="false" outlineLevel="0" collapsed="false">
      <c r="A2149" s="5" t="s">
        <v>3083</v>
      </c>
      <c r="C2149" s="5" t="s">
        <v>3084</v>
      </c>
      <c r="D2149" s="5" t="s">
        <v>14</v>
      </c>
      <c r="E2149" s="5" t="s">
        <v>2937</v>
      </c>
      <c r="F2149" s="5" t="s">
        <v>2938</v>
      </c>
      <c r="G2149" s="5" t="s">
        <v>2939</v>
      </c>
      <c r="H2149" s="2" t="s">
        <v>2693</v>
      </c>
      <c r="I2149" s="5" t="s">
        <v>2965</v>
      </c>
      <c r="J2149" s="5" t="s">
        <v>52</v>
      </c>
      <c r="K2149" s="5" t="s">
        <v>1935</v>
      </c>
      <c r="L2149" s="5" t="s">
        <v>69</v>
      </c>
      <c r="M2149" s="5" t="s">
        <v>69</v>
      </c>
      <c r="N2149" s="5" t="s">
        <v>1935</v>
      </c>
      <c r="O2149" s="5" t="s">
        <v>46</v>
      </c>
      <c r="P2149" s="5" t="s">
        <v>71</v>
      </c>
      <c r="Q2149" s="5" t="s">
        <v>71</v>
      </c>
      <c r="R2149" s="5" t="s">
        <v>72</v>
      </c>
      <c r="S2149" s="5" t="s">
        <v>73</v>
      </c>
      <c r="T2149" s="5" t="s">
        <v>46</v>
      </c>
      <c r="U2149" s="5" t="n">
        <v>1000</v>
      </c>
      <c r="V2149" s="5" t="n">
        <v>1</v>
      </c>
      <c r="W2149" s="5" t="s">
        <v>46</v>
      </c>
      <c r="X2149" s="5" t="s">
        <v>74</v>
      </c>
      <c r="Y2149" s="5" t="s">
        <v>153</v>
      </c>
      <c r="Z2149" s="5" t="s">
        <v>2942</v>
      </c>
      <c r="AA2149" s="5" t="s">
        <v>2943</v>
      </c>
      <c r="AB2149" s="5" t="s">
        <v>2944</v>
      </c>
      <c r="AC2149" s="5" t="s">
        <v>2945</v>
      </c>
      <c r="AD2149" s="5" t="s">
        <v>2946</v>
      </c>
      <c r="AE2149" s="5" t="s">
        <v>2966</v>
      </c>
      <c r="AF2149" s="5" t="s">
        <v>2967</v>
      </c>
    </row>
    <row r="2150" customFormat="false" ht="13.8" hidden="false" customHeight="false" outlineLevel="0" collapsed="false">
      <c r="A2150" s="5" t="s">
        <v>3083</v>
      </c>
      <c r="C2150" s="5" t="s">
        <v>3084</v>
      </c>
      <c r="D2150" s="5" t="s">
        <v>14</v>
      </c>
      <c r="E2150" s="5" t="s">
        <v>2937</v>
      </c>
      <c r="F2150" s="5" t="s">
        <v>2938</v>
      </c>
      <c r="G2150" s="5" t="s">
        <v>2939</v>
      </c>
      <c r="H2150" s="2" t="s">
        <v>2968</v>
      </c>
      <c r="I2150" s="5" t="s">
        <v>2969</v>
      </c>
      <c r="J2150" s="5" t="s">
        <v>52</v>
      </c>
      <c r="K2150" s="5" t="s">
        <v>1935</v>
      </c>
      <c r="L2150" s="5" t="s">
        <v>69</v>
      </c>
      <c r="M2150" s="5" t="s">
        <v>69</v>
      </c>
      <c r="N2150" s="5" t="s">
        <v>1935</v>
      </c>
      <c r="O2150" s="5" t="s">
        <v>46</v>
      </c>
      <c r="P2150" s="5" t="s">
        <v>71</v>
      </c>
      <c r="Q2150" s="5" t="s">
        <v>71</v>
      </c>
      <c r="R2150" s="5" t="s">
        <v>72</v>
      </c>
      <c r="S2150" s="5" t="s">
        <v>73</v>
      </c>
      <c r="T2150" s="5" t="s">
        <v>46</v>
      </c>
      <c r="U2150" s="5" t="n">
        <v>1000</v>
      </c>
      <c r="V2150" s="5" t="n">
        <v>2</v>
      </c>
      <c r="W2150" s="5" t="s">
        <v>46</v>
      </c>
      <c r="X2150" s="5" t="s">
        <v>74</v>
      </c>
      <c r="Y2150" s="5" t="s">
        <v>153</v>
      </c>
      <c r="Z2150" s="5" t="s">
        <v>2942</v>
      </c>
      <c r="AA2150" s="5" t="s">
        <v>2943</v>
      </c>
      <c r="AB2150" s="5" t="s">
        <v>2944</v>
      </c>
      <c r="AC2150" s="5" t="s">
        <v>2945</v>
      </c>
      <c r="AD2150" s="5" t="s">
        <v>2946</v>
      </c>
      <c r="AE2150" s="5" t="s">
        <v>2970</v>
      </c>
      <c r="AF2150" s="5" t="s">
        <v>2971</v>
      </c>
    </row>
    <row r="2151" customFormat="false" ht="13.8" hidden="false" customHeight="false" outlineLevel="0" collapsed="false">
      <c r="A2151" s="5" t="s">
        <v>3083</v>
      </c>
      <c r="C2151" s="5" t="s">
        <v>3084</v>
      </c>
      <c r="D2151" s="5" t="s">
        <v>14</v>
      </c>
      <c r="E2151" s="5" t="s">
        <v>2937</v>
      </c>
      <c r="F2151" s="5" t="s">
        <v>2938</v>
      </c>
      <c r="G2151" s="5" t="s">
        <v>2939</v>
      </c>
      <c r="H2151" s="2" t="s">
        <v>2758</v>
      </c>
      <c r="I2151" s="5" t="s">
        <v>2972</v>
      </c>
      <c r="J2151" s="5" t="s">
        <v>52</v>
      </c>
      <c r="K2151" s="5" t="s">
        <v>1935</v>
      </c>
      <c r="L2151" s="5" t="s">
        <v>69</v>
      </c>
      <c r="M2151" s="5" t="s">
        <v>69</v>
      </c>
      <c r="N2151" s="5" t="s">
        <v>1935</v>
      </c>
      <c r="O2151" s="5" t="s">
        <v>46</v>
      </c>
      <c r="P2151" s="5" t="s">
        <v>71</v>
      </c>
      <c r="Q2151" s="5" t="s">
        <v>71</v>
      </c>
      <c r="R2151" s="5" t="s">
        <v>72</v>
      </c>
      <c r="S2151" s="5" t="s">
        <v>73</v>
      </c>
      <c r="T2151" s="5" t="s">
        <v>46</v>
      </c>
      <c r="U2151" s="5" t="n">
        <v>1000</v>
      </c>
      <c r="V2151" s="5" t="n">
        <v>3</v>
      </c>
      <c r="W2151" s="5" t="s">
        <v>46</v>
      </c>
      <c r="X2151" s="5" t="s">
        <v>74</v>
      </c>
      <c r="Y2151" s="5" t="s">
        <v>153</v>
      </c>
      <c r="Z2151" s="5" t="s">
        <v>2942</v>
      </c>
      <c r="AA2151" s="5" t="s">
        <v>2943</v>
      </c>
      <c r="AB2151" s="5" t="s">
        <v>2944</v>
      </c>
      <c r="AC2151" s="5" t="s">
        <v>2945</v>
      </c>
      <c r="AD2151" s="5" t="s">
        <v>2946</v>
      </c>
      <c r="AE2151" s="5" t="s">
        <v>2973</v>
      </c>
      <c r="AF2151" s="5" t="s">
        <v>2974</v>
      </c>
    </row>
    <row r="2152" customFormat="false" ht="13.8" hidden="false" customHeight="false" outlineLevel="0" collapsed="false">
      <c r="A2152" s="5" t="s">
        <v>3083</v>
      </c>
      <c r="C2152" s="5" t="s">
        <v>3084</v>
      </c>
      <c r="D2152" s="5" t="s">
        <v>14</v>
      </c>
      <c r="E2152" s="5" t="s">
        <v>2937</v>
      </c>
      <c r="F2152" s="5" t="s">
        <v>2938</v>
      </c>
      <c r="G2152" s="5" t="s">
        <v>2939</v>
      </c>
      <c r="H2152" s="2" t="s">
        <v>2975</v>
      </c>
      <c r="I2152" s="5" t="s">
        <v>2976</v>
      </c>
      <c r="J2152" s="5" t="s">
        <v>52</v>
      </c>
      <c r="K2152" s="5" t="s">
        <v>1935</v>
      </c>
      <c r="L2152" s="5" t="s">
        <v>69</v>
      </c>
      <c r="M2152" s="5" t="s">
        <v>69</v>
      </c>
      <c r="N2152" s="5" t="s">
        <v>1935</v>
      </c>
      <c r="O2152" s="5" t="s">
        <v>46</v>
      </c>
      <c r="P2152" s="5" t="s">
        <v>71</v>
      </c>
      <c r="Q2152" s="5" t="s">
        <v>71</v>
      </c>
      <c r="R2152" s="5" t="s">
        <v>72</v>
      </c>
      <c r="S2152" s="5" t="s">
        <v>73</v>
      </c>
      <c r="T2152" s="5" t="s">
        <v>46</v>
      </c>
      <c r="U2152" s="5" t="n">
        <v>1000</v>
      </c>
      <c r="V2152" s="5" t="n">
        <v>4</v>
      </c>
      <c r="W2152" s="5" t="s">
        <v>46</v>
      </c>
      <c r="X2152" s="5" t="s">
        <v>74</v>
      </c>
      <c r="Y2152" s="5" t="s">
        <v>153</v>
      </c>
      <c r="Z2152" s="5" t="s">
        <v>2942</v>
      </c>
      <c r="AA2152" s="5" t="s">
        <v>2943</v>
      </c>
      <c r="AB2152" s="5" t="s">
        <v>2944</v>
      </c>
      <c r="AC2152" s="5" t="s">
        <v>2945</v>
      </c>
      <c r="AD2152" s="5" t="s">
        <v>2946</v>
      </c>
      <c r="AE2152" s="5" t="s">
        <v>2977</v>
      </c>
      <c r="AF2152" s="5" t="s">
        <v>2978</v>
      </c>
    </row>
    <row r="2153" customFormat="false" ht="13.8" hidden="false" customHeight="false" outlineLevel="0" collapsed="false">
      <c r="A2153" s="5" t="s">
        <v>3083</v>
      </c>
      <c r="C2153" s="5" t="s">
        <v>3084</v>
      </c>
      <c r="D2153" s="5" t="s">
        <v>14</v>
      </c>
      <c r="E2153" s="5" t="s">
        <v>2937</v>
      </c>
      <c r="F2153" s="5" t="s">
        <v>2938</v>
      </c>
      <c r="G2153" s="5" t="s">
        <v>2939</v>
      </c>
      <c r="H2153" s="2" t="s">
        <v>2979</v>
      </c>
      <c r="I2153" s="5" t="s">
        <v>2980</v>
      </c>
      <c r="J2153" s="5" t="s">
        <v>52</v>
      </c>
      <c r="K2153" s="5" t="s">
        <v>1935</v>
      </c>
      <c r="L2153" s="5" t="s">
        <v>69</v>
      </c>
      <c r="M2153" s="5" t="s">
        <v>69</v>
      </c>
      <c r="N2153" s="5" t="s">
        <v>1935</v>
      </c>
      <c r="O2153" s="5" t="s">
        <v>46</v>
      </c>
      <c r="P2153" s="5" t="s">
        <v>71</v>
      </c>
      <c r="Q2153" s="5" t="s">
        <v>71</v>
      </c>
      <c r="R2153" s="5" t="s">
        <v>72</v>
      </c>
      <c r="S2153" s="5" t="s">
        <v>73</v>
      </c>
      <c r="T2153" s="5" t="s">
        <v>46</v>
      </c>
      <c r="U2153" s="5" t="n">
        <v>1000</v>
      </c>
      <c r="V2153" s="5" t="n">
        <v>5</v>
      </c>
      <c r="W2153" s="5" t="s">
        <v>46</v>
      </c>
      <c r="X2153" s="5" t="s">
        <v>74</v>
      </c>
      <c r="Y2153" s="5" t="s">
        <v>153</v>
      </c>
      <c r="Z2153" s="5" t="s">
        <v>2942</v>
      </c>
      <c r="AA2153" s="5" t="s">
        <v>2943</v>
      </c>
      <c r="AB2153" s="5" t="s">
        <v>2944</v>
      </c>
      <c r="AC2153" s="5" t="s">
        <v>2945</v>
      </c>
      <c r="AD2153" s="5" t="s">
        <v>2946</v>
      </c>
      <c r="AE2153" s="5" t="s">
        <v>2981</v>
      </c>
      <c r="AF2153" s="5" t="s">
        <v>2982</v>
      </c>
    </row>
    <row r="2154" customFormat="false" ht="13.8" hidden="false" customHeight="false" outlineLevel="0" collapsed="false">
      <c r="A2154" s="5" t="s">
        <v>3083</v>
      </c>
      <c r="C2154" s="5" t="s">
        <v>3084</v>
      </c>
      <c r="D2154" s="5" t="s">
        <v>14</v>
      </c>
      <c r="E2154" s="5" t="s">
        <v>2937</v>
      </c>
      <c r="F2154" s="5" t="s">
        <v>2938</v>
      </c>
      <c r="G2154" s="5" t="s">
        <v>2939</v>
      </c>
      <c r="H2154" s="2" t="s">
        <v>2683</v>
      </c>
      <c r="I2154" s="5" t="s">
        <v>2983</v>
      </c>
      <c r="J2154" s="5" t="s">
        <v>52</v>
      </c>
      <c r="K2154" s="5" t="s">
        <v>65</v>
      </c>
      <c r="L2154" s="5" t="s">
        <v>46</v>
      </c>
      <c r="M2154" s="5" t="s">
        <v>46</v>
      </c>
      <c r="N2154" s="5" t="s">
        <v>65</v>
      </c>
      <c r="O2154" s="5" t="s">
        <v>46</v>
      </c>
      <c r="P2154" s="5" t="s">
        <v>46</v>
      </c>
      <c r="Q2154" s="5" t="s">
        <v>46</v>
      </c>
      <c r="R2154" s="5" t="s">
        <v>46</v>
      </c>
      <c r="S2154" s="5" t="s">
        <v>46</v>
      </c>
      <c r="T2154" s="5" t="s">
        <v>46</v>
      </c>
      <c r="U2154" s="5" t="s">
        <v>46</v>
      </c>
      <c r="V2154" s="5" t="n">
        <v>1</v>
      </c>
      <c r="W2154" s="5" t="s">
        <v>46</v>
      </c>
      <c r="X2154" s="5" t="s">
        <v>83</v>
      </c>
      <c r="Y2154" s="5" t="s">
        <v>153</v>
      </c>
      <c r="Z2154" s="5" t="s">
        <v>2942</v>
      </c>
      <c r="AA2154" s="5" t="s">
        <v>2943</v>
      </c>
      <c r="AB2154" s="5" t="s">
        <v>2944</v>
      </c>
      <c r="AC2154" s="5" t="s">
        <v>2945</v>
      </c>
      <c r="AD2154" s="5" t="s">
        <v>2946</v>
      </c>
      <c r="AE2154" s="5" t="s">
        <v>2984</v>
      </c>
      <c r="AF2154" s="5" t="s">
        <v>2985</v>
      </c>
    </row>
    <row r="2155" customFormat="false" ht="13.8" hidden="false" customHeight="false" outlineLevel="0" collapsed="false">
      <c r="A2155" s="5" t="s">
        <v>3083</v>
      </c>
      <c r="C2155" s="5" t="s">
        <v>3084</v>
      </c>
      <c r="D2155" s="5" t="s">
        <v>14</v>
      </c>
      <c r="E2155" s="5" t="s">
        <v>2937</v>
      </c>
      <c r="F2155" s="5" t="s">
        <v>2938</v>
      </c>
      <c r="G2155" s="5" t="s">
        <v>2939</v>
      </c>
      <c r="H2155" s="2" t="s">
        <v>2986</v>
      </c>
      <c r="I2155" s="5" t="s">
        <v>2987</v>
      </c>
      <c r="J2155" s="5" t="s">
        <v>52</v>
      </c>
      <c r="K2155" s="5" t="s">
        <v>65</v>
      </c>
      <c r="L2155" s="5" t="s">
        <v>46</v>
      </c>
      <c r="M2155" s="5" t="s">
        <v>46</v>
      </c>
      <c r="N2155" s="5" t="s">
        <v>65</v>
      </c>
      <c r="O2155" s="5" t="s">
        <v>46</v>
      </c>
      <c r="P2155" s="5" t="s">
        <v>46</v>
      </c>
      <c r="Q2155" s="5" t="s">
        <v>46</v>
      </c>
      <c r="R2155" s="5" t="s">
        <v>46</v>
      </c>
      <c r="S2155" s="5" t="s">
        <v>46</v>
      </c>
      <c r="T2155" s="5" t="s">
        <v>46</v>
      </c>
      <c r="U2155" s="5" t="s">
        <v>46</v>
      </c>
      <c r="V2155" s="5" t="n">
        <v>2</v>
      </c>
      <c r="W2155" s="5" t="s">
        <v>46</v>
      </c>
      <c r="X2155" s="5" t="s">
        <v>83</v>
      </c>
      <c r="Y2155" s="5" t="s">
        <v>153</v>
      </c>
      <c r="Z2155" s="5" t="s">
        <v>2942</v>
      </c>
      <c r="AA2155" s="5" t="s">
        <v>2943</v>
      </c>
      <c r="AB2155" s="5" t="s">
        <v>2944</v>
      </c>
      <c r="AC2155" s="5" t="s">
        <v>2945</v>
      </c>
      <c r="AD2155" s="5" t="s">
        <v>2946</v>
      </c>
      <c r="AE2155" s="5" t="s">
        <v>2988</v>
      </c>
      <c r="AF2155" s="5" t="s">
        <v>2989</v>
      </c>
    </row>
    <row r="2156" customFormat="false" ht="13.8" hidden="false" customHeight="false" outlineLevel="0" collapsed="false">
      <c r="A2156" s="5" t="s">
        <v>3113</v>
      </c>
      <c r="C2156" s="5" t="s">
        <v>3114</v>
      </c>
      <c r="D2156" s="5" t="s">
        <v>19</v>
      </c>
      <c r="E2156" s="5" t="s">
        <v>3115</v>
      </c>
      <c r="F2156" s="5" t="s">
        <v>3116</v>
      </c>
      <c r="G2156" s="5" t="s">
        <v>3117</v>
      </c>
      <c r="H2156" s="2" t="s">
        <v>108</v>
      </c>
      <c r="I2156" s="5" t="s">
        <v>3118</v>
      </c>
      <c r="J2156" s="5" t="s">
        <v>52</v>
      </c>
      <c r="K2156" s="5" t="s">
        <v>3119</v>
      </c>
      <c r="L2156" s="5" t="s">
        <v>46</v>
      </c>
      <c r="M2156" s="5" t="s">
        <v>3120</v>
      </c>
      <c r="N2156" s="5" t="s">
        <v>325</v>
      </c>
      <c r="O2156" s="5" t="s">
        <v>46</v>
      </c>
      <c r="P2156" s="5" t="s">
        <v>41</v>
      </c>
      <c r="Q2156" s="5" t="s">
        <v>41</v>
      </c>
      <c r="R2156" s="5" t="s">
        <v>46</v>
      </c>
      <c r="S2156" s="5" t="s">
        <v>90</v>
      </c>
      <c r="T2156" s="5" t="s">
        <v>3121</v>
      </c>
      <c r="U2156" s="5" t="n">
        <v>400</v>
      </c>
      <c r="V2156" s="5" t="n">
        <v>1</v>
      </c>
      <c r="W2156" s="5" t="s">
        <v>3122</v>
      </c>
      <c r="X2156" s="5" t="s">
        <v>47</v>
      </c>
      <c r="Y2156" s="5" t="s">
        <v>153</v>
      </c>
      <c r="Z2156" s="5" t="s">
        <v>3123</v>
      </c>
      <c r="AA2156" s="5" t="s">
        <v>3124</v>
      </c>
      <c r="AB2156" s="5" t="s">
        <v>3125</v>
      </c>
      <c r="AC2156" s="5" t="s">
        <v>3126</v>
      </c>
      <c r="AD2156" s="5" t="s">
        <v>3127</v>
      </c>
      <c r="AE2156" s="5" t="s">
        <v>3128</v>
      </c>
      <c r="AF2156" s="5" t="s">
        <v>3129</v>
      </c>
    </row>
    <row r="2157" customFormat="false" ht="13.8" hidden="false" customHeight="false" outlineLevel="0" collapsed="false">
      <c r="A2157" s="5" t="s">
        <v>3113</v>
      </c>
      <c r="C2157" s="5" t="s">
        <v>3114</v>
      </c>
      <c r="D2157" s="5" t="s">
        <v>19</v>
      </c>
      <c r="E2157" s="5" t="s">
        <v>3115</v>
      </c>
      <c r="F2157" s="5" t="s">
        <v>3116</v>
      </c>
      <c r="G2157" s="5" t="s">
        <v>3117</v>
      </c>
      <c r="H2157" s="2" t="s">
        <v>88</v>
      </c>
      <c r="I2157" s="5" t="s">
        <v>3130</v>
      </c>
      <c r="J2157" s="5" t="s">
        <v>52</v>
      </c>
      <c r="K2157" s="5" t="s">
        <v>3119</v>
      </c>
      <c r="L2157" s="5" t="s">
        <v>46</v>
      </c>
      <c r="M2157" s="5" t="s">
        <v>3120</v>
      </c>
      <c r="N2157" s="5" t="s">
        <v>325</v>
      </c>
      <c r="O2157" s="5" t="s">
        <v>46</v>
      </c>
      <c r="P2157" s="5" t="s">
        <v>41</v>
      </c>
      <c r="Q2157" s="5" t="s">
        <v>41</v>
      </c>
      <c r="R2157" s="5" t="s">
        <v>46</v>
      </c>
      <c r="S2157" s="5" t="s">
        <v>90</v>
      </c>
      <c r="T2157" s="5" t="s">
        <v>3121</v>
      </c>
      <c r="U2157" s="5" t="n">
        <v>400</v>
      </c>
      <c r="V2157" s="5" t="n">
        <v>2</v>
      </c>
      <c r="W2157" s="5" t="s">
        <v>3131</v>
      </c>
      <c r="X2157" s="5" t="s">
        <v>47</v>
      </c>
      <c r="Y2157" s="5" t="s">
        <v>153</v>
      </c>
      <c r="Z2157" s="5" t="s">
        <v>3123</v>
      </c>
      <c r="AA2157" s="5" t="s">
        <v>3124</v>
      </c>
      <c r="AB2157" s="5" t="s">
        <v>3125</v>
      </c>
      <c r="AC2157" s="5" t="s">
        <v>3126</v>
      </c>
      <c r="AD2157" s="5" t="s">
        <v>3127</v>
      </c>
      <c r="AE2157" s="5" t="s">
        <v>3132</v>
      </c>
      <c r="AF2157" s="5" t="s">
        <v>3133</v>
      </c>
    </row>
    <row r="2158" customFormat="false" ht="13.8" hidden="false" customHeight="false" outlineLevel="0" collapsed="false">
      <c r="A2158" s="5" t="s">
        <v>3113</v>
      </c>
      <c r="C2158" s="5" t="s">
        <v>3114</v>
      </c>
      <c r="D2158" s="5" t="s">
        <v>19</v>
      </c>
      <c r="E2158" s="5" t="s">
        <v>3115</v>
      </c>
      <c r="F2158" s="5" t="s">
        <v>3116</v>
      </c>
      <c r="G2158" s="5" t="s">
        <v>3117</v>
      </c>
      <c r="H2158" s="2" t="s">
        <v>97</v>
      </c>
      <c r="I2158" s="5" t="s">
        <v>3134</v>
      </c>
      <c r="J2158" s="5" t="s">
        <v>52</v>
      </c>
      <c r="K2158" s="5" t="s">
        <v>3119</v>
      </c>
      <c r="L2158" s="5" t="s">
        <v>46</v>
      </c>
      <c r="M2158" s="5" t="s">
        <v>3120</v>
      </c>
      <c r="N2158" s="5" t="s">
        <v>325</v>
      </c>
      <c r="O2158" s="5" t="s">
        <v>46</v>
      </c>
      <c r="P2158" s="5" t="s">
        <v>41</v>
      </c>
      <c r="Q2158" s="5" t="s">
        <v>41</v>
      </c>
      <c r="R2158" s="5" t="s">
        <v>46</v>
      </c>
      <c r="S2158" s="5" t="s">
        <v>90</v>
      </c>
      <c r="T2158" s="5" t="s">
        <v>3121</v>
      </c>
      <c r="U2158" s="5" t="n">
        <v>400</v>
      </c>
      <c r="V2158" s="5" t="n">
        <v>3</v>
      </c>
      <c r="W2158" s="5" t="s">
        <v>3135</v>
      </c>
      <c r="X2158" s="5" t="s">
        <v>47</v>
      </c>
      <c r="Y2158" s="5" t="s">
        <v>153</v>
      </c>
      <c r="Z2158" s="5" t="s">
        <v>3123</v>
      </c>
      <c r="AA2158" s="5" t="s">
        <v>3124</v>
      </c>
      <c r="AB2158" s="5" t="s">
        <v>3125</v>
      </c>
      <c r="AC2158" s="5" t="s">
        <v>3126</v>
      </c>
      <c r="AD2158" s="5" t="s">
        <v>3127</v>
      </c>
      <c r="AE2158" s="5" t="s">
        <v>3136</v>
      </c>
      <c r="AF2158" s="5" t="s">
        <v>3137</v>
      </c>
    </row>
    <row r="2159" customFormat="false" ht="13.8" hidden="false" customHeight="false" outlineLevel="0" collapsed="false">
      <c r="A2159" s="5" t="s">
        <v>3113</v>
      </c>
      <c r="C2159" s="5" t="s">
        <v>3114</v>
      </c>
      <c r="D2159" s="5" t="s">
        <v>19</v>
      </c>
      <c r="E2159" s="5" t="s">
        <v>3115</v>
      </c>
      <c r="F2159" s="5" t="s">
        <v>3116</v>
      </c>
      <c r="G2159" s="5" t="s">
        <v>3117</v>
      </c>
      <c r="H2159" s="2" t="s">
        <v>99</v>
      </c>
      <c r="I2159" s="5" t="s">
        <v>3138</v>
      </c>
      <c r="J2159" s="5" t="s">
        <v>52</v>
      </c>
      <c r="K2159" s="5" t="s">
        <v>3119</v>
      </c>
      <c r="L2159" s="5" t="s">
        <v>46</v>
      </c>
      <c r="M2159" s="5" t="s">
        <v>3120</v>
      </c>
      <c r="N2159" s="5" t="s">
        <v>325</v>
      </c>
      <c r="O2159" s="5" t="s">
        <v>46</v>
      </c>
      <c r="P2159" s="5" t="s">
        <v>41</v>
      </c>
      <c r="Q2159" s="5" t="s">
        <v>41</v>
      </c>
      <c r="R2159" s="5" t="s">
        <v>46</v>
      </c>
      <c r="S2159" s="5" t="s">
        <v>90</v>
      </c>
      <c r="T2159" s="5" t="s">
        <v>3121</v>
      </c>
      <c r="U2159" s="5" t="n">
        <v>400</v>
      </c>
      <c r="V2159" s="5" t="n">
        <v>4</v>
      </c>
      <c r="W2159" s="5" t="s">
        <v>3139</v>
      </c>
      <c r="X2159" s="5" t="s">
        <v>47</v>
      </c>
      <c r="Y2159" s="5" t="s">
        <v>153</v>
      </c>
      <c r="Z2159" s="5" t="s">
        <v>3123</v>
      </c>
      <c r="AA2159" s="5" t="s">
        <v>3124</v>
      </c>
      <c r="AB2159" s="5" t="s">
        <v>3125</v>
      </c>
      <c r="AC2159" s="5" t="s">
        <v>3126</v>
      </c>
      <c r="AD2159" s="5" t="s">
        <v>3127</v>
      </c>
      <c r="AE2159" s="5" t="s">
        <v>3140</v>
      </c>
      <c r="AF2159" s="5" t="s">
        <v>3141</v>
      </c>
    </row>
    <row r="2160" customFormat="false" ht="13.8" hidden="false" customHeight="false" outlineLevel="0" collapsed="false">
      <c r="A2160" s="5" t="s">
        <v>3113</v>
      </c>
      <c r="C2160" s="5" t="s">
        <v>3114</v>
      </c>
      <c r="D2160" s="5" t="s">
        <v>19</v>
      </c>
      <c r="E2160" s="5" t="s">
        <v>3115</v>
      </c>
      <c r="F2160" s="5" t="s">
        <v>3116</v>
      </c>
      <c r="G2160" s="5" t="s">
        <v>3117</v>
      </c>
      <c r="H2160" s="2" t="s">
        <v>91</v>
      </c>
      <c r="I2160" s="5" t="s">
        <v>3142</v>
      </c>
      <c r="J2160" s="5" t="s">
        <v>52</v>
      </c>
      <c r="K2160" s="5" t="s">
        <v>3143</v>
      </c>
      <c r="L2160" s="5" t="s">
        <v>46</v>
      </c>
      <c r="M2160" s="5" t="s">
        <v>3120</v>
      </c>
      <c r="N2160" s="5" t="s">
        <v>325</v>
      </c>
      <c r="O2160" s="5" t="s">
        <v>46</v>
      </c>
      <c r="P2160" s="5" t="s">
        <v>41</v>
      </c>
      <c r="Q2160" s="5" t="s">
        <v>41</v>
      </c>
      <c r="R2160" s="5" t="s">
        <v>46</v>
      </c>
      <c r="S2160" s="5" t="s">
        <v>3144</v>
      </c>
      <c r="T2160" s="5" t="s">
        <v>3145</v>
      </c>
      <c r="U2160" s="5" t="n">
        <v>400</v>
      </c>
      <c r="V2160" s="5" t="n">
        <v>1</v>
      </c>
      <c r="W2160" s="5" t="s">
        <v>3122</v>
      </c>
      <c r="X2160" s="5" t="s">
        <v>47</v>
      </c>
      <c r="Y2160" s="5" t="s">
        <v>153</v>
      </c>
      <c r="Z2160" s="5" t="s">
        <v>3123</v>
      </c>
      <c r="AA2160" s="5" t="s">
        <v>3124</v>
      </c>
      <c r="AB2160" s="5" t="s">
        <v>3125</v>
      </c>
      <c r="AC2160" s="5" t="s">
        <v>3126</v>
      </c>
      <c r="AD2160" s="5" t="s">
        <v>3127</v>
      </c>
      <c r="AE2160" s="5" t="s">
        <v>3146</v>
      </c>
      <c r="AF2160" s="5" t="s">
        <v>3147</v>
      </c>
    </row>
    <row r="2161" customFormat="false" ht="13.8" hidden="false" customHeight="false" outlineLevel="0" collapsed="false">
      <c r="A2161" s="5" t="s">
        <v>3113</v>
      </c>
      <c r="C2161" s="5" t="s">
        <v>3114</v>
      </c>
      <c r="D2161" s="5" t="s">
        <v>19</v>
      </c>
      <c r="E2161" s="5" t="s">
        <v>3115</v>
      </c>
      <c r="F2161" s="5" t="s">
        <v>3116</v>
      </c>
      <c r="G2161" s="5" t="s">
        <v>3117</v>
      </c>
      <c r="H2161" s="2" t="s">
        <v>101</v>
      </c>
      <c r="I2161" s="5" t="s">
        <v>3148</v>
      </c>
      <c r="J2161" s="5" t="s">
        <v>52</v>
      </c>
      <c r="K2161" s="5" t="s">
        <v>3143</v>
      </c>
      <c r="L2161" s="5" t="s">
        <v>46</v>
      </c>
      <c r="M2161" s="5" t="s">
        <v>3120</v>
      </c>
      <c r="N2161" s="5" t="s">
        <v>325</v>
      </c>
      <c r="O2161" s="5" t="s">
        <v>46</v>
      </c>
      <c r="P2161" s="5" t="s">
        <v>41</v>
      </c>
      <c r="Q2161" s="5" t="s">
        <v>41</v>
      </c>
      <c r="R2161" s="5" t="s">
        <v>46</v>
      </c>
      <c r="S2161" s="5" t="s">
        <v>3144</v>
      </c>
      <c r="T2161" s="5" t="s">
        <v>3145</v>
      </c>
      <c r="U2161" s="5" t="n">
        <v>400</v>
      </c>
      <c r="V2161" s="5" t="n">
        <v>2</v>
      </c>
      <c r="W2161" s="5" t="s">
        <v>3131</v>
      </c>
      <c r="X2161" s="5" t="s">
        <v>47</v>
      </c>
      <c r="Y2161" s="5" t="s">
        <v>153</v>
      </c>
      <c r="Z2161" s="5" t="s">
        <v>3123</v>
      </c>
      <c r="AA2161" s="5" t="s">
        <v>3124</v>
      </c>
      <c r="AB2161" s="5" t="s">
        <v>3125</v>
      </c>
      <c r="AC2161" s="5" t="s">
        <v>3126</v>
      </c>
      <c r="AD2161" s="5" t="s">
        <v>3127</v>
      </c>
      <c r="AE2161" s="5" t="s">
        <v>3149</v>
      </c>
      <c r="AF2161" s="5" t="s">
        <v>3150</v>
      </c>
    </row>
    <row r="2162" customFormat="false" ht="13.8" hidden="false" customHeight="false" outlineLevel="0" collapsed="false">
      <c r="A2162" s="5" t="s">
        <v>3113</v>
      </c>
      <c r="C2162" s="5" t="s">
        <v>3114</v>
      </c>
      <c r="D2162" s="5" t="s">
        <v>19</v>
      </c>
      <c r="E2162" s="5" t="s">
        <v>3115</v>
      </c>
      <c r="F2162" s="5" t="s">
        <v>3116</v>
      </c>
      <c r="G2162" s="5" t="s">
        <v>3117</v>
      </c>
      <c r="H2162" s="2" t="s">
        <v>139</v>
      </c>
      <c r="I2162" s="5" t="s">
        <v>3151</v>
      </c>
      <c r="J2162" s="5" t="s">
        <v>52</v>
      </c>
      <c r="K2162" s="5" t="s">
        <v>3143</v>
      </c>
      <c r="L2162" s="5" t="s">
        <v>46</v>
      </c>
      <c r="M2162" s="5" t="s">
        <v>3120</v>
      </c>
      <c r="N2162" s="5" t="s">
        <v>325</v>
      </c>
      <c r="O2162" s="5" t="s">
        <v>46</v>
      </c>
      <c r="P2162" s="5" t="s">
        <v>41</v>
      </c>
      <c r="Q2162" s="5" t="s">
        <v>41</v>
      </c>
      <c r="R2162" s="5" t="s">
        <v>46</v>
      </c>
      <c r="S2162" s="5" t="s">
        <v>3144</v>
      </c>
      <c r="T2162" s="5" t="s">
        <v>3145</v>
      </c>
      <c r="U2162" s="5" t="n">
        <v>400</v>
      </c>
      <c r="V2162" s="5" t="n">
        <v>3</v>
      </c>
      <c r="W2162" s="5" t="s">
        <v>3135</v>
      </c>
      <c r="X2162" s="5" t="s">
        <v>47</v>
      </c>
      <c r="Y2162" s="5" t="s">
        <v>153</v>
      </c>
      <c r="Z2162" s="5" t="s">
        <v>3123</v>
      </c>
      <c r="AA2162" s="5" t="s">
        <v>3124</v>
      </c>
      <c r="AB2162" s="5" t="s">
        <v>3125</v>
      </c>
      <c r="AC2162" s="5" t="s">
        <v>3126</v>
      </c>
      <c r="AD2162" s="5" t="s">
        <v>3127</v>
      </c>
      <c r="AE2162" s="5" t="s">
        <v>3152</v>
      </c>
      <c r="AF2162" s="5" t="s">
        <v>3153</v>
      </c>
    </row>
    <row r="2163" customFormat="false" ht="13.8" hidden="false" customHeight="false" outlineLevel="0" collapsed="false">
      <c r="A2163" s="5" t="s">
        <v>3113</v>
      </c>
      <c r="C2163" s="5" t="s">
        <v>3114</v>
      </c>
      <c r="D2163" s="5" t="s">
        <v>19</v>
      </c>
      <c r="E2163" s="5" t="s">
        <v>3115</v>
      </c>
      <c r="F2163" s="5" t="s">
        <v>3116</v>
      </c>
      <c r="G2163" s="5" t="s">
        <v>3117</v>
      </c>
      <c r="H2163" s="2" t="s">
        <v>142</v>
      </c>
      <c r="I2163" s="5" t="s">
        <v>3154</v>
      </c>
      <c r="J2163" s="5" t="s">
        <v>52</v>
      </c>
      <c r="K2163" s="5" t="s">
        <v>3143</v>
      </c>
      <c r="L2163" s="5" t="s">
        <v>46</v>
      </c>
      <c r="M2163" s="5" t="s">
        <v>3120</v>
      </c>
      <c r="N2163" s="5" t="s">
        <v>325</v>
      </c>
      <c r="O2163" s="5" t="s">
        <v>46</v>
      </c>
      <c r="P2163" s="5" t="s">
        <v>41</v>
      </c>
      <c r="Q2163" s="5" t="s">
        <v>41</v>
      </c>
      <c r="R2163" s="5" t="s">
        <v>46</v>
      </c>
      <c r="S2163" s="5" t="s">
        <v>3144</v>
      </c>
      <c r="T2163" s="5" t="s">
        <v>3145</v>
      </c>
      <c r="U2163" s="5" t="n">
        <v>400</v>
      </c>
      <c r="V2163" s="5" t="n">
        <v>4</v>
      </c>
      <c r="W2163" s="5" t="s">
        <v>3139</v>
      </c>
      <c r="X2163" s="5" t="s">
        <v>47</v>
      </c>
      <c r="Y2163" s="5" t="s">
        <v>153</v>
      </c>
      <c r="Z2163" s="5" t="s">
        <v>3123</v>
      </c>
      <c r="AA2163" s="5" t="s">
        <v>3124</v>
      </c>
      <c r="AB2163" s="5" t="s">
        <v>3125</v>
      </c>
      <c r="AC2163" s="5" t="s">
        <v>3126</v>
      </c>
      <c r="AD2163" s="5" t="s">
        <v>3127</v>
      </c>
      <c r="AE2163" s="5" t="s">
        <v>3155</v>
      </c>
      <c r="AF2163" s="5" t="s">
        <v>3156</v>
      </c>
    </row>
    <row r="2164" customFormat="false" ht="13.8" hidden="false" customHeight="false" outlineLevel="0" collapsed="false">
      <c r="A2164" s="5" t="s">
        <v>3113</v>
      </c>
      <c r="C2164" s="5" t="s">
        <v>3114</v>
      </c>
      <c r="D2164" s="5" t="s">
        <v>19</v>
      </c>
      <c r="E2164" s="5" t="s">
        <v>3115</v>
      </c>
      <c r="F2164" s="5" t="s">
        <v>3116</v>
      </c>
      <c r="G2164" s="5" t="s">
        <v>3117</v>
      </c>
      <c r="H2164" s="2" t="s">
        <v>37</v>
      </c>
      <c r="I2164" s="5" t="s">
        <v>3157</v>
      </c>
      <c r="J2164" s="5" t="s">
        <v>52</v>
      </c>
      <c r="K2164" s="5" t="s">
        <v>3158</v>
      </c>
      <c r="L2164" s="5" t="s">
        <v>46</v>
      </c>
      <c r="M2164" s="5" t="s">
        <v>3120</v>
      </c>
      <c r="N2164" s="5" t="s">
        <v>325</v>
      </c>
      <c r="O2164" s="5" t="s">
        <v>46</v>
      </c>
      <c r="P2164" s="5" t="s">
        <v>41</v>
      </c>
      <c r="Q2164" s="5" t="s">
        <v>41</v>
      </c>
      <c r="R2164" s="5" t="s">
        <v>46</v>
      </c>
      <c r="S2164" s="5" t="s">
        <v>90</v>
      </c>
      <c r="T2164" s="5" t="s">
        <v>3159</v>
      </c>
      <c r="U2164" s="5" t="n">
        <v>400</v>
      </c>
      <c r="V2164" s="5" t="n">
        <v>1</v>
      </c>
      <c r="W2164" s="5" t="s">
        <v>3122</v>
      </c>
      <c r="X2164" s="5" t="s">
        <v>47</v>
      </c>
      <c r="Y2164" s="5" t="s">
        <v>153</v>
      </c>
      <c r="Z2164" s="5" t="s">
        <v>3123</v>
      </c>
      <c r="AA2164" s="5" t="s">
        <v>3124</v>
      </c>
      <c r="AB2164" s="5" t="s">
        <v>3125</v>
      </c>
      <c r="AC2164" s="5" t="s">
        <v>3126</v>
      </c>
      <c r="AD2164" s="5" t="s">
        <v>3127</v>
      </c>
      <c r="AE2164" s="5" t="s">
        <v>3160</v>
      </c>
      <c r="AF2164" s="5" t="s">
        <v>3161</v>
      </c>
    </row>
    <row r="2165" customFormat="false" ht="13.8" hidden="false" customHeight="false" outlineLevel="0" collapsed="false">
      <c r="A2165" s="5" t="s">
        <v>3113</v>
      </c>
      <c r="C2165" s="5" t="s">
        <v>3114</v>
      </c>
      <c r="D2165" s="5" t="s">
        <v>19</v>
      </c>
      <c r="E2165" s="5" t="s">
        <v>3115</v>
      </c>
      <c r="F2165" s="5" t="s">
        <v>3116</v>
      </c>
      <c r="G2165" s="5" t="s">
        <v>3117</v>
      </c>
      <c r="H2165" s="2" t="s">
        <v>129</v>
      </c>
      <c r="I2165" s="5" t="s">
        <v>3162</v>
      </c>
      <c r="J2165" s="5" t="s">
        <v>52</v>
      </c>
      <c r="K2165" s="5" t="s">
        <v>3158</v>
      </c>
      <c r="L2165" s="5" t="s">
        <v>46</v>
      </c>
      <c r="M2165" s="5" t="s">
        <v>3120</v>
      </c>
      <c r="N2165" s="5" t="s">
        <v>325</v>
      </c>
      <c r="O2165" s="5" t="s">
        <v>46</v>
      </c>
      <c r="P2165" s="5" t="s">
        <v>41</v>
      </c>
      <c r="Q2165" s="5" t="s">
        <v>41</v>
      </c>
      <c r="R2165" s="5" t="s">
        <v>46</v>
      </c>
      <c r="S2165" s="5" t="s">
        <v>90</v>
      </c>
      <c r="T2165" s="5" t="s">
        <v>3159</v>
      </c>
      <c r="U2165" s="5" t="n">
        <v>400</v>
      </c>
      <c r="V2165" s="5" t="n">
        <v>2</v>
      </c>
      <c r="W2165" s="5" t="s">
        <v>3131</v>
      </c>
      <c r="X2165" s="5" t="s">
        <v>47</v>
      </c>
      <c r="Y2165" s="5" t="s">
        <v>153</v>
      </c>
      <c r="Z2165" s="5" t="s">
        <v>3123</v>
      </c>
      <c r="AA2165" s="5" t="s">
        <v>3124</v>
      </c>
      <c r="AB2165" s="5" t="s">
        <v>3125</v>
      </c>
      <c r="AC2165" s="5" t="s">
        <v>3126</v>
      </c>
      <c r="AD2165" s="5" t="s">
        <v>3127</v>
      </c>
      <c r="AE2165" s="5" t="s">
        <v>3163</v>
      </c>
      <c r="AF2165" s="5" t="s">
        <v>3164</v>
      </c>
    </row>
    <row r="2166" customFormat="false" ht="13.8" hidden="false" customHeight="false" outlineLevel="0" collapsed="false">
      <c r="A2166" s="5" t="s">
        <v>3113</v>
      </c>
      <c r="C2166" s="5" t="s">
        <v>3114</v>
      </c>
      <c r="D2166" s="5" t="s">
        <v>19</v>
      </c>
      <c r="E2166" s="5" t="s">
        <v>3115</v>
      </c>
      <c r="F2166" s="5" t="s">
        <v>3116</v>
      </c>
      <c r="G2166" s="5" t="s">
        <v>3117</v>
      </c>
      <c r="H2166" s="2" t="s">
        <v>132</v>
      </c>
      <c r="I2166" s="5" t="s">
        <v>3165</v>
      </c>
      <c r="J2166" s="5" t="s">
        <v>52</v>
      </c>
      <c r="K2166" s="5" t="s">
        <v>3158</v>
      </c>
      <c r="L2166" s="5" t="s">
        <v>46</v>
      </c>
      <c r="M2166" s="5" t="s">
        <v>3120</v>
      </c>
      <c r="N2166" s="5" t="s">
        <v>325</v>
      </c>
      <c r="O2166" s="5" t="s">
        <v>46</v>
      </c>
      <c r="P2166" s="5" t="s">
        <v>41</v>
      </c>
      <c r="Q2166" s="5" t="s">
        <v>41</v>
      </c>
      <c r="R2166" s="5" t="s">
        <v>46</v>
      </c>
      <c r="S2166" s="5" t="s">
        <v>90</v>
      </c>
      <c r="T2166" s="5" t="s">
        <v>3159</v>
      </c>
      <c r="U2166" s="5" t="n">
        <v>400</v>
      </c>
      <c r="V2166" s="5" t="n">
        <v>3</v>
      </c>
      <c r="W2166" s="5" t="s">
        <v>3135</v>
      </c>
      <c r="X2166" s="5" t="s">
        <v>47</v>
      </c>
      <c r="Y2166" s="5" t="s">
        <v>153</v>
      </c>
      <c r="Z2166" s="5" t="s">
        <v>3123</v>
      </c>
      <c r="AA2166" s="5" t="s">
        <v>3124</v>
      </c>
      <c r="AB2166" s="5" t="s">
        <v>3125</v>
      </c>
      <c r="AC2166" s="5" t="s">
        <v>3126</v>
      </c>
      <c r="AD2166" s="5" t="s">
        <v>3127</v>
      </c>
      <c r="AE2166" s="5" t="s">
        <v>3166</v>
      </c>
      <c r="AF2166" s="5" t="s">
        <v>3167</v>
      </c>
    </row>
    <row r="2167" customFormat="false" ht="13.8" hidden="false" customHeight="false" outlineLevel="0" collapsed="false">
      <c r="A2167" s="5" t="s">
        <v>3113</v>
      </c>
      <c r="C2167" s="5" t="s">
        <v>3114</v>
      </c>
      <c r="D2167" s="5" t="s">
        <v>19</v>
      </c>
      <c r="E2167" s="5" t="s">
        <v>3115</v>
      </c>
      <c r="F2167" s="5" t="s">
        <v>3116</v>
      </c>
      <c r="G2167" s="5" t="s">
        <v>3117</v>
      </c>
      <c r="H2167" s="2" t="s">
        <v>51</v>
      </c>
      <c r="I2167" s="5" t="s">
        <v>3168</v>
      </c>
      <c r="J2167" s="5" t="s">
        <v>52</v>
      </c>
      <c r="K2167" s="5" t="s">
        <v>3158</v>
      </c>
      <c r="L2167" s="5" t="s">
        <v>46</v>
      </c>
      <c r="M2167" s="5" t="s">
        <v>3120</v>
      </c>
      <c r="N2167" s="5" t="s">
        <v>325</v>
      </c>
      <c r="O2167" s="5" t="s">
        <v>46</v>
      </c>
      <c r="P2167" s="5" t="s">
        <v>41</v>
      </c>
      <c r="Q2167" s="5" t="s">
        <v>41</v>
      </c>
      <c r="R2167" s="5" t="s">
        <v>46</v>
      </c>
      <c r="S2167" s="5" t="s">
        <v>90</v>
      </c>
      <c r="T2167" s="5" t="s">
        <v>3159</v>
      </c>
      <c r="U2167" s="5" t="n">
        <v>400</v>
      </c>
      <c r="V2167" s="5" t="n">
        <v>4</v>
      </c>
      <c r="W2167" s="5" t="s">
        <v>3139</v>
      </c>
      <c r="X2167" s="5" t="s">
        <v>47</v>
      </c>
      <c r="Y2167" s="5" t="s">
        <v>153</v>
      </c>
      <c r="Z2167" s="5" t="s">
        <v>3123</v>
      </c>
      <c r="AA2167" s="5" t="s">
        <v>3124</v>
      </c>
      <c r="AB2167" s="5" t="s">
        <v>3125</v>
      </c>
      <c r="AC2167" s="5" t="s">
        <v>3126</v>
      </c>
      <c r="AD2167" s="5" t="s">
        <v>3127</v>
      </c>
      <c r="AE2167" s="5" t="s">
        <v>3169</v>
      </c>
      <c r="AF2167" s="5" t="s">
        <v>3170</v>
      </c>
    </row>
    <row r="2168" customFormat="false" ht="13.8" hidden="false" customHeight="false" outlineLevel="0" collapsed="false">
      <c r="A2168" s="5" t="s">
        <v>3113</v>
      </c>
      <c r="C2168" s="5" t="s">
        <v>3114</v>
      </c>
      <c r="D2168" s="5" t="s">
        <v>19</v>
      </c>
      <c r="E2168" s="5" t="s">
        <v>3115</v>
      </c>
      <c r="F2168" s="5" t="s">
        <v>3116</v>
      </c>
      <c r="G2168" s="5" t="s">
        <v>3117</v>
      </c>
      <c r="H2168" s="2" t="s">
        <v>56</v>
      </c>
      <c r="I2168" s="5" t="s">
        <v>3171</v>
      </c>
      <c r="J2168" s="5" t="s">
        <v>52</v>
      </c>
      <c r="K2168" s="5" t="s">
        <v>3172</v>
      </c>
      <c r="L2168" s="5" t="s">
        <v>46</v>
      </c>
      <c r="M2168" s="5" t="s">
        <v>3120</v>
      </c>
      <c r="N2168" s="5" t="s">
        <v>325</v>
      </c>
      <c r="O2168" s="5" t="s">
        <v>46</v>
      </c>
      <c r="P2168" s="5" t="s">
        <v>41</v>
      </c>
      <c r="Q2168" s="5" t="s">
        <v>41</v>
      </c>
      <c r="R2168" s="5" t="s">
        <v>46</v>
      </c>
      <c r="S2168" s="5" t="s">
        <v>3144</v>
      </c>
      <c r="T2168" s="5" t="s">
        <v>3173</v>
      </c>
      <c r="U2168" s="5" t="n">
        <v>400</v>
      </c>
      <c r="V2168" s="5" t="n">
        <v>1</v>
      </c>
      <c r="W2168" s="5" t="s">
        <v>3122</v>
      </c>
      <c r="X2168" s="5" t="s">
        <v>47</v>
      </c>
      <c r="Y2168" s="5" t="s">
        <v>153</v>
      </c>
      <c r="Z2168" s="5" t="s">
        <v>3123</v>
      </c>
      <c r="AA2168" s="5" t="s">
        <v>3124</v>
      </c>
      <c r="AB2168" s="5" t="s">
        <v>3125</v>
      </c>
      <c r="AC2168" s="5" t="s">
        <v>3126</v>
      </c>
      <c r="AD2168" s="5" t="s">
        <v>3127</v>
      </c>
      <c r="AE2168" s="5" t="s">
        <v>3174</v>
      </c>
      <c r="AF2168" s="5" t="s">
        <v>3175</v>
      </c>
    </row>
    <row r="2169" customFormat="false" ht="13.8" hidden="false" customHeight="false" outlineLevel="0" collapsed="false">
      <c r="A2169" s="5" t="s">
        <v>3113</v>
      </c>
      <c r="C2169" s="5" t="s">
        <v>3114</v>
      </c>
      <c r="D2169" s="5" t="s">
        <v>19</v>
      </c>
      <c r="E2169" s="5" t="s">
        <v>3115</v>
      </c>
      <c r="F2169" s="5" t="s">
        <v>3116</v>
      </c>
      <c r="G2169" s="5" t="s">
        <v>3117</v>
      </c>
      <c r="H2169" s="2" t="s">
        <v>58</v>
      </c>
      <c r="I2169" s="5" t="s">
        <v>3176</v>
      </c>
      <c r="J2169" s="5" t="s">
        <v>52</v>
      </c>
      <c r="K2169" s="5" t="s">
        <v>3172</v>
      </c>
      <c r="L2169" s="5" t="s">
        <v>46</v>
      </c>
      <c r="M2169" s="5" t="s">
        <v>3120</v>
      </c>
      <c r="N2169" s="5" t="s">
        <v>325</v>
      </c>
      <c r="O2169" s="5" t="s">
        <v>46</v>
      </c>
      <c r="P2169" s="5" t="s">
        <v>41</v>
      </c>
      <c r="Q2169" s="5" t="s">
        <v>41</v>
      </c>
      <c r="R2169" s="5" t="s">
        <v>46</v>
      </c>
      <c r="S2169" s="5" t="s">
        <v>3144</v>
      </c>
      <c r="T2169" s="5" t="s">
        <v>3173</v>
      </c>
      <c r="U2169" s="5" t="n">
        <v>400</v>
      </c>
      <c r="V2169" s="5" t="n">
        <v>2</v>
      </c>
      <c r="W2169" s="5" t="s">
        <v>3131</v>
      </c>
      <c r="X2169" s="5" t="s">
        <v>47</v>
      </c>
      <c r="Y2169" s="5" t="s">
        <v>153</v>
      </c>
      <c r="Z2169" s="5" t="s">
        <v>3123</v>
      </c>
      <c r="AA2169" s="5" t="s">
        <v>3124</v>
      </c>
      <c r="AB2169" s="5" t="s">
        <v>3125</v>
      </c>
      <c r="AC2169" s="5" t="s">
        <v>3126</v>
      </c>
      <c r="AD2169" s="5" t="s">
        <v>3127</v>
      </c>
      <c r="AE2169" s="5" t="s">
        <v>3177</v>
      </c>
      <c r="AF2169" s="5" t="s">
        <v>3178</v>
      </c>
    </row>
    <row r="2170" customFormat="false" ht="13.8" hidden="false" customHeight="false" outlineLevel="0" collapsed="false">
      <c r="A2170" s="5" t="s">
        <v>3113</v>
      </c>
      <c r="C2170" s="5" t="s">
        <v>3114</v>
      </c>
      <c r="D2170" s="5" t="s">
        <v>19</v>
      </c>
      <c r="E2170" s="5" t="s">
        <v>3115</v>
      </c>
      <c r="F2170" s="5" t="s">
        <v>3116</v>
      </c>
      <c r="G2170" s="5" t="s">
        <v>3117</v>
      </c>
      <c r="H2170" s="2" t="s">
        <v>172</v>
      </c>
      <c r="I2170" s="5" t="s">
        <v>3179</v>
      </c>
      <c r="J2170" s="5" t="s">
        <v>52</v>
      </c>
      <c r="K2170" s="5" t="s">
        <v>3172</v>
      </c>
      <c r="L2170" s="5" t="s">
        <v>46</v>
      </c>
      <c r="M2170" s="5" t="s">
        <v>3120</v>
      </c>
      <c r="N2170" s="5" t="s">
        <v>325</v>
      </c>
      <c r="O2170" s="5" t="s">
        <v>46</v>
      </c>
      <c r="P2170" s="5" t="s">
        <v>41</v>
      </c>
      <c r="Q2170" s="5" t="s">
        <v>41</v>
      </c>
      <c r="R2170" s="5" t="s">
        <v>46</v>
      </c>
      <c r="S2170" s="5" t="s">
        <v>3144</v>
      </c>
      <c r="T2170" s="5" t="s">
        <v>3173</v>
      </c>
      <c r="U2170" s="5" t="n">
        <v>400</v>
      </c>
      <c r="V2170" s="5" t="n">
        <v>3</v>
      </c>
      <c r="W2170" s="5" t="s">
        <v>3135</v>
      </c>
      <c r="X2170" s="5" t="s">
        <v>47</v>
      </c>
      <c r="Y2170" s="5" t="s">
        <v>153</v>
      </c>
      <c r="Z2170" s="5" t="s">
        <v>3123</v>
      </c>
      <c r="AA2170" s="5" t="s">
        <v>3124</v>
      </c>
      <c r="AB2170" s="5" t="s">
        <v>3125</v>
      </c>
      <c r="AC2170" s="5" t="s">
        <v>3126</v>
      </c>
      <c r="AD2170" s="5" t="s">
        <v>3127</v>
      </c>
      <c r="AE2170" s="5" t="s">
        <v>3180</v>
      </c>
      <c r="AF2170" s="5" t="s">
        <v>3181</v>
      </c>
    </row>
    <row r="2171" customFormat="false" ht="13.8" hidden="false" customHeight="false" outlineLevel="0" collapsed="false">
      <c r="A2171" s="5" t="s">
        <v>3113</v>
      </c>
      <c r="C2171" s="5" t="s">
        <v>3114</v>
      </c>
      <c r="D2171" s="5" t="s">
        <v>19</v>
      </c>
      <c r="E2171" s="5" t="s">
        <v>3115</v>
      </c>
      <c r="F2171" s="5" t="s">
        <v>3116</v>
      </c>
      <c r="G2171" s="5" t="s">
        <v>3117</v>
      </c>
      <c r="H2171" s="2" t="s">
        <v>60</v>
      </c>
      <c r="I2171" s="5" t="s">
        <v>3182</v>
      </c>
      <c r="J2171" s="5" t="s">
        <v>52</v>
      </c>
      <c r="K2171" s="5" t="s">
        <v>3172</v>
      </c>
      <c r="L2171" s="5" t="s">
        <v>46</v>
      </c>
      <c r="M2171" s="5" t="s">
        <v>3120</v>
      </c>
      <c r="N2171" s="5" t="s">
        <v>325</v>
      </c>
      <c r="O2171" s="5" t="s">
        <v>46</v>
      </c>
      <c r="P2171" s="5" t="s">
        <v>41</v>
      </c>
      <c r="Q2171" s="5" t="s">
        <v>41</v>
      </c>
      <c r="R2171" s="5" t="s">
        <v>46</v>
      </c>
      <c r="S2171" s="5" t="s">
        <v>3144</v>
      </c>
      <c r="T2171" s="5" t="s">
        <v>3173</v>
      </c>
      <c r="U2171" s="5" t="n">
        <v>400</v>
      </c>
      <c r="V2171" s="5" t="n">
        <v>4</v>
      </c>
      <c r="W2171" s="5" t="s">
        <v>3139</v>
      </c>
      <c r="X2171" s="5" t="s">
        <v>47</v>
      </c>
      <c r="Y2171" s="5" t="s">
        <v>153</v>
      </c>
      <c r="Z2171" s="5" t="s">
        <v>3123</v>
      </c>
      <c r="AA2171" s="5" t="s">
        <v>3124</v>
      </c>
      <c r="AB2171" s="5" t="s">
        <v>3125</v>
      </c>
      <c r="AC2171" s="5" t="s">
        <v>3126</v>
      </c>
      <c r="AD2171" s="5" t="s">
        <v>3127</v>
      </c>
      <c r="AE2171" s="5" t="s">
        <v>3183</v>
      </c>
      <c r="AF2171" s="5" t="s">
        <v>3184</v>
      </c>
    </row>
    <row r="2172" customFormat="false" ht="13.8" hidden="false" customHeight="false" outlineLevel="0" collapsed="false">
      <c r="A2172" s="5" t="s">
        <v>3113</v>
      </c>
      <c r="C2172" s="5" t="s">
        <v>3114</v>
      </c>
      <c r="D2172" s="5" t="s">
        <v>19</v>
      </c>
      <c r="E2172" s="5" t="s">
        <v>3115</v>
      </c>
      <c r="F2172" s="5" t="s">
        <v>3116</v>
      </c>
      <c r="G2172" s="5" t="s">
        <v>3117</v>
      </c>
      <c r="H2172" s="2" t="s">
        <v>227</v>
      </c>
      <c r="I2172" s="5" t="s">
        <v>3185</v>
      </c>
      <c r="J2172" s="5" t="s">
        <v>38</v>
      </c>
      <c r="K2172" s="5" t="s">
        <v>3186</v>
      </c>
      <c r="L2172" s="5" t="s">
        <v>46</v>
      </c>
      <c r="M2172" s="5" t="s">
        <v>3120</v>
      </c>
      <c r="N2172" s="5" t="s">
        <v>41</v>
      </c>
      <c r="O2172" s="5" t="s">
        <v>42</v>
      </c>
      <c r="P2172" s="5" t="s">
        <v>43</v>
      </c>
      <c r="Q2172" s="5" t="s">
        <v>43</v>
      </c>
      <c r="R2172" s="5" t="s">
        <v>44</v>
      </c>
      <c r="S2172" s="5" t="s">
        <v>3144</v>
      </c>
      <c r="T2172" s="5" t="s">
        <v>3187</v>
      </c>
      <c r="U2172" s="5" t="n">
        <v>400</v>
      </c>
      <c r="V2172" s="5" t="n">
        <v>1</v>
      </c>
      <c r="W2172" s="5" t="s">
        <v>46</v>
      </c>
      <c r="X2172" s="5" t="s">
        <v>47</v>
      </c>
      <c r="Y2172" s="5" t="s">
        <v>153</v>
      </c>
      <c r="Z2172" s="5" t="s">
        <v>3123</v>
      </c>
      <c r="AA2172" s="5" t="s">
        <v>3124</v>
      </c>
      <c r="AB2172" s="5" t="s">
        <v>3125</v>
      </c>
      <c r="AC2172" s="5" t="s">
        <v>3126</v>
      </c>
      <c r="AD2172" s="5" t="s">
        <v>3127</v>
      </c>
      <c r="AE2172" s="5" t="s">
        <v>3188</v>
      </c>
      <c r="AF2172" s="5" t="s">
        <v>3189</v>
      </c>
    </row>
    <row r="2173" customFormat="false" ht="13.8" hidden="false" customHeight="false" outlineLevel="0" collapsed="false">
      <c r="A2173" s="5" t="s">
        <v>3113</v>
      </c>
      <c r="C2173" s="5" t="s">
        <v>3114</v>
      </c>
      <c r="D2173" s="5" t="s">
        <v>19</v>
      </c>
      <c r="E2173" s="5" t="s">
        <v>3115</v>
      </c>
      <c r="F2173" s="5" t="s">
        <v>3116</v>
      </c>
      <c r="G2173" s="5" t="s">
        <v>3117</v>
      </c>
      <c r="H2173" s="2" t="s">
        <v>230</v>
      </c>
      <c r="I2173" s="5" t="s">
        <v>3190</v>
      </c>
      <c r="J2173" s="5" t="s">
        <v>38</v>
      </c>
      <c r="K2173" s="5" t="s">
        <v>3186</v>
      </c>
      <c r="L2173" s="5" t="s">
        <v>46</v>
      </c>
      <c r="M2173" s="5" t="s">
        <v>3120</v>
      </c>
      <c r="N2173" s="5" t="s">
        <v>41</v>
      </c>
      <c r="O2173" s="5" t="s">
        <v>42</v>
      </c>
      <c r="P2173" s="5" t="s">
        <v>43</v>
      </c>
      <c r="Q2173" s="5" t="s">
        <v>43</v>
      </c>
      <c r="R2173" s="5" t="s">
        <v>44</v>
      </c>
      <c r="S2173" s="5" t="s">
        <v>3144</v>
      </c>
      <c r="T2173" s="5" t="s">
        <v>3187</v>
      </c>
      <c r="U2173" s="5" t="n">
        <v>400</v>
      </c>
      <c r="V2173" s="5" t="n">
        <v>2</v>
      </c>
      <c r="W2173" s="5" t="s">
        <v>46</v>
      </c>
      <c r="X2173" s="5" t="s">
        <v>47</v>
      </c>
      <c r="Y2173" s="5" t="s">
        <v>153</v>
      </c>
      <c r="Z2173" s="5" t="s">
        <v>3123</v>
      </c>
      <c r="AA2173" s="5" t="s">
        <v>3124</v>
      </c>
      <c r="AB2173" s="5" t="s">
        <v>3125</v>
      </c>
      <c r="AC2173" s="5" t="s">
        <v>3126</v>
      </c>
      <c r="AD2173" s="5" t="s">
        <v>3127</v>
      </c>
      <c r="AE2173" s="5" t="s">
        <v>3191</v>
      </c>
      <c r="AF2173" s="5" t="s">
        <v>3192</v>
      </c>
    </row>
    <row r="2174" customFormat="false" ht="13.8" hidden="false" customHeight="false" outlineLevel="0" collapsed="false">
      <c r="A2174" s="5" t="s">
        <v>3113</v>
      </c>
      <c r="C2174" s="5" t="s">
        <v>3114</v>
      </c>
      <c r="D2174" s="5" t="s">
        <v>19</v>
      </c>
      <c r="E2174" s="5" t="s">
        <v>3115</v>
      </c>
      <c r="F2174" s="5" t="s">
        <v>3116</v>
      </c>
      <c r="G2174" s="5" t="s">
        <v>3117</v>
      </c>
      <c r="H2174" s="2" t="s">
        <v>62</v>
      </c>
      <c r="I2174" s="5" t="s">
        <v>3193</v>
      </c>
      <c r="J2174" s="5" t="s">
        <v>38</v>
      </c>
      <c r="K2174" s="5" t="s">
        <v>3186</v>
      </c>
      <c r="L2174" s="5" t="s">
        <v>46</v>
      </c>
      <c r="M2174" s="5" t="s">
        <v>3120</v>
      </c>
      <c r="N2174" s="5" t="s">
        <v>41</v>
      </c>
      <c r="O2174" s="5" t="s">
        <v>42</v>
      </c>
      <c r="P2174" s="5" t="s">
        <v>43</v>
      </c>
      <c r="Q2174" s="5" t="s">
        <v>43</v>
      </c>
      <c r="R2174" s="5" t="s">
        <v>44</v>
      </c>
      <c r="S2174" s="5" t="s">
        <v>3144</v>
      </c>
      <c r="T2174" s="5" t="s">
        <v>3187</v>
      </c>
      <c r="U2174" s="5" t="n">
        <v>400</v>
      </c>
      <c r="V2174" s="5" t="n">
        <v>3</v>
      </c>
      <c r="W2174" s="5" t="s">
        <v>46</v>
      </c>
      <c r="X2174" s="5" t="s">
        <v>47</v>
      </c>
      <c r="Y2174" s="5" t="s">
        <v>153</v>
      </c>
      <c r="Z2174" s="5" t="s">
        <v>3123</v>
      </c>
      <c r="AA2174" s="5" t="s">
        <v>3124</v>
      </c>
      <c r="AB2174" s="5" t="s">
        <v>3125</v>
      </c>
      <c r="AC2174" s="5" t="s">
        <v>3126</v>
      </c>
      <c r="AD2174" s="5" t="s">
        <v>3127</v>
      </c>
      <c r="AE2174" s="5" t="s">
        <v>3194</v>
      </c>
      <c r="AF2174" s="5" t="s">
        <v>3195</v>
      </c>
    </row>
    <row r="2175" customFormat="false" ht="13.8" hidden="false" customHeight="false" outlineLevel="0" collapsed="false">
      <c r="A2175" s="5" t="s">
        <v>3113</v>
      </c>
      <c r="C2175" s="5" t="s">
        <v>3114</v>
      </c>
      <c r="D2175" s="5" t="s">
        <v>19</v>
      </c>
      <c r="E2175" s="5" t="s">
        <v>3115</v>
      </c>
      <c r="F2175" s="5" t="s">
        <v>3116</v>
      </c>
      <c r="G2175" s="5" t="s">
        <v>3117</v>
      </c>
      <c r="H2175" s="2" t="s">
        <v>288</v>
      </c>
      <c r="I2175" s="5" t="s">
        <v>3196</v>
      </c>
      <c r="J2175" s="5" t="s">
        <v>52</v>
      </c>
      <c r="K2175" s="5" t="s">
        <v>3197</v>
      </c>
      <c r="L2175" s="5" t="s">
        <v>46</v>
      </c>
      <c r="M2175" s="5" t="s">
        <v>3120</v>
      </c>
      <c r="N2175" s="5" t="s">
        <v>41</v>
      </c>
      <c r="O2175" s="5" t="s">
        <v>42</v>
      </c>
      <c r="P2175" s="5" t="s">
        <v>43</v>
      </c>
      <c r="Q2175" s="5" t="s">
        <v>43</v>
      </c>
      <c r="R2175" s="5" t="s">
        <v>44</v>
      </c>
      <c r="S2175" s="5" t="s">
        <v>3144</v>
      </c>
      <c r="T2175" s="5" t="s">
        <v>3198</v>
      </c>
      <c r="U2175" s="5" t="n">
        <v>400</v>
      </c>
      <c r="V2175" s="5" t="n">
        <v>1</v>
      </c>
      <c r="W2175" s="5" t="s">
        <v>46</v>
      </c>
      <c r="X2175" s="5" t="s">
        <v>47</v>
      </c>
      <c r="Y2175" s="5" t="s">
        <v>153</v>
      </c>
      <c r="Z2175" s="5" t="s">
        <v>3123</v>
      </c>
      <c r="AA2175" s="5" t="s">
        <v>3124</v>
      </c>
      <c r="AB2175" s="5" t="s">
        <v>3125</v>
      </c>
      <c r="AC2175" s="5" t="s">
        <v>3126</v>
      </c>
      <c r="AD2175" s="5" t="s">
        <v>3127</v>
      </c>
      <c r="AE2175" s="5" t="s">
        <v>3199</v>
      </c>
      <c r="AF2175" s="5" t="s">
        <v>3200</v>
      </c>
    </row>
    <row r="2176" customFormat="false" ht="13.8" hidden="false" customHeight="false" outlineLevel="0" collapsed="false">
      <c r="A2176" s="5" t="s">
        <v>3113</v>
      </c>
      <c r="C2176" s="5" t="s">
        <v>3114</v>
      </c>
      <c r="D2176" s="5" t="s">
        <v>19</v>
      </c>
      <c r="E2176" s="5" t="s">
        <v>3115</v>
      </c>
      <c r="F2176" s="5" t="s">
        <v>3116</v>
      </c>
      <c r="G2176" s="5" t="s">
        <v>3117</v>
      </c>
      <c r="H2176" s="2" t="s">
        <v>235</v>
      </c>
      <c r="I2176" s="5" t="s">
        <v>3201</v>
      </c>
      <c r="J2176" s="5" t="s">
        <v>52</v>
      </c>
      <c r="K2176" s="5" t="s">
        <v>3197</v>
      </c>
      <c r="L2176" s="5" t="s">
        <v>46</v>
      </c>
      <c r="M2176" s="5" t="s">
        <v>3120</v>
      </c>
      <c r="N2176" s="5" t="s">
        <v>41</v>
      </c>
      <c r="O2176" s="5" t="s">
        <v>42</v>
      </c>
      <c r="P2176" s="5" t="s">
        <v>43</v>
      </c>
      <c r="Q2176" s="5" t="s">
        <v>43</v>
      </c>
      <c r="R2176" s="5" t="s">
        <v>44</v>
      </c>
      <c r="S2176" s="5" t="s">
        <v>3144</v>
      </c>
      <c r="T2176" s="5" t="s">
        <v>3198</v>
      </c>
      <c r="U2176" s="5" t="n">
        <v>400</v>
      </c>
      <c r="V2176" s="5" t="n">
        <v>2</v>
      </c>
      <c r="W2176" s="5" t="s">
        <v>46</v>
      </c>
      <c r="X2176" s="5" t="s">
        <v>47</v>
      </c>
      <c r="Y2176" s="5" t="s">
        <v>153</v>
      </c>
      <c r="Z2176" s="5" t="s">
        <v>3123</v>
      </c>
      <c r="AA2176" s="5" t="s">
        <v>3124</v>
      </c>
      <c r="AB2176" s="5" t="s">
        <v>3125</v>
      </c>
      <c r="AC2176" s="5" t="s">
        <v>3126</v>
      </c>
      <c r="AD2176" s="5" t="s">
        <v>3127</v>
      </c>
      <c r="AE2176" s="5" t="s">
        <v>3202</v>
      </c>
      <c r="AF2176" s="5" t="s">
        <v>3203</v>
      </c>
    </row>
    <row r="2177" customFormat="false" ht="13.8" hidden="false" customHeight="false" outlineLevel="0" collapsed="false">
      <c r="A2177" s="5" t="s">
        <v>3113</v>
      </c>
      <c r="C2177" s="5" t="s">
        <v>3114</v>
      </c>
      <c r="D2177" s="5" t="s">
        <v>19</v>
      </c>
      <c r="E2177" s="5" t="s">
        <v>3115</v>
      </c>
      <c r="F2177" s="5" t="s">
        <v>3116</v>
      </c>
      <c r="G2177" s="5" t="s">
        <v>3117</v>
      </c>
      <c r="H2177" s="2" t="s">
        <v>237</v>
      </c>
      <c r="I2177" s="5" t="s">
        <v>3204</v>
      </c>
      <c r="J2177" s="5" t="s">
        <v>52</v>
      </c>
      <c r="K2177" s="5" t="s">
        <v>3197</v>
      </c>
      <c r="L2177" s="5" t="s">
        <v>46</v>
      </c>
      <c r="M2177" s="5" t="s">
        <v>3120</v>
      </c>
      <c r="N2177" s="5" t="s">
        <v>41</v>
      </c>
      <c r="O2177" s="5" t="s">
        <v>42</v>
      </c>
      <c r="P2177" s="5" t="s">
        <v>43</v>
      </c>
      <c r="Q2177" s="5" t="s">
        <v>43</v>
      </c>
      <c r="R2177" s="5" t="s">
        <v>44</v>
      </c>
      <c r="S2177" s="5" t="s">
        <v>3144</v>
      </c>
      <c r="T2177" s="5" t="s">
        <v>3198</v>
      </c>
      <c r="U2177" s="5" t="n">
        <v>400</v>
      </c>
      <c r="V2177" s="5" t="n">
        <v>3</v>
      </c>
      <c r="W2177" s="5" t="s">
        <v>46</v>
      </c>
      <c r="X2177" s="5" t="s">
        <v>47</v>
      </c>
      <c r="Y2177" s="5" t="s">
        <v>153</v>
      </c>
      <c r="Z2177" s="5" t="s">
        <v>3123</v>
      </c>
      <c r="AA2177" s="5" t="s">
        <v>3124</v>
      </c>
      <c r="AB2177" s="5" t="s">
        <v>3125</v>
      </c>
      <c r="AC2177" s="5" t="s">
        <v>3126</v>
      </c>
      <c r="AD2177" s="5" t="s">
        <v>3127</v>
      </c>
      <c r="AE2177" s="5" t="s">
        <v>3205</v>
      </c>
      <c r="AF2177" s="5" t="s">
        <v>3206</v>
      </c>
    </row>
    <row r="2178" customFormat="false" ht="13.8" hidden="false" customHeight="false" outlineLevel="0" collapsed="false">
      <c r="A2178" s="5" t="s">
        <v>3113</v>
      </c>
      <c r="C2178" s="5" t="s">
        <v>3114</v>
      </c>
      <c r="D2178" s="5" t="s">
        <v>19</v>
      </c>
      <c r="E2178" s="5" t="s">
        <v>3115</v>
      </c>
      <c r="F2178" s="5" t="s">
        <v>3116</v>
      </c>
      <c r="G2178" s="5" t="s">
        <v>3117</v>
      </c>
      <c r="H2178" s="2" t="s">
        <v>68</v>
      </c>
      <c r="I2178" s="5" t="s">
        <v>3207</v>
      </c>
      <c r="J2178" s="5" t="s">
        <v>52</v>
      </c>
      <c r="K2178" s="5" t="s">
        <v>3208</v>
      </c>
      <c r="L2178" s="5" t="s">
        <v>46</v>
      </c>
      <c r="M2178" s="5" t="s">
        <v>46</v>
      </c>
      <c r="N2178" s="5" t="s">
        <v>1935</v>
      </c>
      <c r="O2178" s="5" t="s">
        <v>46</v>
      </c>
      <c r="P2178" s="5" t="s">
        <v>46</v>
      </c>
      <c r="Q2178" s="5" t="s">
        <v>46</v>
      </c>
      <c r="R2178" s="5" t="s">
        <v>46</v>
      </c>
      <c r="S2178" s="5" t="s">
        <v>46</v>
      </c>
      <c r="T2178" s="5" t="s">
        <v>46</v>
      </c>
      <c r="U2178" s="5" t="s">
        <v>46</v>
      </c>
      <c r="V2178" s="5" t="n">
        <v>1</v>
      </c>
      <c r="W2178" s="5" t="s">
        <v>46</v>
      </c>
      <c r="X2178" s="5" t="s">
        <v>2740</v>
      </c>
      <c r="Y2178" s="5" t="s">
        <v>153</v>
      </c>
      <c r="Z2178" s="5" t="s">
        <v>3123</v>
      </c>
      <c r="AA2178" s="5" t="s">
        <v>3124</v>
      </c>
      <c r="AB2178" s="5" t="s">
        <v>3125</v>
      </c>
      <c r="AC2178" s="5" t="s">
        <v>3126</v>
      </c>
      <c r="AD2178" s="5" t="s">
        <v>3127</v>
      </c>
      <c r="AE2178" s="5" t="s">
        <v>3209</v>
      </c>
      <c r="AF2178" s="5" t="s">
        <v>3210</v>
      </c>
    </row>
    <row r="2179" customFormat="false" ht="13.8" hidden="false" customHeight="false" outlineLevel="0" collapsed="false">
      <c r="A2179" s="5" t="s">
        <v>3113</v>
      </c>
      <c r="C2179" s="5" t="s">
        <v>3114</v>
      </c>
      <c r="D2179" s="5" t="s">
        <v>19</v>
      </c>
      <c r="E2179" s="5" t="s">
        <v>3115</v>
      </c>
      <c r="F2179" s="5" t="s">
        <v>3116</v>
      </c>
      <c r="G2179" s="5" t="s">
        <v>3117</v>
      </c>
      <c r="H2179" s="2" t="s">
        <v>75</v>
      </c>
      <c r="I2179" s="5" t="s">
        <v>3211</v>
      </c>
      <c r="J2179" s="5" t="s">
        <v>52</v>
      </c>
      <c r="K2179" s="5" t="s">
        <v>3212</v>
      </c>
      <c r="L2179" s="5" t="s">
        <v>46</v>
      </c>
      <c r="M2179" s="5" t="s">
        <v>46</v>
      </c>
      <c r="N2179" s="5" t="s">
        <v>1935</v>
      </c>
      <c r="O2179" s="5" t="s">
        <v>46</v>
      </c>
      <c r="P2179" s="5" t="s">
        <v>46</v>
      </c>
      <c r="Q2179" s="5" t="s">
        <v>46</v>
      </c>
      <c r="R2179" s="5" t="s">
        <v>46</v>
      </c>
      <c r="S2179" s="5" t="s">
        <v>46</v>
      </c>
      <c r="T2179" s="5" t="s">
        <v>46</v>
      </c>
      <c r="U2179" s="5" t="s">
        <v>46</v>
      </c>
      <c r="V2179" s="5" t="n">
        <v>2</v>
      </c>
      <c r="W2179" s="5" t="s">
        <v>46</v>
      </c>
      <c r="X2179" s="5" t="s">
        <v>2740</v>
      </c>
      <c r="Y2179" s="5" t="s">
        <v>153</v>
      </c>
      <c r="Z2179" s="5" t="s">
        <v>3123</v>
      </c>
      <c r="AA2179" s="5" t="s">
        <v>3124</v>
      </c>
      <c r="AB2179" s="5" t="s">
        <v>3125</v>
      </c>
      <c r="AC2179" s="5" t="s">
        <v>3126</v>
      </c>
      <c r="AD2179" s="5" t="s">
        <v>3127</v>
      </c>
      <c r="AE2179" s="5" t="s">
        <v>3213</v>
      </c>
      <c r="AF2179" s="5" t="s">
        <v>3214</v>
      </c>
    </row>
    <row r="2180" customFormat="false" ht="13.8" hidden="false" customHeight="false" outlineLevel="0" collapsed="false">
      <c r="A2180" s="5" t="s">
        <v>3113</v>
      </c>
      <c r="C2180" s="5" t="s">
        <v>3114</v>
      </c>
      <c r="D2180" s="5" t="s">
        <v>19</v>
      </c>
      <c r="E2180" s="5" t="s">
        <v>3115</v>
      </c>
      <c r="F2180" s="5" t="s">
        <v>3116</v>
      </c>
      <c r="G2180" s="5" t="s">
        <v>3117</v>
      </c>
      <c r="H2180" s="2" t="s">
        <v>76</v>
      </c>
      <c r="I2180" s="5" t="s">
        <v>3215</v>
      </c>
      <c r="J2180" s="5" t="s">
        <v>52</v>
      </c>
      <c r="K2180" s="5" t="s">
        <v>3216</v>
      </c>
      <c r="L2180" s="5" t="s">
        <v>46</v>
      </c>
      <c r="M2180" s="5" t="s">
        <v>46</v>
      </c>
      <c r="N2180" s="5" t="s">
        <v>1935</v>
      </c>
      <c r="O2180" s="5" t="s">
        <v>46</v>
      </c>
      <c r="P2180" s="5" t="s">
        <v>46</v>
      </c>
      <c r="Q2180" s="5" t="s">
        <v>46</v>
      </c>
      <c r="R2180" s="5" t="s">
        <v>46</v>
      </c>
      <c r="S2180" s="5" t="s">
        <v>46</v>
      </c>
      <c r="T2180" s="5" t="s">
        <v>46</v>
      </c>
      <c r="U2180" s="5" t="s">
        <v>46</v>
      </c>
      <c r="V2180" s="5" t="n">
        <v>3</v>
      </c>
      <c r="W2180" s="5" t="s">
        <v>46</v>
      </c>
      <c r="X2180" s="5" t="s">
        <v>2740</v>
      </c>
      <c r="Y2180" s="5" t="s">
        <v>153</v>
      </c>
      <c r="Z2180" s="5" t="s">
        <v>3123</v>
      </c>
      <c r="AA2180" s="5" t="s">
        <v>3124</v>
      </c>
      <c r="AB2180" s="5" t="s">
        <v>3125</v>
      </c>
      <c r="AC2180" s="5" t="s">
        <v>3126</v>
      </c>
      <c r="AD2180" s="5" t="s">
        <v>3127</v>
      </c>
      <c r="AE2180" s="5" t="s">
        <v>3217</v>
      </c>
      <c r="AF2180" s="5" t="s">
        <v>3218</v>
      </c>
    </row>
    <row r="2181" customFormat="false" ht="13.8" hidden="false" customHeight="false" outlineLevel="0" collapsed="false">
      <c r="A2181" s="5" t="s">
        <v>3113</v>
      </c>
      <c r="C2181" s="5" t="s">
        <v>3114</v>
      </c>
      <c r="D2181" s="5" t="s">
        <v>19</v>
      </c>
      <c r="E2181" s="5" t="s">
        <v>3115</v>
      </c>
      <c r="F2181" s="5" t="s">
        <v>3116</v>
      </c>
      <c r="G2181" s="5" t="s">
        <v>3117</v>
      </c>
      <c r="H2181" s="2" t="s">
        <v>222</v>
      </c>
      <c r="I2181" s="5" t="s">
        <v>3219</v>
      </c>
      <c r="J2181" s="5" t="s">
        <v>52</v>
      </c>
      <c r="K2181" s="5" t="s">
        <v>3220</v>
      </c>
      <c r="L2181" s="5" t="s">
        <v>46</v>
      </c>
      <c r="M2181" s="5" t="s">
        <v>46</v>
      </c>
      <c r="N2181" s="5" t="s">
        <v>1935</v>
      </c>
      <c r="O2181" s="5" t="s">
        <v>46</v>
      </c>
      <c r="P2181" s="5" t="s">
        <v>46</v>
      </c>
      <c r="Q2181" s="5" t="s">
        <v>46</v>
      </c>
      <c r="R2181" s="5" t="s">
        <v>46</v>
      </c>
      <c r="S2181" s="5" t="s">
        <v>46</v>
      </c>
      <c r="T2181" s="5" t="s">
        <v>46</v>
      </c>
      <c r="U2181" s="5" t="s">
        <v>46</v>
      </c>
      <c r="V2181" s="5" t="n">
        <v>4</v>
      </c>
      <c r="W2181" s="5" t="s">
        <v>46</v>
      </c>
      <c r="X2181" s="5" t="s">
        <v>2740</v>
      </c>
      <c r="Y2181" s="5" t="s">
        <v>153</v>
      </c>
      <c r="Z2181" s="5" t="s">
        <v>3123</v>
      </c>
      <c r="AA2181" s="5" t="s">
        <v>3124</v>
      </c>
      <c r="AB2181" s="5" t="s">
        <v>3125</v>
      </c>
      <c r="AC2181" s="5" t="s">
        <v>3126</v>
      </c>
      <c r="AD2181" s="5" t="s">
        <v>3127</v>
      </c>
      <c r="AE2181" s="5" t="s">
        <v>3221</v>
      </c>
      <c r="AF2181" s="5" t="s">
        <v>3222</v>
      </c>
    </row>
    <row r="2182" customFormat="false" ht="13.8" hidden="false" customHeight="false" outlineLevel="0" collapsed="false">
      <c r="A2182" s="5" t="s">
        <v>3113</v>
      </c>
      <c r="C2182" s="5" t="s">
        <v>3114</v>
      </c>
      <c r="D2182" s="5" t="s">
        <v>19</v>
      </c>
      <c r="E2182" s="5" t="s">
        <v>3115</v>
      </c>
      <c r="F2182" s="5" t="s">
        <v>3116</v>
      </c>
      <c r="G2182" s="5" t="s">
        <v>3117</v>
      </c>
      <c r="H2182" s="2" t="s">
        <v>64</v>
      </c>
      <c r="I2182" s="5" t="s">
        <v>3223</v>
      </c>
      <c r="J2182" s="5" t="s">
        <v>52</v>
      </c>
      <c r="K2182" s="5" t="s">
        <v>64</v>
      </c>
      <c r="L2182" s="5" t="s">
        <v>46</v>
      </c>
      <c r="M2182" s="5" t="s">
        <v>46</v>
      </c>
      <c r="N2182" s="5" t="s">
        <v>280</v>
      </c>
      <c r="O2182" s="5" t="s">
        <v>46</v>
      </c>
      <c r="P2182" s="5" t="s">
        <v>46</v>
      </c>
      <c r="Q2182" s="5" t="s">
        <v>46</v>
      </c>
      <c r="R2182" s="5" t="s">
        <v>46</v>
      </c>
      <c r="S2182" s="5" t="s">
        <v>46</v>
      </c>
      <c r="T2182" s="5" t="s">
        <v>46</v>
      </c>
      <c r="U2182" s="5" t="s">
        <v>46</v>
      </c>
      <c r="V2182" s="5" t="n">
        <v>1</v>
      </c>
      <c r="W2182" s="5" t="s">
        <v>46</v>
      </c>
      <c r="X2182" s="5" t="s">
        <v>83</v>
      </c>
      <c r="Y2182" s="5" t="s">
        <v>153</v>
      </c>
      <c r="Z2182" s="5" t="s">
        <v>3123</v>
      </c>
      <c r="AA2182" s="5" t="s">
        <v>3124</v>
      </c>
      <c r="AB2182" s="5" t="s">
        <v>3125</v>
      </c>
      <c r="AC2182" s="5" t="s">
        <v>3126</v>
      </c>
      <c r="AD2182" s="5" t="s">
        <v>3127</v>
      </c>
      <c r="AE2182" s="5" t="s">
        <v>3224</v>
      </c>
      <c r="AF2182" s="5" t="s">
        <v>3225</v>
      </c>
    </row>
    <row r="2183" customFormat="false" ht="13.8" hidden="false" customHeight="false" outlineLevel="0" collapsed="false">
      <c r="A2183" s="5" t="s">
        <v>3113</v>
      </c>
      <c r="C2183" s="5" t="s">
        <v>3114</v>
      </c>
      <c r="D2183" s="5" t="s">
        <v>19</v>
      </c>
      <c r="E2183" s="5" t="s">
        <v>3115</v>
      </c>
      <c r="F2183" s="5" t="s">
        <v>3116</v>
      </c>
      <c r="G2183" s="5" t="s">
        <v>3117</v>
      </c>
      <c r="H2183" s="2" t="s">
        <v>66</v>
      </c>
      <c r="I2183" s="5" t="s">
        <v>3226</v>
      </c>
      <c r="J2183" s="5" t="s">
        <v>52</v>
      </c>
      <c r="K2183" s="5" t="s">
        <v>66</v>
      </c>
      <c r="L2183" s="5" t="s">
        <v>46</v>
      </c>
      <c r="M2183" s="5" t="s">
        <v>46</v>
      </c>
      <c r="N2183" s="5" t="s">
        <v>280</v>
      </c>
      <c r="O2183" s="5" t="s">
        <v>46</v>
      </c>
      <c r="P2183" s="5" t="s">
        <v>46</v>
      </c>
      <c r="Q2183" s="5" t="s">
        <v>46</v>
      </c>
      <c r="R2183" s="5" t="s">
        <v>46</v>
      </c>
      <c r="S2183" s="5" t="s">
        <v>46</v>
      </c>
      <c r="T2183" s="5" t="s">
        <v>46</v>
      </c>
      <c r="U2183" s="5" t="s">
        <v>46</v>
      </c>
      <c r="V2183" s="5" t="n">
        <v>2</v>
      </c>
      <c r="W2183" s="5" t="s">
        <v>46</v>
      </c>
      <c r="X2183" s="5" t="s">
        <v>83</v>
      </c>
      <c r="Y2183" s="5" t="s">
        <v>153</v>
      </c>
      <c r="Z2183" s="5" t="s">
        <v>3123</v>
      </c>
      <c r="AA2183" s="5" t="s">
        <v>3124</v>
      </c>
      <c r="AB2183" s="5" t="s">
        <v>3125</v>
      </c>
      <c r="AC2183" s="5" t="s">
        <v>3126</v>
      </c>
      <c r="AD2183" s="5" t="s">
        <v>3127</v>
      </c>
      <c r="AE2183" s="5" t="s">
        <v>3227</v>
      </c>
      <c r="AF2183" s="5" t="s">
        <v>3228</v>
      </c>
    </row>
    <row r="2184" customFormat="false" ht="13.8" hidden="false" customHeight="false" outlineLevel="0" collapsed="false">
      <c r="A2184" s="5" t="s">
        <v>3113</v>
      </c>
      <c r="C2184" s="5" t="s">
        <v>3114</v>
      </c>
      <c r="D2184" s="5" t="s">
        <v>19</v>
      </c>
      <c r="E2184" s="5" t="s">
        <v>3115</v>
      </c>
      <c r="F2184" s="5" t="s">
        <v>3116</v>
      </c>
      <c r="G2184" s="5" t="s">
        <v>3117</v>
      </c>
      <c r="H2184" s="2" t="s">
        <v>67</v>
      </c>
      <c r="I2184" s="5" t="s">
        <v>3229</v>
      </c>
      <c r="J2184" s="5" t="s">
        <v>52</v>
      </c>
      <c r="K2184" s="5" t="s">
        <v>67</v>
      </c>
      <c r="L2184" s="5" t="s">
        <v>46</v>
      </c>
      <c r="M2184" s="5" t="s">
        <v>46</v>
      </c>
      <c r="N2184" s="5" t="s">
        <v>280</v>
      </c>
      <c r="O2184" s="5" t="s">
        <v>46</v>
      </c>
      <c r="P2184" s="5" t="s">
        <v>46</v>
      </c>
      <c r="Q2184" s="5" t="s">
        <v>46</v>
      </c>
      <c r="R2184" s="5" t="s">
        <v>46</v>
      </c>
      <c r="S2184" s="5" t="s">
        <v>46</v>
      </c>
      <c r="T2184" s="5" t="s">
        <v>46</v>
      </c>
      <c r="U2184" s="5" t="s">
        <v>46</v>
      </c>
      <c r="V2184" s="5" t="n">
        <v>3</v>
      </c>
      <c r="W2184" s="5" t="s">
        <v>46</v>
      </c>
      <c r="X2184" s="5" t="s">
        <v>83</v>
      </c>
      <c r="Y2184" s="5" t="s">
        <v>153</v>
      </c>
      <c r="Z2184" s="5" t="s">
        <v>3123</v>
      </c>
      <c r="AA2184" s="5" t="s">
        <v>3124</v>
      </c>
      <c r="AB2184" s="5" t="s">
        <v>3125</v>
      </c>
      <c r="AC2184" s="5" t="s">
        <v>3126</v>
      </c>
      <c r="AD2184" s="5" t="s">
        <v>3127</v>
      </c>
      <c r="AE2184" s="5" t="s">
        <v>3230</v>
      </c>
      <c r="AF2184" s="5" t="s">
        <v>3231</v>
      </c>
    </row>
    <row r="2185" customFormat="false" ht="13.8" hidden="false" customHeight="false" outlineLevel="0" collapsed="false">
      <c r="A2185" s="5" t="s">
        <v>3113</v>
      </c>
      <c r="C2185" s="5" t="s">
        <v>3114</v>
      </c>
      <c r="D2185" s="5" t="s">
        <v>19</v>
      </c>
      <c r="E2185" s="5" t="s">
        <v>3115</v>
      </c>
      <c r="F2185" s="5" t="s">
        <v>3116</v>
      </c>
      <c r="G2185" s="5" t="s">
        <v>3117</v>
      </c>
      <c r="H2185" s="2" t="s">
        <v>221</v>
      </c>
      <c r="I2185" s="5" t="s">
        <v>3232</v>
      </c>
      <c r="J2185" s="5" t="s">
        <v>52</v>
      </c>
      <c r="K2185" s="5" t="s">
        <v>221</v>
      </c>
      <c r="L2185" s="5" t="s">
        <v>46</v>
      </c>
      <c r="M2185" s="5" t="s">
        <v>46</v>
      </c>
      <c r="N2185" s="5" t="s">
        <v>280</v>
      </c>
      <c r="O2185" s="5" t="s">
        <v>46</v>
      </c>
      <c r="P2185" s="5" t="s">
        <v>46</v>
      </c>
      <c r="Q2185" s="5" t="s">
        <v>46</v>
      </c>
      <c r="R2185" s="5" t="s">
        <v>46</v>
      </c>
      <c r="S2185" s="5" t="s">
        <v>46</v>
      </c>
      <c r="T2185" s="5" t="s">
        <v>46</v>
      </c>
      <c r="U2185" s="5" t="s">
        <v>46</v>
      </c>
      <c r="V2185" s="5" t="n">
        <v>4</v>
      </c>
      <c r="W2185" s="5" t="s">
        <v>46</v>
      </c>
      <c r="X2185" s="5" t="s">
        <v>83</v>
      </c>
      <c r="Y2185" s="5" t="s">
        <v>153</v>
      </c>
      <c r="Z2185" s="5" t="s">
        <v>3123</v>
      </c>
      <c r="AA2185" s="5" t="s">
        <v>3124</v>
      </c>
      <c r="AB2185" s="5" t="s">
        <v>3125</v>
      </c>
      <c r="AC2185" s="5" t="s">
        <v>3126</v>
      </c>
      <c r="AD2185" s="5" t="s">
        <v>3127</v>
      </c>
      <c r="AE2185" s="5" t="s">
        <v>3233</v>
      </c>
      <c r="AF2185" s="5" t="s">
        <v>3234</v>
      </c>
    </row>
    <row r="2186" customFormat="false" ht="13.8" hidden="false" customHeight="false" outlineLevel="0" collapsed="false">
      <c r="A2186" s="5" t="s">
        <v>3235</v>
      </c>
      <c r="C2186" s="5" t="s">
        <v>3236</v>
      </c>
      <c r="D2186" s="5" t="s">
        <v>19</v>
      </c>
      <c r="E2186" s="5" t="s">
        <v>3237</v>
      </c>
      <c r="F2186" s="5" t="s">
        <v>3238</v>
      </c>
      <c r="G2186" s="5" t="s">
        <v>3239</v>
      </c>
      <c r="H2186" s="2" t="s">
        <v>97</v>
      </c>
      <c r="I2186" s="5" t="s">
        <v>3240</v>
      </c>
      <c r="J2186" s="5" t="s">
        <v>38</v>
      </c>
      <c r="K2186" s="5" t="s">
        <v>3241</v>
      </c>
      <c r="L2186" s="5" t="s">
        <v>46</v>
      </c>
      <c r="M2186" s="5" t="s">
        <v>3242</v>
      </c>
      <c r="N2186" s="5" t="s">
        <v>41</v>
      </c>
      <c r="O2186" s="5" t="s">
        <v>3243</v>
      </c>
      <c r="P2186" s="5" t="s">
        <v>162</v>
      </c>
      <c r="Q2186" s="5" t="s">
        <v>162</v>
      </c>
      <c r="R2186" s="5" t="s">
        <v>72</v>
      </c>
      <c r="S2186" s="5" t="s">
        <v>3244</v>
      </c>
      <c r="T2186" s="5" t="s">
        <v>419</v>
      </c>
      <c r="U2186" s="5" t="n">
        <v>250</v>
      </c>
      <c r="V2186" s="5" t="n">
        <v>1</v>
      </c>
      <c r="W2186" s="5" t="s">
        <v>46</v>
      </c>
      <c r="X2186" s="5" t="s">
        <v>47</v>
      </c>
      <c r="Y2186" s="5" t="s">
        <v>153</v>
      </c>
      <c r="Z2186" s="5" t="s">
        <v>3245</v>
      </c>
      <c r="AA2186" s="5" t="s">
        <v>3246</v>
      </c>
      <c r="AB2186" s="5" t="s">
        <v>3247</v>
      </c>
      <c r="AC2186" s="5" t="s">
        <v>3248</v>
      </c>
      <c r="AD2186" s="5" t="s">
        <v>3249</v>
      </c>
      <c r="AE2186" s="5" t="s">
        <v>3250</v>
      </c>
      <c r="AF2186" s="5" t="s">
        <v>3251</v>
      </c>
    </row>
    <row r="2187" customFormat="false" ht="13.8" hidden="false" customHeight="false" outlineLevel="0" collapsed="false">
      <c r="A2187" s="5" t="s">
        <v>3235</v>
      </c>
      <c r="C2187" s="5" t="s">
        <v>3236</v>
      </c>
      <c r="D2187" s="5" t="s">
        <v>19</v>
      </c>
      <c r="E2187" s="5" t="s">
        <v>3237</v>
      </c>
      <c r="F2187" s="5" t="s">
        <v>3238</v>
      </c>
      <c r="G2187" s="5" t="s">
        <v>3252</v>
      </c>
      <c r="H2187" s="2" t="s">
        <v>139</v>
      </c>
      <c r="I2187" s="5" t="s">
        <v>3253</v>
      </c>
      <c r="J2187" s="5" t="s">
        <v>38</v>
      </c>
      <c r="K2187" s="5" t="s">
        <v>3254</v>
      </c>
      <c r="L2187" s="5" t="s">
        <v>46</v>
      </c>
      <c r="M2187" s="5" t="s">
        <v>3242</v>
      </c>
      <c r="N2187" s="5" t="s">
        <v>41</v>
      </c>
      <c r="O2187" s="5" t="s">
        <v>3243</v>
      </c>
      <c r="P2187" s="5" t="s">
        <v>162</v>
      </c>
      <c r="Q2187" s="5" t="s">
        <v>162</v>
      </c>
      <c r="R2187" s="5" t="s">
        <v>72</v>
      </c>
      <c r="S2187" s="5" t="s">
        <v>3244</v>
      </c>
      <c r="T2187" s="5" t="s">
        <v>419</v>
      </c>
      <c r="U2187" s="5" t="n">
        <v>250</v>
      </c>
      <c r="V2187" s="5" t="n">
        <v>2</v>
      </c>
      <c r="W2187" s="5" t="s">
        <v>46</v>
      </c>
      <c r="X2187" s="5" t="s">
        <v>47</v>
      </c>
      <c r="Y2187" s="5" t="s">
        <v>153</v>
      </c>
      <c r="Z2187" s="5" t="s">
        <v>3245</v>
      </c>
      <c r="AA2187" s="5" t="s">
        <v>3246</v>
      </c>
      <c r="AB2187" s="5" t="s">
        <v>3247</v>
      </c>
      <c r="AC2187" s="5" t="s">
        <v>3248</v>
      </c>
      <c r="AD2187" s="5" t="s">
        <v>3249</v>
      </c>
      <c r="AE2187" s="5" t="s">
        <v>3255</v>
      </c>
      <c r="AF2187" s="5" t="s">
        <v>3256</v>
      </c>
    </row>
    <row r="2188" customFormat="false" ht="13.8" hidden="false" customHeight="false" outlineLevel="0" collapsed="false">
      <c r="A2188" s="5" t="s">
        <v>3235</v>
      </c>
      <c r="C2188" s="5" t="s">
        <v>3236</v>
      </c>
      <c r="D2188" s="5" t="s">
        <v>19</v>
      </c>
      <c r="E2188" s="5" t="s">
        <v>3237</v>
      </c>
      <c r="F2188" s="5" t="s">
        <v>3238</v>
      </c>
      <c r="G2188" s="5" t="s">
        <v>3257</v>
      </c>
      <c r="H2188" s="2" t="s">
        <v>91</v>
      </c>
      <c r="I2188" s="5" t="s">
        <v>3258</v>
      </c>
      <c r="J2188" s="5" t="s">
        <v>52</v>
      </c>
      <c r="K2188" s="5" t="s">
        <v>3259</v>
      </c>
      <c r="L2188" s="5" t="s">
        <v>46</v>
      </c>
      <c r="M2188" s="5" t="s">
        <v>3242</v>
      </c>
      <c r="N2188" s="5" t="s">
        <v>41</v>
      </c>
      <c r="O2188" s="5" t="s">
        <v>3243</v>
      </c>
      <c r="P2188" s="5" t="s">
        <v>162</v>
      </c>
      <c r="Q2188" s="5" t="s">
        <v>162</v>
      </c>
      <c r="R2188" s="5" t="s">
        <v>72</v>
      </c>
      <c r="S2188" s="5" t="s">
        <v>3244</v>
      </c>
      <c r="T2188" s="5" t="s">
        <v>3260</v>
      </c>
      <c r="U2188" s="5" t="n">
        <v>250</v>
      </c>
      <c r="V2188" s="5" t="n">
        <v>1</v>
      </c>
      <c r="W2188" s="5" t="s">
        <v>46</v>
      </c>
      <c r="X2188" s="5" t="s">
        <v>47</v>
      </c>
      <c r="Y2188" s="5" t="s">
        <v>153</v>
      </c>
      <c r="Z2188" s="5" t="s">
        <v>3245</v>
      </c>
      <c r="AA2188" s="5" t="s">
        <v>3246</v>
      </c>
      <c r="AB2188" s="5" t="s">
        <v>3247</v>
      </c>
      <c r="AC2188" s="5" t="s">
        <v>3248</v>
      </c>
      <c r="AD2188" s="5" t="s">
        <v>3249</v>
      </c>
      <c r="AE2188" s="5" t="s">
        <v>3261</v>
      </c>
      <c r="AF2188" s="5" t="s">
        <v>3262</v>
      </c>
    </row>
    <row r="2189" customFormat="false" ht="13.8" hidden="false" customHeight="false" outlineLevel="0" collapsed="false">
      <c r="A2189" s="5" t="s">
        <v>3235</v>
      </c>
      <c r="C2189" s="5" t="s">
        <v>3236</v>
      </c>
      <c r="D2189" s="5" t="s">
        <v>19</v>
      </c>
      <c r="E2189" s="5" t="s">
        <v>3237</v>
      </c>
      <c r="F2189" s="5" t="s">
        <v>3238</v>
      </c>
      <c r="G2189" s="5" t="s">
        <v>3263</v>
      </c>
      <c r="H2189" s="2" t="s">
        <v>37</v>
      </c>
      <c r="I2189" s="5" t="s">
        <v>3264</v>
      </c>
      <c r="J2189" s="5" t="s">
        <v>52</v>
      </c>
      <c r="K2189" s="5" t="s">
        <v>3265</v>
      </c>
      <c r="L2189" s="5" t="s">
        <v>46</v>
      </c>
      <c r="M2189" s="5" t="s">
        <v>3242</v>
      </c>
      <c r="N2189" s="5" t="s">
        <v>41</v>
      </c>
      <c r="O2189" s="5" t="s">
        <v>3243</v>
      </c>
      <c r="P2189" s="5" t="s">
        <v>162</v>
      </c>
      <c r="Q2189" s="5" t="s">
        <v>162</v>
      </c>
      <c r="R2189" s="5" t="s">
        <v>72</v>
      </c>
      <c r="S2189" s="5" t="s">
        <v>3244</v>
      </c>
      <c r="T2189" s="5" t="s">
        <v>3260</v>
      </c>
      <c r="U2189" s="5" t="n">
        <v>250</v>
      </c>
      <c r="V2189" s="5" t="n">
        <v>2</v>
      </c>
      <c r="W2189" s="5" t="s">
        <v>46</v>
      </c>
      <c r="X2189" s="5" t="s">
        <v>47</v>
      </c>
      <c r="Y2189" s="5" t="s">
        <v>153</v>
      </c>
      <c r="Z2189" s="5" t="s">
        <v>3245</v>
      </c>
      <c r="AA2189" s="5" t="s">
        <v>3246</v>
      </c>
      <c r="AB2189" s="5" t="s">
        <v>3247</v>
      </c>
      <c r="AC2189" s="5" t="s">
        <v>3248</v>
      </c>
      <c r="AD2189" s="5" t="s">
        <v>3249</v>
      </c>
      <c r="AE2189" s="5" t="s">
        <v>3266</v>
      </c>
      <c r="AF2189" s="5" t="s">
        <v>3267</v>
      </c>
    </row>
    <row r="2190" customFormat="false" ht="13.8" hidden="false" customHeight="false" outlineLevel="0" collapsed="false">
      <c r="A2190" s="5" t="s">
        <v>3235</v>
      </c>
      <c r="C2190" s="5" t="s">
        <v>3236</v>
      </c>
      <c r="D2190" s="5" t="s">
        <v>19</v>
      </c>
      <c r="E2190" s="5" t="s">
        <v>3237</v>
      </c>
      <c r="F2190" s="5" t="s">
        <v>3238</v>
      </c>
      <c r="G2190" s="5" t="s">
        <v>3268</v>
      </c>
      <c r="H2190" s="2" t="s">
        <v>51</v>
      </c>
      <c r="I2190" s="5" t="s">
        <v>3269</v>
      </c>
      <c r="J2190" s="5" t="s">
        <v>52</v>
      </c>
      <c r="K2190" s="5" t="s">
        <v>3270</v>
      </c>
      <c r="L2190" s="5" t="s">
        <v>46</v>
      </c>
      <c r="M2190" s="5" t="s">
        <v>3242</v>
      </c>
      <c r="N2190" s="5" t="s">
        <v>41</v>
      </c>
      <c r="O2190" s="5" t="s">
        <v>3243</v>
      </c>
      <c r="P2190" s="5" t="s">
        <v>162</v>
      </c>
      <c r="Q2190" s="5" t="s">
        <v>162</v>
      </c>
      <c r="R2190" s="5" t="s">
        <v>72</v>
      </c>
      <c r="S2190" s="5" t="s">
        <v>3244</v>
      </c>
      <c r="T2190" s="5" t="s">
        <v>3260</v>
      </c>
      <c r="U2190" s="5" t="n">
        <v>250</v>
      </c>
      <c r="V2190" s="5" t="n">
        <v>3</v>
      </c>
      <c r="W2190" s="5" t="s">
        <v>46</v>
      </c>
      <c r="X2190" s="5" t="s">
        <v>47</v>
      </c>
      <c r="Y2190" s="5" t="s">
        <v>153</v>
      </c>
      <c r="Z2190" s="5" t="s">
        <v>3245</v>
      </c>
      <c r="AA2190" s="5" t="s">
        <v>3246</v>
      </c>
      <c r="AB2190" s="5" t="s">
        <v>3247</v>
      </c>
      <c r="AC2190" s="5" t="s">
        <v>3248</v>
      </c>
      <c r="AD2190" s="5" t="s">
        <v>3249</v>
      </c>
      <c r="AE2190" s="5" t="s">
        <v>3271</v>
      </c>
      <c r="AF2190" s="5" t="s">
        <v>3272</v>
      </c>
    </row>
    <row r="2191" customFormat="false" ht="13.8" hidden="false" customHeight="false" outlineLevel="0" collapsed="false">
      <c r="A2191" s="5" t="s">
        <v>3235</v>
      </c>
      <c r="C2191" s="5" t="s">
        <v>3236</v>
      </c>
      <c r="D2191" s="5" t="s">
        <v>19</v>
      </c>
      <c r="E2191" s="5" t="s">
        <v>3237</v>
      </c>
      <c r="F2191" s="5" t="s">
        <v>3238</v>
      </c>
      <c r="G2191" s="5" t="s">
        <v>3273</v>
      </c>
      <c r="H2191" s="2" t="s">
        <v>88</v>
      </c>
      <c r="I2191" s="5" t="s">
        <v>3274</v>
      </c>
      <c r="J2191" s="5" t="s">
        <v>52</v>
      </c>
      <c r="K2191" s="5" t="s">
        <v>157</v>
      </c>
      <c r="L2191" s="5" t="s">
        <v>46</v>
      </c>
      <c r="M2191" s="5" t="s">
        <v>46</v>
      </c>
      <c r="N2191" s="5" t="s">
        <v>280</v>
      </c>
      <c r="O2191" s="5" t="s">
        <v>46</v>
      </c>
      <c r="P2191" s="5" t="s">
        <v>46</v>
      </c>
      <c r="Q2191" s="5" t="s">
        <v>46</v>
      </c>
      <c r="R2191" s="5" t="s">
        <v>46</v>
      </c>
      <c r="S2191" s="5" t="s">
        <v>46</v>
      </c>
      <c r="T2191" s="5" t="s">
        <v>46</v>
      </c>
      <c r="U2191" s="5" t="s">
        <v>46</v>
      </c>
      <c r="V2191" s="5" t="n">
        <v>1</v>
      </c>
      <c r="W2191" s="5" t="s">
        <v>46</v>
      </c>
      <c r="X2191" s="5" t="s">
        <v>83</v>
      </c>
      <c r="Y2191" s="5" t="s">
        <v>153</v>
      </c>
      <c r="Z2191" s="5" t="s">
        <v>3245</v>
      </c>
      <c r="AA2191" s="5" t="s">
        <v>3246</v>
      </c>
      <c r="AB2191" s="5" t="s">
        <v>3247</v>
      </c>
      <c r="AC2191" s="5" t="s">
        <v>3248</v>
      </c>
      <c r="AD2191" s="5" t="s">
        <v>3249</v>
      </c>
      <c r="AE2191" s="5" t="s">
        <v>3275</v>
      </c>
      <c r="AF2191" s="5" t="s">
        <v>3276</v>
      </c>
    </row>
    <row r="2192" customFormat="false" ht="13.8" hidden="false" customHeight="false" outlineLevel="0" collapsed="false">
      <c r="A2192" s="5" t="s">
        <v>3235</v>
      </c>
      <c r="C2192" s="5" t="s">
        <v>3236</v>
      </c>
      <c r="D2192" s="5" t="s">
        <v>19</v>
      </c>
      <c r="E2192" s="5" t="s">
        <v>3237</v>
      </c>
      <c r="F2192" s="5" t="s">
        <v>3238</v>
      </c>
      <c r="G2192" s="5" t="s">
        <v>3277</v>
      </c>
      <c r="H2192" s="2" t="s">
        <v>60</v>
      </c>
      <c r="I2192" s="5" t="s">
        <v>3278</v>
      </c>
      <c r="J2192" s="5" t="s">
        <v>52</v>
      </c>
      <c r="K2192" s="5" t="s">
        <v>165</v>
      </c>
      <c r="L2192" s="5" t="s">
        <v>46</v>
      </c>
      <c r="M2192" s="5" t="s">
        <v>46</v>
      </c>
      <c r="N2192" s="5" t="s">
        <v>280</v>
      </c>
      <c r="O2192" s="5" t="s">
        <v>46</v>
      </c>
      <c r="P2192" s="5" t="s">
        <v>46</v>
      </c>
      <c r="Q2192" s="5" t="s">
        <v>46</v>
      </c>
      <c r="R2192" s="5" t="s">
        <v>46</v>
      </c>
      <c r="S2192" s="5" t="s">
        <v>46</v>
      </c>
      <c r="T2192" s="5" t="s">
        <v>46</v>
      </c>
      <c r="U2192" s="5" t="s">
        <v>46</v>
      </c>
      <c r="V2192" s="5" t="n">
        <v>2</v>
      </c>
      <c r="W2192" s="5" t="s">
        <v>46</v>
      </c>
      <c r="X2192" s="5" t="s">
        <v>83</v>
      </c>
      <c r="Y2192" s="5" t="s">
        <v>153</v>
      </c>
      <c r="Z2192" s="5" t="s">
        <v>3245</v>
      </c>
      <c r="AA2192" s="5" t="s">
        <v>3246</v>
      </c>
      <c r="AB2192" s="5" t="s">
        <v>3247</v>
      </c>
      <c r="AC2192" s="5" t="s">
        <v>3248</v>
      </c>
      <c r="AD2192" s="5" t="s">
        <v>3249</v>
      </c>
      <c r="AE2192" s="5" t="s">
        <v>3279</v>
      </c>
      <c r="AF2192" s="5" t="s">
        <v>3280</v>
      </c>
    </row>
    <row r="2193" customFormat="false" ht="13.8" hidden="false" customHeight="false" outlineLevel="0" collapsed="false">
      <c r="A2193" s="5" t="s">
        <v>3235</v>
      </c>
      <c r="C2193" s="5" t="s">
        <v>3236</v>
      </c>
      <c r="D2193" s="5" t="s">
        <v>19</v>
      </c>
      <c r="E2193" s="5" t="s">
        <v>3237</v>
      </c>
      <c r="F2193" s="5" t="s">
        <v>3238</v>
      </c>
      <c r="G2193" s="5" t="s">
        <v>3281</v>
      </c>
      <c r="H2193" s="2" t="s">
        <v>1241</v>
      </c>
      <c r="I2193" s="5" t="s">
        <v>3282</v>
      </c>
      <c r="J2193" s="5" t="s">
        <v>52</v>
      </c>
      <c r="K2193" s="5" t="s">
        <v>171</v>
      </c>
      <c r="L2193" s="5" t="s">
        <v>46</v>
      </c>
      <c r="M2193" s="5" t="s">
        <v>46</v>
      </c>
      <c r="N2193" s="5" t="s">
        <v>280</v>
      </c>
      <c r="O2193" s="5" t="s">
        <v>46</v>
      </c>
      <c r="P2193" s="5" t="s">
        <v>46</v>
      </c>
      <c r="Q2193" s="5" t="s">
        <v>46</v>
      </c>
      <c r="R2193" s="5" t="s">
        <v>46</v>
      </c>
      <c r="S2193" s="5" t="s">
        <v>46</v>
      </c>
      <c r="T2193" s="5" t="s">
        <v>46</v>
      </c>
      <c r="U2193" s="5" t="s">
        <v>46</v>
      </c>
      <c r="V2193" s="5" t="n">
        <v>3</v>
      </c>
      <c r="W2193" s="5" t="s">
        <v>46</v>
      </c>
      <c r="X2193" s="5" t="s">
        <v>83</v>
      </c>
      <c r="Y2193" s="5" t="s">
        <v>153</v>
      </c>
      <c r="Z2193" s="5" t="s">
        <v>3245</v>
      </c>
      <c r="AA2193" s="5" t="s">
        <v>3246</v>
      </c>
      <c r="AB2193" s="5" t="s">
        <v>3247</v>
      </c>
      <c r="AC2193" s="5" t="s">
        <v>3248</v>
      </c>
      <c r="AD2193" s="5" t="s">
        <v>3249</v>
      </c>
      <c r="AE2193" s="5" t="s">
        <v>3283</v>
      </c>
      <c r="AF2193" s="5" t="s">
        <v>3284</v>
      </c>
    </row>
    <row r="2194" customFormat="false" ht="13.8" hidden="false" customHeight="false" outlineLevel="0" collapsed="false">
      <c r="A2194" s="5" t="s">
        <v>3235</v>
      </c>
      <c r="C2194" s="5" t="s">
        <v>3236</v>
      </c>
      <c r="D2194" s="5" t="s">
        <v>19</v>
      </c>
      <c r="E2194" s="5" t="s">
        <v>3237</v>
      </c>
      <c r="F2194" s="5" t="s">
        <v>3238</v>
      </c>
      <c r="G2194" s="5" t="s">
        <v>3285</v>
      </c>
      <c r="H2194" s="2" t="s">
        <v>108</v>
      </c>
      <c r="I2194" s="5" t="s">
        <v>3286</v>
      </c>
      <c r="J2194" s="5" t="s">
        <v>52</v>
      </c>
      <c r="K2194" s="5" t="s">
        <v>152</v>
      </c>
      <c r="L2194" s="5" t="s">
        <v>46</v>
      </c>
      <c r="M2194" s="5" t="s">
        <v>46</v>
      </c>
      <c r="N2194" s="5" t="s">
        <v>1935</v>
      </c>
      <c r="O2194" s="5" t="s">
        <v>46</v>
      </c>
      <c r="P2194" s="5" t="s">
        <v>46</v>
      </c>
      <c r="Q2194" s="5" t="s">
        <v>46</v>
      </c>
      <c r="R2194" s="5" t="s">
        <v>46</v>
      </c>
      <c r="S2194" s="5" t="s">
        <v>46</v>
      </c>
      <c r="T2194" s="5" t="s">
        <v>46</v>
      </c>
      <c r="U2194" s="5" t="s">
        <v>46</v>
      </c>
      <c r="V2194" s="5" t="n">
        <v>1</v>
      </c>
      <c r="W2194" s="5" t="s">
        <v>46</v>
      </c>
      <c r="X2194" s="5" t="s">
        <v>2740</v>
      </c>
      <c r="Y2194" s="5" t="s">
        <v>153</v>
      </c>
      <c r="Z2194" s="5" t="s">
        <v>3245</v>
      </c>
      <c r="AA2194" s="5" t="s">
        <v>3246</v>
      </c>
      <c r="AB2194" s="5" t="s">
        <v>3247</v>
      </c>
      <c r="AC2194" s="5" t="s">
        <v>3248</v>
      </c>
      <c r="AD2194" s="5" t="s">
        <v>3249</v>
      </c>
      <c r="AE2194" s="5" t="s">
        <v>3287</v>
      </c>
      <c r="AF2194" s="5" t="s">
        <v>3288</v>
      </c>
    </row>
    <row r="2195" customFormat="false" ht="13.8" hidden="false" customHeight="false" outlineLevel="0" collapsed="false">
      <c r="A2195" s="5" t="s">
        <v>3235</v>
      </c>
      <c r="C2195" s="5" t="s">
        <v>3236</v>
      </c>
      <c r="D2195" s="5" t="s">
        <v>19</v>
      </c>
      <c r="E2195" s="5" t="s">
        <v>3237</v>
      </c>
      <c r="F2195" s="5" t="s">
        <v>3238</v>
      </c>
      <c r="G2195" s="5" t="s">
        <v>3289</v>
      </c>
      <c r="H2195" s="2" t="s">
        <v>58</v>
      </c>
      <c r="I2195" s="5" t="s">
        <v>3290</v>
      </c>
      <c r="J2195" s="5" t="s">
        <v>52</v>
      </c>
      <c r="K2195" s="5" t="s">
        <v>164</v>
      </c>
      <c r="L2195" s="5" t="s">
        <v>46</v>
      </c>
      <c r="M2195" s="5" t="s">
        <v>46</v>
      </c>
      <c r="N2195" s="5" t="s">
        <v>1935</v>
      </c>
      <c r="O2195" s="5" t="s">
        <v>46</v>
      </c>
      <c r="P2195" s="5" t="s">
        <v>46</v>
      </c>
      <c r="Q2195" s="5" t="s">
        <v>46</v>
      </c>
      <c r="R2195" s="5" t="s">
        <v>46</v>
      </c>
      <c r="S2195" s="5" t="s">
        <v>46</v>
      </c>
      <c r="T2195" s="5" t="s">
        <v>46</v>
      </c>
      <c r="U2195" s="5" t="s">
        <v>46</v>
      </c>
      <c r="V2195" s="5" t="n">
        <v>2</v>
      </c>
      <c r="W2195" s="5" t="s">
        <v>46</v>
      </c>
      <c r="X2195" s="5" t="s">
        <v>2740</v>
      </c>
      <c r="Y2195" s="5" t="s">
        <v>153</v>
      </c>
      <c r="Z2195" s="5" t="s">
        <v>3245</v>
      </c>
      <c r="AA2195" s="5" t="s">
        <v>3246</v>
      </c>
      <c r="AB2195" s="5" t="s">
        <v>3247</v>
      </c>
      <c r="AC2195" s="5" t="s">
        <v>3248</v>
      </c>
      <c r="AD2195" s="5" t="s">
        <v>3249</v>
      </c>
      <c r="AE2195" s="5" t="s">
        <v>3291</v>
      </c>
      <c r="AF2195" s="5" t="s">
        <v>3292</v>
      </c>
    </row>
    <row r="2196" customFormat="false" ht="13.8" hidden="false" customHeight="false" outlineLevel="0" collapsed="false">
      <c r="A2196" s="5" t="s">
        <v>3235</v>
      </c>
      <c r="C2196" s="5" t="s">
        <v>3236</v>
      </c>
      <c r="D2196" s="5" t="s">
        <v>19</v>
      </c>
      <c r="E2196" s="5" t="s">
        <v>3237</v>
      </c>
      <c r="F2196" s="5" t="s">
        <v>3238</v>
      </c>
      <c r="G2196" s="5" t="s">
        <v>3293</v>
      </c>
      <c r="H2196" s="2" t="s">
        <v>385</v>
      </c>
      <c r="I2196" s="5" t="s">
        <v>3294</v>
      </c>
      <c r="J2196" s="5" t="s">
        <v>52</v>
      </c>
      <c r="K2196" s="5" t="s">
        <v>170</v>
      </c>
      <c r="L2196" s="5" t="s">
        <v>46</v>
      </c>
      <c r="M2196" s="5" t="s">
        <v>46</v>
      </c>
      <c r="N2196" s="5" t="s">
        <v>1935</v>
      </c>
      <c r="O2196" s="5" t="s">
        <v>46</v>
      </c>
      <c r="P2196" s="5" t="s">
        <v>46</v>
      </c>
      <c r="Q2196" s="5" t="s">
        <v>46</v>
      </c>
      <c r="R2196" s="5" t="s">
        <v>46</v>
      </c>
      <c r="S2196" s="5" t="s">
        <v>46</v>
      </c>
      <c r="T2196" s="5" t="s">
        <v>46</v>
      </c>
      <c r="U2196" s="5" t="s">
        <v>46</v>
      </c>
      <c r="V2196" s="5" t="n">
        <v>3</v>
      </c>
      <c r="W2196" s="5" t="s">
        <v>46</v>
      </c>
      <c r="X2196" s="5" t="s">
        <v>2740</v>
      </c>
      <c r="Y2196" s="5" t="s">
        <v>153</v>
      </c>
      <c r="Z2196" s="5" t="s">
        <v>3245</v>
      </c>
      <c r="AA2196" s="5" t="s">
        <v>3246</v>
      </c>
      <c r="AB2196" s="5" t="s">
        <v>3247</v>
      </c>
      <c r="AC2196" s="5" t="s">
        <v>3248</v>
      </c>
      <c r="AD2196" s="5" t="s">
        <v>3249</v>
      </c>
      <c r="AE2196" s="5" t="s">
        <v>3295</v>
      </c>
      <c r="AF2196" s="5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5" t="s">
        <v>3302</v>
      </c>
      <c r="J2197" s="1" t="s">
        <v>38</v>
      </c>
      <c r="K2197" s="1" t="s">
        <v>3241</v>
      </c>
      <c r="L2197" s="1" t="s">
        <v>46</v>
      </c>
      <c r="M2197" s="1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5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5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5" t="s">
        <v>3311</v>
      </c>
      <c r="J2198" s="1" t="s">
        <v>38</v>
      </c>
      <c r="K2198" s="1" t="s">
        <v>3254</v>
      </c>
      <c r="L2198" s="1" t="s">
        <v>46</v>
      </c>
      <c r="M2198" s="1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5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5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5" t="s">
        <v>3314</v>
      </c>
      <c r="J2199" s="1" t="s">
        <v>38</v>
      </c>
      <c r="K2199" s="1" t="s">
        <v>3315</v>
      </c>
      <c r="L2199" s="1" t="s">
        <v>46</v>
      </c>
      <c r="M2199" s="1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5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5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5" t="s">
        <v>3318</v>
      </c>
      <c r="J2200" s="1" t="s">
        <v>52</v>
      </c>
      <c r="K2200" s="1" t="s">
        <v>3265</v>
      </c>
      <c r="L2200" s="1" t="s">
        <v>46</v>
      </c>
      <c r="M2200" s="1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5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5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5" t="s">
        <v>3321</v>
      </c>
      <c r="J2201" s="1" t="s">
        <v>52</v>
      </c>
      <c r="K2201" s="1" t="s">
        <v>3270</v>
      </c>
      <c r="L2201" s="1" t="s">
        <v>46</v>
      </c>
      <c r="M2201" s="1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5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5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5" t="s">
        <v>3324</v>
      </c>
      <c r="J2202" s="1" t="s">
        <v>52</v>
      </c>
      <c r="K2202" s="1" t="s">
        <v>3325</v>
      </c>
      <c r="L2202" s="1" t="s">
        <v>46</v>
      </c>
      <c r="M2202" s="1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5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5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5" t="s">
        <v>3328</v>
      </c>
      <c r="J2203" s="1" t="s">
        <v>52</v>
      </c>
      <c r="K2203" s="1" t="s">
        <v>152</v>
      </c>
      <c r="L2203" s="1" t="s">
        <v>46</v>
      </c>
      <c r="M2203" s="1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5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5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5" t="s">
        <v>3331</v>
      </c>
      <c r="J2204" s="1" t="s">
        <v>52</v>
      </c>
      <c r="K2204" s="1" t="s">
        <v>164</v>
      </c>
      <c r="L2204" s="1" t="s">
        <v>46</v>
      </c>
      <c r="M2204" s="1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5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5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5" t="s">
        <v>3334</v>
      </c>
      <c r="J2205" s="1" t="s">
        <v>52</v>
      </c>
      <c r="K2205" s="1" t="s">
        <v>170</v>
      </c>
      <c r="L2205" s="1" t="s">
        <v>46</v>
      </c>
      <c r="M2205" s="1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5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5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5" t="s">
        <v>3337</v>
      </c>
      <c r="J2206" s="1" t="s">
        <v>52</v>
      </c>
      <c r="K2206" s="1" t="s">
        <v>157</v>
      </c>
      <c r="L2206" s="1" t="s">
        <v>46</v>
      </c>
      <c r="M2206" s="1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5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5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5" t="s">
        <v>3340</v>
      </c>
      <c r="J2207" s="1" t="s">
        <v>52</v>
      </c>
      <c r="K2207" s="1" t="s">
        <v>165</v>
      </c>
      <c r="L2207" s="1" t="s">
        <v>46</v>
      </c>
      <c r="M2207" s="1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5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5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5" t="s">
        <v>3343</v>
      </c>
      <c r="J2208" s="1" t="s">
        <v>52</v>
      </c>
      <c r="K2208" s="1" t="s">
        <v>171</v>
      </c>
      <c r="L2208" s="1" t="s">
        <v>46</v>
      </c>
      <c r="M2208" s="1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5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5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5" t="s">
        <v>3351</v>
      </c>
      <c r="J2209" s="1" t="s">
        <v>38</v>
      </c>
      <c r="K2209" s="1" t="s">
        <v>3352</v>
      </c>
      <c r="L2209" s="1" t="s">
        <v>46</v>
      </c>
      <c r="M2209" s="1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5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5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5" t="s">
        <v>3359</v>
      </c>
      <c r="J2210" s="1" t="s">
        <v>38</v>
      </c>
      <c r="K2210" s="1" t="s">
        <v>3360</v>
      </c>
      <c r="L2210" s="1" t="s">
        <v>46</v>
      </c>
      <c r="M2210" s="1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5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5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5" t="s">
        <v>3362</v>
      </c>
      <c r="J2211" s="1" t="s">
        <v>52</v>
      </c>
      <c r="K2211" s="1" t="s">
        <v>3363</v>
      </c>
      <c r="L2211" s="1" t="s">
        <v>46</v>
      </c>
      <c r="M2211" s="1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5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5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5" t="s">
        <v>3365</v>
      </c>
      <c r="J2212" s="1" t="s">
        <v>52</v>
      </c>
      <c r="K2212" s="1" t="s">
        <v>3366</v>
      </c>
      <c r="L2212" s="1" t="s">
        <v>46</v>
      </c>
      <c r="M2212" s="1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5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5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5" t="s">
        <v>3368</v>
      </c>
      <c r="J2213" s="1" t="s">
        <v>52</v>
      </c>
      <c r="K2213" s="1" t="s">
        <v>3369</v>
      </c>
      <c r="L2213" s="1" t="s">
        <v>46</v>
      </c>
      <c r="M2213" s="1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5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5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5" t="s">
        <v>3371</v>
      </c>
      <c r="J2214" s="1" t="s">
        <v>52</v>
      </c>
      <c r="K2214" s="1" t="s">
        <v>3372</v>
      </c>
      <c r="L2214" s="1" t="s">
        <v>46</v>
      </c>
      <c r="M2214" s="1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5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5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5" t="s">
        <v>3374</v>
      </c>
      <c r="J2215" s="1" t="s">
        <v>52</v>
      </c>
      <c r="K2215" s="1" t="s">
        <v>3375</v>
      </c>
      <c r="L2215" s="1" t="s">
        <v>46</v>
      </c>
      <c r="M2215" s="1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5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5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5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2" t="s">
        <v>3381</v>
      </c>
      <c r="L2216" s="5" t="s">
        <v>69</v>
      </c>
      <c r="M2216" s="5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5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1" t="s">
        <v>2640</v>
      </c>
      <c r="Y2216" s="1" t="n">
        <v>5500</v>
      </c>
    </row>
    <row r="2217" customFormat="false" ht="13.8" hidden="false" customHeight="false" outlineLevel="0" collapsed="false">
      <c r="A2217" s="5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2" t="s">
        <v>3386</v>
      </c>
      <c r="L2217" s="5" t="s">
        <v>69</v>
      </c>
      <c r="M2217" s="5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5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1" t="s">
        <v>2640</v>
      </c>
      <c r="Y2217" s="1" t="n">
        <v>5500</v>
      </c>
    </row>
    <row r="2218" customFormat="false" ht="13.8" hidden="false" customHeight="false" outlineLevel="0" collapsed="false">
      <c r="A2218" s="5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2" t="s">
        <v>3388</v>
      </c>
      <c r="L2218" s="5" t="s">
        <v>69</v>
      </c>
      <c r="M2218" s="5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5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1" t="s">
        <v>2640</v>
      </c>
      <c r="Y2218" s="1" t="n">
        <v>5500</v>
      </c>
    </row>
    <row r="2219" customFormat="false" ht="13.8" hidden="false" customHeight="false" outlineLevel="0" collapsed="false">
      <c r="A2219" s="5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2" t="s">
        <v>3390</v>
      </c>
      <c r="L2219" s="5" t="s">
        <v>69</v>
      </c>
      <c r="M2219" s="5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5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1" t="s">
        <v>2640</v>
      </c>
      <c r="Y2219" s="1" t="n">
        <v>5500</v>
      </c>
    </row>
    <row r="2220" customFormat="false" ht="13.8" hidden="false" customHeight="false" outlineLevel="0" collapsed="false">
      <c r="A2220" s="5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2" t="s">
        <v>3392</v>
      </c>
      <c r="L2220" s="5" t="s">
        <v>69</v>
      </c>
      <c r="M2220" s="5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5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1" t="s">
        <v>2640</v>
      </c>
      <c r="Y2220" s="1" t="n">
        <v>5500</v>
      </c>
    </row>
    <row r="2221" customFormat="false" ht="13.8" hidden="false" customHeight="false" outlineLevel="0" collapsed="false">
      <c r="A2221" s="5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2" t="s">
        <v>3394</v>
      </c>
      <c r="L2221" s="5" t="s">
        <v>69</v>
      </c>
      <c r="M2221" s="5" t="s">
        <v>69</v>
      </c>
      <c r="N2221" s="1" t="s">
        <v>3383</v>
      </c>
      <c r="O2221" s="1" t="s">
        <v>3396</v>
      </c>
      <c r="P2221" s="1" t="s">
        <v>3385</v>
      </c>
      <c r="Q2221" s="1" t="s">
        <v>3385</v>
      </c>
      <c r="R2221" s="5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1" t="s">
        <v>2640</v>
      </c>
      <c r="Y2221" s="1" t="n">
        <v>5500</v>
      </c>
    </row>
    <row r="2222" customFormat="false" ht="13.8" hidden="false" customHeight="false" outlineLevel="0" collapsed="false">
      <c r="A2222" s="5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3397</v>
      </c>
      <c r="I2222" s="1" t="s">
        <v>3398</v>
      </c>
      <c r="J2222" s="1" t="s">
        <v>52</v>
      </c>
      <c r="K2222" s="2" t="s">
        <v>3397</v>
      </c>
      <c r="L2222" s="5" t="s">
        <v>69</v>
      </c>
      <c r="M2222" s="5" t="s">
        <v>69</v>
      </c>
      <c r="N2222" s="1" t="s">
        <v>3383</v>
      </c>
      <c r="O2222" s="1" t="s">
        <v>3396</v>
      </c>
      <c r="P2222" s="1" t="s">
        <v>3385</v>
      </c>
      <c r="Q2222" s="1" t="s">
        <v>3385</v>
      </c>
      <c r="R2222" s="5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1" t="s">
        <v>2640</v>
      </c>
      <c r="Y2222" s="1" t="n">
        <v>5500</v>
      </c>
    </row>
    <row r="2223" customFormat="false" ht="13.8" hidden="false" customHeight="false" outlineLevel="0" collapsed="false">
      <c r="A2223" s="5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3399</v>
      </c>
      <c r="I2223" s="1" t="s">
        <v>3400</v>
      </c>
      <c r="J2223" s="1" t="s">
        <v>52</v>
      </c>
      <c r="K2223" s="2" t="s">
        <v>3399</v>
      </c>
      <c r="L2223" s="5" t="s">
        <v>69</v>
      </c>
      <c r="M2223" s="5" t="s">
        <v>69</v>
      </c>
      <c r="N2223" s="1" t="s">
        <v>3383</v>
      </c>
      <c r="O2223" s="1" t="s">
        <v>3396</v>
      </c>
      <c r="P2223" s="1" t="s">
        <v>3385</v>
      </c>
      <c r="Q2223" s="1" t="s">
        <v>3385</v>
      </c>
      <c r="R2223" s="5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1" t="s">
        <v>2640</v>
      </c>
      <c r="Y2223" s="1" t="n">
        <v>5500</v>
      </c>
    </row>
    <row r="2224" customFormat="false" ht="13.8" hidden="false" customHeight="false" outlineLevel="0" collapsed="false">
      <c r="A2224" s="5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3401</v>
      </c>
      <c r="I2224" s="1" t="s">
        <v>3402</v>
      </c>
      <c r="J2224" s="1" t="s">
        <v>52</v>
      </c>
      <c r="K2224" s="2" t="s">
        <v>3401</v>
      </c>
      <c r="L2224" s="5" t="s">
        <v>69</v>
      </c>
      <c r="M2224" s="5" t="s">
        <v>69</v>
      </c>
      <c r="N2224" s="1" t="s">
        <v>3383</v>
      </c>
      <c r="O2224" s="1" t="s">
        <v>3396</v>
      </c>
      <c r="P2224" s="1" t="s">
        <v>3385</v>
      </c>
      <c r="Q2224" s="1" t="s">
        <v>3385</v>
      </c>
      <c r="R2224" s="5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1" t="s">
        <v>2640</v>
      </c>
      <c r="Y2224" s="1" t="n">
        <v>5500</v>
      </c>
    </row>
    <row r="2225" customFormat="false" ht="13.8" hidden="false" customHeight="false" outlineLevel="0" collapsed="false">
      <c r="A2225" s="5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3403</v>
      </c>
      <c r="I2225" s="1" t="s">
        <v>3404</v>
      </c>
      <c r="J2225" s="1" t="s">
        <v>52</v>
      </c>
      <c r="K2225" s="2" t="s">
        <v>3403</v>
      </c>
      <c r="L2225" s="5" t="s">
        <v>69</v>
      </c>
      <c r="M2225" s="5" t="s">
        <v>69</v>
      </c>
      <c r="N2225" s="1" t="s">
        <v>3383</v>
      </c>
      <c r="O2225" s="1" t="s">
        <v>3396</v>
      </c>
      <c r="P2225" s="1" t="s">
        <v>3385</v>
      </c>
      <c r="Q2225" s="1" t="s">
        <v>3385</v>
      </c>
      <c r="R2225" s="5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1" t="s">
        <v>2640</v>
      </c>
      <c r="Y2225" s="1" t="n">
        <v>5500</v>
      </c>
    </row>
    <row r="2226" customFormat="false" ht="13.8" hidden="false" customHeight="false" outlineLevel="0" collapsed="false">
      <c r="A2226" s="5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3405</v>
      </c>
      <c r="I2226" s="1" t="s">
        <v>3406</v>
      </c>
      <c r="J2226" s="1" t="s">
        <v>52</v>
      </c>
      <c r="K2226" s="2" t="s">
        <v>3405</v>
      </c>
      <c r="L2226" s="5" t="s">
        <v>69</v>
      </c>
      <c r="M2226" s="5" t="s">
        <v>69</v>
      </c>
      <c r="N2226" s="1" t="s">
        <v>3383</v>
      </c>
      <c r="O2226" s="1" t="s">
        <v>3407</v>
      </c>
      <c r="P2226" s="1" t="s">
        <v>3385</v>
      </c>
      <c r="Q2226" s="1" t="s">
        <v>3385</v>
      </c>
      <c r="R2226" s="5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1" t="s">
        <v>2640</v>
      </c>
      <c r="Y2226" s="1" t="n">
        <v>5500</v>
      </c>
    </row>
    <row r="2227" customFormat="false" ht="13.8" hidden="false" customHeight="false" outlineLevel="0" collapsed="false">
      <c r="A2227" s="5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3408</v>
      </c>
      <c r="I2227" s="1" t="s">
        <v>3409</v>
      </c>
      <c r="J2227" s="1" t="s">
        <v>52</v>
      </c>
      <c r="K2227" s="2" t="s">
        <v>3408</v>
      </c>
      <c r="L2227" s="5" t="s">
        <v>69</v>
      </c>
      <c r="M2227" s="5" t="s">
        <v>69</v>
      </c>
      <c r="N2227" s="1" t="s">
        <v>3383</v>
      </c>
      <c r="O2227" s="1" t="s">
        <v>3407</v>
      </c>
      <c r="P2227" s="1" t="s">
        <v>3385</v>
      </c>
      <c r="Q2227" s="1" t="s">
        <v>3385</v>
      </c>
      <c r="R2227" s="5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5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3410</v>
      </c>
      <c r="I2228" s="1" t="s">
        <v>3411</v>
      </c>
      <c r="J2228" s="1" t="s">
        <v>52</v>
      </c>
      <c r="K2228" s="2" t="s">
        <v>3410</v>
      </c>
      <c r="L2228" s="5" t="s">
        <v>69</v>
      </c>
      <c r="M2228" s="5" t="s">
        <v>69</v>
      </c>
      <c r="N2228" s="1" t="s">
        <v>3383</v>
      </c>
      <c r="O2228" s="1" t="s">
        <v>3407</v>
      </c>
      <c r="P2228" s="1" t="s">
        <v>3385</v>
      </c>
      <c r="Q2228" s="1" t="s">
        <v>3385</v>
      </c>
      <c r="R2228" s="5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5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3412</v>
      </c>
      <c r="I2229" s="1" t="s">
        <v>3413</v>
      </c>
      <c r="J2229" s="1" t="s">
        <v>52</v>
      </c>
      <c r="K2229" s="2" t="s">
        <v>3412</v>
      </c>
      <c r="L2229" s="5" t="s">
        <v>69</v>
      </c>
      <c r="M2229" s="5" t="s">
        <v>69</v>
      </c>
      <c r="N2229" s="1" t="s">
        <v>3383</v>
      </c>
      <c r="O2229" s="1" t="s">
        <v>3407</v>
      </c>
      <c r="P2229" s="1" t="s">
        <v>3385</v>
      </c>
      <c r="Q2229" s="1" t="s">
        <v>3385</v>
      </c>
      <c r="R2229" s="5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5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3414</v>
      </c>
      <c r="I2230" s="1" t="s">
        <v>3415</v>
      </c>
      <c r="J2230" s="1" t="s">
        <v>52</v>
      </c>
      <c r="K2230" s="2" t="s">
        <v>3414</v>
      </c>
      <c r="L2230" s="5" t="s">
        <v>69</v>
      </c>
      <c r="M2230" s="5" t="s">
        <v>69</v>
      </c>
      <c r="N2230" s="1" t="s">
        <v>3383</v>
      </c>
      <c r="O2230" s="1" t="s">
        <v>3416</v>
      </c>
      <c r="P2230" s="1" t="s">
        <v>3385</v>
      </c>
      <c r="Q2230" s="1" t="s">
        <v>3385</v>
      </c>
      <c r="R2230" s="5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5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3417</v>
      </c>
      <c r="I2231" s="1" t="s">
        <v>3418</v>
      </c>
      <c r="J2231" s="1" t="s">
        <v>52</v>
      </c>
      <c r="K2231" s="2" t="s">
        <v>3417</v>
      </c>
      <c r="L2231" s="5" t="s">
        <v>69</v>
      </c>
      <c r="M2231" s="5" t="s">
        <v>69</v>
      </c>
      <c r="N2231" s="1" t="s">
        <v>3383</v>
      </c>
      <c r="O2231" s="1" t="s">
        <v>3416</v>
      </c>
      <c r="P2231" s="1" t="s">
        <v>3385</v>
      </c>
      <c r="Q2231" s="1" t="s">
        <v>3385</v>
      </c>
      <c r="R2231" s="5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5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3419</v>
      </c>
      <c r="I2232" s="1" t="s">
        <v>3420</v>
      </c>
      <c r="J2232" s="1" t="s">
        <v>52</v>
      </c>
      <c r="K2232" s="2" t="s">
        <v>3419</v>
      </c>
      <c r="L2232" s="5" t="s">
        <v>69</v>
      </c>
      <c r="M2232" s="5" t="s">
        <v>69</v>
      </c>
      <c r="N2232" s="1" t="s">
        <v>3383</v>
      </c>
      <c r="O2232" s="1" t="s">
        <v>3416</v>
      </c>
      <c r="P2232" s="1" t="s">
        <v>3385</v>
      </c>
      <c r="Q2232" s="1" t="s">
        <v>3385</v>
      </c>
      <c r="R2232" s="5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5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3421</v>
      </c>
      <c r="I2233" s="1" t="s">
        <v>3422</v>
      </c>
      <c r="J2233" s="1" t="s">
        <v>52</v>
      </c>
      <c r="K2233" s="2" t="s">
        <v>3421</v>
      </c>
      <c r="L2233" s="5" t="s">
        <v>69</v>
      </c>
      <c r="M2233" s="5" t="s">
        <v>69</v>
      </c>
      <c r="N2233" s="1" t="s">
        <v>3383</v>
      </c>
      <c r="O2233" s="1" t="s">
        <v>3416</v>
      </c>
      <c r="P2233" s="1" t="s">
        <v>3385</v>
      </c>
      <c r="Q2233" s="1" t="s">
        <v>3385</v>
      </c>
      <c r="R2233" s="5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5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3423</v>
      </c>
      <c r="I2234" s="1" t="s">
        <v>3424</v>
      </c>
      <c r="J2234" s="1" t="s">
        <v>52</v>
      </c>
      <c r="K2234" s="2" t="s">
        <v>3423</v>
      </c>
      <c r="L2234" s="5" t="s">
        <v>69</v>
      </c>
      <c r="M2234" s="5" t="s">
        <v>69</v>
      </c>
      <c r="N2234" s="1" t="s">
        <v>3383</v>
      </c>
      <c r="O2234" s="1" t="s">
        <v>3416</v>
      </c>
      <c r="P2234" s="1" t="s">
        <v>3385</v>
      </c>
      <c r="Q2234" s="1" t="s">
        <v>3385</v>
      </c>
      <c r="R2234" s="5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5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3425</v>
      </c>
      <c r="I2235" s="1" t="s">
        <v>3426</v>
      </c>
      <c r="J2235" s="1" t="s">
        <v>52</v>
      </c>
      <c r="K2235" s="2" t="s">
        <v>3425</v>
      </c>
      <c r="L2235" s="5" t="s">
        <v>69</v>
      </c>
      <c r="M2235" s="5" t="s">
        <v>69</v>
      </c>
      <c r="N2235" s="1" t="s">
        <v>3383</v>
      </c>
      <c r="O2235" s="1" t="s">
        <v>3427</v>
      </c>
      <c r="P2235" s="1" t="s">
        <v>3385</v>
      </c>
      <c r="Q2235" s="1" t="s">
        <v>3385</v>
      </c>
      <c r="R2235" s="5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5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3428</v>
      </c>
      <c r="I2236" s="1" t="s">
        <v>3429</v>
      </c>
      <c r="J2236" s="1" t="s">
        <v>52</v>
      </c>
      <c r="K2236" s="2" t="s">
        <v>3428</v>
      </c>
      <c r="L2236" s="5" t="s">
        <v>69</v>
      </c>
      <c r="M2236" s="5" t="s">
        <v>69</v>
      </c>
      <c r="N2236" s="1" t="s">
        <v>3383</v>
      </c>
      <c r="O2236" s="1" t="s">
        <v>3427</v>
      </c>
      <c r="P2236" s="1" t="s">
        <v>3385</v>
      </c>
      <c r="Q2236" s="1" t="s">
        <v>3385</v>
      </c>
      <c r="R2236" s="5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5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3430</v>
      </c>
      <c r="I2237" s="1" t="s">
        <v>3431</v>
      </c>
      <c r="J2237" s="1" t="s">
        <v>52</v>
      </c>
      <c r="K2237" s="2" t="s">
        <v>3430</v>
      </c>
      <c r="L2237" s="5" t="s">
        <v>69</v>
      </c>
      <c r="M2237" s="5" t="s">
        <v>69</v>
      </c>
      <c r="N2237" s="1" t="s">
        <v>3383</v>
      </c>
      <c r="O2237" s="1" t="s">
        <v>3427</v>
      </c>
      <c r="P2237" s="1" t="s">
        <v>3385</v>
      </c>
      <c r="Q2237" s="1" t="s">
        <v>3385</v>
      </c>
      <c r="R2237" s="5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5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3432</v>
      </c>
      <c r="I2238" s="1" t="s">
        <v>3433</v>
      </c>
      <c r="J2238" s="1" t="s">
        <v>52</v>
      </c>
      <c r="K2238" s="2" t="s">
        <v>3432</v>
      </c>
      <c r="L2238" s="5" t="s">
        <v>69</v>
      </c>
      <c r="M2238" s="5" t="s">
        <v>69</v>
      </c>
      <c r="N2238" s="1" t="s">
        <v>3383</v>
      </c>
      <c r="O2238" s="1" t="s">
        <v>3427</v>
      </c>
      <c r="P2238" s="1" t="s">
        <v>3385</v>
      </c>
      <c r="Q2238" s="1" t="s">
        <v>3385</v>
      </c>
      <c r="R2238" s="5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5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3434</v>
      </c>
      <c r="I2239" s="1" t="s">
        <v>3435</v>
      </c>
      <c r="J2239" s="1" t="s">
        <v>52</v>
      </c>
      <c r="K2239" s="2" t="s">
        <v>3434</v>
      </c>
      <c r="L2239" s="5" t="s">
        <v>69</v>
      </c>
      <c r="M2239" s="5" t="s">
        <v>69</v>
      </c>
      <c r="N2239" s="1" t="s">
        <v>3383</v>
      </c>
      <c r="O2239" s="1" t="s">
        <v>3427</v>
      </c>
      <c r="P2239" s="1" t="s">
        <v>3385</v>
      </c>
      <c r="Q2239" s="1" t="s">
        <v>3385</v>
      </c>
      <c r="R2239" s="5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5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3436</v>
      </c>
      <c r="I2240" s="1" t="s">
        <v>3437</v>
      </c>
      <c r="J2240" s="1" t="s">
        <v>52</v>
      </c>
      <c r="K2240" s="2" t="s">
        <v>3436</v>
      </c>
      <c r="L2240" s="5" t="s">
        <v>69</v>
      </c>
      <c r="M2240" s="5" t="s">
        <v>69</v>
      </c>
      <c r="N2240" s="1" t="s">
        <v>1935</v>
      </c>
      <c r="O2240" s="1" t="s">
        <v>46</v>
      </c>
      <c r="P2240" s="1" t="s">
        <v>46</v>
      </c>
      <c r="Q2240" s="1" t="s">
        <v>46</v>
      </c>
      <c r="R2240" s="5" t="s">
        <v>46</v>
      </c>
      <c r="S2240" s="1" t="s">
        <v>46</v>
      </c>
      <c r="T2240" s="1" t="s">
        <v>46</v>
      </c>
      <c r="U2240" s="1" t="s">
        <v>46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5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3438</v>
      </c>
      <c r="I2241" s="1" t="s">
        <v>3439</v>
      </c>
      <c r="J2241" s="1" t="s">
        <v>52</v>
      </c>
      <c r="K2241" s="2" t="s">
        <v>3438</v>
      </c>
      <c r="L2241" s="5" t="s">
        <v>69</v>
      </c>
      <c r="M2241" s="5" t="s">
        <v>69</v>
      </c>
      <c r="N2241" s="1" t="s">
        <v>1935</v>
      </c>
      <c r="O2241" s="1" t="s">
        <v>46</v>
      </c>
      <c r="P2241" s="1" t="s">
        <v>46</v>
      </c>
      <c r="Q2241" s="1" t="s">
        <v>46</v>
      </c>
      <c r="R2241" s="5" t="s">
        <v>46</v>
      </c>
      <c r="S2241" s="1" t="s">
        <v>46</v>
      </c>
      <c r="T2241" s="1" t="s">
        <v>46</v>
      </c>
      <c r="U2241" s="1" t="s">
        <v>46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5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3440</v>
      </c>
      <c r="I2242" s="1" t="s">
        <v>3441</v>
      </c>
      <c r="J2242" s="1" t="s">
        <v>52</v>
      </c>
      <c r="K2242" s="2" t="s">
        <v>3440</v>
      </c>
      <c r="L2242" s="5" t="s">
        <v>69</v>
      </c>
      <c r="M2242" s="5" t="s">
        <v>69</v>
      </c>
      <c r="N2242" s="1" t="s">
        <v>1935</v>
      </c>
      <c r="O2242" s="1" t="s">
        <v>46</v>
      </c>
      <c r="P2242" s="1" t="s">
        <v>46</v>
      </c>
      <c r="Q2242" s="1" t="s">
        <v>46</v>
      </c>
      <c r="R2242" s="5" t="s">
        <v>46</v>
      </c>
      <c r="S2242" s="1" t="s">
        <v>46</v>
      </c>
      <c r="T2242" s="1" t="s">
        <v>46</v>
      </c>
      <c r="U2242" s="1" t="s">
        <v>46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5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3442</v>
      </c>
      <c r="I2243" s="1" t="s">
        <v>3443</v>
      </c>
      <c r="J2243" s="1" t="s">
        <v>52</v>
      </c>
      <c r="K2243" s="2" t="s">
        <v>3442</v>
      </c>
      <c r="L2243" s="5" t="s">
        <v>69</v>
      </c>
      <c r="M2243" s="5" t="s">
        <v>69</v>
      </c>
      <c r="N2243" s="1" t="s">
        <v>1935</v>
      </c>
      <c r="O2243" s="1" t="s">
        <v>46</v>
      </c>
      <c r="P2243" s="1" t="s">
        <v>46</v>
      </c>
      <c r="Q2243" s="1" t="s">
        <v>46</v>
      </c>
      <c r="R2243" s="5" t="s">
        <v>46</v>
      </c>
      <c r="S2243" s="1" t="s">
        <v>46</v>
      </c>
      <c r="T2243" s="1" t="s">
        <v>46</v>
      </c>
      <c r="U2243" s="1" t="s">
        <v>46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5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3444</v>
      </c>
      <c r="I2244" s="1" t="s">
        <v>3445</v>
      </c>
      <c r="J2244" s="1" t="s">
        <v>52</v>
      </c>
      <c r="K2244" s="2" t="s">
        <v>3444</v>
      </c>
      <c r="L2244" s="5" t="s">
        <v>69</v>
      </c>
      <c r="M2244" s="5" t="s">
        <v>69</v>
      </c>
      <c r="N2244" s="1" t="s">
        <v>1935</v>
      </c>
      <c r="O2244" s="1" t="s">
        <v>46</v>
      </c>
      <c r="P2244" s="1" t="s">
        <v>46</v>
      </c>
      <c r="Q2244" s="1" t="s">
        <v>46</v>
      </c>
      <c r="R2244" s="5" t="s">
        <v>46</v>
      </c>
      <c r="S2244" s="1" t="s">
        <v>46</v>
      </c>
      <c r="T2244" s="1" t="s">
        <v>46</v>
      </c>
      <c r="U2244" s="1" t="s">
        <v>46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5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3446</v>
      </c>
      <c r="I2245" s="1" t="s">
        <v>3447</v>
      </c>
      <c r="J2245" s="1" t="s">
        <v>52</v>
      </c>
      <c r="K2245" s="2" t="s">
        <v>3446</v>
      </c>
      <c r="L2245" s="5" t="s">
        <v>69</v>
      </c>
      <c r="M2245" s="5" t="s">
        <v>69</v>
      </c>
      <c r="N2245" s="1" t="s">
        <v>1935</v>
      </c>
      <c r="O2245" s="1" t="s">
        <v>46</v>
      </c>
      <c r="P2245" s="1" t="s">
        <v>46</v>
      </c>
      <c r="Q2245" s="1" t="s">
        <v>46</v>
      </c>
      <c r="R2245" s="5" t="s">
        <v>46</v>
      </c>
      <c r="S2245" s="1" t="s">
        <v>46</v>
      </c>
      <c r="T2245" s="1" t="s">
        <v>46</v>
      </c>
      <c r="U2245" s="1" t="s">
        <v>46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5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3448</v>
      </c>
      <c r="I2246" s="1" t="s">
        <v>3449</v>
      </c>
      <c r="J2246" s="1" t="s">
        <v>52</v>
      </c>
      <c r="K2246" s="2" t="s">
        <v>3448</v>
      </c>
      <c r="L2246" s="5" t="s">
        <v>69</v>
      </c>
      <c r="M2246" s="5" t="s">
        <v>69</v>
      </c>
      <c r="N2246" s="1" t="s">
        <v>1935</v>
      </c>
      <c r="O2246" s="1" t="s">
        <v>46</v>
      </c>
      <c r="P2246" s="1" t="s">
        <v>46</v>
      </c>
      <c r="Q2246" s="1" t="s">
        <v>46</v>
      </c>
      <c r="R2246" s="5" t="s">
        <v>46</v>
      </c>
      <c r="S2246" s="1" t="s">
        <v>46</v>
      </c>
      <c r="T2246" s="1" t="s">
        <v>46</v>
      </c>
      <c r="U2246" s="1" t="s">
        <v>46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5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3450</v>
      </c>
      <c r="I2247" s="1" t="s">
        <v>3451</v>
      </c>
      <c r="J2247" s="1" t="s">
        <v>52</v>
      </c>
      <c r="K2247" s="2" t="s">
        <v>3450</v>
      </c>
      <c r="L2247" s="5" t="s">
        <v>69</v>
      </c>
      <c r="M2247" s="5" t="s">
        <v>69</v>
      </c>
      <c r="N2247" s="1" t="s">
        <v>1935</v>
      </c>
      <c r="O2247" s="1" t="s">
        <v>46</v>
      </c>
      <c r="P2247" s="1" t="s">
        <v>46</v>
      </c>
      <c r="Q2247" s="1" t="s">
        <v>46</v>
      </c>
      <c r="R2247" s="5" t="s">
        <v>46</v>
      </c>
      <c r="S2247" s="1" t="s">
        <v>46</v>
      </c>
      <c r="T2247" s="1" t="s">
        <v>46</v>
      </c>
      <c r="U2247" s="1" t="s">
        <v>46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5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3452</v>
      </c>
      <c r="I2248" s="1" t="s">
        <v>3453</v>
      </c>
      <c r="J2248" s="1" t="s">
        <v>52</v>
      </c>
      <c r="K2248" s="2" t="s">
        <v>3452</v>
      </c>
      <c r="L2248" s="5" t="s">
        <v>69</v>
      </c>
      <c r="M2248" s="5" t="s">
        <v>69</v>
      </c>
      <c r="N2248" s="1" t="s">
        <v>1935</v>
      </c>
      <c r="O2248" s="1" t="s">
        <v>46</v>
      </c>
      <c r="P2248" s="1" t="s">
        <v>46</v>
      </c>
      <c r="Q2248" s="1" t="s">
        <v>46</v>
      </c>
      <c r="R2248" s="5" t="s">
        <v>46</v>
      </c>
      <c r="S2248" s="1" t="s">
        <v>46</v>
      </c>
      <c r="T2248" s="1" t="s">
        <v>46</v>
      </c>
      <c r="U2248" s="1" t="s">
        <v>46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5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3454</v>
      </c>
      <c r="I2249" s="1" t="s">
        <v>3455</v>
      </c>
      <c r="J2249" s="1" t="s">
        <v>52</v>
      </c>
      <c r="K2249" s="2" t="s">
        <v>3454</v>
      </c>
      <c r="L2249" s="5" t="s">
        <v>69</v>
      </c>
      <c r="M2249" s="5" t="s">
        <v>69</v>
      </c>
      <c r="N2249" s="1" t="s">
        <v>1935</v>
      </c>
      <c r="O2249" s="1" t="s">
        <v>46</v>
      </c>
      <c r="P2249" s="1" t="s">
        <v>46</v>
      </c>
      <c r="Q2249" s="1" t="s">
        <v>46</v>
      </c>
      <c r="R2249" s="5" t="s">
        <v>46</v>
      </c>
      <c r="S2249" s="1" t="s">
        <v>46</v>
      </c>
      <c r="T2249" s="1" t="s">
        <v>46</v>
      </c>
      <c r="U2249" s="1" t="s">
        <v>46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5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3456</v>
      </c>
      <c r="I2250" s="1" t="s">
        <v>3457</v>
      </c>
      <c r="J2250" s="1" t="s">
        <v>52</v>
      </c>
      <c r="K2250" s="2" t="s">
        <v>3456</v>
      </c>
      <c r="L2250" s="5" t="s">
        <v>69</v>
      </c>
      <c r="M2250" s="5" t="s">
        <v>69</v>
      </c>
      <c r="N2250" s="1" t="s">
        <v>1935</v>
      </c>
      <c r="O2250" s="1" t="s">
        <v>46</v>
      </c>
      <c r="P2250" s="1" t="s">
        <v>46</v>
      </c>
      <c r="Q2250" s="1" t="s">
        <v>46</v>
      </c>
      <c r="R2250" s="5" t="s">
        <v>46</v>
      </c>
      <c r="S2250" s="1" t="s">
        <v>46</v>
      </c>
      <c r="T2250" s="1" t="s">
        <v>46</v>
      </c>
      <c r="U2250" s="1" t="s">
        <v>46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5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3458</v>
      </c>
      <c r="I2251" s="1" t="s">
        <v>3459</v>
      </c>
      <c r="J2251" s="1" t="s">
        <v>52</v>
      </c>
      <c r="K2251" s="2" t="s">
        <v>3458</v>
      </c>
      <c r="L2251" s="5" t="s">
        <v>69</v>
      </c>
      <c r="M2251" s="5" t="s">
        <v>69</v>
      </c>
      <c r="N2251" s="1" t="s">
        <v>1935</v>
      </c>
      <c r="O2251" s="1" t="s">
        <v>46</v>
      </c>
      <c r="P2251" s="1" t="s">
        <v>46</v>
      </c>
      <c r="Q2251" s="1" t="s">
        <v>46</v>
      </c>
      <c r="R2251" s="5" t="s">
        <v>46</v>
      </c>
      <c r="S2251" s="1" t="s">
        <v>46</v>
      </c>
      <c r="T2251" s="1" t="s">
        <v>46</v>
      </c>
      <c r="U2251" s="1" t="s">
        <v>46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5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3460</v>
      </c>
      <c r="I2252" s="1" t="s">
        <v>3461</v>
      </c>
      <c r="J2252" s="1" t="s">
        <v>52</v>
      </c>
      <c r="K2252" s="2" t="s">
        <v>3460</v>
      </c>
      <c r="L2252" s="5" t="s">
        <v>69</v>
      </c>
      <c r="M2252" s="5" t="s">
        <v>69</v>
      </c>
      <c r="N2252" s="1" t="s">
        <v>1935</v>
      </c>
      <c r="O2252" s="1" t="s">
        <v>46</v>
      </c>
      <c r="P2252" s="1" t="s">
        <v>46</v>
      </c>
      <c r="Q2252" s="1" t="s">
        <v>46</v>
      </c>
      <c r="R2252" s="5" t="s">
        <v>46</v>
      </c>
      <c r="S2252" s="1" t="s">
        <v>46</v>
      </c>
      <c r="T2252" s="1" t="s">
        <v>46</v>
      </c>
      <c r="U2252" s="1" t="s">
        <v>46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5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3462</v>
      </c>
      <c r="I2253" s="1" t="s">
        <v>3463</v>
      </c>
      <c r="J2253" s="1" t="s">
        <v>52</v>
      </c>
      <c r="K2253" s="2" t="s">
        <v>3462</v>
      </c>
      <c r="L2253" s="5" t="s">
        <v>69</v>
      </c>
      <c r="M2253" s="5" t="s">
        <v>69</v>
      </c>
      <c r="N2253" s="1" t="s">
        <v>1935</v>
      </c>
      <c r="O2253" s="1" t="s">
        <v>46</v>
      </c>
      <c r="P2253" s="1" t="s">
        <v>46</v>
      </c>
      <c r="Q2253" s="1" t="s">
        <v>46</v>
      </c>
      <c r="R2253" s="5" t="s">
        <v>46</v>
      </c>
      <c r="S2253" s="1" t="s">
        <v>46</v>
      </c>
      <c r="T2253" s="1" t="s">
        <v>46</v>
      </c>
      <c r="U2253" s="1" t="s">
        <v>46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5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3464</v>
      </c>
      <c r="I2254" s="1" t="s">
        <v>3465</v>
      </c>
      <c r="J2254" s="1" t="s">
        <v>52</v>
      </c>
      <c r="K2254" s="2" t="s">
        <v>3464</v>
      </c>
      <c r="L2254" s="5" t="s">
        <v>69</v>
      </c>
      <c r="M2254" s="5" t="s">
        <v>69</v>
      </c>
      <c r="N2254" s="1" t="s">
        <v>1935</v>
      </c>
      <c r="O2254" s="1" t="s">
        <v>46</v>
      </c>
      <c r="P2254" s="1" t="s">
        <v>46</v>
      </c>
      <c r="Q2254" s="1" t="s">
        <v>46</v>
      </c>
      <c r="R2254" s="5" t="s">
        <v>46</v>
      </c>
      <c r="S2254" s="1" t="s">
        <v>46</v>
      </c>
      <c r="T2254" s="1" t="s">
        <v>46</v>
      </c>
      <c r="U2254" s="1" t="s">
        <v>46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5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3466</v>
      </c>
      <c r="I2255" s="1" t="s">
        <v>3467</v>
      </c>
      <c r="J2255" s="1" t="s">
        <v>52</v>
      </c>
      <c r="K2255" s="2" t="s">
        <v>3466</v>
      </c>
      <c r="L2255" s="5" t="s">
        <v>69</v>
      </c>
      <c r="M2255" s="5" t="s">
        <v>69</v>
      </c>
      <c r="N2255" s="1" t="s">
        <v>3468</v>
      </c>
      <c r="O2255" s="1" t="s">
        <v>46</v>
      </c>
      <c r="P2255" s="1" t="s">
        <v>46</v>
      </c>
      <c r="Q2255" s="1" t="s">
        <v>46</v>
      </c>
      <c r="R2255" s="5" t="s">
        <v>46</v>
      </c>
      <c r="S2255" s="1" t="s">
        <v>46</v>
      </c>
      <c r="T2255" s="1" t="s">
        <v>46</v>
      </c>
      <c r="U2255" s="1" t="s">
        <v>46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5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3469</v>
      </c>
      <c r="I2256" s="1" t="s">
        <v>3470</v>
      </c>
      <c r="J2256" s="1" t="s">
        <v>52</v>
      </c>
      <c r="K2256" s="2" t="s">
        <v>3469</v>
      </c>
      <c r="L2256" s="5" t="s">
        <v>69</v>
      </c>
      <c r="M2256" s="5" t="s">
        <v>69</v>
      </c>
      <c r="N2256" s="1" t="s">
        <v>3468</v>
      </c>
      <c r="O2256" s="1" t="s">
        <v>46</v>
      </c>
      <c r="P2256" s="1" t="s">
        <v>46</v>
      </c>
      <c r="Q2256" s="1" t="s">
        <v>46</v>
      </c>
      <c r="R2256" s="5" t="s">
        <v>46</v>
      </c>
      <c r="S2256" s="1" t="s">
        <v>46</v>
      </c>
      <c r="T2256" s="1" t="s">
        <v>46</v>
      </c>
      <c r="U2256" s="1" t="s">
        <v>46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5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3471</v>
      </c>
      <c r="I2257" s="1" t="s">
        <v>3472</v>
      </c>
      <c r="J2257" s="1" t="s">
        <v>52</v>
      </c>
      <c r="K2257" s="2" t="s">
        <v>3471</v>
      </c>
      <c r="L2257" s="5" t="s">
        <v>69</v>
      </c>
      <c r="M2257" s="5" t="s">
        <v>69</v>
      </c>
      <c r="N2257" s="1" t="s">
        <v>3468</v>
      </c>
      <c r="O2257" s="1" t="s">
        <v>46</v>
      </c>
      <c r="P2257" s="1" t="s">
        <v>46</v>
      </c>
      <c r="Q2257" s="1" t="s">
        <v>46</v>
      </c>
      <c r="R2257" s="5" t="s">
        <v>46</v>
      </c>
      <c r="S2257" s="1" t="s">
        <v>46</v>
      </c>
      <c r="T2257" s="1" t="s">
        <v>46</v>
      </c>
      <c r="U2257" s="1" t="s">
        <v>46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5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3473</v>
      </c>
      <c r="I2258" s="1" t="s">
        <v>3474</v>
      </c>
      <c r="J2258" s="1" t="s">
        <v>52</v>
      </c>
      <c r="K2258" s="2" t="s">
        <v>3473</v>
      </c>
      <c r="L2258" s="5" t="s">
        <v>69</v>
      </c>
      <c r="M2258" s="5" t="s">
        <v>69</v>
      </c>
      <c r="N2258" s="1" t="s">
        <v>3468</v>
      </c>
      <c r="O2258" s="1" t="s">
        <v>46</v>
      </c>
      <c r="P2258" s="1" t="s">
        <v>46</v>
      </c>
      <c r="Q2258" s="1" t="s">
        <v>46</v>
      </c>
      <c r="R2258" s="5" t="s">
        <v>46</v>
      </c>
      <c r="S2258" s="1" t="s">
        <v>46</v>
      </c>
      <c r="T2258" s="1" t="s">
        <v>46</v>
      </c>
      <c r="U2258" s="1" t="s">
        <v>46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5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3475</v>
      </c>
      <c r="I2259" s="1" t="s">
        <v>3476</v>
      </c>
      <c r="J2259" s="1" t="s">
        <v>52</v>
      </c>
      <c r="K2259" s="2" t="s">
        <v>3475</v>
      </c>
      <c r="L2259" s="5" t="s">
        <v>69</v>
      </c>
      <c r="M2259" s="5" t="s">
        <v>69</v>
      </c>
      <c r="N2259" s="1" t="s">
        <v>3468</v>
      </c>
      <c r="O2259" s="1" t="s">
        <v>46</v>
      </c>
      <c r="P2259" s="1" t="s">
        <v>46</v>
      </c>
      <c r="Q2259" s="1" t="s">
        <v>46</v>
      </c>
      <c r="R2259" s="5" t="s">
        <v>46</v>
      </c>
      <c r="S2259" s="1" t="s">
        <v>46</v>
      </c>
      <c r="T2259" s="1" t="s">
        <v>46</v>
      </c>
      <c r="U2259" s="1" t="s">
        <v>46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5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3477</v>
      </c>
      <c r="I2260" s="1" t="s">
        <v>3478</v>
      </c>
      <c r="J2260" s="1" t="s">
        <v>52</v>
      </c>
      <c r="K2260" s="2" t="s">
        <v>3477</v>
      </c>
      <c r="L2260" s="5" t="s">
        <v>69</v>
      </c>
      <c r="M2260" s="5" t="s">
        <v>69</v>
      </c>
      <c r="N2260" s="1" t="s">
        <v>3468</v>
      </c>
      <c r="O2260" s="1" t="s">
        <v>46</v>
      </c>
      <c r="P2260" s="1" t="s">
        <v>46</v>
      </c>
      <c r="Q2260" s="1" t="s">
        <v>46</v>
      </c>
      <c r="R2260" s="5" t="s">
        <v>46</v>
      </c>
      <c r="S2260" s="1" t="s">
        <v>46</v>
      </c>
      <c r="T2260" s="1" t="s">
        <v>46</v>
      </c>
      <c r="U2260" s="1" t="s">
        <v>46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5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3479</v>
      </c>
      <c r="I2261" s="1" t="s">
        <v>3480</v>
      </c>
      <c r="J2261" s="1" t="s">
        <v>52</v>
      </c>
      <c r="K2261" s="2" t="s">
        <v>3479</v>
      </c>
      <c r="L2261" s="5" t="s">
        <v>69</v>
      </c>
      <c r="M2261" s="5" t="s">
        <v>69</v>
      </c>
      <c r="N2261" s="1" t="s">
        <v>3468</v>
      </c>
      <c r="O2261" s="1" t="s">
        <v>46</v>
      </c>
      <c r="P2261" s="1" t="s">
        <v>46</v>
      </c>
      <c r="Q2261" s="1" t="s">
        <v>46</v>
      </c>
      <c r="R2261" s="5" t="s">
        <v>46</v>
      </c>
      <c r="S2261" s="1" t="s">
        <v>46</v>
      </c>
      <c r="T2261" s="1" t="s">
        <v>46</v>
      </c>
      <c r="U2261" s="1" t="s">
        <v>46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5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3481</v>
      </c>
      <c r="I2262" s="1" t="s">
        <v>3482</v>
      </c>
      <c r="J2262" s="1" t="s">
        <v>52</v>
      </c>
      <c r="K2262" s="2" t="s">
        <v>3481</v>
      </c>
      <c r="L2262" s="5" t="s">
        <v>69</v>
      </c>
      <c r="M2262" s="5" t="s">
        <v>69</v>
      </c>
      <c r="N2262" s="1" t="s">
        <v>3468</v>
      </c>
      <c r="O2262" s="1" t="s">
        <v>46</v>
      </c>
      <c r="P2262" s="1" t="s">
        <v>46</v>
      </c>
      <c r="Q2262" s="1" t="s">
        <v>46</v>
      </c>
      <c r="R2262" s="5" t="s">
        <v>46</v>
      </c>
      <c r="S2262" s="1" t="s">
        <v>46</v>
      </c>
      <c r="T2262" s="1" t="s">
        <v>46</v>
      </c>
      <c r="U2262" s="1" t="s">
        <v>46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5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3483</v>
      </c>
      <c r="I2263" s="1" t="s">
        <v>3484</v>
      </c>
      <c r="J2263" s="1" t="s">
        <v>52</v>
      </c>
      <c r="K2263" s="2" t="s">
        <v>3483</v>
      </c>
      <c r="L2263" s="5" t="s">
        <v>69</v>
      </c>
      <c r="M2263" s="5" t="s">
        <v>69</v>
      </c>
      <c r="N2263" s="1" t="s">
        <v>3468</v>
      </c>
      <c r="O2263" s="1" t="s">
        <v>46</v>
      </c>
      <c r="P2263" s="1" t="s">
        <v>46</v>
      </c>
      <c r="Q2263" s="1" t="s">
        <v>46</v>
      </c>
      <c r="R2263" s="5" t="s">
        <v>46</v>
      </c>
      <c r="S2263" s="1" t="s">
        <v>46</v>
      </c>
      <c r="T2263" s="1" t="s">
        <v>46</v>
      </c>
      <c r="U2263" s="1" t="s">
        <v>46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5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3485</v>
      </c>
      <c r="I2264" s="1" t="s">
        <v>3486</v>
      </c>
      <c r="J2264" s="1" t="s">
        <v>52</v>
      </c>
      <c r="K2264" s="2" t="s">
        <v>3485</v>
      </c>
      <c r="L2264" s="5" t="s">
        <v>69</v>
      </c>
      <c r="M2264" s="5" t="s">
        <v>69</v>
      </c>
      <c r="N2264" s="1" t="s">
        <v>3468</v>
      </c>
      <c r="O2264" s="1" t="s">
        <v>46</v>
      </c>
      <c r="P2264" s="1" t="s">
        <v>46</v>
      </c>
      <c r="Q2264" s="1" t="s">
        <v>46</v>
      </c>
      <c r="R2264" s="5" t="s">
        <v>46</v>
      </c>
      <c r="S2264" s="1" t="s">
        <v>46</v>
      </c>
      <c r="T2264" s="1" t="s">
        <v>46</v>
      </c>
      <c r="U2264" s="1" t="s">
        <v>46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5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3487</v>
      </c>
      <c r="I2265" s="1" t="s">
        <v>3488</v>
      </c>
      <c r="J2265" s="1" t="s">
        <v>52</v>
      </c>
      <c r="K2265" s="2" t="s">
        <v>3487</v>
      </c>
      <c r="L2265" s="5" t="s">
        <v>69</v>
      </c>
      <c r="M2265" s="5" t="s">
        <v>69</v>
      </c>
      <c r="N2265" s="1" t="s">
        <v>3468</v>
      </c>
      <c r="O2265" s="1" t="s">
        <v>46</v>
      </c>
      <c r="P2265" s="1" t="s">
        <v>46</v>
      </c>
      <c r="Q2265" s="1" t="s">
        <v>46</v>
      </c>
      <c r="R2265" s="5" t="s">
        <v>46</v>
      </c>
      <c r="S2265" s="1" t="s">
        <v>46</v>
      </c>
      <c r="T2265" s="1" t="s">
        <v>46</v>
      </c>
      <c r="U2265" s="1" t="s">
        <v>46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5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3489</v>
      </c>
      <c r="I2266" s="1" t="s">
        <v>3490</v>
      </c>
      <c r="J2266" s="1" t="s">
        <v>52</v>
      </c>
      <c r="K2266" s="2" t="s">
        <v>3489</v>
      </c>
      <c r="L2266" s="5" t="s">
        <v>69</v>
      </c>
      <c r="M2266" s="5" t="s">
        <v>69</v>
      </c>
      <c r="N2266" s="1" t="s">
        <v>3468</v>
      </c>
      <c r="O2266" s="1" t="s">
        <v>46</v>
      </c>
      <c r="P2266" s="1" t="s">
        <v>46</v>
      </c>
      <c r="Q2266" s="1" t="s">
        <v>46</v>
      </c>
      <c r="R2266" s="5" t="s">
        <v>46</v>
      </c>
      <c r="S2266" s="1" t="s">
        <v>46</v>
      </c>
      <c r="T2266" s="1" t="s">
        <v>46</v>
      </c>
      <c r="U2266" s="1" t="s">
        <v>46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5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3491</v>
      </c>
      <c r="I2267" s="1" t="s">
        <v>3492</v>
      </c>
      <c r="J2267" s="1" t="s">
        <v>52</v>
      </c>
      <c r="K2267" s="2" t="s">
        <v>3491</v>
      </c>
      <c r="L2267" s="5" t="s">
        <v>69</v>
      </c>
      <c r="M2267" s="5" t="s">
        <v>69</v>
      </c>
      <c r="N2267" s="1" t="s">
        <v>3468</v>
      </c>
      <c r="O2267" s="1" t="s">
        <v>46</v>
      </c>
      <c r="P2267" s="1" t="s">
        <v>46</v>
      </c>
      <c r="Q2267" s="1" t="s">
        <v>46</v>
      </c>
      <c r="R2267" s="5" t="s">
        <v>46</v>
      </c>
      <c r="S2267" s="1" t="s">
        <v>46</v>
      </c>
      <c r="T2267" s="1" t="s">
        <v>46</v>
      </c>
      <c r="U2267" s="1" t="s">
        <v>46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5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3493</v>
      </c>
      <c r="I2268" s="1" t="s">
        <v>3494</v>
      </c>
      <c r="J2268" s="1" t="s">
        <v>52</v>
      </c>
      <c r="K2268" s="2" t="s">
        <v>3493</v>
      </c>
      <c r="L2268" s="5" t="s">
        <v>69</v>
      </c>
      <c r="M2268" s="5" t="s">
        <v>69</v>
      </c>
      <c r="N2268" s="1" t="s">
        <v>3468</v>
      </c>
      <c r="O2268" s="1" t="s">
        <v>46</v>
      </c>
      <c r="P2268" s="1" t="s">
        <v>46</v>
      </c>
      <c r="Q2268" s="1" t="s">
        <v>46</v>
      </c>
      <c r="R2268" s="5" t="s">
        <v>46</v>
      </c>
      <c r="S2268" s="1" t="s">
        <v>46</v>
      </c>
      <c r="T2268" s="1" t="s">
        <v>46</v>
      </c>
      <c r="U2268" s="1" t="s">
        <v>46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5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3495</v>
      </c>
      <c r="I2269" s="1" t="s">
        <v>3496</v>
      </c>
      <c r="J2269" s="1" t="s">
        <v>52</v>
      </c>
      <c r="K2269" s="2" t="s">
        <v>3495</v>
      </c>
      <c r="L2269" s="5" t="s">
        <v>69</v>
      </c>
      <c r="M2269" s="5" t="s">
        <v>69</v>
      </c>
      <c r="N2269" s="1" t="s">
        <v>3468</v>
      </c>
      <c r="O2269" s="1" t="s">
        <v>46</v>
      </c>
      <c r="P2269" s="1" t="s">
        <v>46</v>
      </c>
      <c r="Q2269" s="1" t="s">
        <v>46</v>
      </c>
      <c r="R2269" s="5" t="s">
        <v>46</v>
      </c>
      <c r="S2269" s="1" t="s">
        <v>46</v>
      </c>
      <c r="T2269" s="1" t="s">
        <v>46</v>
      </c>
      <c r="U2269" s="1" t="s">
        <v>46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5" t="s">
        <v>3497</v>
      </c>
      <c r="C2270" s="1" t="s">
        <v>3498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1" t="s">
        <v>3499</v>
      </c>
      <c r="I2270" s="1" t="s">
        <v>3500</v>
      </c>
      <c r="J2270" s="1" t="s">
        <v>52</v>
      </c>
      <c r="K2270" s="1" t="s">
        <v>3499</v>
      </c>
      <c r="L2270" s="36" t="s">
        <v>69</v>
      </c>
      <c r="M2270" s="1" t="s">
        <v>69</v>
      </c>
      <c r="N2270" s="1" t="s">
        <v>3383</v>
      </c>
      <c r="O2270" s="1" t="s">
        <v>3501</v>
      </c>
      <c r="P2270" s="1" t="s">
        <v>3385</v>
      </c>
      <c r="Q2270" s="1" t="s">
        <v>3385</v>
      </c>
      <c r="R2270" s="1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5" t="s">
        <v>3497</v>
      </c>
      <c r="C2271" s="1" t="s">
        <v>3498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1" t="s">
        <v>3502</v>
      </c>
      <c r="I2271" s="1" t="s">
        <v>3503</v>
      </c>
      <c r="J2271" s="1" t="s">
        <v>52</v>
      </c>
      <c r="K2271" s="1" t="s">
        <v>3502</v>
      </c>
      <c r="L2271" s="36" t="s">
        <v>69</v>
      </c>
      <c r="M2271" s="1" t="s">
        <v>69</v>
      </c>
      <c r="N2271" s="1" t="s">
        <v>3383</v>
      </c>
      <c r="O2271" s="1" t="s">
        <v>3501</v>
      </c>
      <c r="P2271" s="1" t="s">
        <v>3385</v>
      </c>
      <c r="Q2271" s="1" t="s">
        <v>3385</v>
      </c>
      <c r="R2271" s="1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5" t="s">
        <v>3497</v>
      </c>
      <c r="C2272" s="1" t="s">
        <v>3498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1" t="s">
        <v>3504</v>
      </c>
      <c r="I2272" s="1" t="s">
        <v>3505</v>
      </c>
      <c r="J2272" s="1" t="s">
        <v>52</v>
      </c>
      <c r="K2272" s="1" t="s">
        <v>3504</v>
      </c>
      <c r="L2272" s="36" t="s">
        <v>69</v>
      </c>
      <c r="M2272" s="1" t="s">
        <v>69</v>
      </c>
      <c r="N2272" s="1" t="s">
        <v>3383</v>
      </c>
      <c r="O2272" s="1" t="s">
        <v>3501</v>
      </c>
      <c r="P2272" s="1" t="s">
        <v>3385</v>
      </c>
      <c r="Q2272" s="1" t="s">
        <v>3385</v>
      </c>
      <c r="R2272" s="1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5" t="s">
        <v>3497</v>
      </c>
      <c r="C2273" s="1" t="s">
        <v>3498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1" t="s">
        <v>3506</v>
      </c>
      <c r="I2273" s="1" t="s">
        <v>3507</v>
      </c>
      <c r="J2273" s="1" t="s">
        <v>52</v>
      </c>
      <c r="K2273" s="1" t="s">
        <v>3506</v>
      </c>
      <c r="L2273" s="36" t="s">
        <v>69</v>
      </c>
      <c r="M2273" s="1" t="s">
        <v>69</v>
      </c>
      <c r="N2273" s="1" t="s">
        <v>3383</v>
      </c>
      <c r="O2273" s="1" t="s">
        <v>3501</v>
      </c>
      <c r="P2273" s="1" t="s">
        <v>3385</v>
      </c>
      <c r="Q2273" s="1" t="s">
        <v>3385</v>
      </c>
      <c r="R2273" s="1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5" t="s">
        <v>3497</v>
      </c>
      <c r="C2274" s="1" t="s">
        <v>3498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1" t="s">
        <v>3508</v>
      </c>
      <c r="I2274" s="1" t="s">
        <v>3509</v>
      </c>
      <c r="J2274" s="1" t="s">
        <v>52</v>
      </c>
      <c r="K2274" s="1" t="s">
        <v>3508</v>
      </c>
      <c r="L2274" s="36" t="s">
        <v>69</v>
      </c>
      <c r="M2274" s="1" t="s">
        <v>69</v>
      </c>
      <c r="N2274" s="1" t="s">
        <v>3383</v>
      </c>
      <c r="O2274" s="1" t="s">
        <v>3501</v>
      </c>
      <c r="P2274" s="1" t="s">
        <v>3385</v>
      </c>
      <c r="Q2274" s="1" t="s">
        <v>3385</v>
      </c>
      <c r="R2274" s="1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5" t="s">
        <v>3497</v>
      </c>
      <c r="C2275" s="1" t="s">
        <v>3498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1" t="s">
        <v>3510</v>
      </c>
      <c r="I2275" s="1" t="s">
        <v>3511</v>
      </c>
      <c r="J2275" s="1" t="s">
        <v>52</v>
      </c>
      <c r="K2275" s="1" t="s">
        <v>3510</v>
      </c>
      <c r="L2275" s="36" t="s">
        <v>69</v>
      </c>
      <c r="M2275" s="1" t="s">
        <v>69</v>
      </c>
      <c r="N2275" s="1" t="s">
        <v>3383</v>
      </c>
      <c r="O2275" s="1" t="s">
        <v>3512</v>
      </c>
      <c r="P2275" s="1" t="s">
        <v>3385</v>
      </c>
      <c r="Q2275" s="1" t="s">
        <v>3385</v>
      </c>
      <c r="R2275" s="1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5" t="s">
        <v>3497</v>
      </c>
      <c r="C2276" s="1" t="s">
        <v>3498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3513</v>
      </c>
      <c r="I2276" s="1" t="s">
        <v>3514</v>
      </c>
      <c r="J2276" s="1" t="s">
        <v>52</v>
      </c>
      <c r="K2276" s="1" t="s">
        <v>3513</v>
      </c>
      <c r="L2276" s="36" t="s">
        <v>69</v>
      </c>
      <c r="M2276" s="1" t="s">
        <v>69</v>
      </c>
      <c r="N2276" s="1" t="s">
        <v>3383</v>
      </c>
      <c r="O2276" s="1" t="s">
        <v>3512</v>
      </c>
      <c r="P2276" s="1" t="s">
        <v>3385</v>
      </c>
      <c r="Q2276" s="1" t="s">
        <v>3385</v>
      </c>
      <c r="R2276" s="1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5" t="s">
        <v>3497</v>
      </c>
      <c r="C2277" s="1" t="s">
        <v>3498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3515</v>
      </c>
      <c r="I2277" s="1" t="s">
        <v>3516</v>
      </c>
      <c r="J2277" s="1" t="s">
        <v>52</v>
      </c>
      <c r="K2277" s="1" t="s">
        <v>3515</v>
      </c>
      <c r="L2277" s="36" t="s">
        <v>69</v>
      </c>
      <c r="M2277" s="1" t="s">
        <v>69</v>
      </c>
      <c r="N2277" s="1" t="s">
        <v>3383</v>
      </c>
      <c r="O2277" s="1" t="s">
        <v>3512</v>
      </c>
      <c r="P2277" s="1" t="s">
        <v>3385</v>
      </c>
      <c r="Q2277" s="1" t="s">
        <v>3385</v>
      </c>
      <c r="R2277" s="1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5" t="s">
        <v>3497</v>
      </c>
      <c r="C2278" s="1" t="s">
        <v>3498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3517</v>
      </c>
      <c r="I2278" s="1" t="s">
        <v>3518</v>
      </c>
      <c r="J2278" s="1" t="s">
        <v>52</v>
      </c>
      <c r="K2278" s="1" t="s">
        <v>3517</v>
      </c>
      <c r="L2278" s="36" t="s">
        <v>69</v>
      </c>
      <c r="M2278" s="1" t="s">
        <v>69</v>
      </c>
      <c r="N2278" s="1" t="s">
        <v>3383</v>
      </c>
      <c r="O2278" s="1" t="s">
        <v>3512</v>
      </c>
      <c r="P2278" s="1" t="s">
        <v>3385</v>
      </c>
      <c r="Q2278" s="1" t="s">
        <v>3385</v>
      </c>
      <c r="R2278" s="1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5" t="s">
        <v>3497</v>
      </c>
      <c r="C2279" s="1" t="s">
        <v>3498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3519</v>
      </c>
      <c r="I2279" s="1" t="s">
        <v>3520</v>
      </c>
      <c r="J2279" s="1" t="s">
        <v>52</v>
      </c>
      <c r="K2279" s="1" t="s">
        <v>3519</v>
      </c>
      <c r="L2279" s="36" t="s">
        <v>69</v>
      </c>
      <c r="M2279" s="1" t="s">
        <v>69</v>
      </c>
      <c r="N2279" s="1" t="s">
        <v>3383</v>
      </c>
      <c r="O2279" s="1" t="s">
        <v>3521</v>
      </c>
      <c r="P2279" s="1" t="s">
        <v>3385</v>
      </c>
      <c r="Q2279" s="1" t="s">
        <v>3385</v>
      </c>
      <c r="R2279" s="1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5" t="s">
        <v>3497</v>
      </c>
      <c r="C2280" s="1" t="s">
        <v>3498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3522</v>
      </c>
      <c r="I2280" s="1" t="s">
        <v>3523</v>
      </c>
      <c r="J2280" s="1" t="s">
        <v>52</v>
      </c>
      <c r="K2280" s="1" t="s">
        <v>3522</v>
      </c>
      <c r="L2280" s="36" t="s">
        <v>69</v>
      </c>
      <c r="M2280" s="1" t="s">
        <v>69</v>
      </c>
      <c r="N2280" s="1" t="s">
        <v>3383</v>
      </c>
      <c r="O2280" s="1" t="s">
        <v>3521</v>
      </c>
      <c r="P2280" s="1" t="s">
        <v>3385</v>
      </c>
      <c r="Q2280" s="1" t="s">
        <v>3385</v>
      </c>
      <c r="R2280" s="1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5" t="s">
        <v>3497</v>
      </c>
      <c r="C2281" s="1" t="s">
        <v>3498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3524</v>
      </c>
      <c r="I2281" s="1" t="s">
        <v>3525</v>
      </c>
      <c r="J2281" s="1" t="s">
        <v>52</v>
      </c>
      <c r="K2281" s="1" t="s">
        <v>3524</v>
      </c>
      <c r="L2281" s="36" t="s">
        <v>69</v>
      </c>
      <c r="M2281" s="1" t="s">
        <v>69</v>
      </c>
      <c r="N2281" s="1" t="s">
        <v>3383</v>
      </c>
      <c r="O2281" s="1" t="s">
        <v>3521</v>
      </c>
      <c r="P2281" s="1" t="s">
        <v>3385</v>
      </c>
      <c r="Q2281" s="1" t="s">
        <v>3385</v>
      </c>
      <c r="R2281" s="1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5" t="s">
        <v>3497</v>
      </c>
      <c r="C2282" s="1" t="s">
        <v>3498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3526</v>
      </c>
      <c r="I2282" s="1" t="s">
        <v>3527</v>
      </c>
      <c r="J2282" s="1" t="s">
        <v>52</v>
      </c>
      <c r="K2282" s="1" t="s">
        <v>3526</v>
      </c>
      <c r="L2282" s="36" t="s">
        <v>69</v>
      </c>
      <c r="M2282" s="1" t="s">
        <v>69</v>
      </c>
      <c r="N2282" s="1" t="s">
        <v>3383</v>
      </c>
      <c r="O2282" s="1" t="s">
        <v>3521</v>
      </c>
      <c r="P2282" s="1" t="s">
        <v>3385</v>
      </c>
      <c r="Q2282" s="1" t="s">
        <v>3385</v>
      </c>
      <c r="R2282" s="1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5" t="s">
        <v>3497</v>
      </c>
      <c r="C2283" s="1" t="s">
        <v>3498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3528</v>
      </c>
      <c r="I2283" s="1" t="s">
        <v>3529</v>
      </c>
      <c r="J2283" s="1" t="s">
        <v>52</v>
      </c>
      <c r="K2283" s="1" t="s">
        <v>3528</v>
      </c>
      <c r="L2283" s="36" t="s">
        <v>69</v>
      </c>
      <c r="M2283" s="1" t="s">
        <v>69</v>
      </c>
      <c r="N2283" s="1" t="s">
        <v>3383</v>
      </c>
      <c r="O2283" s="1" t="s">
        <v>3521</v>
      </c>
      <c r="P2283" s="1" t="s">
        <v>3385</v>
      </c>
      <c r="Q2283" s="1" t="s">
        <v>3385</v>
      </c>
      <c r="R2283" s="1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5" t="s">
        <v>3497</v>
      </c>
      <c r="C2284" s="1" t="s">
        <v>3498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3530</v>
      </c>
      <c r="I2284" s="1" t="s">
        <v>3531</v>
      </c>
      <c r="J2284" s="1" t="s">
        <v>52</v>
      </c>
      <c r="K2284" s="1" t="s">
        <v>3530</v>
      </c>
      <c r="L2284" s="36" t="s">
        <v>69</v>
      </c>
      <c r="M2284" s="1" t="s">
        <v>69</v>
      </c>
      <c r="N2284" s="1" t="s">
        <v>3383</v>
      </c>
      <c r="O2284" s="1" t="s">
        <v>3532</v>
      </c>
      <c r="P2284" s="1" t="s">
        <v>3385</v>
      </c>
      <c r="Q2284" s="1" t="s">
        <v>3385</v>
      </c>
      <c r="R2284" s="1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5" t="s">
        <v>3497</v>
      </c>
      <c r="C2285" s="1" t="s">
        <v>3498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3533</v>
      </c>
      <c r="I2285" s="1" t="s">
        <v>3534</v>
      </c>
      <c r="J2285" s="1" t="s">
        <v>52</v>
      </c>
      <c r="K2285" s="1" t="s">
        <v>3533</v>
      </c>
      <c r="L2285" s="36" t="s">
        <v>69</v>
      </c>
      <c r="M2285" s="1" t="s">
        <v>69</v>
      </c>
      <c r="N2285" s="1" t="s">
        <v>3383</v>
      </c>
      <c r="O2285" s="1" t="s">
        <v>3532</v>
      </c>
      <c r="P2285" s="1" t="s">
        <v>3385</v>
      </c>
      <c r="Q2285" s="1" t="s">
        <v>3385</v>
      </c>
      <c r="R2285" s="1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5" t="s">
        <v>3497</v>
      </c>
      <c r="C2286" s="1" t="s">
        <v>3498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3535</v>
      </c>
      <c r="I2286" s="1" t="s">
        <v>3536</v>
      </c>
      <c r="J2286" s="1" t="s">
        <v>52</v>
      </c>
      <c r="K2286" s="1" t="s">
        <v>3535</v>
      </c>
      <c r="L2286" s="36" t="s">
        <v>69</v>
      </c>
      <c r="M2286" s="1" t="s">
        <v>69</v>
      </c>
      <c r="N2286" s="1" t="s">
        <v>3383</v>
      </c>
      <c r="O2286" s="1" t="s">
        <v>3532</v>
      </c>
      <c r="P2286" s="1" t="s">
        <v>3385</v>
      </c>
      <c r="Q2286" s="1" t="s">
        <v>3385</v>
      </c>
      <c r="R2286" s="1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5" t="s">
        <v>3497</v>
      </c>
      <c r="C2287" s="1" t="s">
        <v>3498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3537</v>
      </c>
      <c r="I2287" s="1" t="s">
        <v>3538</v>
      </c>
      <c r="J2287" s="1" t="s">
        <v>52</v>
      </c>
      <c r="K2287" s="1" t="s">
        <v>3537</v>
      </c>
      <c r="L2287" s="36" t="s">
        <v>69</v>
      </c>
      <c r="M2287" s="1" t="s">
        <v>69</v>
      </c>
      <c r="N2287" s="1" t="s">
        <v>3383</v>
      </c>
      <c r="O2287" s="1" t="s">
        <v>3532</v>
      </c>
      <c r="P2287" s="1" t="s">
        <v>3385</v>
      </c>
      <c r="Q2287" s="1" t="s">
        <v>3385</v>
      </c>
      <c r="R2287" s="1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5" t="s">
        <v>3497</v>
      </c>
      <c r="C2288" s="1" t="s">
        <v>3498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3539</v>
      </c>
      <c r="I2288" s="1" t="s">
        <v>3540</v>
      </c>
      <c r="J2288" s="1" t="s">
        <v>52</v>
      </c>
      <c r="K2288" s="1" t="s">
        <v>3539</v>
      </c>
      <c r="L2288" s="36" t="s">
        <v>69</v>
      </c>
      <c r="M2288" s="1" t="s">
        <v>69</v>
      </c>
      <c r="N2288" s="1" t="s">
        <v>3383</v>
      </c>
      <c r="O2288" s="1" t="s">
        <v>3532</v>
      </c>
      <c r="P2288" s="1" t="s">
        <v>3385</v>
      </c>
      <c r="Q2288" s="1" t="s">
        <v>3385</v>
      </c>
      <c r="R2288" s="1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5" t="s">
        <v>3497</v>
      </c>
      <c r="C2289" s="1" t="s">
        <v>3498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3541</v>
      </c>
      <c r="I2289" s="1" t="s">
        <v>3542</v>
      </c>
      <c r="J2289" s="1" t="s">
        <v>52</v>
      </c>
      <c r="K2289" s="1" t="s">
        <v>3541</v>
      </c>
      <c r="L2289" s="36" t="s">
        <v>69</v>
      </c>
      <c r="M2289" s="1" t="s">
        <v>69</v>
      </c>
      <c r="N2289" s="1" t="s">
        <v>3383</v>
      </c>
      <c r="O2289" s="1" t="s">
        <v>3543</v>
      </c>
      <c r="P2289" s="1" t="s">
        <v>3385</v>
      </c>
      <c r="Q2289" s="1" t="s">
        <v>3385</v>
      </c>
      <c r="R2289" s="1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5" t="s">
        <v>3497</v>
      </c>
      <c r="C2290" s="1" t="s">
        <v>3498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3544</v>
      </c>
      <c r="I2290" s="1" t="s">
        <v>3545</v>
      </c>
      <c r="J2290" s="1" t="s">
        <v>52</v>
      </c>
      <c r="K2290" s="1" t="s">
        <v>3544</v>
      </c>
      <c r="L2290" s="36" t="s">
        <v>69</v>
      </c>
      <c r="M2290" s="1" t="s">
        <v>69</v>
      </c>
      <c r="N2290" s="1" t="s">
        <v>3383</v>
      </c>
      <c r="O2290" s="1" t="s">
        <v>3543</v>
      </c>
      <c r="P2290" s="1" t="s">
        <v>3385</v>
      </c>
      <c r="Q2290" s="1" t="s">
        <v>3385</v>
      </c>
      <c r="R2290" s="1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5" t="s">
        <v>3497</v>
      </c>
      <c r="C2291" s="1" t="s">
        <v>3498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3546</v>
      </c>
      <c r="I2291" s="1" t="s">
        <v>3547</v>
      </c>
      <c r="J2291" s="1" t="s">
        <v>52</v>
      </c>
      <c r="K2291" s="1" t="s">
        <v>3546</v>
      </c>
      <c r="L2291" s="36" t="s">
        <v>69</v>
      </c>
      <c r="M2291" s="1" t="s">
        <v>69</v>
      </c>
      <c r="N2291" s="1" t="s">
        <v>3383</v>
      </c>
      <c r="O2291" s="1" t="s">
        <v>3543</v>
      </c>
      <c r="P2291" s="1" t="s">
        <v>3385</v>
      </c>
      <c r="Q2291" s="1" t="s">
        <v>3385</v>
      </c>
      <c r="R2291" s="1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5" t="s">
        <v>3497</v>
      </c>
      <c r="C2292" s="1" t="s">
        <v>3498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3548</v>
      </c>
      <c r="I2292" s="1" t="s">
        <v>3549</v>
      </c>
      <c r="J2292" s="1" t="s">
        <v>52</v>
      </c>
      <c r="K2292" s="1" t="s">
        <v>3548</v>
      </c>
      <c r="L2292" s="36" t="s">
        <v>69</v>
      </c>
      <c r="M2292" s="1" t="s">
        <v>69</v>
      </c>
      <c r="N2292" s="1" t="s">
        <v>3383</v>
      </c>
      <c r="O2292" s="1" t="s">
        <v>3543</v>
      </c>
      <c r="P2292" s="1" t="s">
        <v>3385</v>
      </c>
      <c r="Q2292" s="1" t="s">
        <v>3385</v>
      </c>
      <c r="R2292" s="1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5" t="s">
        <v>3497</v>
      </c>
      <c r="C2293" s="1" t="s">
        <v>3498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3550</v>
      </c>
      <c r="I2293" s="1" t="s">
        <v>3551</v>
      </c>
      <c r="J2293" s="1" t="s">
        <v>52</v>
      </c>
      <c r="K2293" s="1" t="s">
        <v>3550</v>
      </c>
      <c r="L2293" s="36" t="s">
        <v>69</v>
      </c>
      <c r="M2293" s="1" t="s">
        <v>69</v>
      </c>
      <c r="N2293" s="1" t="s">
        <v>3383</v>
      </c>
      <c r="O2293" s="1" t="s">
        <v>3543</v>
      </c>
      <c r="P2293" s="1" t="s">
        <v>3385</v>
      </c>
      <c r="Q2293" s="1" t="s">
        <v>3385</v>
      </c>
      <c r="R2293" s="1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5" t="s">
        <v>3497</v>
      </c>
      <c r="C2294" s="1" t="s">
        <v>3498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3436</v>
      </c>
      <c r="I2294" s="1" t="s">
        <v>3437</v>
      </c>
      <c r="J2294" s="1" t="s">
        <v>52</v>
      </c>
      <c r="K2294" s="2" t="s">
        <v>3436</v>
      </c>
      <c r="L2294" s="5" t="s">
        <v>69</v>
      </c>
      <c r="M2294" s="5" t="s">
        <v>69</v>
      </c>
      <c r="N2294" s="1" t="s">
        <v>1935</v>
      </c>
      <c r="O2294" s="1" t="s">
        <v>46</v>
      </c>
      <c r="P2294" s="1" t="s">
        <v>46</v>
      </c>
      <c r="Q2294" s="1" t="s">
        <v>46</v>
      </c>
      <c r="R2294" s="5" t="s">
        <v>46</v>
      </c>
      <c r="S2294" s="1" t="s">
        <v>46</v>
      </c>
      <c r="T2294" s="1" t="s">
        <v>46</v>
      </c>
      <c r="U2294" s="1" t="s">
        <v>46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5" t="s">
        <v>3497</v>
      </c>
      <c r="C2295" s="1" t="s">
        <v>3498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3438</v>
      </c>
      <c r="I2295" s="1" t="s">
        <v>3439</v>
      </c>
      <c r="J2295" s="1" t="s">
        <v>52</v>
      </c>
      <c r="K2295" s="2" t="s">
        <v>3438</v>
      </c>
      <c r="L2295" s="5" t="s">
        <v>69</v>
      </c>
      <c r="M2295" s="5" t="s">
        <v>69</v>
      </c>
      <c r="N2295" s="1" t="s">
        <v>1935</v>
      </c>
      <c r="O2295" s="1" t="s">
        <v>46</v>
      </c>
      <c r="P2295" s="1" t="s">
        <v>46</v>
      </c>
      <c r="Q2295" s="1" t="s">
        <v>46</v>
      </c>
      <c r="R2295" s="5" t="s">
        <v>46</v>
      </c>
      <c r="S2295" s="1" t="s">
        <v>46</v>
      </c>
      <c r="T2295" s="1" t="s">
        <v>46</v>
      </c>
      <c r="U2295" s="1" t="s">
        <v>46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5" t="s">
        <v>3497</v>
      </c>
      <c r="C2296" s="1" t="s">
        <v>3498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3440</v>
      </c>
      <c r="I2296" s="1" t="s">
        <v>3441</v>
      </c>
      <c r="J2296" s="1" t="s">
        <v>52</v>
      </c>
      <c r="K2296" s="2" t="s">
        <v>3440</v>
      </c>
      <c r="L2296" s="5" t="s">
        <v>69</v>
      </c>
      <c r="M2296" s="5" t="s">
        <v>69</v>
      </c>
      <c r="N2296" s="1" t="s">
        <v>1935</v>
      </c>
      <c r="O2296" s="1" t="s">
        <v>46</v>
      </c>
      <c r="P2296" s="1" t="s">
        <v>46</v>
      </c>
      <c r="Q2296" s="1" t="s">
        <v>46</v>
      </c>
      <c r="R2296" s="5" t="s">
        <v>46</v>
      </c>
      <c r="S2296" s="1" t="s">
        <v>46</v>
      </c>
      <c r="T2296" s="1" t="s">
        <v>46</v>
      </c>
      <c r="U2296" s="1" t="s">
        <v>46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5" t="s">
        <v>3497</v>
      </c>
      <c r="C2297" s="1" t="s">
        <v>3498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3442</v>
      </c>
      <c r="I2297" s="1" t="s">
        <v>3443</v>
      </c>
      <c r="J2297" s="1" t="s">
        <v>52</v>
      </c>
      <c r="K2297" s="2" t="s">
        <v>3442</v>
      </c>
      <c r="L2297" s="5" t="s">
        <v>69</v>
      </c>
      <c r="M2297" s="5" t="s">
        <v>69</v>
      </c>
      <c r="N2297" s="1" t="s">
        <v>1935</v>
      </c>
      <c r="O2297" s="1" t="s">
        <v>46</v>
      </c>
      <c r="P2297" s="1" t="s">
        <v>46</v>
      </c>
      <c r="Q2297" s="1" t="s">
        <v>46</v>
      </c>
      <c r="R2297" s="5" t="s">
        <v>46</v>
      </c>
      <c r="S2297" s="1" t="s">
        <v>46</v>
      </c>
      <c r="T2297" s="1" t="s">
        <v>46</v>
      </c>
      <c r="U2297" s="1" t="s">
        <v>46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5" t="s">
        <v>3497</v>
      </c>
      <c r="C2298" s="1" t="s">
        <v>3498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3444</v>
      </c>
      <c r="I2298" s="1" t="s">
        <v>3445</v>
      </c>
      <c r="J2298" s="1" t="s">
        <v>52</v>
      </c>
      <c r="K2298" s="2" t="s">
        <v>3444</v>
      </c>
      <c r="L2298" s="5" t="s">
        <v>69</v>
      </c>
      <c r="M2298" s="5" t="s">
        <v>69</v>
      </c>
      <c r="N2298" s="1" t="s">
        <v>1935</v>
      </c>
      <c r="O2298" s="1" t="s">
        <v>46</v>
      </c>
      <c r="P2298" s="1" t="s">
        <v>46</v>
      </c>
      <c r="Q2298" s="1" t="s">
        <v>46</v>
      </c>
      <c r="R2298" s="5" t="s">
        <v>46</v>
      </c>
      <c r="S2298" s="1" t="s">
        <v>46</v>
      </c>
      <c r="T2298" s="1" t="s">
        <v>46</v>
      </c>
      <c r="U2298" s="1" t="s">
        <v>46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5" t="s">
        <v>3497</v>
      </c>
      <c r="C2299" s="1" t="s">
        <v>3498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3446</v>
      </c>
      <c r="I2299" s="1" t="s">
        <v>3447</v>
      </c>
      <c r="J2299" s="1" t="s">
        <v>52</v>
      </c>
      <c r="K2299" s="2" t="s">
        <v>3446</v>
      </c>
      <c r="L2299" s="5" t="s">
        <v>69</v>
      </c>
      <c r="M2299" s="5" t="s">
        <v>69</v>
      </c>
      <c r="N2299" s="1" t="s">
        <v>1935</v>
      </c>
      <c r="O2299" s="1" t="s">
        <v>46</v>
      </c>
      <c r="P2299" s="1" t="s">
        <v>46</v>
      </c>
      <c r="Q2299" s="1" t="s">
        <v>46</v>
      </c>
      <c r="R2299" s="5" t="s">
        <v>46</v>
      </c>
      <c r="S2299" s="1" t="s">
        <v>46</v>
      </c>
      <c r="T2299" s="1" t="s">
        <v>46</v>
      </c>
      <c r="U2299" s="1" t="s">
        <v>46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5" t="s">
        <v>3497</v>
      </c>
      <c r="C2300" s="1" t="s">
        <v>3498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3448</v>
      </c>
      <c r="I2300" s="1" t="s">
        <v>3449</v>
      </c>
      <c r="J2300" s="1" t="s">
        <v>52</v>
      </c>
      <c r="K2300" s="2" t="s">
        <v>3448</v>
      </c>
      <c r="L2300" s="5" t="s">
        <v>69</v>
      </c>
      <c r="M2300" s="5" t="s">
        <v>69</v>
      </c>
      <c r="N2300" s="1" t="s">
        <v>1935</v>
      </c>
      <c r="O2300" s="1" t="s">
        <v>46</v>
      </c>
      <c r="P2300" s="1" t="s">
        <v>46</v>
      </c>
      <c r="Q2300" s="1" t="s">
        <v>46</v>
      </c>
      <c r="R2300" s="5" t="s">
        <v>46</v>
      </c>
      <c r="S2300" s="1" t="s">
        <v>46</v>
      </c>
      <c r="T2300" s="1" t="s">
        <v>46</v>
      </c>
      <c r="U2300" s="1" t="s">
        <v>46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5" t="s">
        <v>3497</v>
      </c>
      <c r="C2301" s="1" t="s">
        <v>3498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3450</v>
      </c>
      <c r="I2301" s="1" t="s">
        <v>3451</v>
      </c>
      <c r="J2301" s="1" t="s">
        <v>52</v>
      </c>
      <c r="K2301" s="2" t="s">
        <v>3450</v>
      </c>
      <c r="L2301" s="5" t="s">
        <v>69</v>
      </c>
      <c r="M2301" s="5" t="s">
        <v>69</v>
      </c>
      <c r="N2301" s="1" t="s">
        <v>1935</v>
      </c>
      <c r="O2301" s="1" t="s">
        <v>46</v>
      </c>
      <c r="P2301" s="1" t="s">
        <v>46</v>
      </c>
      <c r="Q2301" s="1" t="s">
        <v>46</v>
      </c>
      <c r="R2301" s="5" t="s">
        <v>46</v>
      </c>
      <c r="S2301" s="1" t="s">
        <v>46</v>
      </c>
      <c r="T2301" s="1" t="s">
        <v>46</v>
      </c>
      <c r="U2301" s="1" t="s">
        <v>46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5" t="s">
        <v>3497</v>
      </c>
      <c r="C2302" s="1" t="s">
        <v>3498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3452</v>
      </c>
      <c r="I2302" s="1" t="s">
        <v>3453</v>
      </c>
      <c r="J2302" s="1" t="s">
        <v>52</v>
      </c>
      <c r="K2302" s="2" t="s">
        <v>3452</v>
      </c>
      <c r="L2302" s="5" t="s">
        <v>69</v>
      </c>
      <c r="M2302" s="5" t="s">
        <v>69</v>
      </c>
      <c r="N2302" s="1" t="s">
        <v>1935</v>
      </c>
      <c r="O2302" s="1" t="s">
        <v>46</v>
      </c>
      <c r="P2302" s="1" t="s">
        <v>46</v>
      </c>
      <c r="Q2302" s="1" t="s">
        <v>46</v>
      </c>
      <c r="R2302" s="5" t="s">
        <v>46</v>
      </c>
      <c r="S2302" s="1" t="s">
        <v>46</v>
      </c>
      <c r="T2302" s="1" t="s">
        <v>46</v>
      </c>
      <c r="U2302" s="1" t="s">
        <v>46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5" t="s">
        <v>3497</v>
      </c>
      <c r="C2303" s="1" t="s">
        <v>3498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3454</v>
      </c>
      <c r="I2303" s="1" t="s">
        <v>3455</v>
      </c>
      <c r="J2303" s="1" t="s">
        <v>52</v>
      </c>
      <c r="K2303" s="2" t="s">
        <v>3454</v>
      </c>
      <c r="L2303" s="5" t="s">
        <v>69</v>
      </c>
      <c r="M2303" s="5" t="s">
        <v>69</v>
      </c>
      <c r="N2303" s="1" t="s">
        <v>1935</v>
      </c>
      <c r="O2303" s="1" t="s">
        <v>46</v>
      </c>
      <c r="P2303" s="1" t="s">
        <v>46</v>
      </c>
      <c r="Q2303" s="1" t="s">
        <v>46</v>
      </c>
      <c r="R2303" s="5" t="s">
        <v>46</v>
      </c>
      <c r="S2303" s="1" t="s">
        <v>46</v>
      </c>
      <c r="T2303" s="1" t="s">
        <v>46</v>
      </c>
      <c r="U2303" s="1" t="s">
        <v>46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5" t="s">
        <v>3497</v>
      </c>
      <c r="C2304" s="1" t="s">
        <v>3498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3456</v>
      </c>
      <c r="I2304" s="1" t="s">
        <v>3457</v>
      </c>
      <c r="J2304" s="1" t="s">
        <v>52</v>
      </c>
      <c r="K2304" s="2" t="s">
        <v>3456</v>
      </c>
      <c r="L2304" s="5" t="s">
        <v>69</v>
      </c>
      <c r="M2304" s="5" t="s">
        <v>69</v>
      </c>
      <c r="N2304" s="1" t="s">
        <v>1935</v>
      </c>
      <c r="O2304" s="1" t="s">
        <v>46</v>
      </c>
      <c r="P2304" s="1" t="s">
        <v>46</v>
      </c>
      <c r="Q2304" s="1" t="s">
        <v>46</v>
      </c>
      <c r="R2304" s="5" t="s">
        <v>46</v>
      </c>
      <c r="S2304" s="1" t="s">
        <v>46</v>
      </c>
      <c r="T2304" s="1" t="s">
        <v>46</v>
      </c>
      <c r="U2304" s="1" t="s">
        <v>46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5" t="s">
        <v>3497</v>
      </c>
      <c r="C2305" s="1" t="s">
        <v>3498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3458</v>
      </c>
      <c r="I2305" s="1" t="s">
        <v>3459</v>
      </c>
      <c r="J2305" s="1" t="s">
        <v>52</v>
      </c>
      <c r="K2305" s="2" t="s">
        <v>3458</v>
      </c>
      <c r="L2305" s="5" t="s">
        <v>69</v>
      </c>
      <c r="M2305" s="5" t="s">
        <v>69</v>
      </c>
      <c r="N2305" s="1" t="s">
        <v>1935</v>
      </c>
      <c r="O2305" s="1" t="s">
        <v>46</v>
      </c>
      <c r="P2305" s="1" t="s">
        <v>46</v>
      </c>
      <c r="Q2305" s="1" t="s">
        <v>46</v>
      </c>
      <c r="R2305" s="5" t="s">
        <v>46</v>
      </c>
      <c r="S2305" s="1" t="s">
        <v>46</v>
      </c>
      <c r="T2305" s="1" t="s">
        <v>46</v>
      </c>
      <c r="U2305" s="1" t="s">
        <v>46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5" t="s">
        <v>3497</v>
      </c>
      <c r="C2306" s="1" t="s">
        <v>3498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3460</v>
      </c>
      <c r="I2306" s="1" t="s">
        <v>3461</v>
      </c>
      <c r="J2306" s="1" t="s">
        <v>52</v>
      </c>
      <c r="K2306" s="2" t="s">
        <v>3460</v>
      </c>
      <c r="L2306" s="5" t="s">
        <v>69</v>
      </c>
      <c r="M2306" s="5" t="s">
        <v>69</v>
      </c>
      <c r="N2306" s="1" t="s">
        <v>1935</v>
      </c>
      <c r="O2306" s="1" t="s">
        <v>46</v>
      </c>
      <c r="P2306" s="1" t="s">
        <v>46</v>
      </c>
      <c r="Q2306" s="1" t="s">
        <v>46</v>
      </c>
      <c r="R2306" s="5" t="s">
        <v>46</v>
      </c>
      <c r="S2306" s="1" t="s">
        <v>46</v>
      </c>
      <c r="T2306" s="1" t="s">
        <v>46</v>
      </c>
      <c r="U2306" s="1" t="s">
        <v>46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5" t="s">
        <v>3497</v>
      </c>
      <c r="C2307" s="1" t="s">
        <v>3498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3462</v>
      </c>
      <c r="I2307" s="1" t="s">
        <v>3463</v>
      </c>
      <c r="J2307" s="1" t="s">
        <v>52</v>
      </c>
      <c r="K2307" s="2" t="s">
        <v>3462</v>
      </c>
      <c r="L2307" s="5" t="s">
        <v>69</v>
      </c>
      <c r="M2307" s="5" t="s">
        <v>69</v>
      </c>
      <c r="N2307" s="1" t="s">
        <v>1935</v>
      </c>
      <c r="O2307" s="1" t="s">
        <v>46</v>
      </c>
      <c r="P2307" s="1" t="s">
        <v>46</v>
      </c>
      <c r="Q2307" s="1" t="s">
        <v>46</v>
      </c>
      <c r="R2307" s="5" t="s">
        <v>46</v>
      </c>
      <c r="S2307" s="1" t="s">
        <v>46</v>
      </c>
      <c r="T2307" s="1" t="s">
        <v>46</v>
      </c>
      <c r="U2307" s="1" t="s">
        <v>46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5" t="s">
        <v>3497</v>
      </c>
      <c r="C2308" s="1" t="s">
        <v>3498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3464</v>
      </c>
      <c r="I2308" s="1" t="s">
        <v>3465</v>
      </c>
      <c r="J2308" s="1" t="s">
        <v>52</v>
      </c>
      <c r="K2308" s="2" t="s">
        <v>3464</v>
      </c>
      <c r="L2308" s="5" t="s">
        <v>69</v>
      </c>
      <c r="M2308" s="5" t="s">
        <v>69</v>
      </c>
      <c r="N2308" s="1" t="s">
        <v>1935</v>
      </c>
      <c r="O2308" s="1" t="s">
        <v>46</v>
      </c>
      <c r="P2308" s="1" t="s">
        <v>46</v>
      </c>
      <c r="Q2308" s="1" t="s">
        <v>46</v>
      </c>
      <c r="R2308" s="5" t="s">
        <v>46</v>
      </c>
      <c r="S2308" s="1" t="s">
        <v>46</v>
      </c>
      <c r="T2308" s="1" t="s">
        <v>46</v>
      </c>
      <c r="U2308" s="1" t="s">
        <v>46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5" t="s">
        <v>3497</v>
      </c>
      <c r="C2309" s="1" t="s">
        <v>3498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3466</v>
      </c>
      <c r="I2309" s="1" t="s">
        <v>3467</v>
      </c>
      <c r="J2309" s="1" t="s">
        <v>52</v>
      </c>
      <c r="K2309" s="2" t="s">
        <v>3466</v>
      </c>
      <c r="L2309" s="5" t="s">
        <v>69</v>
      </c>
      <c r="M2309" s="5" t="s">
        <v>69</v>
      </c>
      <c r="N2309" s="1" t="s">
        <v>3468</v>
      </c>
      <c r="O2309" s="1" t="s">
        <v>46</v>
      </c>
      <c r="P2309" s="1" t="s">
        <v>46</v>
      </c>
      <c r="Q2309" s="1" t="s">
        <v>46</v>
      </c>
      <c r="R2309" s="5" t="s">
        <v>46</v>
      </c>
      <c r="S2309" s="1" t="s">
        <v>46</v>
      </c>
      <c r="T2309" s="1" t="s">
        <v>46</v>
      </c>
      <c r="U2309" s="1" t="s">
        <v>46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5" t="s">
        <v>3497</v>
      </c>
      <c r="C2310" s="1" t="s">
        <v>3498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3469</v>
      </c>
      <c r="I2310" s="1" t="s">
        <v>3470</v>
      </c>
      <c r="J2310" s="1" t="s">
        <v>52</v>
      </c>
      <c r="K2310" s="2" t="s">
        <v>3469</v>
      </c>
      <c r="L2310" s="5" t="s">
        <v>69</v>
      </c>
      <c r="M2310" s="5" t="s">
        <v>69</v>
      </c>
      <c r="N2310" s="1" t="s">
        <v>3468</v>
      </c>
      <c r="O2310" s="1" t="s">
        <v>46</v>
      </c>
      <c r="P2310" s="1" t="s">
        <v>46</v>
      </c>
      <c r="Q2310" s="1" t="s">
        <v>46</v>
      </c>
      <c r="R2310" s="5" t="s">
        <v>46</v>
      </c>
      <c r="S2310" s="1" t="s">
        <v>46</v>
      </c>
      <c r="T2310" s="1" t="s">
        <v>46</v>
      </c>
      <c r="U2310" s="1" t="s">
        <v>46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5" t="s">
        <v>3497</v>
      </c>
      <c r="C2311" s="1" t="s">
        <v>3498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3471</v>
      </c>
      <c r="I2311" s="1" t="s">
        <v>3472</v>
      </c>
      <c r="J2311" s="1" t="s">
        <v>52</v>
      </c>
      <c r="K2311" s="2" t="s">
        <v>3471</v>
      </c>
      <c r="L2311" s="5" t="s">
        <v>69</v>
      </c>
      <c r="M2311" s="5" t="s">
        <v>69</v>
      </c>
      <c r="N2311" s="1" t="s">
        <v>3468</v>
      </c>
      <c r="O2311" s="1" t="s">
        <v>46</v>
      </c>
      <c r="P2311" s="1" t="s">
        <v>46</v>
      </c>
      <c r="Q2311" s="1" t="s">
        <v>46</v>
      </c>
      <c r="R2311" s="5" t="s">
        <v>46</v>
      </c>
      <c r="S2311" s="1" t="s">
        <v>46</v>
      </c>
      <c r="T2311" s="1" t="s">
        <v>46</v>
      </c>
      <c r="U2311" s="1" t="s">
        <v>46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5" t="s">
        <v>3497</v>
      </c>
      <c r="C2312" s="1" t="s">
        <v>3498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3473</v>
      </c>
      <c r="I2312" s="1" t="s">
        <v>3474</v>
      </c>
      <c r="J2312" s="1" t="s">
        <v>52</v>
      </c>
      <c r="K2312" s="2" t="s">
        <v>3473</v>
      </c>
      <c r="L2312" s="5" t="s">
        <v>69</v>
      </c>
      <c r="M2312" s="5" t="s">
        <v>69</v>
      </c>
      <c r="N2312" s="1" t="s">
        <v>3468</v>
      </c>
      <c r="O2312" s="1" t="s">
        <v>46</v>
      </c>
      <c r="P2312" s="1" t="s">
        <v>46</v>
      </c>
      <c r="Q2312" s="1" t="s">
        <v>46</v>
      </c>
      <c r="R2312" s="5" t="s">
        <v>46</v>
      </c>
      <c r="S2312" s="1" t="s">
        <v>46</v>
      </c>
      <c r="T2312" s="1" t="s">
        <v>46</v>
      </c>
      <c r="U2312" s="1" t="s">
        <v>46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5" t="s">
        <v>3497</v>
      </c>
      <c r="C2313" s="1" t="s">
        <v>3498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3475</v>
      </c>
      <c r="I2313" s="1" t="s">
        <v>3476</v>
      </c>
      <c r="J2313" s="1" t="s">
        <v>52</v>
      </c>
      <c r="K2313" s="2" t="s">
        <v>3475</v>
      </c>
      <c r="L2313" s="5" t="s">
        <v>69</v>
      </c>
      <c r="M2313" s="5" t="s">
        <v>69</v>
      </c>
      <c r="N2313" s="1" t="s">
        <v>3468</v>
      </c>
      <c r="O2313" s="1" t="s">
        <v>46</v>
      </c>
      <c r="P2313" s="1" t="s">
        <v>46</v>
      </c>
      <c r="Q2313" s="1" t="s">
        <v>46</v>
      </c>
      <c r="R2313" s="5" t="s">
        <v>46</v>
      </c>
      <c r="S2313" s="1" t="s">
        <v>46</v>
      </c>
      <c r="T2313" s="1" t="s">
        <v>46</v>
      </c>
      <c r="U2313" s="1" t="s">
        <v>46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5" t="s">
        <v>3497</v>
      </c>
      <c r="C2314" s="1" t="s">
        <v>3498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3477</v>
      </c>
      <c r="I2314" s="1" t="s">
        <v>3478</v>
      </c>
      <c r="J2314" s="1" t="s">
        <v>52</v>
      </c>
      <c r="K2314" s="2" t="s">
        <v>3477</v>
      </c>
      <c r="L2314" s="5" t="s">
        <v>69</v>
      </c>
      <c r="M2314" s="5" t="s">
        <v>69</v>
      </c>
      <c r="N2314" s="1" t="s">
        <v>3468</v>
      </c>
      <c r="O2314" s="1" t="s">
        <v>46</v>
      </c>
      <c r="P2314" s="1" t="s">
        <v>46</v>
      </c>
      <c r="Q2314" s="1" t="s">
        <v>46</v>
      </c>
      <c r="R2314" s="5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5" t="s">
        <v>3497</v>
      </c>
      <c r="C2315" s="1" t="s">
        <v>3498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3479</v>
      </c>
      <c r="I2315" s="1" t="s">
        <v>3480</v>
      </c>
      <c r="J2315" s="1" t="s">
        <v>52</v>
      </c>
      <c r="K2315" s="2" t="s">
        <v>3479</v>
      </c>
      <c r="L2315" s="5" t="s">
        <v>69</v>
      </c>
      <c r="M2315" s="5" t="s">
        <v>69</v>
      </c>
      <c r="N2315" s="1" t="s">
        <v>3468</v>
      </c>
      <c r="O2315" s="1" t="s">
        <v>46</v>
      </c>
      <c r="P2315" s="1" t="s">
        <v>46</v>
      </c>
      <c r="Q2315" s="1" t="s">
        <v>46</v>
      </c>
      <c r="R2315" s="5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5" t="s">
        <v>3497</v>
      </c>
      <c r="C2316" s="1" t="s">
        <v>3498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3481</v>
      </c>
      <c r="I2316" s="1" t="s">
        <v>3482</v>
      </c>
      <c r="J2316" s="1" t="s">
        <v>52</v>
      </c>
      <c r="K2316" s="2" t="s">
        <v>3481</v>
      </c>
      <c r="L2316" s="5" t="s">
        <v>69</v>
      </c>
      <c r="M2316" s="5" t="s">
        <v>69</v>
      </c>
      <c r="N2316" s="1" t="s">
        <v>3468</v>
      </c>
      <c r="O2316" s="1" t="s">
        <v>46</v>
      </c>
      <c r="P2316" s="1" t="s">
        <v>46</v>
      </c>
      <c r="Q2316" s="1" t="s">
        <v>46</v>
      </c>
      <c r="R2316" s="5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5" t="s">
        <v>3497</v>
      </c>
      <c r="C2317" s="1" t="s">
        <v>3498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3483</v>
      </c>
      <c r="I2317" s="1" t="s">
        <v>3484</v>
      </c>
      <c r="J2317" s="1" t="s">
        <v>52</v>
      </c>
      <c r="K2317" s="2" t="s">
        <v>3483</v>
      </c>
      <c r="L2317" s="5" t="s">
        <v>69</v>
      </c>
      <c r="M2317" s="5" t="s">
        <v>69</v>
      </c>
      <c r="N2317" s="1" t="s">
        <v>3468</v>
      </c>
      <c r="O2317" s="1" t="s">
        <v>46</v>
      </c>
      <c r="P2317" s="1" t="s">
        <v>46</v>
      </c>
      <c r="Q2317" s="1" t="s">
        <v>46</v>
      </c>
      <c r="R2317" s="5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5" t="s">
        <v>3497</v>
      </c>
      <c r="C2318" s="1" t="s">
        <v>3498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3485</v>
      </c>
      <c r="I2318" s="1" t="s">
        <v>3486</v>
      </c>
      <c r="J2318" s="1" t="s">
        <v>52</v>
      </c>
      <c r="K2318" s="2" t="s">
        <v>3485</v>
      </c>
      <c r="L2318" s="5" t="s">
        <v>69</v>
      </c>
      <c r="M2318" s="5" t="s">
        <v>69</v>
      </c>
      <c r="N2318" s="1" t="s">
        <v>3468</v>
      </c>
      <c r="O2318" s="1" t="s">
        <v>46</v>
      </c>
      <c r="P2318" s="1" t="s">
        <v>46</v>
      </c>
      <c r="Q2318" s="1" t="s">
        <v>46</v>
      </c>
      <c r="R2318" s="5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5" t="s">
        <v>3497</v>
      </c>
      <c r="C2319" s="1" t="s">
        <v>3498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3487</v>
      </c>
      <c r="I2319" s="1" t="s">
        <v>3488</v>
      </c>
      <c r="J2319" s="1" t="s">
        <v>52</v>
      </c>
      <c r="K2319" s="2" t="s">
        <v>3487</v>
      </c>
      <c r="L2319" s="5" t="s">
        <v>69</v>
      </c>
      <c r="M2319" s="5" t="s">
        <v>69</v>
      </c>
      <c r="N2319" s="1" t="s">
        <v>3468</v>
      </c>
      <c r="O2319" s="1" t="s">
        <v>46</v>
      </c>
      <c r="P2319" s="1" t="s">
        <v>46</v>
      </c>
      <c r="Q2319" s="1" t="s">
        <v>46</v>
      </c>
      <c r="R2319" s="5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5" t="s">
        <v>3497</v>
      </c>
      <c r="C2320" s="1" t="s">
        <v>3498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3489</v>
      </c>
      <c r="I2320" s="1" t="s">
        <v>3490</v>
      </c>
      <c r="J2320" s="1" t="s">
        <v>52</v>
      </c>
      <c r="K2320" s="2" t="s">
        <v>3489</v>
      </c>
      <c r="L2320" s="5" t="s">
        <v>69</v>
      </c>
      <c r="M2320" s="5" t="s">
        <v>69</v>
      </c>
      <c r="N2320" s="1" t="s">
        <v>3468</v>
      </c>
      <c r="O2320" s="1" t="s">
        <v>46</v>
      </c>
      <c r="P2320" s="1" t="s">
        <v>46</v>
      </c>
      <c r="Q2320" s="1" t="s">
        <v>46</v>
      </c>
      <c r="R2320" s="5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5" t="s">
        <v>3497</v>
      </c>
      <c r="C2321" s="1" t="s">
        <v>3498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3491</v>
      </c>
      <c r="I2321" s="1" t="s">
        <v>3492</v>
      </c>
      <c r="J2321" s="1" t="s">
        <v>52</v>
      </c>
      <c r="K2321" s="2" t="s">
        <v>3491</v>
      </c>
      <c r="L2321" s="5" t="s">
        <v>69</v>
      </c>
      <c r="M2321" s="5" t="s">
        <v>69</v>
      </c>
      <c r="N2321" s="1" t="s">
        <v>3468</v>
      </c>
      <c r="O2321" s="1" t="s">
        <v>46</v>
      </c>
      <c r="P2321" s="1" t="s">
        <v>46</v>
      </c>
      <c r="Q2321" s="1" t="s">
        <v>46</v>
      </c>
      <c r="R2321" s="5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5" t="s">
        <v>3497</v>
      </c>
      <c r="C2322" s="1" t="s">
        <v>3498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3493</v>
      </c>
      <c r="I2322" s="1" t="s">
        <v>3494</v>
      </c>
      <c r="J2322" s="1" t="s">
        <v>52</v>
      </c>
      <c r="K2322" s="2" t="s">
        <v>3493</v>
      </c>
      <c r="L2322" s="5" t="s">
        <v>69</v>
      </c>
      <c r="M2322" s="5" t="s">
        <v>69</v>
      </c>
      <c r="N2322" s="1" t="s">
        <v>3468</v>
      </c>
      <c r="O2322" s="1" t="s">
        <v>46</v>
      </c>
      <c r="P2322" s="1" t="s">
        <v>46</v>
      </c>
      <c r="Q2322" s="1" t="s">
        <v>46</v>
      </c>
      <c r="R2322" s="5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5" t="s">
        <v>3497</v>
      </c>
      <c r="C2323" s="1" t="s">
        <v>3498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3495</v>
      </c>
      <c r="I2323" s="1" t="s">
        <v>3496</v>
      </c>
      <c r="J2323" s="1" t="s">
        <v>52</v>
      </c>
      <c r="K2323" s="2" t="s">
        <v>3495</v>
      </c>
      <c r="L2323" s="5" t="s">
        <v>69</v>
      </c>
      <c r="M2323" s="5" t="s">
        <v>69</v>
      </c>
      <c r="N2323" s="1" t="s">
        <v>3468</v>
      </c>
      <c r="O2323" s="1" t="s">
        <v>46</v>
      </c>
      <c r="P2323" s="1" t="s">
        <v>46</v>
      </c>
      <c r="Q2323" s="1" t="s">
        <v>46</v>
      </c>
      <c r="R2323" s="5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5" t="s">
        <v>3552</v>
      </c>
      <c r="C2324" s="1" t="s">
        <v>3553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3554</v>
      </c>
      <c r="I2324" s="1" t="s">
        <v>3555</v>
      </c>
      <c r="J2324" s="1" t="s">
        <v>52</v>
      </c>
      <c r="K2324" s="2" t="s">
        <v>3554</v>
      </c>
      <c r="L2324" s="5" t="s">
        <v>69</v>
      </c>
      <c r="M2324" s="5" t="s">
        <v>69</v>
      </c>
      <c r="N2324" s="1" t="s">
        <v>3383</v>
      </c>
      <c r="O2324" s="1" t="s">
        <v>3556</v>
      </c>
      <c r="P2324" s="1" t="s">
        <v>3385</v>
      </c>
      <c r="Q2324" s="1" t="s">
        <v>3385</v>
      </c>
      <c r="R2324" s="1" t="s">
        <v>46</v>
      </c>
      <c r="S2324" s="1" t="s">
        <v>69</v>
      </c>
      <c r="T2324" s="1" t="s">
        <v>69</v>
      </c>
      <c r="U2324" s="1" t="s">
        <v>46</v>
      </c>
      <c r="V2324" s="1" t="n">
        <v>1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5" t="s">
        <v>3552</v>
      </c>
      <c r="C2325" s="1" t="s">
        <v>3553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3557</v>
      </c>
      <c r="I2325" s="1" t="s">
        <v>3558</v>
      </c>
      <c r="J2325" s="1" t="s">
        <v>52</v>
      </c>
      <c r="K2325" s="2" t="s">
        <v>3557</v>
      </c>
      <c r="L2325" s="5" t="s">
        <v>69</v>
      </c>
      <c r="M2325" s="5" t="s">
        <v>69</v>
      </c>
      <c r="N2325" s="1" t="s">
        <v>3383</v>
      </c>
      <c r="O2325" s="1" t="s">
        <v>3556</v>
      </c>
      <c r="P2325" s="1" t="s">
        <v>3385</v>
      </c>
      <c r="Q2325" s="1" t="s">
        <v>3385</v>
      </c>
      <c r="R2325" s="1" t="s">
        <v>46</v>
      </c>
      <c r="S2325" s="1" t="s">
        <v>69</v>
      </c>
      <c r="T2325" s="1" t="s">
        <v>69</v>
      </c>
      <c r="U2325" s="1" t="s">
        <v>46</v>
      </c>
      <c r="V2325" s="1" t="n">
        <v>2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5" t="s">
        <v>3552</v>
      </c>
      <c r="C2326" s="1" t="s">
        <v>3553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3559</v>
      </c>
      <c r="I2326" s="1" t="s">
        <v>3560</v>
      </c>
      <c r="J2326" s="1" t="s">
        <v>52</v>
      </c>
      <c r="K2326" s="2" t="s">
        <v>3559</v>
      </c>
      <c r="L2326" s="5" t="s">
        <v>69</v>
      </c>
      <c r="M2326" s="5" t="s">
        <v>69</v>
      </c>
      <c r="N2326" s="1" t="s">
        <v>3383</v>
      </c>
      <c r="O2326" s="1" t="s">
        <v>3556</v>
      </c>
      <c r="P2326" s="1" t="s">
        <v>3385</v>
      </c>
      <c r="Q2326" s="1" t="s">
        <v>3385</v>
      </c>
      <c r="R2326" s="1" t="s">
        <v>46</v>
      </c>
      <c r="S2326" s="1" t="s">
        <v>69</v>
      </c>
      <c r="T2326" s="1" t="s">
        <v>69</v>
      </c>
      <c r="U2326" s="1" t="s">
        <v>46</v>
      </c>
      <c r="V2326" s="1" t="n">
        <v>3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5" t="s">
        <v>3552</v>
      </c>
      <c r="C2327" s="1" t="s">
        <v>3553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3561</v>
      </c>
      <c r="I2327" s="1" t="s">
        <v>3562</v>
      </c>
      <c r="J2327" s="1" t="s">
        <v>52</v>
      </c>
      <c r="K2327" s="2" t="s">
        <v>3561</v>
      </c>
      <c r="L2327" s="5" t="s">
        <v>69</v>
      </c>
      <c r="M2327" s="5" t="s">
        <v>69</v>
      </c>
      <c r="N2327" s="1" t="s">
        <v>3383</v>
      </c>
      <c r="O2327" s="1" t="s">
        <v>3556</v>
      </c>
      <c r="P2327" s="1" t="s">
        <v>3385</v>
      </c>
      <c r="Q2327" s="1" t="s">
        <v>3385</v>
      </c>
      <c r="R2327" s="1" t="s">
        <v>46</v>
      </c>
      <c r="S2327" s="1" t="s">
        <v>69</v>
      </c>
      <c r="T2327" s="1" t="s">
        <v>69</v>
      </c>
      <c r="U2327" s="1" t="s">
        <v>46</v>
      </c>
      <c r="V2327" s="1" t="n">
        <v>4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5" t="s">
        <v>3552</v>
      </c>
      <c r="C2328" s="1" t="s">
        <v>3553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3563</v>
      </c>
      <c r="I2328" s="1" t="s">
        <v>3564</v>
      </c>
      <c r="J2328" s="1" t="s">
        <v>52</v>
      </c>
      <c r="K2328" s="2" t="s">
        <v>3563</v>
      </c>
      <c r="L2328" s="5" t="s">
        <v>69</v>
      </c>
      <c r="M2328" s="5" t="s">
        <v>69</v>
      </c>
      <c r="N2328" s="1" t="s">
        <v>3383</v>
      </c>
      <c r="O2328" s="1" t="s">
        <v>3556</v>
      </c>
      <c r="P2328" s="1" t="s">
        <v>3385</v>
      </c>
      <c r="Q2328" s="1" t="s">
        <v>3385</v>
      </c>
      <c r="R2328" s="1" t="s">
        <v>46</v>
      </c>
      <c r="S2328" s="1" t="s">
        <v>69</v>
      </c>
      <c r="T2328" s="1" t="s">
        <v>69</v>
      </c>
      <c r="U2328" s="1" t="s">
        <v>46</v>
      </c>
      <c r="V2328" s="1" t="n">
        <v>5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5" t="s">
        <v>3552</v>
      </c>
      <c r="C2329" s="1" t="s">
        <v>3553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3565</v>
      </c>
      <c r="I2329" s="1" t="s">
        <v>3566</v>
      </c>
      <c r="J2329" s="1" t="s">
        <v>52</v>
      </c>
      <c r="K2329" s="2" t="s">
        <v>3565</v>
      </c>
      <c r="L2329" s="5" t="s">
        <v>69</v>
      </c>
      <c r="M2329" s="5" t="s">
        <v>69</v>
      </c>
      <c r="N2329" s="1" t="s">
        <v>3383</v>
      </c>
      <c r="O2329" s="1" t="s">
        <v>3567</v>
      </c>
      <c r="P2329" s="1" t="s">
        <v>3385</v>
      </c>
      <c r="Q2329" s="1" t="s">
        <v>3385</v>
      </c>
      <c r="R2329" s="1" t="s">
        <v>46</v>
      </c>
      <c r="S2329" s="1" t="s">
        <v>69</v>
      </c>
      <c r="T2329" s="1" t="s">
        <v>69</v>
      </c>
      <c r="U2329" s="1" t="s">
        <v>46</v>
      </c>
      <c r="V2329" s="1" t="n">
        <v>1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5" t="s">
        <v>3552</v>
      </c>
      <c r="C2330" s="1" t="s">
        <v>3553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3568</v>
      </c>
      <c r="I2330" s="1" t="s">
        <v>3569</v>
      </c>
      <c r="J2330" s="1" t="s">
        <v>52</v>
      </c>
      <c r="K2330" s="2" t="s">
        <v>3568</v>
      </c>
      <c r="L2330" s="5" t="s">
        <v>69</v>
      </c>
      <c r="M2330" s="5" t="s">
        <v>69</v>
      </c>
      <c r="N2330" s="1" t="s">
        <v>3383</v>
      </c>
      <c r="O2330" s="1" t="s">
        <v>3567</v>
      </c>
      <c r="P2330" s="1" t="s">
        <v>3385</v>
      </c>
      <c r="Q2330" s="1" t="s">
        <v>3385</v>
      </c>
      <c r="R2330" s="1" t="s">
        <v>46</v>
      </c>
      <c r="S2330" s="1" t="s">
        <v>69</v>
      </c>
      <c r="T2330" s="1" t="s">
        <v>69</v>
      </c>
      <c r="U2330" s="1" t="s">
        <v>46</v>
      </c>
      <c r="V2330" s="1" t="n">
        <v>2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5" t="s">
        <v>3552</v>
      </c>
      <c r="C2331" s="1" t="s">
        <v>3553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3570</v>
      </c>
      <c r="I2331" s="1" t="s">
        <v>3571</v>
      </c>
      <c r="J2331" s="1" t="s">
        <v>52</v>
      </c>
      <c r="K2331" s="2" t="s">
        <v>3570</v>
      </c>
      <c r="L2331" s="5" t="s">
        <v>69</v>
      </c>
      <c r="M2331" s="5" t="s">
        <v>69</v>
      </c>
      <c r="N2331" s="1" t="s">
        <v>3383</v>
      </c>
      <c r="O2331" s="1" t="s">
        <v>3567</v>
      </c>
      <c r="P2331" s="1" t="s">
        <v>3385</v>
      </c>
      <c r="Q2331" s="1" t="s">
        <v>3385</v>
      </c>
      <c r="R2331" s="1" t="s">
        <v>46</v>
      </c>
      <c r="S2331" s="1" t="s">
        <v>69</v>
      </c>
      <c r="T2331" s="1" t="s">
        <v>69</v>
      </c>
      <c r="U2331" s="1" t="s">
        <v>46</v>
      </c>
      <c r="V2331" s="1" t="n">
        <v>3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5" t="s">
        <v>3552</v>
      </c>
      <c r="C2332" s="1" t="s">
        <v>3553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3572</v>
      </c>
      <c r="I2332" s="1" t="s">
        <v>3573</v>
      </c>
      <c r="J2332" s="1" t="s">
        <v>52</v>
      </c>
      <c r="K2332" s="2" t="s">
        <v>3572</v>
      </c>
      <c r="L2332" s="5" t="s">
        <v>69</v>
      </c>
      <c r="M2332" s="5" t="s">
        <v>69</v>
      </c>
      <c r="N2332" s="1" t="s">
        <v>3383</v>
      </c>
      <c r="O2332" s="1" t="s">
        <v>3567</v>
      </c>
      <c r="P2332" s="1" t="s">
        <v>3385</v>
      </c>
      <c r="Q2332" s="1" t="s">
        <v>3385</v>
      </c>
      <c r="R2332" s="1" t="s">
        <v>46</v>
      </c>
      <c r="S2332" s="1" t="s">
        <v>69</v>
      </c>
      <c r="T2332" s="1" t="s">
        <v>69</v>
      </c>
      <c r="U2332" s="1" t="s">
        <v>46</v>
      </c>
      <c r="V2332" s="1" t="n">
        <v>4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5" t="s">
        <v>3552</v>
      </c>
      <c r="C2333" s="1" t="s">
        <v>3553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3574</v>
      </c>
      <c r="I2333" s="1" t="s">
        <v>3575</v>
      </c>
      <c r="J2333" s="1" t="s">
        <v>52</v>
      </c>
      <c r="K2333" s="2" t="s">
        <v>3574</v>
      </c>
      <c r="L2333" s="5" t="s">
        <v>69</v>
      </c>
      <c r="M2333" s="5" t="s">
        <v>69</v>
      </c>
      <c r="N2333" s="1" t="s">
        <v>3383</v>
      </c>
      <c r="O2333" s="1" t="s">
        <v>3567</v>
      </c>
      <c r="P2333" s="1" t="s">
        <v>3385</v>
      </c>
      <c r="Q2333" s="1" t="s">
        <v>3385</v>
      </c>
      <c r="R2333" s="1" t="s">
        <v>46</v>
      </c>
      <c r="S2333" s="1" t="s">
        <v>69</v>
      </c>
      <c r="T2333" s="1" t="s">
        <v>69</v>
      </c>
      <c r="U2333" s="1" t="s">
        <v>46</v>
      </c>
      <c r="V2333" s="1" t="n">
        <v>5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5" t="s">
        <v>3552</v>
      </c>
      <c r="C2334" s="1" t="s">
        <v>3553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3576</v>
      </c>
      <c r="I2334" s="1" t="s">
        <v>3577</v>
      </c>
      <c r="J2334" s="1" t="s">
        <v>52</v>
      </c>
      <c r="K2334" s="2" t="s">
        <v>3576</v>
      </c>
      <c r="L2334" s="5" t="s">
        <v>69</v>
      </c>
      <c r="M2334" s="5" t="s">
        <v>69</v>
      </c>
      <c r="N2334" s="1" t="s">
        <v>3383</v>
      </c>
      <c r="O2334" s="1" t="s">
        <v>3578</v>
      </c>
      <c r="P2334" s="1" t="s">
        <v>3385</v>
      </c>
      <c r="Q2334" s="1" t="s">
        <v>3385</v>
      </c>
      <c r="R2334" s="1" t="s">
        <v>46</v>
      </c>
      <c r="S2334" s="1" t="s">
        <v>69</v>
      </c>
      <c r="T2334" s="1" t="s">
        <v>69</v>
      </c>
      <c r="U2334" s="1" t="s">
        <v>46</v>
      </c>
      <c r="V2334" s="1" t="n">
        <v>1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5" t="s">
        <v>3552</v>
      </c>
      <c r="C2335" s="1" t="s">
        <v>3553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3579</v>
      </c>
      <c r="I2335" s="1" t="s">
        <v>3580</v>
      </c>
      <c r="J2335" s="1" t="s">
        <v>52</v>
      </c>
      <c r="K2335" s="2" t="s">
        <v>3579</v>
      </c>
      <c r="L2335" s="5" t="s">
        <v>69</v>
      </c>
      <c r="M2335" s="5" t="s">
        <v>69</v>
      </c>
      <c r="N2335" s="1" t="s">
        <v>3383</v>
      </c>
      <c r="O2335" s="1" t="s">
        <v>3578</v>
      </c>
      <c r="P2335" s="1" t="s">
        <v>3385</v>
      </c>
      <c r="Q2335" s="1" t="s">
        <v>3385</v>
      </c>
      <c r="R2335" s="1" t="s">
        <v>46</v>
      </c>
      <c r="S2335" s="1" t="s">
        <v>69</v>
      </c>
      <c r="T2335" s="1" t="s">
        <v>69</v>
      </c>
      <c r="U2335" s="1" t="s">
        <v>46</v>
      </c>
      <c r="V2335" s="1" t="n">
        <v>2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5" t="s">
        <v>3552</v>
      </c>
      <c r="C2336" s="1" t="s">
        <v>3553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3581</v>
      </c>
      <c r="I2336" s="1" t="s">
        <v>3582</v>
      </c>
      <c r="J2336" s="1" t="s">
        <v>52</v>
      </c>
      <c r="K2336" s="2" t="s">
        <v>3581</v>
      </c>
      <c r="L2336" s="5" t="s">
        <v>69</v>
      </c>
      <c r="M2336" s="5" t="s">
        <v>69</v>
      </c>
      <c r="N2336" s="1" t="s">
        <v>3383</v>
      </c>
      <c r="O2336" s="1" t="s">
        <v>3578</v>
      </c>
      <c r="P2336" s="1" t="s">
        <v>3385</v>
      </c>
      <c r="Q2336" s="1" t="s">
        <v>3385</v>
      </c>
      <c r="R2336" s="1" t="s">
        <v>46</v>
      </c>
      <c r="S2336" s="1" t="s">
        <v>69</v>
      </c>
      <c r="T2336" s="1" t="s">
        <v>69</v>
      </c>
      <c r="U2336" s="1" t="s">
        <v>46</v>
      </c>
      <c r="V2336" s="1" t="n">
        <v>3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5" t="s">
        <v>3552</v>
      </c>
      <c r="C2337" s="1" t="s">
        <v>3553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3583</v>
      </c>
      <c r="I2337" s="1" t="s">
        <v>3584</v>
      </c>
      <c r="J2337" s="1" t="s">
        <v>52</v>
      </c>
      <c r="K2337" s="2" t="s">
        <v>3583</v>
      </c>
      <c r="L2337" s="5" t="s">
        <v>69</v>
      </c>
      <c r="M2337" s="5" t="s">
        <v>69</v>
      </c>
      <c r="N2337" s="1" t="s">
        <v>3383</v>
      </c>
      <c r="O2337" s="1" t="s">
        <v>3578</v>
      </c>
      <c r="P2337" s="1" t="s">
        <v>3385</v>
      </c>
      <c r="Q2337" s="1" t="s">
        <v>3385</v>
      </c>
      <c r="R2337" s="1" t="s">
        <v>46</v>
      </c>
      <c r="S2337" s="1" t="s">
        <v>69</v>
      </c>
      <c r="T2337" s="1" t="s">
        <v>69</v>
      </c>
      <c r="U2337" s="1" t="s">
        <v>46</v>
      </c>
      <c r="V2337" s="1" t="n">
        <v>4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5" t="s">
        <v>3552</v>
      </c>
      <c r="C2338" s="1" t="s">
        <v>3553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3585</v>
      </c>
      <c r="I2338" s="1" t="s">
        <v>3586</v>
      </c>
      <c r="J2338" s="1" t="s">
        <v>52</v>
      </c>
      <c r="K2338" s="2" t="s">
        <v>3585</v>
      </c>
      <c r="L2338" s="5" t="s">
        <v>69</v>
      </c>
      <c r="M2338" s="5" t="s">
        <v>69</v>
      </c>
      <c r="N2338" s="1" t="s">
        <v>3383</v>
      </c>
      <c r="O2338" s="1" t="s">
        <v>3578</v>
      </c>
      <c r="P2338" s="1" t="s">
        <v>3385</v>
      </c>
      <c r="Q2338" s="1" t="s">
        <v>3385</v>
      </c>
      <c r="R2338" s="1" t="s">
        <v>46</v>
      </c>
      <c r="S2338" s="1" t="s">
        <v>69</v>
      </c>
      <c r="T2338" s="1" t="s">
        <v>69</v>
      </c>
      <c r="U2338" s="1" t="s">
        <v>46</v>
      </c>
      <c r="V2338" s="1" t="n">
        <v>5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5" t="s">
        <v>3552</v>
      </c>
      <c r="C2339" s="1" t="s">
        <v>3553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3587</v>
      </c>
      <c r="I2339" s="1" t="s">
        <v>3588</v>
      </c>
      <c r="J2339" s="1" t="s">
        <v>52</v>
      </c>
      <c r="K2339" s="2" t="s">
        <v>3587</v>
      </c>
      <c r="L2339" s="5" t="s">
        <v>69</v>
      </c>
      <c r="M2339" s="5" t="s">
        <v>69</v>
      </c>
      <c r="N2339" s="1" t="s">
        <v>3383</v>
      </c>
      <c r="O2339" s="1" t="s">
        <v>3589</v>
      </c>
      <c r="P2339" s="1" t="s">
        <v>3385</v>
      </c>
      <c r="Q2339" s="1" t="s">
        <v>3385</v>
      </c>
      <c r="R2339" s="1" t="s">
        <v>46</v>
      </c>
      <c r="S2339" s="1" t="s">
        <v>69</v>
      </c>
      <c r="T2339" s="1" t="s">
        <v>69</v>
      </c>
      <c r="U2339" s="1" t="s">
        <v>46</v>
      </c>
      <c r="V2339" s="1" t="n">
        <v>1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5" t="s">
        <v>3552</v>
      </c>
      <c r="C2340" s="1" t="s">
        <v>3553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3590</v>
      </c>
      <c r="I2340" s="1" t="s">
        <v>3591</v>
      </c>
      <c r="J2340" s="1" t="s">
        <v>52</v>
      </c>
      <c r="K2340" s="2" t="s">
        <v>3590</v>
      </c>
      <c r="L2340" s="5" t="s">
        <v>69</v>
      </c>
      <c r="M2340" s="5" t="s">
        <v>69</v>
      </c>
      <c r="N2340" s="1" t="s">
        <v>3383</v>
      </c>
      <c r="O2340" s="1" t="s">
        <v>3589</v>
      </c>
      <c r="P2340" s="1" t="s">
        <v>3385</v>
      </c>
      <c r="Q2340" s="1" t="s">
        <v>3385</v>
      </c>
      <c r="R2340" s="1" t="s">
        <v>46</v>
      </c>
      <c r="S2340" s="1" t="s">
        <v>69</v>
      </c>
      <c r="T2340" s="1" t="s">
        <v>69</v>
      </c>
      <c r="U2340" s="1" t="s">
        <v>46</v>
      </c>
      <c r="V2340" s="1" t="n">
        <v>2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5" t="s">
        <v>3552</v>
      </c>
      <c r="C2341" s="1" t="s">
        <v>3553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3592</v>
      </c>
      <c r="I2341" s="1" t="s">
        <v>3593</v>
      </c>
      <c r="J2341" s="1" t="s">
        <v>52</v>
      </c>
      <c r="K2341" s="2" t="s">
        <v>3592</v>
      </c>
      <c r="L2341" s="5" t="s">
        <v>69</v>
      </c>
      <c r="M2341" s="5" t="s">
        <v>69</v>
      </c>
      <c r="N2341" s="1" t="s">
        <v>3383</v>
      </c>
      <c r="O2341" s="1" t="s">
        <v>3589</v>
      </c>
      <c r="P2341" s="1" t="s">
        <v>3385</v>
      </c>
      <c r="Q2341" s="1" t="s">
        <v>3385</v>
      </c>
      <c r="R2341" s="1" t="s">
        <v>46</v>
      </c>
      <c r="S2341" s="1" t="s">
        <v>69</v>
      </c>
      <c r="T2341" s="1" t="s">
        <v>69</v>
      </c>
      <c r="U2341" s="1" t="s">
        <v>46</v>
      </c>
      <c r="V2341" s="1" t="n">
        <v>3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5" t="s">
        <v>3552</v>
      </c>
      <c r="C2342" s="1" t="s">
        <v>3553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3594</v>
      </c>
      <c r="I2342" s="1" t="s">
        <v>3595</v>
      </c>
      <c r="J2342" s="1" t="s">
        <v>52</v>
      </c>
      <c r="K2342" s="2" t="s">
        <v>3594</v>
      </c>
      <c r="L2342" s="5" t="s">
        <v>69</v>
      </c>
      <c r="M2342" s="5" t="s">
        <v>69</v>
      </c>
      <c r="N2342" s="1" t="s">
        <v>3383</v>
      </c>
      <c r="O2342" s="1" t="s">
        <v>3589</v>
      </c>
      <c r="P2342" s="1" t="s">
        <v>3385</v>
      </c>
      <c r="Q2342" s="1" t="s">
        <v>3385</v>
      </c>
      <c r="R2342" s="1" t="s">
        <v>46</v>
      </c>
      <c r="S2342" s="1" t="s">
        <v>69</v>
      </c>
      <c r="T2342" s="1" t="s">
        <v>69</v>
      </c>
      <c r="U2342" s="1" t="s">
        <v>46</v>
      </c>
      <c r="V2342" s="1" t="n">
        <v>4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5" t="s">
        <v>3552</v>
      </c>
      <c r="C2343" s="1" t="s">
        <v>3553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3596</v>
      </c>
      <c r="I2343" s="1" t="s">
        <v>3597</v>
      </c>
      <c r="J2343" s="1" t="s">
        <v>52</v>
      </c>
      <c r="K2343" s="2" t="s">
        <v>3596</v>
      </c>
      <c r="L2343" s="5" t="s">
        <v>69</v>
      </c>
      <c r="M2343" s="5" t="s">
        <v>69</v>
      </c>
      <c r="N2343" s="1" t="s">
        <v>3383</v>
      </c>
      <c r="O2343" s="1" t="s">
        <v>3589</v>
      </c>
      <c r="P2343" s="1" t="s">
        <v>3385</v>
      </c>
      <c r="Q2343" s="1" t="s">
        <v>3385</v>
      </c>
      <c r="R2343" s="1" t="s">
        <v>46</v>
      </c>
      <c r="S2343" s="1" t="s">
        <v>69</v>
      </c>
      <c r="T2343" s="1" t="s">
        <v>69</v>
      </c>
      <c r="U2343" s="1" t="s">
        <v>46</v>
      </c>
      <c r="V2343" s="1" t="n">
        <v>5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5" t="s">
        <v>3552</v>
      </c>
      <c r="C2344" s="1" t="s">
        <v>3553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3598</v>
      </c>
      <c r="I2344" s="1" t="s">
        <v>3599</v>
      </c>
      <c r="J2344" s="1" t="s">
        <v>52</v>
      </c>
      <c r="K2344" s="2" t="s">
        <v>3598</v>
      </c>
      <c r="L2344" s="5" t="s">
        <v>69</v>
      </c>
      <c r="M2344" s="5" t="s">
        <v>69</v>
      </c>
      <c r="N2344" s="1" t="s">
        <v>3383</v>
      </c>
      <c r="O2344" s="1" t="s">
        <v>3600</v>
      </c>
      <c r="P2344" s="1" t="s">
        <v>3385</v>
      </c>
      <c r="Q2344" s="1" t="s">
        <v>3385</v>
      </c>
      <c r="R2344" s="1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5" t="s">
        <v>3552</v>
      </c>
      <c r="C2345" s="1" t="s">
        <v>3553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3601</v>
      </c>
      <c r="I2345" s="1" t="s">
        <v>3602</v>
      </c>
      <c r="J2345" s="1" t="s">
        <v>52</v>
      </c>
      <c r="K2345" s="2" t="s">
        <v>3601</v>
      </c>
      <c r="L2345" s="5" t="s">
        <v>69</v>
      </c>
      <c r="M2345" s="5" t="s">
        <v>69</v>
      </c>
      <c r="N2345" s="1" t="s">
        <v>3383</v>
      </c>
      <c r="O2345" s="1" t="s">
        <v>3600</v>
      </c>
      <c r="P2345" s="1" t="s">
        <v>3385</v>
      </c>
      <c r="Q2345" s="1" t="s">
        <v>3385</v>
      </c>
      <c r="R2345" s="1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5" t="s">
        <v>3552</v>
      </c>
      <c r="C2346" s="1" t="s">
        <v>3553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3603</v>
      </c>
      <c r="I2346" s="1" t="s">
        <v>3604</v>
      </c>
      <c r="J2346" s="1" t="s">
        <v>52</v>
      </c>
      <c r="K2346" s="2" t="s">
        <v>3603</v>
      </c>
      <c r="L2346" s="5" t="s">
        <v>69</v>
      </c>
      <c r="M2346" s="5" t="s">
        <v>69</v>
      </c>
      <c r="N2346" s="1" t="s">
        <v>3383</v>
      </c>
      <c r="O2346" s="1" t="s">
        <v>3600</v>
      </c>
      <c r="P2346" s="1" t="s">
        <v>3385</v>
      </c>
      <c r="Q2346" s="1" t="s">
        <v>3385</v>
      </c>
      <c r="R2346" s="1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5" t="s">
        <v>3552</v>
      </c>
      <c r="C2347" s="1" t="s">
        <v>3553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3605</v>
      </c>
      <c r="I2347" s="1" t="s">
        <v>3606</v>
      </c>
      <c r="J2347" s="1" t="s">
        <v>52</v>
      </c>
      <c r="K2347" s="2" t="s">
        <v>3605</v>
      </c>
      <c r="L2347" s="5" t="s">
        <v>69</v>
      </c>
      <c r="M2347" s="5" t="s">
        <v>69</v>
      </c>
      <c r="N2347" s="1" t="s">
        <v>3383</v>
      </c>
      <c r="O2347" s="1" t="s">
        <v>3600</v>
      </c>
      <c r="P2347" s="1" t="s">
        <v>3385</v>
      </c>
      <c r="Q2347" s="1" t="s">
        <v>3385</v>
      </c>
      <c r="R2347" s="1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5" t="s">
        <v>3552</v>
      </c>
      <c r="C2348" s="1" t="s">
        <v>3553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3607</v>
      </c>
      <c r="I2348" s="1" t="s">
        <v>3608</v>
      </c>
      <c r="J2348" s="1" t="s">
        <v>52</v>
      </c>
      <c r="K2348" s="2" t="s">
        <v>3607</v>
      </c>
      <c r="L2348" s="5" t="s">
        <v>69</v>
      </c>
      <c r="M2348" s="5" t="s">
        <v>69</v>
      </c>
      <c r="N2348" s="1" t="s">
        <v>3383</v>
      </c>
      <c r="O2348" s="1" t="s">
        <v>3600</v>
      </c>
      <c r="P2348" s="1" t="s">
        <v>3385</v>
      </c>
      <c r="Q2348" s="1" t="s">
        <v>3385</v>
      </c>
      <c r="R2348" s="1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5" t="s">
        <v>3552</v>
      </c>
      <c r="C2349" s="1" t="s">
        <v>3553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3436</v>
      </c>
      <c r="I2349" s="1" t="s">
        <v>3437</v>
      </c>
      <c r="J2349" s="1" t="s">
        <v>52</v>
      </c>
      <c r="K2349" s="2" t="s">
        <v>3436</v>
      </c>
      <c r="L2349" s="5" t="s">
        <v>69</v>
      </c>
      <c r="M2349" s="5" t="s">
        <v>69</v>
      </c>
      <c r="N2349" s="1" t="s">
        <v>1935</v>
      </c>
      <c r="O2349" s="1" t="s">
        <v>46</v>
      </c>
      <c r="P2349" s="1" t="s">
        <v>46</v>
      </c>
      <c r="Q2349" s="1" t="s">
        <v>46</v>
      </c>
      <c r="R2349" s="5" t="s">
        <v>46</v>
      </c>
      <c r="S2349" s="1" t="s">
        <v>46</v>
      </c>
      <c r="T2349" s="1" t="s">
        <v>46</v>
      </c>
      <c r="U2349" s="1" t="s">
        <v>46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5" t="s">
        <v>3552</v>
      </c>
      <c r="C2350" s="1" t="s">
        <v>3553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3438</v>
      </c>
      <c r="I2350" s="1" t="s">
        <v>3439</v>
      </c>
      <c r="J2350" s="1" t="s">
        <v>52</v>
      </c>
      <c r="K2350" s="2" t="s">
        <v>3438</v>
      </c>
      <c r="L2350" s="5" t="s">
        <v>69</v>
      </c>
      <c r="M2350" s="5" t="s">
        <v>69</v>
      </c>
      <c r="N2350" s="1" t="s">
        <v>1935</v>
      </c>
      <c r="O2350" s="1" t="s">
        <v>46</v>
      </c>
      <c r="P2350" s="1" t="s">
        <v>46</v>
      </c>
      <c r="Q2350" s="1" t="s">
        <v>46</v>
      </c>
      <c r="R2350" s="5" t="s">
        <v>46</v>
      </c>
      <c r="S2350" s="1" t="s">
        <v>46</v>
      </c>
      <c r="T2350" s="1" t="s">
        <v>46</v>
      </c>
      <c r="U2350" s="1" t="s">
        <v>46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5" t="s">
        <v>3552</v>
      </c>
      <c r="C2351" s="1" t="s">
        <v>3553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3440</v>
      </c>
      <c r="I2351" s="1" t="s">
        <v>3441</v>
      </c>
      <c r="J2351" s="1" t="s">
        <v>52</v>
      </c>
      <c r="K2351" s="2" t="s">
        <v>3440</v>
      </c>
      <c r="L2351" s="5" t="s">
        <v>69</v>
      </c>
      <c r="M2351" s="5" t="s">
        <v>69</v>
      </c>
      <c r="N2351" s="1" t="s">
        <v>1935</v>
      </c>
      <c r="O2351" s="1" t="s">
        <v>46</v>
      </c>
      <c r="P2351" s="1" t="s">
        <v>46</v>
      </c>
      <c r="Q2351" s="1" t="s">
        <v>46</v>
      </c>
      <c r="R2351" s="5" t="s">
        <v>46</v>
      </c>
      <c r="S2351" s="1" t="s">
        <v>46</v>
      </c>
      <c r="T2351" s="1" t="s">
        <v>46</v>
      </c>
      <c r="U2351" s="1" t="s">
        <v>46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5" t="s">
        <v>3552</v>
      </c>
      <c r="C2352" s="1" t="s">
        <v>3553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3442</v>
      </c>
      <c r="I2352" s="1" t="s">
        <v>3443</v>
      </c>
      <c r="J2352" s="1" t="s">
        <v>52</v>
      </c>
      <c r="K2352" s="2" t="s">
        <v>3442</v>
      </c>
      <c r="L2352" s="5" t="s">
        <v>69</v>
      </c>
      <c r="M2352" s="5" t="s">
        <v>69</v>
      </c>
      <c r="N2352" s="1" t="s">
        <v>1935</v>
      </c>
      <c r="O2352" s="1" t="s">
        <v>46</v>
      </c>
      <c r="P2352" s="1" t="s">
        <v>46</v>
      </c>
      <c r="Q2352" s="1" t="s">
        <v>46</v>
      </c>
      <c r="R2352" s="5" t="s">
        <v>46</v>
      </c>
      <c r="S2352" s="1" t="s">
        <v>46</v>
      </c>
      <c r="T2352" s="1" t="s">
        <v>46</v>
      </c>
      <c r="U2352" s="1" t="s">
        <v>46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5" t="s">
        <v>3552</v>
      </c>
      <c r="C2353" s="1" t="s">
        <v>3553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3444</v>
      </c>
      <c r="I2353" s="1" t="s">
        <v>3445</v>
      </c>
      <c r="J2353" s="1" t="s">
        <v>52</v>
      </c>
      <c r="K2353" s="2" t="s">
        <v>3444</v>
      </c>
      <c r="L2353" s="5" t="s">
        <v>69</v>
      </c>
      <c r="M2353" s="5" t="s">
        <v>69</v>
      </c>
      <c r="N2353" s="1" t="s">
        <v>1935</v>
      </c>
      <c r="O2353" s="1" t="s">
        <v>46</v>
      </c>
      <c r="P2353" s="1" t="s">
        <v>46</v>
      </c>
      <c r="Q2353" s="1" t="s">
        <v>46</v>
      </c>
      <c r="R2353" s="5" t="s">
        <v>46</v>
      </c>
      <c r="S2353" s="1" t="s">
        <v>46</v>
      </c>
      <c r="T2353" s="1" t="s">
        <v>46</v>
      </c>
      <c r="U2353" s="1" t="s">
        <v>46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5" t="s">
        <v>3552</v>
      </c>
      <c r="C2354" s="1" t="s">
        <v>3553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3446</v>
      </c>
      <c r="I2354" s="1" t="s">
        <v>3447</v>
      </c>
      <c r="J2354" s="1" t="s">
        <v>52</v>
      </c>
      <c r="K2354" s="2" t="s">
        <v>3446</v>
      </c>
      <c r="L2354" s="5" t="s">
        <v>69</v>
      </c>
      <c r="M2354" s="5" t="s">
        <v>69</v>
      </c>
      <c r="N2354" s="1" t="s">
        <v>1935</v>
      </c>
      <c r="O2354" s="1" t="s">
        <v>46</v>
      </c>
      <c r="P2354" s="1" t="s">
        <v>46</v>
      </c>
      <c r="Q2354" s="1" t="s">
        <v>46</v>
      </c>
      <c r="R2354" s="5" t="s">
        <v>46</v>
      </c>
      <c r="S2354" s="1" t="s">
        <v>46</v>
      </c>
      <c r="T2354" s="1" t="s">
        <v>46</v>
      </c>
      <c r="U2354" s="1" t="s">
        <v>46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5" t="s">
        <v>3552</v>
      </c>
      <c r="C2355" s="1" t="s">
        <v>3553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3448</v>
      </c>
      <c r="I2355" s="1" t="s">
        <v>3449</v>
      </c>
      <c r="J2355" s="1" t="s">
        <v>52</v>
      </c>
      <c r="K2355" s="2" t="s">
        <v>3448</v>
      </c>
      <c r="L2355" s="5" t="s">
        <v>69</v>
      </c>
      <c r="M2355" s="5" t="s">
        <v>69</v>
      </c>
      <c r="N2355" s="1" t="s">
        <v>1935</v>
      </c>
      <c r="O2355" s="1" t="s">
        <v>46</v>
      </c>
      <c r="P2355" s="1" t="s">
        <v>46</v>
      </c>
      <c r="Q2355" s="1" t="s">
        <v>46</v>
      </c>
      <c r="R2355" s="5" t="s">
        <v>46</v>
      </c>
      <c r="S2355" s="1" t="s">
        <v>46</v>
      </c>
      <c r="T2355" s="1" t="s">
        <v>46</v>
      </c>
      <c r="U2355" s="1" t="s">
        <v>46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5" t="s">
        <v>3552</v>
      </c>
      <c r="C2356" s="1" t="s">
        <v>3553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3450</v>
      </c>
      <c r="I2356" s="1" t="s">
        <v>3451</v>
      </c>
      <c r="J2356" s="1" t="s">
        <v>52</v>
      </c>
      <c r="K2356" s="2" t="s">
        <v>3450</v>
      </c>
      <c r="L2356" s="5" t="s">
        <v>69</v>
      </c>
      <c r="M2356" s="5" t="s">
        <v>69</v>
      </c>
      <c r="N2356" s="1" t="s">
        <v>1935</v>
      </c>
      <c r="O2356" s="1" t="s">
        <v>46</v>
      </c>
      <c r="P2356" s="1" t="s">
        <v>46</v>
      </c>
      <c r="Q2356" s="1" t="s">
        <v>46</v>
      </c>
      <c r="R2356" s="5" t="s">
        <v>46</v>
      </c>
      <c r="S2356" s="1" t="s">
        <v>46</v>
      </c>
      <c r="T2356" s="1" t="s">
        <v>46</v>
      </c>
      <c r="U2356" s="1" t="s">
        <v>46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5" t="s">
        <v>3552</v>
      </c>
      <c r="C2357" s="1" t="s">
        <v>3553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3452</v>
      </c>
      <c r="I2357" s="1" t="s">
        <v>3453</v>
      </c>
      <c r="J2357" s="1" t="s">
        <v>52</v>
      </c>
      <c r="K2357" s="2" t="s">
        <v>3452</v>
      </c>
      <c r="L2357" s="5" t="s">
        <v>69</v>
      </c>
      <c r="M2357" s="5" t="s">
        <v>69</v>
      </c>
      <c r="N2357" s="1" t="s">
        <v>1935</v>
      </c>
      <c r="O2357" s="1" t="s">
        <v>46</v>
      </c>
      <c r="P2357" s="1" t="s">
        <v>46</v>
      </c>
      <c r="Q2357" s="1" t="s">
        <v>46</v>
      </c>
      <c r="R2357" s="5" t="s">
        <v>46</v>
      </c>
      <c r="S2357" s="1" t="s">
        <v>46</v>
      </c>
      <c r="T2357" s="1" t="s">
        <v>46</v>
      </c>
      <c r="U2357" s="1" t="s">
        <v>46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5" t="s">
        <v>3552</v>
      </c>
      <c r="C2358" s="1" t="s">
        <v>3553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3454</v>
      </c>
      <c r="I2358" s="1" t="s">
        <v>3455</v>
      </c>
      <c r="J2358" s="1" t="s">
        <v>52</v>
      </c>
      <c r="K2358" s="2" t="s">
        <v>3454</v>
      </c>
      <c r="L2358" s="5" t="s">
        <v>69</v>
      </c>
      <c r="M2358" s="5" t="s">
        <v>69</v>
      </c>
      <c r="N2358" s="1" t="s">
        <v>1935</v>
      </c>
      <c r="O2358" s="1" t="s">
        <v>46</v>
      </c>
      <c r="P2358" s="1" t="s">
        <v>46</v>
      </c>
      <c r="Q2358" s="1" t="s">
        <v>46</v>
      </c>
      <c r="R2358" s="5" t="s">
        <v>46</v>
      </c>
      <c r="S2358" s="1" t="s">
        <v>46</v>
      </c>
      <c r="T2358" s="1" t="s">
        <v>46</v>
      </c>
      <c r="U2358" s="1" t="s">
        <v>46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5" t="s">
        <v>3552</v>
      </c>
      <c r="C2359" s="1" t="s">
        <v>3553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3456</v>
      </c>
      <c r="I2359" s="1" t="s">
        <v>3457</v>
      </c>
      <c r="J2359" s="1" t="s">
        <v>52</v>
      </c>
      <c r="K2359" s="2" t="s">
        <v>3456</v>
      </c>
      <c r="L2359" s="5" t="s">
        <v>69</v>
      </c>
      <c r="M2359" s="5" t="s">
        <v>69</v>
      </c>
      <c r="N2359" s="1" t="s">
        <v>1935</v>
      </c>
      <c r="O2359" s="1" t="s">
        <v>46</v>
      </c>
      <c r="P2359" s="1" t="s">
        <v>46</v>
      </c>
      <c r="Q2359" s="1" t="s">
        <v>46</v>
      </c>
      <c r="R2359" s="5" t="s">
        <v>46</v>
      </c>
      <c r="S2359" s="1" t="s">
        <v>46</v>
      </c>
      <c r="T2359" s="1" t="s">
        <v>46</v>
      </c>
      <c r="U2359" s="1" t="s">
        <v>46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5" t="s">
        <v>3552</v>
      </c>
      <c r="C2360" s="1" t="s">
        <v>3553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3458</v>
      </c>
      <c r="I2360" s="1" t="s">
        <v>3459</v>
      </c>
      <c r="J2360" s="1" t="s">
        <v>52</v>
      </c>
      <c r="K2360" s="2" t="s">
        <v>3458</v>
      </c>
      <c r="L2360" s="5" t="s">
        <v>69</v>
      </c>
      <c r="M2360" s="5" t="s">
        <v>69</v>
      </c>
      <c r="N2360" s="1" t="s">
        <v>1935</v>
      </c>
      <c r="O2360" s="1" t="s">
        <v>46</v>
      </c>
      <c r="P2360" s="1" t="s">
        <v>46</v>
      </c>
      <c r="Q2360" s="1" t="s">
        <v>46</v>
      </c>
      <c r="R2360" s="5" t="s">
        <v>46</v>
      </c>
      <c r="S2360" s="1" t="s">
        <v>46</v>
      </c>
      <c r="T2360" s="1" t="s">
        <v>46</v>
      </c>
      <c r="U2360" s="1" t="s">
        <v>46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5" t="s">
        <v>3552</v>
      </c>
      <c r="C2361" s="1" t="s">
        <v>3553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3460</v>
      </c>
      <c r="I2361" s="1" t="s">
        <v>3461</v>
      </c>
      <c r="J2361" s="1" t="s">
        <v>52</v>
      </c>
      <c r="K2361" s="2" t="s">
        <v>3460</v>
      </c>
      <c r="L2361" s="5" t="s">
        <v>69</v>
      </c>
      <c r="M2361" s="5" t="s">
        <v>69</v>
      </c>
      <c r="N2361" s="1" t="s">
        <v>1935</v>
      </c>
      <c r="O2361" s="1" t="s">
        <v>46</v>
      </c>
      <c r="P2361" s="1" t="s">
        <v>46</v>
      </c>
      <c r="Q2361" s="1" t="s">
        <v>46</v>
      </c>
      <c r="R2361" s="5" t="s">
        <v>46</v>
      </c>
      <c r="S2361" s="1" t="s">
        <v>46</v>
      </c>
      <c r="T2361" s="1" t="s">
        <v>46</v>
      </c>
      <c r="U2361" s="1" t="s">
        <v>46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5" t="s">
        <v>3552</v>
      </c>
      <c r="C2362" s="1" t="s">
        <v>3553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3462</v>
      </c>
      <c r="I2362" s="1" t="s">
        <v>3463</v>
      </c>
      <c r="J2362" s="1" t="s">
        <v>52</v>
      </c>
      <c r="K2362" s="2" t="s">
        <v>3462</v>
      </c>
      <c r="L2362" s="5" t="s">
        <v>69</v>
      </c>
      <c r="M2362" s="5" t="s">
        <v>69</v>
      </c>
      <c r="N2362" s="1" t="s">
        <v>1935</v>
      </c>
      <c r="O2362" s="1" t="s">
        <v>46</v>
      </c>
      <c r="P2362" s="1" t="s">
        <v>46</v>
      </c>
      <c r="Q2362" s="1" t="s">
        <v>46</v>
      </c>
      <c r="R2362" s="5" t="s">
        <v>46</v>
      </c>
      <c r="S2362" s="1" t="s">
        <v>46</v>
      </c>
      <c r="T2362" s="1" t="s">
        <v>46</v>
      </c>
      <c r="U2362" s="1" t="s">
        <v>46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5" t="s">
        <v>3552</v>
      </c>
      <c r="C2363" s="1" t="s">
        <v>3553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3464</v>
      </c>
      <c r="I2363" s="1" t="s">
        <v>3465</v>
      </c>
      <c r="J2363" s="1" t="s">
        <v>52</v>
      </c>
      <c r="K2363" s="2" t="s">
        <v>3464</v>
      </c>
      <c r="L2363" s="5" t="s">
        <v>69</v>
      </c>
      <c r="M2363" s="5" t="s">
        <v>69</v>
      </c>
      <c r="N2363" s="1" t="s">
        <v>1935</v>
      </c>
      <c r="O2363" s="1" t="s">
        <v>46</v>
      </c>
      <c r="P2363" s="1" t="s">
        <v>46</v>
      </c>
      <c r="Q2363" s="1" t="s">
        <v>46</v>
      </c>
      <c r="R2363" s="5" t="s">
        <v>46</v>
      </c>
      <c r="S2363" s="1" t="s">
        <v>46</v>
      </c>
      <c r="T2363" s="1" t="s">
        <v>46</v>
      </c>
      <c r="U2363" s="1" t="s">
        <v>46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5" t="s">
        <v>3552</v>
      </c>
      <c r="C2364" s="1" t="s">
        <v>3553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3466</v>
      </c>
      <c r="I2364" s="1" t="s">
        <v>3467</v>
      </c>
      <c r="J2364" s="1" t="s">
        <v>52</v>
      </c>
      <c r="K2364" s="2" t="s">
        <v>3466</v>
      </c>
      <c r="L2364" s="5" t="s">
        <v>69</v>
      </c>
      <c r="M2364" s="5" t="s">
        <v>69</v>
      </c>
      <c r="N2364" s="1" t="s">
        <v>3468</v>
      </c>
      <c r="O2364" s="1" t="s">
        <v>46</v>
      </c>
      <c r="P2364" s="1" t="s">
        <v>46</v>
      </c>
      <c r="Q2364" s="1" t="s">
        <v>46</v>
      </c>
      <c r="R2364" s="5" t="s">
        <v>46</v>
      </c>
      <c r="S2364" s="1" t="s">
        <v>46</v>
      </c>
      <c r="T2364" s="1" t="s">
        <v>46</v>
      </c>
      <c r="U2364" s="1" t="s">
        <v>46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5" t="s">
        <v>3552</v>
      </c>
      <c r="C2365" s="1" t="s">
        <v>3553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3469</v>
      </c>
      <c r="I2365" s="1" t="s">
        <v>3470</v>
      </c>
      <c r="J2365" s="1" t="s">
        <v>52</v>
      </c>
      <c r="K2365" s="2" t="s">
        <v>3469</v>
      </c>
      <c r="L2365" s="5" t="s">
        <v>69</v>
      </c>
      <c r="M2365" s="5" t="s">
        <v>69</v>
      </c>
      <c r="N2365" s="1" t="s">
        <v>3468</v>
      </c>
      <c r="O2365" s="1" t="s">
        <v>46</v>
      </c>
      <c r="P2365" s="1" t="s">
        <v>46</v>
      </c>
      <c r="Q2365" s="1" t="s">
        <v>46</v>
      </c>
      <c r="R2365" s="5" t="s">
        <v>46</v>
      </c>
      <c r="S2365" s="1" t="s">
        <v>46</v>
      </c>
      <c r="T2365" s="1" t="s">
        <v>46</v>
      </c>
      <c r="U2365" s="1" t="s">
        <v>46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5" t="s">
        <v>3552</v>
      </c>
      <c r="C2366" s="1" t="s">
        <v>3553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3471</v>
      </c>
      <c r="I2366" s="1" t="s">
        <v>3472</v>
      </c>
      <c r="J2366" s="1" t="s">
        <v>52</v>
      </c>
      <c r="K2366" s="2" t="s">
        <v>3471</v>
      </c>
      <c r="L2366" s="5" t="s">
        <v>69</v>
      </c>
      <c r="M2366" s="5" t="s">
        <v>69</v>
      </c>
      <c r="N2366" s="1" t="s">
        <v>3468</v>
      </c>
      <c r="O2366" s="1" t="s">
        <v>46</v>
      </c>
      <c r="P2366" s="1" t="s">
        <v>46</v>
      </c>
      <c r="Q2366" s="1" t="s">
        <v>46</v>
      </c>
      <c r="R2366" s="5" t="s">
        <v>46</v>
      </c>
      <c r="S2366" s="1" t="s">
        <v>46</v>
      </c>
      <c r="T2366" s="1" t="s">
        <v>46</v>
      </c>
      <c r="U2366" s="1" t="s">
        <v>46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5" t="s">
        <v>3552</v>
      </c>
      <c r="C2367" s="1" t="s">
        <v>3553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3473</v>
      </c>
      <c r="I2367" s="1" t="s">
        <v>3474</v>
      </c>
      <c r="J2367" s="1" t="s">
        <v>52</v>
      </c>
      <c r="K2367" s="2" t="s">
        <v>3473</v>
      </c>
      <c r="L2367" s="5" t="s">
        <v>69</v>
      </c>
      <c r="M2367" s="5" t="s">
        <v>69</v>
      </c>
      <c r="N2367" s="1" t="s">
        <v>3468</v>
      </c>
      <c r="O2367" s="1" t="s">
        <v>46</v>
      </c>
      <c r="P2367" s="1" t="s">
        <v>46</v>
      </c>
      <c r="Q2367" s="1" t="s">
        <v>46</v>
      </c>
      <c r="R2367" s="5" t="s">
        <v>46</v>
      </c>
      <c r="S2367" s="1" t="s">
        <v>46</v>
      </c>
      <c r="T2367" s="1" t="s">
        <v>46</v>
      </c>
      <c r="U2367" s="1" t="s">
        <v>46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5" t="s">
        <v>3552</v>
      </c>
      <c r="C2368" s="1" t="s">
        <v>3553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3475</v>
      </c>
      <c r="I2368" s="1" t="s">
        <v>3476</v>
      </c>
      <c r="J2368" s="1" t="s">
        <v>52</v>
      </c>
      <c r="K2368" s="2" t="s">
        <v>3475</v>
      </c>
      <c r="L2368" s="5" t="s">
        <v>69</v>
      </c>
      <c r="M2368" s="5" t="s">
        <v>69</v>
      </c>
      <c r="N2368" s="1" t="s">
        <v>3468</v>
      </c>
      <c r="O2368" s="1" t="s">
        <v>46</v>
      </c>
      <c r="P2368" s="1" t="s">
        <v>46</v>
      </c>
      <c r="Q2368" s="1" t="s">
        <v>46</v>
      </c>
      <c r="R2368" s="5" t="s">
        <v>46</v>
      </c>
      <c r="S2368" s="1" t="s">
        <v>46</v>
      </c>
      <c r="T2368" s="1" t="s">
        <v>46</v>
      </c>
      <c r="U2368" s="1" t="s">
        <v>46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5" t="s">
        <v>3552</v>
      </c>
      <c r="C2369" s="1" t="s">
        <v>3553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3477</v>
      </c>
      <c r="I2369" s="1" t="s">
        <v>3478</v>
      </c>
      <c r="J2369" s="1" t="s">
        <v>52</v>
      </c>
      <c r="K2369" s="2" t="s">
        <v>3477</v>
      </c>
      <c r="L2369" s="5" t="s">
        <v>69</v>
      </c>
      <c r="M2369" s="5" t="s">
        <v>69</v>
      </c>
      <c r="N2369" s="1" t="s">
        <v>3468</v>
      </c>
      <c r="O2369" s="1" t="s">
        <v>46</v>
      </c>
      <c r="P2369" s="1" t="s">
        <v>46</v>
      </c>
      <c r="Q2369" s="1" t="s">
        <v>46</v>
      </c>
      <c r="R2369" s="5" t="s">
        <v>46</v>
      </c>
      <c r="S2369" s="1" t="s">
        <v>46</v>
      </c>
      <c r="T2369" s="1" t="s">
        <v>46</v>
      </c>
      <c r="U2369" s="1" t="s">
        <v>46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5" t="s">
        <v>3552</v>
      </c>
      <c r="C2370" s="1" t="s">
        <v>3553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3479</v>
      </c>
      <c r="I2370" s="1" t="s">
        <v>3480</v>
      </c>
      <c r="J2370" s="1" t="s">
        <v>52</v>
      </c>
      <c r="K2370" s="2" t="s">
        <v>3479</v>
      </c>
      <c r="L2370" s="5" t="s">
        <v>69</v>
      </c>
      <c r="M2370" s="5" t="s">
        <v>69</v>
      </c>
      <c r="N2370" s="1" t="s">
        <v>3468</v>
      </c>
      <c r="O2370" s="1" t="s">
        <v>46</v>
      </c>
      <c r="P2370" s="1" t="s">
        <v>46</v>
      </c>
      <c r="Q2370" s="1" t="s">
        <v>46</v>
      </c>
      <c r="R2370" s="5" t="s">
        <v>46</v>
      </c>
      <c r="S2370" s="1" t="s">
        <v>46</v>
      </c>
      <c r="T2370" s="1" t="s">
        <v>46</v>
      </c>
      <c r="U2370" s="1" t="s">
        <v>46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5" t="s">
        <v>3552</v>
      </c>
      <c r="C2371" s="1" t="s">
        <v>3553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3481</v>
      </c>
      <c r="I2371" s="1" t="s">
        <v>3482</v>
      </c>
      <c r="J2371" s="1" t="s">
        <v>52</v>
      </c>
      <c r="K2371" s="2" t="s">
        <v>3481</v>
      </c>
      <c r="L2371" s="5" t="s">
        <v>69</v>
      </c>
      <c r="M2371" s="5" t="s">
        <v>69</v>
      </c>
      <c r="N2371" s="1" t="s">
        <v>3468</v>
      </c>
      <c r="O2371" s="1" t="s">
        <v>46</v>
      </c>
      <c r="P2371" s="1" t="s">
        <v>46</v>
      </c>
      <c r="Q2371" s="1" t="s">
        <v>46</v>
      </c>
      <c r="R2371" s="5" t="s">
        <v>46</v>
      </c>
      <c r="S2371" s="1" t="s">
        <v>46</v>
      </c>
      <c r="T2371" s="1" t="s">
        <v>46</v>
      </c>
      <c r="U2371" s="1" t="s">
        <v>46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5" t="s">
        <v>3552</v>
      </c>
      <c r="C2372" s="1" t="s">
        <v>3553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3483</v>
      </c>
      <c r="I2372" s="1" t="s">
        <v>3484</v>
      </c>
      <c r="J2372" s="1" t="s">
        <v>52</v>
      </c>
      <c r="K2372" s="2" t="s">
        <v>3483</v>
      </c>
      <c r="L2372" s="5" t="s">
        <v>69</v>
      </c>
      <c r="M2372" s="5" t="s">
        <v>69</v>
      </c>
      <c r="N2372" s="1" t="s">
        <v>3468</v>
      </c>
      <c r="O2372" s="1" t="s">
        <v>46</v>
      </c>
      <c r="P2372" s="1" t="s">
        <v>46</v>
      </c>
      <c r="Q2372" s="1" t="s">
        <v>46</v>
      </c>
      <c r="R2372" s="5" t="s">
        <v>46</v>
      </c>
      <c r="S2372" s="1" t="s">
        <v>46</v>
      </c>
      <c r="T2372" s="1" t="s">
        <v>46</v>
      </c>
      <c r="U2372" s="1" t="s">
        <v>46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5" t="s">
        <v>3552</v>
      </c>
      <c r="C2373" s="1" t="s">
        <v>3553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3485</v>
      </c>
      <c r="I2373" s="1" t="s">
        <v>3486</v>
      </c>
      <c r="J2373" s="1" t="s">
        <v>52</v>
      </c>
      <c r="K2373" s="2" t="s">
        <v>3485</v>
      </c>
      <c r="L2373" s="5" t="s">
        <v>69</v>
      </c>
      <c r="M2373" s="5" t="s">
        <v>69</v>
      </c>
      <c r="N2373" s="1" t="s">
        <v>3468</v>
      </c>
      <c r="O2373" s="1" t="s">
        <v>46</v>
      </c>
      <c r="P2373" s="1" t="s">
        <v>46</v>
      </c>
      <c r="Q2373" s="1" t="s">
        <v>46</v>
      </c>
      <c r="R2373" s="5" t="s">
        <v>46</v>
      </c>
      <c r="S2373" s="1" t="s">
        <v>46</v>
      </c>
      <c r="T2373" s="1" t="s">
        <v>46</v>
      </c>
      <c r="U2373" s="1" t="s">
        <v>46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5" t="s">
        <v>3552</v>
      </c>
      <c r="C2374" s="1" t="s">
        <v>3553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3487</v>
      </c>
      <c r="I2374" s="1" t="s">
        <v>3488</v>
      </c>
      <c r="J2374" s="1" t="s">
        <v>52</v>
      </c>
      <c r="K2374" s="1" t="s">
        <v>3487</v>
      </c>
      <c r="L2374" s="36" t="s">
        <v>69</v>
      </c>
      <c r="M2374" s="1" t="s">
        <v>69</v>
      </c>
      <c r="N2374" s="1" t="s">
        <v>3468</v>
      </c>
      <c r="O2374" s="1" t="s">
        <v>46</v>
      </c>
      <c r="P2374" s="1" t="s">
        <v>46</v>
      </c>
      <c r="Q2374" s="1" t="s">
        <v>46</v>
      </c>
      <c r="R2374" s="1" t="s">
        <v>46</v>
      </c>
      <c r="S2374" s="1" t="s">
        <v>46</v>
      </c>
      <c r="T2374" s="1" t="s">
        <v>46</v>
      </c>
      <c r="U2374" s="1" t="s">
        <v>46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5" t="s">
        <v>3552</v>
      </c>
      <c r="C2375" s="1" t="s">
        <v>3553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3489</v>
      </c>
      <c r="I2375" s="1" t="s">
        <v>3490</v>
      </c>
      <c r="J2375" s="1" t="s">
        <v>52</v>
      </c>
      <c r="K2375" s="1" t="s">
        <v>3489</v>
      </c>
      <c r="L2375" s="36" t="s">
        <v>69</v>
      </c>
      <c r="M2375" s="1" t="s">
        <v>69</v>
      </c>
      <c r="N2375" s="1" t="s">
        <v>3468</v>
      </c>
      <c r="O2375" s="1" t="s">
        <v>46</v>
      </c>
      <c r="P2375" s="1" t="s">
        <v>46</v>
      </c>
      <c r="Q2375" s="1" t="s">
        <v>46</v>
      </c>
      <c r="R2375" s="1" t="s">
        <v>46</v>
      </c>
      <c r="S2375" s="1" t="s">
        <v>46</v>
      </c>
      <c r="T2375" s="1" t="s">
        <v>46</v>
      </c>
      <c r="U2375" s="1" t="s">
        <v>46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5" t="s">
        <v>3552</v>
      </c>
      <c r="C2376" s="1" t="s">
        <v>3553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3491</v>
      </c>
      <c r="I2376" s="1" t="s">
        <v>3492</v>
      </c>
      <c r="J2376" s="1" t="s">
        <v>52</v>
      </c>
      <c r="K2376" s="1" t="s">
        <v>3491</v>
      </c>
      <c r="L2376" s="36" t="s">
        <v>69</v>
      </c>
      <c r="M2376" s="1" t="s">
        <v>69</v>
      </c>
      <c r="N2376" s="1" t="s">
        <v>3468</v>
      </c>
      <c r="O2376" s="1" t="s">
        <v>46</v>
      </c>
      <c r="P2376" s="1" t="s">
        <v>46</v>
      </c>
      <c r="Q2376" s="1" t="s">
        <v>46</v>
      </c>
      <c r="R2376" s="1" t="s">
        <v>46</v>
      </c>
      <c r="S2376" s="1" t="s">
        <v>46</v>
      </c>
      <c r="T2376" s="1" t="s">
        <v>46</v>
      </c>
      <c r="U2376" s="1" t="s">
        <v>46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5" t="s">
        <v>3552</v>
      </c>
      <c r="C2377" s="1" t="s">
        <v>3553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3493</v>
      </c>
      <c r="I2377" s="1" t="s">
        <v>3494</v>
      </c>
      <c r="J2377" s="1" t="s">
        <v>52</v>
      </c>
      <c r="K2377" s="1" t="s">
        <v>3493</v>
      </c>
      <c r="L2377" s="36" t="s">
        <v>69</v>
      </c>
      <c r="M2377" s="1" t="s">
        <v>69</v>
      </c>
      <c r="N2377" s="1" t="s">
        <v>3468</v>
      </c>
      <c r="O2377" s="1" t="s">
        <v>46</v>
      </c>
      <c r="P2377" s="1" t="s">
        <v>46</v>
      </c>
      <c r="Q2377" s="1" t="s">
        <v>46</v>
      </c>
      <c r="R2377" s="1" t="s">
        <v>46</v>
      </c>
      <c r="S2377" s="1" t="s">
        <v>46</v>
      </c>
      <c r="T2377" s="1" t="s">
        <v>46</v>
      </c>
      <c r="U2377" s="1" t="s">
        <v>46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5" t="s">
        <v>3552</v>
      </c>
      <c r="C2378" s="1" t="s">
        <v>3553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3495</v>
      </c>
      <c r="I2378" s="1" t="s">
        <v>3496</v>
      </c>
      <c r="J2378" s="1" t="s">
        <v>52</v>
      </c>
      <c r="K2378" s="1" t="s">
        <v>3495</v>
      </c>
      <c r="L2378" s="36" t="s">
        <v>69</v>
      </c>
      <c r="M2378" s="1" t="s">
        <v>69</v>
      </c>
      <c r="N2378" s="1" t="s">
        <v>3468</v>
      </c>
      <c r="O2378" s="1" t="s">
        <v>46</v>
      </c>
      <c r="P2378" s="1" t="s">
        <v>46</v>
      </c>
      <c r="Q2378" s="1" t="s">
        <v>46</v>
      </c>
      <c r="R2378" s="1" t="s">
        <v>46</v>
      </c>
      <c r="S2378" s="1" t="s">
        <v>46</v>
      </c>
      <c r="T2378" s="1" t="s">
        <v>46</v>
      </c>
      <c r="U2378" s="1" t="s">
        <v>46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5" t="s">
        <v>3609</v>
      </c>
      <c r="C2379" s="1" t="s">
        <v>3610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3611</v>
      </c>
      <c r="I2379" s="1" t="s">
        <v>3612</v>
      </c>
      <c r="J2379" s="1" t="s">
        <v>52</v>
      </c>
      <c r="K2379" s="2" t="s">
        <v>3611</v>
      </c>
      <c r="L2379" s="36" t="s">
        <v>69</v>
      </c>
      <c r="M2379" s="1" t="s">
        <v>69</v>
      </c>
      <c r="N2379" s="1" t="s">
        <v>3383</v>
      </c>
      <c r="O2379" s="1" t="s">
        <v>3613</v>
      </c>
      <c r="P2379" s="1" t="s">
        <v>3385</v>
      </c>
      <c r="Q2379" s="1" t="s">
        <v>3385</v>
      </c>
      <c r="R2379" s="1" t="s">
        <v>46</v>
      </c>
      <c r="S2379" s="1" t="s">
        <v>69</v>
      </c>
      <c r="T2379" s="1" t="s">
        <v>69</v>
      </c>
      <c r="U2379" s="1" t="s">
        <v>46</v>
      </c>
      <c r="V2379" s="1" t="n">
        <v>1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5" t="s">
        <v>3609</v>
      </c>
      <c r="C2380" s="1" t="s">
        <v>3610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3614</v>
      </c>
      <c r="I2380" s="1" t="s">
        <v>3615</v>
      </c>
      <c r="J2380" s="1" t="s">
        <v>52</v>
      </c>
      <c r="K2380" s="2" t="s">
        <v>3614</v>
      </c>
      <c r="L2380" s="36" t="s">
        <v>69</v>
      </c>
      <c r="M2380" s="1" t="s">
        <v>69</v>
      </c>
      <c r="N2380" s="1" t="s">
        <v>3383</v>
      </c>
      <c r="O2380" s="1" t="s">
        <v>3613</v>
      </c>
      <c r="P2380" s="1" t="s">
        <v>3385</v>
      </c>
      <c r="Q2380" s="1" t="s">
        <v>3385</v>
      </c>
      <c r="R2380" s="1" t="s">
        <v>46</v>
      </c>
      <c r="S2380" s="1" t="s">
        <v>69</v>
      </c>
      <c r="T2380" s="1" t="s">
        <v>69</v>
      </c>
      <c r="U2380" s="1" t="s">
        <v>46</v>
      </c>
      <c r="V2380" s="1" t="n">
        <v>2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5" t="s">
        <v>3609</v>
      </c>
      <c r="C2381" s="1" t="s">
        <v>3610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3616</v>
      </c>
      <c r="I2381" s="1" t="s">
        <v>3617</v>
      </c>
      <c r="J2381" s="1" t="s">
        <v>52</v>
      </c>
      <c r="K2381" s="2" t="s">
        <v>3616</v>
      </c>
      <c r="L2381" s="36" t="s">
        <v>69</v>
      </c>
      <c r="M2381" s="1" t="s">
        <v>69</v>
      </c>
      <c r="N2381" s="1" t="s">
        <v>3383</v>
      </c>
      <c r="O2381" s="1" t="s">
        <v>3613</v>
      </c>
      <c r="P2381" s="1" t="s">
        <v>3385</v>
      </c>
      <c r="Q2381" s="1" t="s">
        <v>3385</v>
      </c>
      <c r="R2381" s="1" t="s">
        <v>46</v>
      </c>
      <c r="S2381" s="1" t="s">
        <v>69</v>
      </c>
      <c r="T2381" s="1" t="s">
        <v>69</v>
      </c>
      <c r="U2381" s="1" t="s">
        <v>46</v>
      </c>
      <c r="V2381" s="1" t="n">
        <v>3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5" t="s">
        <v>3609</v>
      </c>
      <c r="C2382" s="1" t="s">
        <v>3610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3618</v>
      </c>
      <c r="I2382" s="1" t="s">
        <v>3619</v>
      </c>
      <c r="J2382" s="1" t="s">
        <v>52</v>
      </c>
      <c r="K2382" s="2" t="s">
        <v>3618</v>
      </c>
      <c r="L2382" s="36" t="s">
        <v>69</v>
      </c>
      <c r="M2382" s="1" t="s">
        <v>69</v>
      </c>
      <c r="N2382" s="1" t="s">
        <v>3383</v>
      </c>
      <c r="O2382" s="1" t="s">
        <v>3613</v>
      </c>
      <c r="P2382" s="1" t="s">
        <v>3385</v>
      </c>
      <c r="Q2382" s="1" t="s">
        <v>3385</v>
      </c>
      <c r="R2382" s="1" t="s">
        <v>46</v>
      </c>
      <c r="S2382" s="1" t="s">
        <v>69</v>
      </c>
      <c r="T2382" s="1" t="s">
        <v>69</v>
      </c>
      <c r="U2382" s="1" t="s">
        <v>46</v>
      </c>
      <c r="V2382" s="1" t="n">
        <v>4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5" t="s">
        <v>3609</v>
      </c>
      <c r="C2383" s="1" t="s">
        <v>3610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3620</v>
      </c>
      <c r="I2383" s="1" t="s">
        <v>3621</v>
      </c>
      <c r="J2383" s="1" t="s">
        <v>52</v>
      </c>
      <c r="K2383" s="2" t="s">
        <v>3620</v>
      </c>
      <c r="L2383" s="36" t="s">
        <v>69</v>
      </c>
      <c r="M2383" s="1" t="s">
        <v>69</v>
      </c>
      <c r="N2383" s="1" t="s">
        <v>3383</v>
      </c>
      <c r="O2383" s="1" t="s">
        <v>3613</v>
      </c>
      <c r="P2383" s="1" t="s">
        <v>3385</v>
      </c>
      <c r="Q2383" s="1" t="s">
        <v>3385</v>
      </c>
      <c r="R2383" s="1" t="s">
        <v>46</v>
      </c>
      <c r="S2383" s="1" t="s">
        <v>69</v>
      </c>
      <c r="T2383" s="1" t="s">
        <v>69</v>
      </c>
      <c r="U2383" s="1" t="s">
        <v>46</v>
      </c>
      <c r="V2383" s="1" t="n">
        <v>5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5" t="s">
        <v>3609</v>
      </c>
      <c r="C2384" s="1" t="s">
        <v>3610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3622</v>
      </c>
      <c r="I2384" s="1" t="s">
        <v>3623</v>
      </c>
      <c r="J2384" s="1" t="s">
        <v>52</v>
      </c>
      <c r="K2384" s="2" t="s">
        <v>3622</v>
      </c>
      <c r="L2384" s="36" t="s">
        <v>69</v>
      </c>
      <c r="M2384" s="1" t="s">
        <v>69</v>
      </c>
      <c r="N2384" s="1" t="s">
        <v>3383</v>
      </c>
      <c r="O2384" s="1" t="s">
        <v>3624</v>
      </c>
      <c r="P2384" s="1" t="s">
        <v>3385</v>
      </c>
      <c r="Q2384" s="1" t="s">
        <v>3385</v>
      </c>
      <c r="R2384" s="1" t="s">
        <v>46</v>
      </c>
      <c r="S2384" s="1" t="s">
        <v>69</v>
      </c>
      <c r="T2384" s="1" t="s">
        <v>69</v>
      </c>
      <c r="U2384" s="1" t="s">
        <v>46</v>
      </c>
      <c r="V2384" s="1" t="n">
        <v>1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5" t="s">
        <v>3609</v>
      </c>
      <c r="C2385" s="1" t="s">
        <v>3610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3625</v>
      </c>
      <c r="I2385" s="1" t="s">
        <v>3626</v>
      </c>
      <c r="J2385" s="1" t="s">
        <v>52</v>
      </c>
      <c r="K2385" s="2" t="s">
        <v>3625</v>
      </c>
      <c r="L2385" s="36" t="s">
        <v>69</v>
      </c>
      <c r="M2385" s="1" t="s">
        <v>69</v>
      </c>
      <c r="N2385" s="1" t="s">
        <v>3383</v>
      </c>
      <c r="O2385" s="1" t="s">
        <v>3624</v>
      </c>
      <c r="P2385" s="1" t="s">
        <v>3385</v>
      </c>
      <c r="Q2385" s="1" t="s">
        <v>3385</v>
      </c>
      <c r="R2385" s="1" t="s">
        <v>46</v>
      </c>
      <c r="S2385" s="1" t="s">
        <v>69</v>
      </c>
      <c r="T2385" s="1" t="s">
        <v>69</v>
      </c>
      <c r="U2385" s="1" t="s">
        <v>46</v>
      </c>
      <c r="V2385" s="1" t="n">
        <v>2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5" t="s">
        <v>3609</v>
      </c>
      <c r="C2386" s="1" t="s">
        <v>3610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3627</v>
      </c>
      <c r="I2386" s="1" t="s">
        <v>3628</v>
      </c>
      <c r="J2386" s="1" t="s">
        <v>52</v>
      </c>
      <c r="K2386" s="2" t="s">
        <v>3627</v>
      </c>
      <c r="L2386" s="36" t="s">
        <v>69</v>
      </c>
      <c r="M2386" s="1" t="s">
        <v>69</v>
      </c>
      <c r="N2386" s="1" t="s">
        <v>3383</v>
      </c>
      <c r="O2386" s="1" t="s">
        <v>3624</v>
      </c>
      <c r="P2386" s="1" t="s">
        <v>3385</v>
      </c>
      <c r="Q2386" s="1" t="s">
        <v>3385</v>
      </c>
      <c r="R2386" s="1" t="s">
        <v>46</v>
      </c>
      <c r="S2386" s="1" t="s">
        <v>69</v>
      </c>
      <c r="T2386" s="1" t="s">
        <v>69</v>
      </c>
      <c r="U2386" s="1" t="s">
        <v>46</v>
      </c>
      <c r="V2386" s="1" t="n">
        <v>3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5" t="s">
        <v>3609</v>
      </c>
      <c r="C2387" s="1" t="s">
        <v>3610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3629</v>
      </c>
      <c r="I2387" s="1" t="s">
        <v>3630</v>
      </c>
      <c r="J2387" s="1" t="s">
        <v>52</v>
      </c>
      <c r="K2387" s="2" t="s">
        <v>3629</v>
      </c>
      <c r="L2387" s="36" t="s">
        <v>69</v>
      </c>
      <c r="M2387" s="1" t="s">
        <v>69</v>
      </c>
      <c r="N2387" s="1" t="s">
        <v>3383</v>
      </c>
      <c r="O2387" s="1" t="s">
        <v>3624</v>
      </c>
      <c r="P2387" s="1" t="s">
        <v>3385</v>
      </c>
      <c r="Q2387" s="1" t="s">
        <v>3385</v>
      </c>
      <c r="R2387" s="1" t="s">
        <v>46</v>
      </c>
      <c r="S2387" s="1" t="s">
        <v>69</v>
      </c>
      <c r="T2387" s="1" t="s">
        <v>69</v>
      </c>
      <c r="U2387" s="1" t="s">
        <v>46</v>
      </c>
      <c r="V2387" s="1" t="n">
        <v>4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5" t="s">
        <v>3609</v>
      </c>
      <c r="C2388" s="1" t="s">
        <v>3610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3631</v>
      </c>
      <c r="I2388" s="1" t="s">
        <v>3632</v>
      </c>
      <c r="J2388" s="1" t="s">
        <v>52</v>
      </c>
      <c r="K2388" s="2" t="s">
        <v>3631</v>
      </c>
      <c r="L2388" s="36" t="s">
        <v>69</v>
      </c>
      <c r="M2388" s="1" t="s">
        <v>69</v>
      </c>
      <c r="N2388" s="1" t="s">
        <v>3383</v>
      </c>
      <c r="O2388" s="1" t="s">
        <v>3624</v>
      </c>
      <c r="P2388" s="1" t="s">
        <v>3385</v>
      </c>
      <c r="Q2388" s="1" t="s">
        <v>3385</v>
      </c>
      <c r="R2388" s="1" t="s">
        <v>46</v>
      </c>
      <c r="S2388" s="1" t="s">
        <v>69</v>
      </c>
      <c r="T2388" s="1" t="s">
        <v>69</v>
      </c>
      <c r="U2388" s="1" t="s">
        <v>46</v>
      </c>
      <c r="V2388" s="1" t="n">
        <v>5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5" t="s">
        <v>3609</v>
      </c>
      <c r="C2389" s="1" t="s">
        <v>3610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3633</v>
      </c>
      <c r="I2389" s="1" t="s">
        <v>3634</v>
      </c>
      <c r="J2389" s="1" t="s">
        <v>52</v>
      </c>
      <c r="K2389" s="1" t="s">
        <v>3633</v>
      </c>
      <c r="L2389" s="36" t="s">
        <v>69</v>
      </c>
      <c r="M2389" s="1" t="s">
        <v>69</v>
      </c>
      <c r="N2389" s="1" t="s">
        <v>3383</v>
      </c>
      <c r="O2389" s="1" t="s">
        <v>3635</v>
      </c>
      <c r="P2389" s="1" t="s">
        <v>3385</v>
      </c>
      <c r="Q2389" s="1" t="s">
        <v>3385</v>
      </c>
      <c r="R2389" s="1" t="s">
        <v>46</v>
      </c>
      <c r="S2389" s="1" t="s">
        <v>69</v>
      </c>
      <c r="T2389" s="1" t="s">
        <v>69</v>
      </c>
      <c r="U2389" s="1" t="s">
        <v>46</v>
      </c>
      <c r="V2389" s="1" t="n">
        <v>1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5" t="s">
        <v>3609</v>
      </c>
      <c r="C2390" s="1" t="s">
        <v>3610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3636</v>
      </c>
      <c r="I2390" s="1" t="s">
        <v>3637</v>
      </c>
      <c r="J2390" s="1" t="s">
        <v>52</v>
      </c>
      <c r="K2390" s="1" t="s">
        <v>3636</v>
      </c>
      <c r="L2390" s="36" t="s">
        <v>69</v>
      </c>
      <c r="M2390" s="1" t="s">
        <v>69</v>
      </c>
      <c r="N2390" s="1" t="s">
        <v>3383</v>
      </c>
      <c r="O2390" s="1" t="s">
        <v>3635</v>
      </c>
      <c r="P2390" s="1" t="s">
        <v>3385</v>
      </c>
      <c r="Q2390" s="1" t="s">
        <v>3385</v>
      </c>
      <c r="R2390" s="1" t="s">
        <v>46</v>
      </c>
      <c r="S2390" s="1" t="s">
        <v>69</v>
      </c>
      <c r="T2390" s="1" t="s">
        <v>69</v>
      </c>
      <c r="U2390" s="1" t="s">
        <v>46</v>
      </c>
      <c r="V2390" s="1" t="n">
        <v>2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5" t="s">
        <v>3609</v>
      </c>
      <c r="C2391" s="1" t="s">
        <v>3610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3638</v>
      </c>
      <c r="I2391" s="1" t="s">
        <v>3639</v>
      </c>
      <c r="J2391" s="1" t="s">
        <v>52</v>
      </c>
      <c r="K2391" s="1" t="s">
        <v>3638</v>
      </c>
      <c r="L2391" s="36" t="s">
        <v>69</v>
      </c>
      <c r="M2391" s="1" t="s">
        <v>69</v>
      </c>
      <c r="N2391" s="1" t="s">
        <v>3383</v>
      </c>
      <c r="O2391" s="1" t="s">
        <v>3635</v>
      </c>
      <c r="P2391" s="1" t="s">
        <v>3385</v>
      </c>
      <c r="Q2391" s="1" t="s">
        <v>3385</v>
      </c>
      <c r="R2391" s="1" t="s">
        <v>46</v>
      </c>
      <c r="S2391" s="1" t="s">
        <v>69</v>
      </c>
      <c r="T2391" s="1" t="s">
        <v>69</v>
      </c>
      <c r="U2391" s="1" t="s">
        <v>46</v>
      </c>
      <c r="V2391" s="1" t="n">
        <v>3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5" t="s">
        <v>3609</v>
      </c>
      <c r="C2392" s="1" t="s">
        <v>3610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3640</v>
      </c>
      <c r="I2392" s="1" t="s">
        <v>3641</v>
      </c>
      <c r="J2392" s="1" t="s">
        <v>52</v>
      </c>
      <c r="K2392" s="1" t="s">
        <v>3640</v>
      </c>
      <c r="L2392" s="36" t="s">
        <v>69</v>
      </c>
      <c r="M2392" s="1" t="s">
        <v>69</v>
      </c>
      <c r="N2392" s="1" t="s">
        <v>3383</v>
      </c>
      <c r="O2392" s="1" t="s">
        <v>3635</v>
      </c>
      <c r="P2392" s="1" t="s">
        <v>3385</v>
      </c>
      <c r="Q2392" s="1" t="s">
        <v>3385</v>
      </c>
      <c r="R2392" s="1" t="s">
        <v>46</v>
      </c>
      <c r="S2392" s="1" t="s">
        <v>69</v>
      </c>
      <c r="T2392" s="1" t="s">
        <v>69</v>
      </c>
      <c r="U2392" s="1" t="s">
        <v>46</v>
      </c>
      <c r="V2392" s="1" t="n">
        <v>4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5" t="s">
        <v>3609</v>
      </c>
      <c r="C2393" s="1" t="s">
        <v>3610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3642</v>
      </c>
      <c r="I2393" s="1" t="s">
        <v>3643</v>
      </c>
      <c r="J2393" s="1" t="s">
        <v>52</v>
      </c>
      <c r="K2393" s="1" t="s">
        <v>3642</v>
      </c>
      <c r="L2393" s="36" t="s">
        <v>69</v>
      </c>
      <c r="M2393" s="1" t="s">
        <v>69</v>
      </c>
      <c r="N2393" s="1" t="s">
        <v>3383</v>
      </c>
      <c r="O2393" s="1" t="s">
        <v>3635</v>
      </c>
      <c r="P2393" s="1" t="s">
        <v>3385</v>
      </c>
      <c r="Q2393" s="1" t="s">
        <v>3385</v>
      </c>
      <c r="R2393" s="1" t="s">
        <v>46</v>
      </c>
      <c r="S2393" s="1" t="s">
        <v>69</v>
      </c>
      <c r="T2393" s="1" t="s">
        <v>69</v>
      </c>
      <c r="U2393" s="1" t="s">
        <v>46</v>
      </c>
      <c r="V2393" s="1" t="n">
        <v>5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5" t="s">
        <v>3609</v>
      </c>
      <c r="C2394" s="1" t="s">
        <v>3610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3644</v>
      </c>
      <c r="I2394" s="1" t="s">
        <v>3645</v>
      </c>
      <c r="J2394" s="1" t="s">
        <v>52</v>
      </c>
      <c r="K2394" s="1" t="s">
        <v>3644</v>
      </c>
      <c r="L2394" s="36" t="s">
        <v>69</v>
      </c>
      <c r="M2394" s="1" t="s">
        <v>69</v>
      </c>
      <c r="N2394" s="1" t="s">
        <v>3383</v>
      </c>
      <c r="O2394" s="1" t="s">
        <v>3646</v>
      </c>
      <c r="P2394" s="1" t="s">
        <v>3385</v>
      </c>
      <c r="Q2394" s="1" t="s">
        <v>3385</v>
      </c>
      <c r="R2394" s="1" t="s">
        <v>46</v>
      </c>
      <c r="S2394" s="1" t="s">
        <v>69</v>
      </c>
      <c r="T2394" s="1" t="s">
        <v>69</v>
      </c>
      <c r="U2394" s="1" t="s">
        <v>46</v>
      </c>
      <c r="V2394" s="1" t="n">
        <v>1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5" t="s">
        <v>3609</v>
      </c>
      <c r="C2395" s="1" t="s">
        <v>3610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3647</v>
      </c>
      <c r="I2395" s="1" t="s">
        <v>3648</v>
      </c>
      <c r="J2395" s="1" t="s">
        <v>52</v>
      </c>
      <c r="K2395" s="1" t="s">
        <v>3647</v>
      </c>
      <c r="L2395" s="36" t="s">
        <v>69</v>
      </c>
      <c r="M2395" s="1" t="s">
        <v>69</v>
      </c>
      <c r="N2395" s="1" t="s">
        <v>3383</v>
      </c>
      <c r="O2395" s="1" t="s">
        <v>3646</v>
      </c>
      <c r="P2395" s="1" t="s">
        <v>3385</v>
      </c>
      <c r="Q2395" s="1" t="s">
        <v>3385</v>
      </c>
      <c r="R2395" s="1" t="s">
        <v>46</v>
      </c>
      <c r="S2395" s="1" t="s">
        <v>69</v>
      </c>
      <c r="T2395" s="1" t="s">
        <v>69</v>
      </c>
      <c r="U2395" s="1" t="s">
        <v>46</v>
      </c>
      <c r="V2395" s="1" t="n">
        <v>2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5" t="s">
        <v>3609</v>
      </c>
      <c r="C2396" s="1" t="s">
        <v>3610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3649</v>
      </c>
      <c r="I2396" s="1" t="s">
        <v>3650</v>
      </c>
      <c r="J2396" s="1" t="s">
        <v>52</v>
      </c>
      <c r="K2396" s="1" t="s">
        <v>3649</v>
      </c>
      <c r="L2396" s="36" t="s">
        <v>69</v>
      </c>
      <c r="M2396" s="1" t="s">
        <v>69</v>
      </c>
      <c r="N2396" s="1" t="s">
        <v>3383</v>
      </c>
      <c r="O2396" s="1" t="s">
        <v>3646</v>
      </c>
      <c r="P2396" s="1" t="s">
        <v>3385</v>
      </c>
      <c r="Q2396" s="1" t="s">
        <v>3385</v>
      </c>
      <c r="R2396" s="1" t="s">
        <v>46</v>
      </c>
      <c r="S2396" s="1" t="s">
        <v>69</v>
      </c>
      <c r="T2396" s="1" t="s">
        <v>69</v>
      </c>
      <c r="U2396" s="1" t="s">
        <v>46</v>
      </c>
      <c r="V2396" s="1" t="n">
        <v>3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5" t="s">
        <v>3609</v>
      </c>
      <c r="C2397" s="1" t="s">
        <v>3610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3651</v>
      </c>
      <c r="I2397" s="1" t="s">
        <v>3652</v>
      </c>
      <c r="J2397" s="1" t="s">
        <v>52</v>
      </c>
      <c r="K2397" s="1" t="s">
        <v>3651</v>
      </c>
      <c r="L2397" s="36" t="s">
        <v>69</v>
      </c>
      <c r="M2397" s="1" t="s">
        <v>69</v>
      </c>
      <c r="N2397" s="1" t="s">
        <v>3383</v>
      </c>
      <c r="O2397" s="1" t="s">
        <v>3646</v>
      </c>
      <c r="P2397" s="1" t="s">
        <v>3385</v>
      </c>
      <c r="Q2397" s="1" t="s">
        <v>3385</v>
      </c>
      <c r="R2397" s="1" t="s">
        <v>46</v>
      </c>
      <c r="S2397" s="1" t="s">
        <v>69</v>
      </c>
      <c r="T2397" s="1" t="s">
        <v>69</v>
      </c>
      <c r="U2397" s="1" t="s">
        <v>46</v>
      </c>
      <c r="V2397" s="1" t="n">
        <v>4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5" t="s">
        <v>3609</v>
      </c>
      <c r="C2398" s="1" t="s">
        <v>3610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3653</v>
      </c>
      <c r="I2398" s="1" t="s">
        <v>3654</v>
      </c>
      <c r="J2398" s="1" t="s">
        <v>52</v>
      </c>
      <c r="K2398" s="1" t="s">
        <v>3653</v>
      </c>
      <c r="L2398" s="36" t="s">
        <v>69</v>
      </c>
      <c r="M2398" s="1" t="s">
        <v>69</v>
      </c>
      <c r="N2398" s="1" t="s">
        <v>3383</v>
      </c>
      <c r="O2398" s="1" t="s">
        <v>3646</v>
      </c>
      <c r="P2398" s="1" t="s">
        <v>3385</v>
      </c>
      <c r="Q2398" s="1" t="s">
        <v>3385</v>
      </c>
      <c r="R2398" s="1" t="s">
        <v>46</v>
      </c>
      <c r="S2398" s="1" t="s">
        <v>69</v>
      </c>
      <c r="T2398" s="1" t="s">
        <v>69</v>
      </c>
      <c r="U2398" s="1" t="s">
        <v>46</v>
      </c>
      <c r="V2398" s="1" t="n">
        <v>5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5" t="s">
        <v>3609</v>
      </c>
      <c r="C2399" s="1" t="s">
        <v>3610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3655</v>
      </c>
      <c r="I2399" s="1" t="s">
        <v>3656</v>
      </c>
      <c r="J2399" s="1" t="s">
        <v>52</v>
      </c>
      <c r="K2399" s="1" t="s">
        <v>3655</v>
      </c>
      <c r="L2399" s="36" t="s">
        <v>69</v>
      </c>
      <c r="M2399" s="1" t="s">
        <v>69</v>
      </c>
      <c r="N2399" s="1" t="s">
        <v>3383</v>
      </c>
      <c r="O2399" s="1" t="s">
        <v>3657</v>
      </c>
      <c r="P2399" s="1" t="s">
        <v>3385</v>
      </c>
      <c r="Q2399" s="1" t="s">
        <v>3385</v>
      </c>
      <c r="R2399" s="1" t="s">
        <v>46</v>
      </c>
      <c r="S2399" s="1" t="s">
        <v>69</v>
      </c>
      <c r="T2399" s="1" t="s">
        <v>69</v>
      </c>
      <c r="U2399" s="1" t="s">
        <v>46</v>
      </c>
      <c r="V2399" s="1" t="n">
        <v>1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5" t="s">
        <v>3609</v>
      </c>
      <c r="C2400" s="1" t="s">
        <v>3610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3658</v>
      </c>
      <c r="I2400" s="1" t="s">
        <v>3659</v>
      </c>
      <c r="J2400" s="1" t="s">
        <v>52</v>
      </c>
      <c r="K2400" s="1" t="s">
        <v>3658</v>
      </c>
      <c r="L2400" s="36" t="s">
        <v>69</v>
      </c>
      <c r="M2400" s="1" t="s">
        <v>69</v>
      </c>
      <c r="N2400" s="1" t="s">
        <v>3383</v>
      </c>
      <c r="O2400" s="1" t="s">
        <v>3657</v>
      </c>
      <c r="P2400" s="1" t="s">
        <v>3385</v>
      </c>
      <c r="Q2400" s="1" t="s">
        <v>3385</v>
      </c>
      <c r="R2400" s="1" t="s">
        <v>46</v>
      </c>
      <c r="S2400" s="1" t="s">
        <v>69</v>
      </c>
      <c r="T2400" s="1" t="s">
        <v>69</v>
      </c>
      <c r="U2400" s="1" t="s">
        <v>46</v>
      </c>
      <c r="V2400" s="1" t="n">
        <v>2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5" t="s">
        <v>3609</v>
      </c>
      <c r="C2401" s="1" t="s">
        <v>3610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3660</v>
      </c>
      <c r="I2401" s="1" t="s">
        <v>3661</v>
      </c>
      <c r="J2401" s="1" t="s">
        <v>52</v>
      </c>
      <c r="K2401" s="1" t="s">
        <v>3660</v>
      </c>
      <c r="L2401" s="36" t="s">
        <v>69</v>
      </c>
      <c r="M2401" s="1" t="s">
        <v>69</v>
      </c>
      <c r="N2401" s="1" t="s">
        <v>3383</v>
      </c>
      <c r="O2401" s="1" t="s">
        <v>3657</v>
      </c>
      <c r="P2401" s="1" t="s">
        <v>3385</v>
      </c>
      <c r="Q2401" s="1" t="s">
        <v>3385</v>
      </c>
      <c r="R2401" s="1" t="s">
        <v>46</v>
      </c>
      <c r="S2401" s="1" t="s">
        <v>69</v>
      </c>
      <c r="T2401" s="1" t="s">
        <v>69</v>
      </c>
      <c r="U2401" s="1" t="s">
        <v>46</v>
      </c>
      <c r="V2401" s="1" t="n">
        <v>3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5" t="s">
        <v>3609</v>
      </c>
      <c r="C2402" s="1" t="s">
        <v>3610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3662</v>
      </c>
      <c r="I2402" s="1" t="s">
        <v>3663</v>
      </c>
      <c r="J2402" s="1" t="s">
        <v>52</v>
      </c>
      <c r="K2402" s="1" t="s">
        <v>3662</v>
      </c>
      <c r="L2402" s="36" t="s">
        <v>69</v>
      </c>
      <c r="M2402" s="1" t="s">
        <v>69</v>
      </c>
      <c r="N2402" s="1" t="s">
        <v>3383</v>
      </c>
      <c r="O2402" s="1" t="s">
        <v>3657</v>
      </c>
      <c r="P2402" s="1" t="s">
        <v>3385</v>
      </c>
      <c r="Q2402" s="1" t="s">
        <v>3385</v>
      </c>
      <c r="R2402" s="1" t="s">
        <v>46</v>
      </c>
      <c r="S2402" s="1" t="s">
        <v>69</v>
      </c>
      <c r="T2402" s="1" t="s">
        <v>69</v>
      </c>
      <c r="U2402" s="1" t="s">
        <v>46</v>
      </c>
      <c r="V2402" s="1" t="n">
        <v>4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5" t="s">
        <v>3609</v>
      </c>
      <c r="C2403" s="1" t="s">
        <v>3610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3664</v>
      </c>
      <c r="I2403" s="1" t="s">
        <v>3665</v>
      </c>
      <c r="J2403" s="1" t="s">
        <v>52</v>
      </c>
      <c r="K2403" s="1" t="s">
        <v>3664</v>
      </c>
      <c r="L2403" s="36" t="s">
        <v>69</v>
      </c>
      <c r="M2403" s="1" t="s">
        <v>69</v>
      </c>
      <c r="N2403" s="1" t="s">
        <v>3383</v>
      </c>
      <c r="O2403" s="1" t="s">
        <v>3657</v>
      </c>
      <c r="P2403" s="1" t="s">
        <v>3385</v>
      </c>
      <c r="Q2403" s="1" t="s">
        <v>3385</v>
      </c>
      <c r="R2403" s="1" t="s">
        <v>46</v>
      </c>
      <c r="S2403" s="1" t="s">
        <v>69</v>
      </c>
      <c r="T2403" s="1" t="s">
        <v>69</v>
      </c>
      <c r="U2403" s="1" t="s">
        <v>46</v>
      </c>
      <c r="V2403" s="1" t="n">
        <v>5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5" t="s">
        <v>3609</v>
      </c>
      <c r="C2404" s="1" t="s">
        <v>3610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3436</v>
      </c>
      <c r="I2404" s="1" t="s">
        <v>3437</v>
      </c>
      <c r="J2404" s="1" t="s">
        <v>52</v>
      </c>
      <c r="K2404" s="2" t="s">
        <v>3436</v>
      </c>
      <c r="L2404" s="5" t="s">
        <v>69</v>
      </c>
      <c r="M2404" s="5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5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5" t="s">
        <v>3609</v>
      </c>
      <c r="C2405" s="1" t="s">
        <v>3610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3438</v>
      </c>
      <c r="I2405" s="1" t="s">
        <v>3439</v>
      </c>
      <c r="J2405" s="1" t="s">
        <v>52</v>
      </c>
      <c r="K2405" s="2" t="s">
        <v>3438</v>
      </c>
      <c r="L2405" s="5" t="s">
        <v>69</v>
      </c>
      <c r="M2405" s="5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5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5" t="s">
        <v>3609</v>
      </c>
      <c r="C2406" s="1" t="s">
        <v>3610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3440</v>
      </c>
      <c r="I2406" s="1" t="s">
        <v>3441</v>
      </c>
      <c r="J2406" s="1" t="s">
        <v>52</v>
      </c>
      <c r="K2406" s="2" t="s">
        <v>3440</v>
      </c>
      <c r="L2406" s="5" t="s">
        <v>69</v>
      </c>
      <c r="M2406" s="5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5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5" t="s">
        <v>3609</v>
      </c>
      <c r="C2407" s="1" t="s">
        <v>3610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3442</v>
      </c>
      <c r="I2407" s="1" t="s">
        <v>3443</v>
      </c>
      <c r="J2407" s="1" t="s">
        <v>52</v>
      </c>
      <c r="K2407" s="2" t="s">
        <v>3442</v>
      </c>
      <c r="L2407" s="5" t="s">
        <v>69</v>
      </c>
      <c r="M2407" s="5" t="s">
        <v>69</v>
      </c>
      <c r="N2407" s="1" t="s">
        <v>1935</v>
      </c>
      <c r="O2407" s="1" t="s">
        <v>46</v>
      </c>
      <c r="P2407" s="1" t="s">
        <v>46</v>
      </c>
      <c r="Q2407" s="1" t="s">
        <v>46</v>
      </c>
      <c r="R2407" s="5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5" t="s">
        <v>3609</v>
      </c>
      <c r="C2408" s="1" t="s">
        <v>3610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3444</v>
      </c>
      <c r="I2408" s="1" t="s">
        <v>3445</v>
      </c>
      <c r="J2408" s="1" t="s">
        <v>52</v>
      </c>
      <c r="K2408" s="2" t="s">
        <v>3444</v>
      </c>
      <c r="L2408" s="5" t="s">
        <v>69</v>
      </c>
      <c r="M2408" s="5" t="s">
        <v>69</v>
      </c>
      <c r="N2408" s="1" t="s">
        <v>1935</v>
      </c>
      <c r="O2408" s="1" t="s">
        <v>46</v>
      </c>
      <c r="P2408" s="1" t="s">
        <v>46</v>
      </c>
      <c r="Q2408" s="1" t="s">
        <v>46</v>
      </c>
      <c r="R2408" s="5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5" t="s">
        <v>3609</v>
      </c>
      <c r="C2409" s="1" t="s">
        <v>3610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3446</v>
      </c>
      <c r="I2409" s="1" t="s">
        <v>3447</v>
      </c>
      <c r="J2409" s="1" t="s">
        <v>52</v>
      </c>
      <c r="K2409" s="2" t="s">
        <v>3446</v>
      </c>
      <c r="L2409" s="5" t="s">
        <v>69</v>
      </c>
      <c r="M2409" s="5" t="s">
        <v>69</v>
      </c>
      <c r="N2409" s="1" t="s">
        <v>1935</v>
      </c>
      <c r="O2409" s="1" t="s">
        <v>46</v>
      </c>
      <c r="P2409" s="1" t="s">
        <v>46</v>
      </c>
      <c r="Q2409" s="1" t="s">
        <v>46</v>
      </c>
      <c r="R2409" s="5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5" t="s">
        <v>3609</v>
      </c>
      <c r="C2410" s="1" t="s">
        <v>3610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3448</v>
      </c>
      <c r="I2410" s="1" t="s">
        <v>3449</v>
      </c>
      <c r="J2410" s="1" t="s">
        <v>52</v>
      </c>
      <c r="K2410" s="2" t="s">
        <v>3448</v>
      </c>
      <c r="L2410" s="5" t="s">
        <v>69</v>
      </c>
      <c r="M2410" s="5" t="s">
        <v>69</v>
      </c>
      <c r="N2410" s="1" t="s">
        <v>1935</v>
      </c>
      <c r="O2410" s="1" t="s">
        <v>46</v>
      </c>
      <c r="P2410" s="1" t="s">
        <v>46</v>
      </c>
      <c r="Q2410" s="1" t="s">
        <v>46</v>
      </c>
      <c r="R2410" s="5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5" t="s">
        <v>3609</v>
      </c>
      <c r="C2411" s="1" t="s">
        <v>3610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3450</v>
      </c>
      <c r="I2411" s="1" t="s">
        <v>3451</v>
      </c>
      <c r="J2411" s="1" t="s">
        <v>52</v>
      </c>
      <c r="K2411" s="2" t="s">
        <v>3450</v>
      </c>
      <c r="L2411" s="5" t="s">
        <v>69</v>
      </c>
      <c r="M2411" s="5" t="s">
        <v>69</v>
      </c>
      <c r="N2411" s="1" t="s">
        <v>1935</v>
      </c>
      <c r="O2411" s="1" t="s">
        <v>46</v>
      </c>
      <c r="P2411" s="1" t="s">
        <v>46</v>
      </c>
      <c r="Q2411" s="1" t="s">
        <v>46</v>
      </c>
      <c r="R2411" s="5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5" t="s">
        <v>3609</v>
      </c>
      <c r="C2412" s="1" t="s">
        <v>3610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3452</v>
      </c>
      <c r="I2412" s="1" t="s">
        <v>3453</v>
      </c>
      <c r="J2412" s="1" t="s">
        <v>52</v>
      </c>
      <c r="K2412" s="2" t="s">
        <v>3452</v>
      </c>
      <c r="L2412" s="5" t="s">
        <v>69</v>
      </c>
      <c r="M2412" s="5" t="s">
        <v>69</v>
      </c>
      <c r="N2412" s="1" t="s">
        <v>1935</v>
      </c>
      <c r="O2412" s="1" t="s">
        <v>46</v>
      </c>
      <c r="P2412" s="1" t="s">
        <v>46</v>
      </c>
      <c r="Q2412" s="1" t="s">
        <v>46</v>
      </c>
      <c r="R2412" s="5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5" t="s">
        <v>3609</v>
      </c>
      <c r="C2413" s="1" t="s">
        <v>3610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3454</v>
      </c>
      <c r="I2413" s="1" t="s">
        <v>3455</v>
      </c>
      <c r="J2413" s="1" t="s">
        <v>52</v>
      </c>
      <c r="K2413" s="2" t="s">
        <v>3454</v>
      </c>
      <c r="L2413" s="5" t="s">
        <v>69</v>
      </c>
      <c r="M2413" s="5" t="s">
        <v>69</v>
      </c>
      <c r="N2413" s="1" t="s">
        <v>1935</v>
      </c>
      <c r="O2413" s="1" t="s">
        <v>46</v>
      </c>
      <c r="P2413" s="1" t="s">
        <v>46</v>
      </c>
      <c r="Q2413" s="1" t="s">
        <v>46</v>
      </c>
      <c r="R2413" s="5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5" t="s">
        <v>3609</v>
      </c>
      <c r="C2414" s="1" t="s">
        <v>3610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3456</v>
      </c>
      <c r="I2414" s="1" t="s">
        <v>3457</v>
      </c>
      <c r="J2414" s="1" t="s">
        <v>52</v>
      </c>
      <c r="K2414" s="2" t="s">
        <v>3456</v>
      </c>
      <c r="L2414" s="5" t="s">
        <v>69</v>
      </c>
      <c r="M2414" s="5" t="s">
        <v>69</v>
      </c>
      <c r="N2414" s="1" t="s">
        <v>1935</v>
      </c>
      <c r="O2414" s="1" t="s">
        <v>46</v>
      </c>
      <c r="P2414" s="1" t="s">
        <v>46</v>
      </c>
      <c r="Q2414" s="1" t="s">
        <v>46</v>
      </c>
      <c r="R2414" s="5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5" t="s">
        <v>3609</v>
      </c>
      <c r="C2415" s="1" t="s">
        <v>3610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3458</v>
      </c>
      <c r="I2415" s="1" t="s">
        <v>3459</v>
      </c>
      <c r="J2415" s="1" t="s">
        <v>52</v>
      </c>
      <c r="K2415" s="2" t="s">
        <v>3458</v>
      </c>
      <c r="L2415" s="5" t="s">
        <v>69</v>
      </c>
      <c r="M2415" s="5" t="s">
        <v>69</v>
      </c>
      <c r="N2415" s="1" t="s">
        <v>1935</v>
      </c>
      <c r="O2415" s="1" t="s">
        <v>46</v>
      </c>
      <c r="P2415" s="1" t="s">
        <v>46</v>
      </c>
      <c r="Q2415" s="1" t="s">
        <v>46</v>
      </c>
      <c r="R2415" s="5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5" t="s">
        <v>3609</v>
      </c>
      <c r="C2416" s="1" t="s">
        <v>3610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3460</v>
      </c>
      <c r="I2416" s="1" t="s">
        <v>3461</v>
      </c>
      <c r="J2416" s="1" t="s">
        <v>52</v>
      </c>
      <c r="K2416" s="2" t="s">
        <v>3460</v>
      </c>
      <c r="L2416" s="5" t="s">
        <v>69</v>
      </c>
      <c r="M2416" s="5" t="s">
        <v>69</v>
      </c>
      <c r="N2416" s="1" t="s">
        <v>1935</v>
      </c>
      <c r="O2416" s="1" t="s">
        <v>46</v>
      </c>
      <c r="P2416" s="1" t="s">
        <v>46</v>
      </c>
      <c r="Q2416" s="1" t="s">
        <v>46</v>
      </c>
      <c r="R2416" s="5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5" t="s">
        <v>3609</v>
      </c>
      <c r="C2417" s="1" t="s">
        <v>3610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3462</v>
      </c>
      <c r="I2417" s="1" t="s">
        <v>3463</v>
      </c>
      <c r="J2417" s="1" t="s">
        <v>52</v>
      </c>
      <c r="K2417" s="2" t="s">
        <v>3462</v>
      </c>
      <c r="L2417" s="5" t="s">
        <v>69</v>
      </c>
      <c r="M2417" s="5" t="s">
        <v>69</v>
      </c>
      <c r="N2417" s="1" t="s">
        <v>1935</v>
      </c>
      <c r="O2417" s="1" t="s">
        <v>46</v>
      </c>
      <c r="P2417" s="1" t="s">
        <v>46</v>
      </c>
      <c r="Q2417" s="1" t="s">
        <v>46</v>
      </c>
      <c r="R2417" s="5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5" t="s">
        <v>3609</v>
      </c>
      <c r="C2418" s="1" t="s">
        <v>3610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3464</v>
      </c>
      <c r="I2418" s="1" t="s">
        <v>3465</v>
      </c>
      <c r="J2418" s="1" t="s">
        <v>52</v>
      </c>
      <c r="K2418" s="2" t="s">
        <v>3464</v>
      </c>
      <c r="L2418" s="5" t="s">
        <v>69</v>
      </c>
      <c r="M2418" s="5" t="s">
        <v>69</v>
      </c>
      <c r="N2418" s="1" t="s">
        <v>1935</v>
      </c>
      <c r="O2418" s="1" t="s">
        <v>46</v>
      </c>
      <c r="P2418" s="1" t="s">
        <v>46</v>
      </c>
      <c r="Q2418" s="1" t="s">
        <v>46</v>
      </c>
      <c r="R2418" s="5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5" t="s">
        <v>3609</v>
      </c>
      <c r="C2419" s="1" t="s">
        <v>3610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3466</v>
      </c>
      <c r="I2419" s="1" t="s">
        <v>3467</v>
      </c>
      <c r="J2419" s="1" t="s">
        <v>52</v>
      </c>
      <c r="K2419" s="2" t="s">
        <v>3466</v>
      </c>
      <c r="L2419" s="5" t="s">
        <v>69</v>
      </c>
      <c r="M2419" s="5" t="s">
        <v>69</v>
      </c>
      <c r="N2419" s="1" t="s">
        <v>3468</v>
      </c>
      <c r="O2419" s="1" t="s">
        <v>46</v>
      </c>
      <c r="P2419" s="1" t="s">
        <v>46</v>
      </c>
      <c r="Q2419" s="1" t="s">
        <v>46</v>
      </c>
      <c r="R2419" s="5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5" t="s">
        <v>3609</v>
      </c>
      <c r="C2420" s="1" t="s">
        <v>3610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3469</v>
      </c>
      <c r="I2420" s="1" t="s">
        <v>3470</v>
      </c>
      <c r="J2420" s="1" t="s">
        <v>52</v>
      </c>
      <c r="K2420" s="2" t="s">
        <v>3469</v>
      </c>
      <c r="L2420" s="5" t="s">
        <v>69</v>
      </c>
      <c r="M2420" s="5" t="s">
        <v>69</v>
      </c>
      <c r="N2420" s="1" t="s">
        <v>3468</v>
      </c>
      <c r="O2420" s="1" t="s">
        <v>46</v>
      </c>
      <c r="P2420" s="1" t="s">
        <v>46</v>
      </c>
      <c r="Q2420" s="1" t="s">
        <v>46</v>
      </c>
      <c r="R2420" s="5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5" t="s">
        <v>3609</v>
      </c>
      <c r="C2421" s="1" t="s">
        <v>3610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3471</v>
      </c>
      <c r="I2421" s="1" t="s">
        <v>3472</v>
      </c>
      <c r="J2421" s="1" t="s">
        <v>52</v>
      </c>
      <c r="K2421" s="2" t="s">
        <v>3471</v>
      </c>
      <c r="L2421" s="5" t="s">
        <v>69</v>
      </c>
      <c r="M2421" s="5" t="s">
        <v>69</v>
      </c>
      <c r="N2421" s="1" t="s">
        <v>3468</v>
      </c>
      <c r="O2421" s="1" t="s">
        <v>46</v>
      </c>
      <c r="P2421" s="1" t="s">
        <v>46</v>
      </c>
      <c r="Q2421" s="1" t="s">
        <v>46</v>
      </c>
      <c r="R2421" s="5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5" t="s">
        <v>3609</v>
      </c>
      <c r="C2422" s="1" t="s">
        <v>3610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3473</v>
      </c>
      <c r="I2422" s="1" t="s">
        <v>3474</v>
      </c>
      <c r="J2422" s="1" t="s">
        <v>52</v>
      </c>
      <c r="K2422" s="2" t="s">
        <v>3473</v>
      </c>
      <c r="L2422" s="5" t="s">
        <v>69</v>
      </c>
      <c r="M2422" s="5" t="s">
        <v>69</v>
      </c>
      <c r="N2422" s="1" t="s">
        <v>3468</v>
      </c>
      <c r="O2422" s="1" t="s">
        <v>46</v>
      </c>
      <c r="P2422" s="1" t="s">
        <v>46</v>
      </c>
      <c r="Q2422" s="1" t="s">
        <v>46</v>
      </c>
      <c r="R2422" s="5" t="s">
        <v>46</v>
      </c>
      <c r="S2422" s="1" t="s">
        <v>46</v>
      </c>
      <c r="T2422" s="1" t="s">
        <v>46</v>
      </c>
      <c r="U2422" s="1" t="s">
        <v>46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5" t="s">
        <v>3609</v>
      </c>
      <c r="C2423" s="1" t="s">
        <v>3610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3475</v>
      </c>
      <c r="I2423" s="1" t="s">
        <v>3476</v>
      </c>
      <c r="J2423" s="1" t="s">
        <v>52</v>
      </c>
      <c r="K2423" s="2" t="s">
        <v>3475</v>
      </c>
      <c r="L2423" s="5" t="s">
        <v>69</v>
      </c>
      <c r="M2423" s="5" t="s">
        <v>69</v>
      </c>
      <c r="N2423" s="1" t="s">
        <v>3468</v>
      </c>
      <c r="O2423" s="1" t="s">
        <v>46</v>
      </c>
      <c r="P2423" s="1" t="s">
        <v>46</v>
      </c>
      <c r="Q2423" s="1" t="s">
        <v>46</v>
      </c>
      <c r="R2423" s="5" t="s">
        <v>46</v>
      </c>
      <c r="S2423" s="1" t="s">
        <v>46</v>
      </c>
      <c r="T2423" s="1" t="s">
        <v>46</v>
      </c>
      <c r="U2423" s="1" t="s">
        <v>46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5" t="s">
        <v>3609</v>
      </c>
      <c r="C2424" s="1" t="s">
        <v>3610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3477</v>
      </c>
      <c r="I2424" s="1" t="s">
        <v>3478</v>
      </c>
      <c r="J2424" s="1" t="s">
        <v>52</v>
      </c>
      <c r="K2424" s="2" t="s">
        <v>3477</v>
      </c>
      <c r="L2424" s="5" t="s">
        <v>69</v>
      </c>
      <c r="M2424" s="5" t="s">
        <v>69</v>
      </c>
      <c r="N2424" s="1" t="s">
        <v>3468</v>
      </c>
      <c r="O2424" s="1" t="s">
        <v>46</v>
      </c>
      <c r="P2424" s="1" t="s">
        <v>46</v>
      </c>
      <c r="Q2424" s="1" t="s">
        <v>46</v>
      </c>
      <c r="R2424" s="5" t="s">
        <v>46</v>
      </c>
      <c r="S2424" s="1" t="s">
        <v>46</v>
      </c>
      <c r="T2424" s="1" t="s">
        <v>46</v>
      </c>
      <c r="U2424" s="1" t="s">
        <v>46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5" t="s">
        <v>3609</v>
      </c>
      <c r="C2425" s="1" t="s">
        <v>3610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3479</v>
      </c>
      <c r="I2425" s="1" t="s">
        <v>3480</v>
      </c>
      <c r="J2425" s="1" t="s">
        <v>52</v>
      </c>
      <c r="K2425" s="2" t="s">
        <v>3479</v>
      </c>
      <c r="L2425" s="5" t="s">
        <v>69</v>
      </c>
      <c r="M2425" s="5" t="s">
        <v>69</v>
      </c>
      <c r="N2425" s="1" t="s">
        <v>3468</v>
      </c>
      <c r="O2425" s="1" t="s">
        <v>46</v>
      </c>
      <c r="P2425" s="1" t="s">
        <v>46</v>
      </c>
      <c r="Q2425" s="1" t="s">
        <v>46</v>
      </c>
      <c r="R2425" s="5" t="s">
        <v>46</v>
      </c>
      <c r="S2425" s="1" t="s">
        <v>46</v>
      </c>
      <c r="T2425" s="1" t="s">
        <v>46</v>
      </c>
      <c r="U2425" s="1" t="s">
        <v>46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5" t="s">
        <v>3609</v>
      </c>
      <c r="C2426" s="1" t="s">
        <v>3610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3481</v>
      </c>
      <c r="I2426" s="1" t="s">
        <v>3482</v>
      </c>
      <c r="J2426" s="1" t="s">
        <v>52</v>
      </c>
      <c r="K2426" s="2" t="s">
        <v>3481</v>
      </c>
      <c r="L2426" s="5" t="s">
        <v>69</v>
      </c>
      <c r="M2426" s="5" t="s">
        <v>69</v>
      </c>
      <c r="N2426" s="1" t="s">
        <v>3468</v>
      </c>
      <c r="O2426" s="1" t="s">
        <v>46</v>
      </c>
      <c r="P2426" s="1" t="s">
        <v>46</v>
      </c>
      <c r="Q2426" s="1" t="s">
        <v>46</v>
      </c>
      <c r="R2426" s="5" t="s">
        <v>46</v>
      </c>
      <c r="S2426" s="1" t="s">
        <v>46</v>
      </c>
      <c r="T2426" s="1" t="s">
        <v>46</v>
      </c>
      <c r="U2426" s="1" t="s">
        <v>46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5" t="s">
        <v>3609</v>
      </c>
      <c r="C2427" s="1" t="s">
        <v>3610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3483</v>
      </c>
      <c r="I2427" s="1" t="s">
        <v>3484</v>
      </c>
      <c r="J2427" s="1" t="s">
        <v>52</v>
      </c>
      <c r="K2427" s="2" t="s">
        <v>3483</v>
      </c>
      <c r="L2427" s="5" t="s">
        <v>69</v>
      </c>
      <c r="M2427" s="5" t="s">
        <v>69</v>
      </c>
      <c r="N2427" s="1" t="s">
        <v>3468</v>
      </c>
      <c r="O2427" s="1" t="s">
        <v>46</v>
      </c>
      <c r="P2427" s="1" t="s">
        <v>46</v>
      </c>
      <c r="Q2427" s="1" t="s">
        <v>46</v>
      </c>
      <c r="R2427" s="5" t="s">
        <v>46</v>
      </c>
      <c r="S2427" s="1" t="s">
        <v>46</v>
      </c>
      <c r="T2427" s="1" t="s">
        <v>46</v>
      </c>
      <c r="U2427" s="1" t="s">
        <v>46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5" t="s">
        <v>3609</v>
      </c>
      <c r="C2428" s="1" t="s">
        <v>3610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3485</v>
      </c>
      <c r="I2428" s="1" t="s">
        <v>3486</v>
      </c>
      <c r="J2428" s="1" t="s">
        <v>52</v>
      </c>
      <c r="K2428" s="2" t="s">
        <v>3485</v>
      </c>
      <c r="L2428" s="5" t="s">
        <v>69</v>
      </c>
      <c r="M2428" s="5" t="s">
        <v>69</v>
      </c>
      <c r="N2428" s="1" t="s">
        <v>3468</v>
      </c>
      <c r="O2428" s="1" t="s">
        <v>46</v>
      </c>
      <c r="P2428" s="1" t="s">
        <v>46</v>
      </c>
      <c r="Q2428" s="1" t="s">
        <v>46</v>
      </c>
      <c r="R2428" s="5" t="s">
        <v>46</v>
      </c>
      <c r="S2428" s="1" t="s">
        <v>46</v>
      </c>
      <c r="T2428" s="1" t="s">
        <v>46</v>
      </c>
      <c r="U2428" s="1" t="s">
        <v>46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5" t="s">
        <v>3609</v>
      </c>
      <c r="C2429" s="1" t="s">
        <v>3610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3487</v>
      </c>
      <c r="I2429" s="1" t="s">
        <v>3488</v>
      </c>
      <c r="J2429" s="1" t="s">
        <v>52</v>
      </c>
      <c r="K2429" s="2" t="s">
        <v>3487</v>
      </c>
      <c r="L2429" s="5" t="s">
        <v>69</v>
      </c>
      <c r="M2429" s="5" t="s">
        <v>69</v>
      </c>
      <c r="N2429" s="1" t="s">
        <v>3468</v>
      </c>
      <c r="O2429" s="1" t="s">
        <v>46</v>
      </c>
      <c r="P2429" s="1" t="s">
        <v>46</v>
      </c>
      <c r="Q2429" s="1" t="s">
        <v>46</v>
      </c>
      <c r="R2429" s="5" t="s">
        <v>46</v>
      </c>
      <c r="S2429" s="1" t="s">
        <v>46</v>
      </c>
      <c r="T2429" s="1" t="s">
        <v>46</v>
      </c>
      <c r="U2429" s="1" t="s">
        <v>46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5" t="s">
        <v>3609</v>
      </c>
      <c r="C2430" s="1" t="s">
        <v>3610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3489</v>
      </c>
      <c r="I2430" s="1" t="s">
        <v>3490</v>
      </c>
      <c r="J2430" s="1" t="s">
        <v>52</v>
      </c>
      <c r="K2430" s="2" t="s">
        <v>3489</v>
      </c>
      <c r="L2430" s="5" t="s">
        <v>69</v>
      </c>
      <c r="M2430" s="5" t="s">
        <v>69</v>
      </c>
      <c r="N2430" s="1" t="s">
        <v>3468</v>
      </c>
      <c r="O2430" s="1" t="s">
        <v>46</v>
      </c>
      <c r="P2430" s="1" t="s">
        <v>46</v>
      </c>
      <c r="Q2430" s="1" t="s">
        <v>46</v>
      </c>
      <c r="R2430" s="5" t="s">
        <v>46</v>
      </c>
      <c r="S2430" s="1" t="s">
        <v>46</v>
      </c>
      <c r="T2430" s="1" t="s">
        <v>46</v>
      </c>
      <c r="U2430" s="1" t="s">
        <v>46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5" t="s">
        <v>3609</v>
      </c>
      <c r="C2431" s="1" t="s">
        <v>3610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3491</v>
      </c>
      <c r="I2431" s="1" t="s">
        <v>3492</v>
      </c>
      <c r="J2431" s="1" t="s">
        <v>52</v>
      </c>
      <c r="K2431" s="2" t="s">
        <v>3491</v>
      </c>
      <c r="L2431" s="5" t="s">
        <v>69</v>
      </c>
      <c r="M2431" s="5" t="s">
        <v>69</v>
      </c>
      <c r="N2431" s="1" t="s">
        <v>3468</v>
      </c>
      <c r="O2431" s="1" t="s">
        <v>46</v>
      </c>
      <c r="P2431" s="1" t="s">
        <v>46</v>
      </c>
      <c r="Q2431" s="1" t="s">
        <v>46</v>
      </c>
      <c r="R2431" s="5" t="s">
        <v>46</v>
      </c>
      <c r="S2431" s="1" t="s">
        <v>46</v>
      </c>
      <c r="T2431" s="1" t="s">
        <v>46</v>
      </c>
      <c r="U2431" s="1" t="s">
        <v>46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5" t="s">
        <v>3609</v>
      </c>
      <c r="C2432" s="1" t="s">
        <v>3610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3493</v>
      </c>
      <c r="I2432" s="1" t="s">
        <v>3494</v>
      </c>
      <c r="J2432" s="1" t="s">
        <v>52</v>
      </c>
      <c r="K2432" s="2" t="s">
        <v>3493</v>
      </c>
      <c r="L2432" s="5" t="s">
        <v>69</v>
      </c>
      <c r="M2432" s="5" t="s">
        <v>69</v>
      </c>
      <c r="N2432" s="1" t="s">
        <v>3468</v>
      </c>
      <c r="O2432" s="1" t="s">
        <v>46</v>
      </c>
      <c r="P2432" s="1" t="s">
        <v>46</v>
      </c>
      <c r="Q2432" s="1" t="s">
        <v>46</v>
      </c>
      <c r="R2432" s="5" t="s">
        <v>46</v>
      </c>
      <c r="S2432" s="1" t="s">
        <v>46</v>
      </c>
      <c r="T2432" s="1" t="s">
        <v>46</v>
      </c>
      <c r="U2432" s="1" t="s">
        <v>46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5" t="s">
        <v>3609</v>
      </c>
      <c r="C2433" s="1" t="s">
        <v>3610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3495</v>
      </c>
      <c r="I2433" s="1" t="s">
        <v>3496</v>
      </c>
      <c r="J2433" s="1" t="s">
        <v>52</v>
      </c>
      <c r="K2433" s="2" t="s">
        <v>3495</v>
      </c>
      <c r="L2433" s="5" t="s">
        <v>69</v>
      </c>
      <c r="M2433" s="5" t="s">
        <v>69</v>
      </c>
      <c r="N2433" s="1" t="s">
        <v>3468</v>
      </c>
      <c r="O2433" s="1" t="s">
        <v>46</v>
      </c>
      <c r="P2433" s="1" t="s">
        <v>46</v>
      </c>
      <c r="Q2433" s="1" t="s">
        <v>46</v>
      </c>
      <c r="R2433" s="5" t="s">
        <v>46</v>
      </c>
      <c r="S2433" s="1" t="s">
        <v>46</v>
      </c>
      <c r="T2433" s="1" t="s">
        <v>46</v>
      </c>
      <c r="U2433" s="1" t="s">
        <v>46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5" t="s">
        <v>3666</v>
      </c>
      <c r="C2434" s="1" t="s">
        <v>3667</v>
      </c>
      <c r="D2434" s="1" t="s">
        <v>14</v>
      </c>
      <c r="E2434" s="1" t="s">
        <v>3668</v>
      </c>
      <c r="F2434" s="1" t="s">
        <v>3380</v>
      </c>
      <c r="G2434" s="1" t="s">
        <v>3668</v>
      </c>
      <c r="H2434" s="2" t="s">
        <v>3394</v>
      </c>
      <c r="I2434" s="1" t="s">
        <v>3669</v>
      </c>
      <c r="J2434" s="1" t="s">
        <v>52</v>
      </c>
      <c r="K2434" s="2" t="s">
        <v>3394</v>
      </c>
      <c r="L2434" s="36" t="s">
        <v>69</v>
      </c>
      <c r="M2434" s="1" t="s">
        <v>69</v>
      </c>
      <c r="N2434" s="1" t="s">
        <v>3383</v>
      </c>
      <c r="O2434" s="1" t="s">
        <v>3396</v>
      </c>
      <c r="P2434" s="1" t="s">
        <v>3385</v>
      </c>
      <c r="Q2434" s="1" t="s">
        <v>3385</v>
      </c>
      <c r="R2434" s="1" t="s">
        <v>46</v>
      </c>
      <c r="S2434" s="1" t="s">
        <v>69</v>
      </c>
      <c r="T2434" s="1" t="s">
        <v>69</v>
      </c>
      <c r="U2434" s="1" t="s">
        <v>46</v>
      </c>
      <c r="V2434" s="1" t="n">
        <v>1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5" t="s">
        <v>3666</v>
      </c>
      <c r="C2435" s="1" t="s">
        <v>3667</v>
      </c>
      <c r="D2435" s="1" t="s">
        <v>14</v>
      </c>
      <c r="E2435" s="1" t="s">
        <v>3668</v>
      </c>
      <c r="F2435" s="1" t="s">
        <v>3380</v>
      </c>
      <c r="G2435" s="1" t="s">
        <v>3668</v>
      </c>
      <c r="H2435" s="2" t="s">
        <v>3397</v>
      </c>
      <c r="I2435" s="1" t="s">
        <v>3670</v>
      </c>
      <c r="J2435" s="1" t="s">
        <v>52</v>
      </c>
      <c r="K2435" s="2" t="s">
        <v>3397</v>
      </c>
      <c r="L2435" s="36" t="s">
        <v>69</v>
      </c>
      <c r="M2435" s="1" t="s">
        <v>69</v>
      </c>
      <c r="N2435" s="1" t="s">
        <v>3383</v>
      </c>
      <c r="O2435" s="1" t="s">
        <v>3396</v>
      </c>
      <c r="P2435" s="1" t="s">
        <v>3385</v>
      </c>
      <c r="Q2435" s="1" t="s">
        <v>3385</v>
      </c>
      <c r="R2435" s="1" t="s">
        <v>46</v>
      </c>
      <c r="S2435" s="1" t="s">
        <v>69</v>
      </c>
      <c r="T2435" s="1" t="s">
        <v>69</v>
      </c>
      <c r="U2435" s="1" t="s">
        <v>46</v>
      </c>
      <c r="V2435" s="1" t="n">
        <v>2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5" t="s">
        <v>3666</v>
      </c>
      <c r="C2436" s="1" t="s">
        <v>3667</v>
      </c>
      <c r="D2436" s="1" t="s">
        <v>14</v>
      </c>
      <c r="E2436" s="1" t="s">
        <v>3668</v>
      </c>
      <c r="F2436" s="1" t="s">
        <v>3380</v>
      </c>
      <c r="G2436" s="1" t="s">
        <v>3668</v>
      </c>
      <c r="H2436" s="2" t="s">
        <v>3399</v>
      </c>
      <c r="I2436" s="1" t="s">
        <v>3671</v>
      </c>
      <c r="J2436" s="1" t="s">
        <v>52</v>
      </c>
      <c r="K2436" s="2" t="s">
        <v>3399</v>
      </c>
      <c r="L2436" s="36" t="s">
        <v>69</v>
      </c>
      <c r="M2436" s="1" t="s">
        <v>69</v>
      </c>
      <c r="N2436" s="1" t="s">
        <v>3383</v>
      </c>
      <c r="O2436" s="1" t="s">
        <v>3396</v>
      </c>
      <c r="P2436" s="1" t="s">
        <v>3385</v>
      </c>
      <c r="Q2436" s="1" t="s">
        <v>3385</v>
      </c>
      <c r="R2436" s="1" t="s">
        <v>46</v>
      </c>
      <c r="S2436" s="1" t="s">
        <v>69</v>
      </c>
      <c r="T2436" s="1" t="s">
        <v>69</v>
      </c>
      <c r="U2436" s="1" t="s">
        <v>46</v>
      </c>
      <c r="V2436" s="1" t="n">
        <v>3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5" t="s">
        <v>3666</v>
      </c>
      <c r="C2437" s="1" t="s">
        <v>3667</v>
      </c>
      <c r="D2437" s="1" t="s">
        <v>14</v>
      </c>
      <c r="E2437" s="1" t="s">
        <v>3668</v>
      </c>
      <c r="F2437" s="1" t="s">
        <v>3380</v>
      </c>
      <c r="G2437" s="1" t="s">
        <v>3668</v>
      </c>
      <c r="H2437" s="2" t="s">
        <v>3401</v>
      </c>
      <c r="I2437" s="1" t="s">
        <v>3672</v>
      </c>
      <c r="J2437" s="1" t="s">
        <v>52</v>
      </c>
      <c r="K2437" s="2" t="s">
        <v>3401</v>
      </c>
      <c r="L2437" s="36" t="s">
        <v>69</v>
      </c>
      <c r="M2437" s="1" t="s">
        <v>69</v>
      </c>
      <c r="N2437" s="1" t="s">
        <v>3383</v>
      </c>
      <c r="O2437" s="1" t="s">
        <v>3396</v>
      </c>
      <c r="P2437" s="1" t="s">
        <v>3385</v>
      </c>
      <c r="Q2437" s="1" t="s">
        <v>3385</v>
      </c>
      <c r="R2437" s="1" t="s">
        <v>46</v>
      </c>
      <c r="S2437" s="1" t="s">
        <v>69</v>
      </c>
      <c r="T2437" s="1" t="s">
        <v>69</v>
      </c>
      <c r="U2437" s="1" t="s">
        <v>46</v>
      </c>
      <c r="V2437" s="1" t="n">
        <v>4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5" t="s">
        <v>3666</v>
      </c>
      <c r="C2438" s="1" t="s">
        <v>3667</v>
      </c>
      <c r="D2438" s="1" t="s">
        <v>14</v>
      </c>
      <c r="E2438" s="1" t="s">
        <v>3668</v>
      </c>
      <c r="F2438" s="1" t="s">
        <v>3380</v>
      </c>
      <c r="G2438" s="1" t="s">
        <v>3668</v>
      </c>
      <c r="H2438" s="2" t="s">
        <v>3403</v>
      </c>
      <c r="I2438" s="1" t="s">
        <v>3673</v>
      </c>
      <c r="J2438" s="1" t="s">
        <v>52</v>
      </c>
      <c r="K2438" s="2" t="s">
        <v>3403</v>
      </c>
      <c r="L2438" s="36" t="s">
        <v>69</v>
      </c>
      <c r="M2438" s="1" t="s">
        <v>69</v>
      </c>
      <c r="N2438" s="1" t="s">
        <v>3383</v>
      </c>
      <c r="O2438" s="1" t="s">
        <v>3396</v>
      </c>
      <c r="P2438" s="1" t="s">
        <v>3385</v>
      </c>
      <c r="Q2438" s="1" t="s">
        <v>3385</v>
      </c>
      <c r="R2438" s="1" t="s">
        <v>46</v>
      </c>
      <c r="S2438" s="1" t="s">
        <v>69</v>
      </c>
      <c r="T2438" s="1" t="s">
        <v>69</v>
      </c>
      <c r="U2438" s="1" t="s">
        <v>46</v>
      </c>
      <c r="V2438" s="1" t="n">
        <v>5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5" t="s">
        <v>3666</v>
      </c>
      <c r="C2439" s="1" t="s">
        <v>3667</v>
      </c>
      <c r="D2439" s="1" t="s">
        <v>14</v>
      </c>
      <c r="E2439" s="1" t="s">
        <v>3668</v>
      </c>
      <c r="F2439" s="1" t="s">
        <v>3380</v>
      </c>
      <c r="G2439" s="1" t="s">
        <v>3668</v>
      </c>
      <c r="H2439" s="2" t="s">
        <v>3405</v>
      </c>
      <c r="I2439" s="1" t="s">
        <v>3674</v>
      </c>
      <c r="J2439" s="1" t="s">
        <v>52</v>
      </c>
      <c r="K2439" s="2" t="s">
        <v>3405</v>
      </c>
      <c r="L2439" s="36" t="s">
        <v>69</v>
      </c>
      <c r="M2439" s="1" t="s">
        <v>69</v>
      </c>
      <c r="N2439" s="1" t="s">
        <v>3383</v>
      </c>
      <c r="O2439" s="1" t="s">
        <v>3407</v>
      </c>
      <c r="P2439" s="1" t="s">
        <v>3385</v>
      </c>
      <c r="Q2439" s="1" t="s">
        <v>3385</v>
      </c>
      <c r="R2439" s="1" t="s">
        <v>46</v>
      </c>
      <c r="S2439" s="1" t="s">
        <v>69</v>
      </c>
      <c r="T2439" s="1" t="s">
        <v>69</v>
      </c>
      <c r="U2439" s="1" t="s">
        <v>46</v>
      </c>
      <c r="V2439" s="1" t="n">
        <v>1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5" t="s">
        <v>3666</v>
      </c>
      <c r="C2440" s="1" t="s">
        <v>3667</v>
      </c>
      <c r="D2440" s="1" t="s">
        <v>14</v>
      </c>
      <c r="E2440" s="1" t="s">
        <v>3668</v>
      </c>
      <c r="F2440" s="1" t="s">
        <v>3380</v>
      </c>
      <c r="G2440" s="1" t="s">
        <v>3668</v>
      </c>
      <c r="H2440" s="2" t="s">
        <v>3408</v>
      </c>
      <c r="I2440" s="1" t="s">
        <v>3675</v>
      </c>
      <c r="J2440" s="1" t="s">
        <v>52</v>
      </c>
      <c r="K2440" s="2" t="s">
        <v>3408</v>
      </c>
      <c r="L2440" s="36" t="s">
        <v>69</v>
      </c>
      <c r="M2440" s="1" t="s">
        <v>69</v>
      </c>
      <c r="N2440" s="1" t="s">
        <v>3383</v>
      </c>
      <c r="O2440" s="1" t="s">
        <v>3407</v>
      </c>
      <c r="P2440" s="1" t="s">
        <v>3385</v>
      </c>
      <c r="Q2440" s="1" t="s">
        <v>3385</v>
      </c>
      <c r="R2440" s="1" t="s">
        <v>46</v>
      </c>
      <c r="S2440" s="1" t="s">
        <v>69</v>
      </c>
      <c r="T2440" s="1" t="s">
        <v>69</v>
      </c>
      <c r="U2440" s="1" t="s">
        <v>46</v>
      </c>
      <c r="V2440" s="1" t="n">
        <v>2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5" t="s">
        <v>3666</v>
      </c>
      <c r="C2441" s="1" t="s">
        <v>3667</v>
      </c>
      <c r="D2441" s="1" t="s">
        <v>14</v>
      </c>
      <c r="E2441" s="1" t="s">
        <v>3668</v>
      </c>
      <c r="F2441" s="1" t="s">
        <v>3380</v>
      </c>
      <c r="G2441" s="1" t="s">
        <v>3668</v>
      </c>
      <c r="H2441" s="2" t="s">
        <v>3410</v>
      </c>
      <c r="I2441" s="1" t="s">
        <v>3676</v>
      </c>
      <c r="J2441" s="1" t="s">
        <v>52</v>
      </c>
      <c r="K2441" s="2" t="s">
        <v>3410</v>
      </c>
      <c r="L2441" s="36" t="s">
        <v>69</v>
      </c>
      <c r="M2441" s="1" t="s">
        <v>69</v>
      </c>
      <c r="N2441" s="1" t="s">
        <v>3383</v>
      </c>
      <c r="O2441" s="1" t="s">
        <v>3407</v>
      </c>
      <c r="P2441" s="1" t="s">
        <v>3385</v>
      </c>
      <c r="Q2441" s="1" t="s">
        <v>3385</v>
      </c>
      <c r="R2441" s="1" t="s">
        <v>46</v>
      </c>
      <c r="S2441" s="1" t="s">
        <v>69</v>
      </c>
      <c r="T2441" s="1" t="s">
        <v>69</v>
      </c>
      <c r="U2441" s="1" t="s">
        <v>46</v>
      </c>
      <c r="V2441" s="1" t="n">
        <v>3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5" t="s">
        <v>3666</v>
      </c>
      <c r="C2442" s="1" t="s">
        <v>3667</v>
      </c>
      <c r="D2442" s="1" t="s">
        <v>14</v>
      </c>
      <c r="E2442" s="1" t="s">
        <v>3668</v>
      </c>
      <c r="F2442" s="1" t="s">
        <v>3380</v>
      </c>
      <c r="G2442" s="1" t="s">
        <v>3668</v>
      </c>
      <c r="H2442" s="2" t="s">
        <v>3412</v>
      </c>
      <c r="I2442" s="1" t="s">
        <v>3677</v>
      </c>
      <c r="J2442" s="1" t="s">
        <v>52</v>
      </c>
      <c r="K2442" s="2" t="s">
        <v>3412</v>
      </c>
      <c r="L2442" s="36" t="s">
        <v>69</v>
      </c>
      <c r="M2442" s="1" t="s">
        <v>69</v>
      </c>
      <c r="N2442" s="1" t="s">
        <v>3383</v>
      </c>
      <c r="O2442" s="1" t="s">
        <v>3407</v>
      </c>
      <c r="P2442" s="1" t="s">
        <v>3385</v>
      </c>
      <c r="Q2442" s="1" t="s">
        <v>3385</v>
      </c>
      <c r="R2442" s="1" t="s">
        <v>46</v>
      </c>
      <c r="S2442" s="1" t="s">
        <v>69</v>
      </c>
      <c r="T2442" s="1" t="s">
        <v>69</v>
      </c>
      <c r="U2442" s="1" t="s">
        <v>46</v>
      </c>
      <c r="V2442" s="1" t="n">
        <v>4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5" t="s">
        <v>3666</v>
      </c>
      <c r="C2443" s="1" t="s">
        <v>3667</v>
      </c>
      <c r="D2443" s="1" t="s">
        <v>14</v>
      </c>
      <c r="E2443" s="1" t="s">
        <v>3668</v>
      </c>
      <c r="F2443" s="1" t="s">
        <v>3380</v>
      </c>
      <c r="G2443" s="1" t="s">
        <v>3668</v>
      </c>
      <c r="H2443" s="2" t="s">
        <v>3414</v>
      </c>
      <c r="I2443" s="1" t="s">
        <v>3678</v>
      </c>
      <c r="J2443" s="1" t="s">
        <v>52</v>
      </c>
      <c r="K2443" s="2" t="s">
        <v>3414</v>
      </c>
      <c r="L2443" s="36" t="s">
        <v>69</v>
      </c>
      <c r="M2443" s="1" t="s">
        <v>69</v>
      </c>
      <c r="N2443" s="1" t="s">
        <v>3383</v>
      </c>
      <c r="O2443" s="1" t="s">
        <v>3416</v>
      </c>
      <c r="P2443" s="1" t="s">
        <v>3385</v>
      </c>
      <c r="Q2443" s="1" t="s">
        <v>3385</v>
      </c>
      <c r="R2443" s="1" t="s">
        <v>46</v>
      </c>
      <c r="S2443" s="1" t="s">
        <v>69</v>
      </c>
      <c r="T2443" s="1" t="s">
        <v>69</v>
      </c>
      <c r="U2443" s="1" t="s">
        <v>46</v>
      </c>
      <c r="V2443" s="1" t="n">
        <v>1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5" t="s">
        <v>3666</v>
      </c>
      <c r="C2444" s="1" t="s">
        <v>3667</v>
      </c>
      <c r="D2444" s="1" t="s">
        <v>14</v>
      </c>
      <c r="E2444" s="1" t="s">
        <v>3668</v>
      </c>
      <c r="F2444" s="1" t="s">
        <v>3380</v>
      </c>
      <c r="G2444" s="1" t="s">
        <v>3668</v>
      </c>
      <c r="H2444" s="2" t="s">
        <v>3417</v>
      </c>
      <c r="I2444" s="1" t="s">
        <v>3679</v>
      </c>
      <c r="J2444" s="1" t="s">
        <v>52</v>
      </c>
      <c r="K2444" s="2" t="s">
        <v>3417</v>
      </c>
      <c r="L2444" s="36" t="s">
        <v>69</v>
      </c>
      <c r="M2444" s="1" t="s">
        <v>69</v>
      </c>
      <c r="N2444" s="1" t="s">
        <v>3383</v>
      </c>
      <c r="O2444" s="1" t="s">
        <v>3416</v>
      </c>
      <c r="P2444" s="1" t="s">
        <v>3385</v>
      </c>
      <c r="Q2444" s="1" t="s">
        <v>3385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2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5" t="s">
        <v>3666</v>
      </c>
      <c r="C2445" s="1" t="s">
        <v>3667</v>
      </c>
      <c r="D2445" s="1" t="s">
        <v>14</v>
      </c>
      <c r="E2445" s="1" t="s">
        <v>3668</v>
      </c>
      <c r="F2445" s="1" t="s">
        <v>3380</v>
      </c>
      <c r="G2445" s="1" t="s">
        <v>3668</v>
      </c>
      <c r="H2445" s="2" t="s">
        <v>3419</v>
      </c>
      <c r="I2445" s="1" t="s">
        <v>3680</v>
      </c>
      <c r="J2445" s="1" t="s">
        <v>52</v>
      </c>
      <c r="K2445" s="2" t="s">
        <v>3419</v>
      </c>
      <c r="L2445" s="36" t="s">
        <v>69</v>
      </c>
      <c r="M2445" s="1" t="s">
        <v>69</v>
      </c>
      <c r="N2445" s="1" t="s">
        <v>3383</v>
      </c>
      <c r="O2445" s="1" t="s">
        <v>3416</v>
      </c>
      <c r="P2445" s="1" t="s">
        <v>3385</v>
      </c>
      <c r="Q2445" s="1" t="s">
        <v>3385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3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5" t="s">
        <v>3666</v>
      </c>
      <c r="C2446" s="1" t="s">
        <v>3667</v>
      </c>
      <c r="D2446" s="1" t="s">
        <v>14</v>
      </c>
      <c r="E2446" s="1" t="s">
        <v>3668</v>
      </c>
      <c r="F2446" s="1" t="s">
        <v>3380</v>
      </c>
      <c r="G2446" s="1" t="s">
        <v>3668</v>
      </c>
      <c r="H2446" s="2" t="s">
        <v>3421</v>
      </c>
      <c r="I2446" s="1" t="s">
        <v>3681</v>
      </c>
      <c r="J2446" s="1" t="s">
        <v>52</v>
      </c>
      <c r="K2446" s="2" t="s">
        <v>3421</v>
      </c>
      <c r="L2446" s="36" t="s">
        <v>69</v>
      </c>
      <c r="M2446" s="1" t="s">
        <v>69</v>
      </c>
      <c r="N2446" s="1" t="s">
        <v>3383</v>
      </c>
      <c r="O2446" s="1" t="s">
        <v>3416</v>
      </c>
      <c r="P2446" s="1" t="s">
        <v>3385</v>
      </c>
      <c r="Q2446" s="1" t="s">
        <v>3385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4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5" t="s">
        <v>3666</v>
      </c>
      <c r="C2447" s="1" t="s">
        <v>3667</v>
      </c>
      <c r="D2447" s="1" t="s">
        <v>14</v>
      </c>
      <c r="E2447" s="1" t="s">
        <v>3668</v>
      </c>
      <c r="F2447" s="1" t="s">
        <v>3380</v>
      </c>
      <c r="G2447" s="1" t="s">
        <v>3668</v>
      </c>
      <c r="H2447" s="2" t="s">
        <v>3423</v>
      </c>
      <c r="I2447" s="1" t="s">
        <v>3682</v>
      </c>
      <c r="J2447" s="1" t="s">
        <v>52</v>
      </c>
      <c r="K2447" s="2" t="s">
        <v>3423</v>
      </c>
      <c r="L2447" s="36" t="s">
        <v>69</v>
      </c>
      <c r="M2447" s="1" t="s">
        <v>69</v>
      </c>
      <c r="N2447" s="1" t="s">
        <v>3383</v>
      </c>
      <c r="O2447" s="1" t="s">
        <v>3416</v>
      </c>
      <c r="P2447" s="1" t="s">
        <v>3385</v>
      </c>
      <c r="Q2447" s="1" t="s">
        <v>3385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5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5" t="s">
        <v>3666</v>
      </c>
      <c r="C2448" s="1" t="s">
        <v>3667</v>
      </c>
      <c r="D2448" s="1" t="s">
        <v>14</v>
      </c>
      <c r="E2448" s="1" t="s">
        <v>3668</v>
      </c>
      <c r="F2448" s="1" t="s">
        <v>3380</v>
      </c>
      <c r="G2448" s="1" t="s">
        <v>3668</v>
      </c>
      <c r="H2448" s="2" t="s">
        <v>3425</v>
      </c>
      <c r="I2448" s="1" t="s">
        <v>3683</v>
      </c>
      <c r="J2448" s="1" t="s">
        <v>52</v>
      </c>
      <c r="K2448" s="1" t="s">
        <v>3425</v>
      </c>
      <c r="L2448" s="36" t="s">
        <v>69</v>
      </c>
      <c r="M2448" s="1" t="s">
        <v>69</v>
      </c>
      <c r="N2448" s="1" t="s">
        <v>3383</v>
      </c>
      <c r="O2448" s="1" t="s">
        <v>3427</v>
      </c>
      <c r="P2448" s="1" t="s">
        <v>3385</v>
      </c>
      <c r="Q2448" s="1" t="s">
        <v>3385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1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5" t="s">
        <v>3666</v>
      </c>
      <c r="C2449" s="1" t="s">
        <v>3667</v>
      </c>
      <c r="D2449" s="1" t="s">
        <v>14</v>
      </c>
      <c r="E2449" s="1" t="s">
        <v>3668</v>
      </c>
      <c r="F2449" s="1" t="s">
        <v>3380</v>
      </c>
      <c r="G2449" s="1" t="s">
        <v>3668</v>
      </c>
      <c r="H2449" s="2" t="s">
        <v>3428</v>
      </c>
      <c r="I2449" s="1" t="s">
        <v>3684</v>
      </c>
      <c r="J2449" s="1" t="s">
        <v>52</v>
      </c>
      <c r="K2449" s="1" t="s">
        <v>3428</v>
      </c>
      <c r="L2449" s="36" t="s">
        <v>69</v>
      </c>
      <c r="M2449" s="1" t="s">
        <v>69</v>
      </c>
      <c r="N2449" s="1" t="s">
        <v>3383</v>
      </c>
      <c r="O2449" s="1" t="s">
        <v>3427</v>
      </c>
      <c r="P2449" s="1" t="s">
        <v>3385</v>
      </c>
      <c r="Q2449" s="1" t="s">
        <v>3385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2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5" t="s">
        <v>3666</v>
      </c>
      <c r="C2450" s="1" t="s">
        <v>3667</v>
      </c>
      <c r="D2450" s="1" t="s">
        <v>14</v>
      </c>
      <c r="E2450" s="1" t="s">
        <v>3668</v>
      </c>
      <c r="F2450" s="1" t="s">
        <v>3380</v>
      </c>
      <c r="G2450" s="1" t="s">
        <v>3668</v>
      </c>
      <c r="H2450" s="2" t="s">
        <v>3430</v>
      </c>
      <c r="I2450" s="1" t="s">
        <v>3685</v>
      </c>
      <c r="J2450" s="1" t="s">
        <v>52</v>
      </c>
      <c r="K2450" s="1" t="s">
        <v>3430</v>
      </c>
      <c r="L2450" s="36" t="s">
        <v>69</v>
      </c>
      <c r="M2450" s="1" t="s">
        <v>69</v>
      </c>
      <c r="N2450" s="1" t="s">
        <v>3383</v>
      </c>
      <c r="O2450" s="1" t="s">
        <v>3427</v>
      </c>
      <c r="P2450" s="1" t="s">
        <v>3385</v>
      </c>
      <c r="Q2450" s="1" t="s">
        <v>3385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3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5" t="s">
        <v>3666</v>
      </c>
      <c r="C2451" s="1" t="s">
        <v>3667</v>
      </c>
      <c r="D2451" s="1" t="s">
        <v>14</v>
      </c>
      <c r="E2451" s="1" t="s">
        <v>3668</v>
      </c>
      <c r="F2451" s="1" t="s">
        <v>3380</v>
      </c>
      <c r="G2451" s="1" t="s">
        <v>3668</v>
      </c>
      <c r="H2451" s="2" t="s">
        <v>3432</v>
      </c>
      <c r="I2451" s="1" t="s">
        <v>3686</v>
      </c>
      <c r="J2451" s="1" t="s">
        <v>52</v>
      </c>
      <c r="K2451" s="1" t="s">
        <v>3432</v>
      </c>
      <c r="L2451" s="36" t="s">
        <v>69</v>
      </c>
      <c r="M2451" s="1" t="s">
        <v>69</v>
      </c>
      <c r="N2451" s="1" t="s">
        <v>3383</v>
      </c>
      <c r="O2451" s="1" t="s">
        <v>3427</v>
      </c>
      <c r="P2451" s="1" t="s">
        <v>3385</v>
      </c>
      <c r="Q2451" s="1" t="s">
        <v>3385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4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5" t="s">
        <v>3666</v>
      </c>
      <c r="C2452" s="1" t="s">
        <v>3667</v>
      </c>
      <c r="D2452" s="1" t="s">
        <v>14</v>
      </c>
      <c r="E2452" s="1" t="s">
        <v>3668</v>
      </c>
      <c r="F2452" s="1" t="s">
        <v>3380</v>
      </c>
      <c r="G2452" s="1" t="s">
        <v>3668</v>
      </c>
      <c r="H2452" s="2" t="s">
        <v>3434</v>
      </c>
      <c r="I2452" s="1" t="s">
        <v>3687</v>
      </c>
      <c r="J2452" s="1" t="s">
        <v>52</v>
      </c>
      <c r="K2452" s="1" t="s">
        <v>3434</v>
      </c>
      <c r="L2452" s="36" t="s">
        <v>69</v>
      </c>
      <c r="M2452" s="1" t="s">
        <v>69</v>
      </c>
      <c r="N2452" s="1" t="s">
        <v>3383</v>
      </c>
      <c r="O2452" s="1" t="s">
        <v>3427</v>
      </c>
      <c r="P2452" s="1" t="s">
        <v>3385</v>
      </c>
      <c r="Q2452" s="1" t="s">
        <v>3385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5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5" t="s">
        <v>3666</v>
      </c>
      <c r="C2453" s="1" t="s">
        <v>3667</v>
      </c>
      <c r="D2453" s="1" t="s">
        <v>14</v>
      </c>
      <c r="E2453" s="1" t="s">
        <v>3668</v>
      </c>
      <c r="F2453" s="1" t="s">
        <v>3380</v>
      </c>
      <c r="G2453" s="1" t="s">
        <v>3668</v>
      </c>
      <c r="H2453" s="2" t="s">
        <v>3381</v>
      </c>
      <c r="I2453" s="1" t="s">
        <v>3688</v>
      </c>
      <c r="J2453" s="1" t="s">
        <v>52</v>
      </c>
      <c r="K2453" s="1" t="s">
        <v>3381</v>
      </c>
      <c r="L2453" s="36" t="s">
        <v>69</v>
      </c>
      <c r="M2453" s="1" t="s">
        <v>69</v>
      </c>
      <c r="N2453" s="1" t="s">
        <v>3383</v>
      </c>
      <c r="O2453" s="1" t="s">
        <v>3384</v>
      </c>
      <c r="P2453" s="1" t="s">
        <v>3385</v>
      </c>
      <c r="Q2453" s="1" t="s">
        <v>3385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1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5" t="s">
        <v>3666</v>
      </c>
      <c r="C2454" s="1" t="s">
        <v>3667</v>
      </c>
      <c r="D2454" s="1" t="s">
        <v>14</v>
      </c>
      <c r="E2454" s="1" t="s">
        <v>3668</v>
      </c>
      <c r="F2454" s="1" t="s">
        <v>3380</v>
      </c>
      <c r="G2454" s="1" t="s">
        <v>3668</v>
      </c>
      <c r="H2454" s="2" t="s">
        <v>3386</v>
      </c>
      <c r="I2454" s="1" t="s">
        <v>3689</v>
      </c>
      <c r="J2454" s="1" t="s">
        <v>52</v>
      </c>
      <c r="K2454" s="1" t="s">
        <v>3386</v>
      </c>
      <c r="L2454" s="36" t="s">
        <v>69</v>
      </c>
      <c r="M2454" s="1" t="s">
        <v>69</v>
      </c>
      <c r="N2454" s="1" t="s">
        <v>3383</v>
      </c>
      <c r="O2454" s="1" t="s">
        <v>3384</v>
      </c>
      <c r="P2454" s="1" t="s">
        <v>3385</v>
      </c>
      <c r="Q2454" s="1" t="s">
        <v>3385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2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5" t="s">
        <v>3666</v>
      </c>
      <c r="C2455" s="1" t="s">
        <v>3667</v>
      </c>
      <c r="D2455" s="1" t="s">
        <v>14</v>
      </c>
      <c r="E2455" s="1" t="s">
        <v>3668</v>
      </c>
      <c r="F2455" s="1" t="s">
        <v>3380</v>
      </c>
      <c r="G2455" s="1" t="s">
        <v>3668</v>
      </c>
      <c r="H2455" s="2" t="s">
        <v>3388</v>
      </c>
      <c r="I2455" s="1" t="s">
        <v>3690</v>
      </c>
      <c r="J2455" s="1" t="s">
        <v>52</v>
      </c>
      <c r="K2455" s="1" t="s">
        <v>3388</v>
      </c>
      <c r="L2455" s="36" t="s">
        <v>69</v>
      </c>
      <c r="M2455" s="1" t="s">
        <v>69</v>
      </c>
      <c r="N2455" s="1" t="s">
        <v>3383</v>
      </c>
      <c r="O2455" s="1" t="s">
        <v>3384</v>
      </c>
      <c r="P2455" s="1" t="s">
        <v>3385</v>
      </c>
      <c r="Q2455" s="1" t="s">
        <v>3385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3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5" t="s">
        <v>3666</v>
      </c>
      <c r="C2456" s="1" t="s">
        <v>3667</v>
      </c>
      <c r="D2456" s="1" t="s">
        <v>14</v>
      </c>
      <c r="E2456" s="1" t="s">
        <v>3668</v>
      </c>
      <c r="F2456" s="1" t="s">
        <v>3380</v>
      </c>
      <c r="G2456" s="1" t="s">
        <v>3668</v>
      </c>
      <c r="H2456" s="2" t="s">
        <v>3390</v>
      </c>
      <c r="I2456" s="1" t="s">
        <v>3691</v>
      </c>
      <c r="J2456" s="1" t="s">
        <v>52</v>
      </c>
      <c r="K2456" s="1" t="s">
        <v>3390</v>
      </c>
      <c r="L2456" s="36" t="s">
        <v>69</v>
      </c>
      <c r="M2456" s="1" t="s">
        <v>69</v>
      </c>
      <c r="N2456" s="1" t="s">
        <v>3383</v>
      </c>
      <c r="O2456" s="1" t="s">
        <v>3384</v>
      </c>
      <c r="P2456" s="1" t="s">
        <v>3385</v>
      </c>
      <c r="Q2456" s="1" t="s">
        <v>3385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4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5" t="s">
        <v>3666</v>
      </c>
      <c r="C2457" s="1" t="s">
        <v>3667</v>
      </c>
      <c r="D2457" s="1" t="s">
        <v>14</v>
      </c>
      <c r="E2457" s="1" t="s">
        <v>3668</v>
      </c>
      <c r="F2457" s="1" t="s">
        <v>3380</v>
      </c>
      <c r="G2457" s="1" t="s">
        <v>3668</v>
      </c>
      <c r="H2457" s="2" t="s">
        <v>3392</v>
      </c>
      <c r="I2457" s="1" t="s">
        <v>3692</v>
      </c>
      <c r="J2457" s="1" t="s">
        <v>52</v>
      </c>
      <c r="K2457" s="1" t="s">
        <v>3392</v>
      </c>
      <c r="L2457" s="36" t="s">
        <v>69</v>
      </c>
      <c r="M2457" s="1" t="s">
        <v>69</v>
      </c>
      <c r="N2457" s="1" t="s">
        <v>3383</v>
      </c>
      <c r="O2457" s="1" t="s">
        <v>3384</v>
      </c>
      <c r="P2457" s="1" t="s">
        <v>3385</v>
      </c>
      <c r="Q2457" s="1" t="s">
        <v>3385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5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5" t="s">
        <v>3666</v>
      </c>
      <c r="C2458" s="1" t="s">
        <v>3667</v>
      </c>
      <c r="D2458" s="1" t="s">
        <v>14</v>
      </c>
      <c r="E2458" s="1" t="s">
        <v>3668</v>
      </c>
      <c r="F2458" s="1" t="s">
        <v>3380</v>
      </c>
      <c r="G2458" s="1" t="s">
        <v>3668</v>
      </c>
      <c r="H2458" s="2" t="s">
        <v>3436</v>
      </c>
      <c r="I2458" s="1" t="s">
        <v>3693</v>
      </c>
      <c r="J2458" s="1" t="s">
        <v>52</v>
      </c>
      <c r="K2458" s="2" t="s">
        <v>3436</v>
      </c>
      <c r="L2458" s="5" t="s">
        <v>69</v>
      </c>
      <c r="M2458" s="5" t="s">
        <v>69</v>
      </c>
      <c r="N2458" s="1" t="s">
        <v>1935</v>
      </c>
      <c r="O2458" s="1" t="s">
        <v>46</v>
      </c>
      <c r="P2458" s="1" t="s">
        <v>46</v>
      </c>
      <c r="Q2458" s="1" t="s">
        <v>46</v>
      </c>
      <c r="R2458" s="5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5" t="s">
        <v>3666</v>
      </c>
      <c r="C2459" s="1" t="s">
        <v>3667</v>
      </c>
      <c r="D2459" s="1" t="s">
        <v>14</v>
      </c>
      <c r="E2459" s="1" t="s">
        <v>3668</v>
      </c>
      <c r="F2459" s="1" t="s">
        <v>3380</v>
      </c>
      <c r="G2459" s="1" t="s">
        <v>3668</v>
      </c>
      <c r="H2459" s="2" t="s">
        <v>3438</v>
      </c>
      <c r="I2459" s="1" t="s">
        <v>3694</v>
      </c>
      <c r="J2459" s="1" t="s">
        <v>52</v>
      </c>
      <c r="K2459" s="2" t="s">
        <v>3438</v>
      </c>
      <c r="L2459" s="5" t="s">
        <v>69</v>
      </c>
      <c r="M2459" s="5" t="s">
        <v>69</v>
      </c>
      <c r="N2459" s="1" t="s">
        <v>1935</v>
      </c>
      <c r="O2459" s="1" t="s">
        <v>46</v>
      </c>
      <c r="P2459" s="1" t="s">
        <v>46</v>
      </c>
      <c r="Q2459" s="1" t="s">
        <v>46</v>
      </c>
      <c r="R2459" s="5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5" t="s">
        <v>3666</v>
      </c>
      <c r="C2460" s="1" t="s">
        <v>3667</v>
      </c>
      <c r="D2460" s="1" t="s">
        <v>14</v>
      </c>
      <c r="E2460" s="1" t="s">
        <v>3668</v>
      </c>
      <c r="F2460" s="1" t="s">
        <v>3380</v>
      </c>
      <c r="G2460" s="1" t="s">
        <v>3668</v>
      </c>
      <c r="H2460" s="2" t="s">
        <v>3440</v>
      </c>
      <c r="I2460" s="1" t="s">
        <v>3695</v>
      </c>
      <c r="J2460" s="1" t="s">
        <v>52</v>
      </c>
      <c r="K2460" s="2" t="s">
        <v>3440</v>
      </c>
      <c r="L2460" s="5" t="s">
        <v>69</v>
      </c>
      <c r="M2460" s="5" t="s">
        <v>69</v>
      </c>
      <c r="N2460" s="1" t="s">
        <v>1935</v>
      </c>
      <c r="O2460" s="1" t="s">
        <v>46</v>
      </c>
      <c r="P2460" s="1" t="s">
        <v>46</v>
      </c>
      <c r="Q2460" s="1" t="s">
        <v>46</v>
      </c>
      <c r="R2460" s="5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5" t="s">
        <v>3666</v>
      </c>
      <c r="C2461" s="1" t="s">
        <v>3667</v>
      </c>
      <c r="D2461" s="1" t="s">
        <v>14</v>
      </c>
      <c r="E2461" s="1" t="s">
        <v>3668</v>
      </c>
      <c r="F2461" s="1" t="s">
        <v>3380</v>
      </c>
      <c r="G2461" s="1" t="s">
        <v>3668</v>
      </c>
      <c r="H2461" s="2" t="s">
        <v>3442</v>
      </c>
      <c r="I2461" s="1" t="s">
        <v>3696</v>
      </c>
      <c r="J2461" s="1" t="s">
        <v>52</v>
      </c>
      <c r="K2461" s="2" t="s">
        <v>3442</v>
      </c>
      <c r="L2461" s="5" t="s">
        <v>69</v>
      </c>
      <c r="M2461" s="5" t="s">
        <v>69</v>
      </c>
      <c r="N2461" s="1" t="s">
        <v>1935</v>
      </c>
      <c r="O2461" s="1" t="s">
        <v>46</v>
      </c>
      <c r="P2461" s="1" t="s">
        <v>46</v>
      </c>
      <c r="Q2461" s="1" t="s">
        <v>46</v>
      </c>
      <c r="R2461" s="5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5" t="s">
        <v>3666</v>
      </c>
      <c r="C2462" s="1" t="s">
        <v>3667</v>
      </c>
      <c r="D2462" s="1" t="s">
        <v>14</v>
      </c>
      <c r="E2462" s="1" t="s">
        <v>3668</v>
      </c>
      <c r="F2462" s="1" t="s">
        <v>3380</v>
      </c>
      <c r="G2462" s="1" t="s">
        <v>3668</v>
      </c>
      <c r="H2462" s="2" t="s">
        <v>3444</v>
      </c>
      <c r="I2462" s="1" t="s">
        <v>3697</v>
      </c>
      <c r="J2462" s="1" t="s">
        <v>52</v>
      </c>
      <c r="K2462" s="2" t="s">
        <v>3444</v>
      </c>
      <c r="L2462" s="5" t="s">
        <v>69</v>
      </c>
      <c r="M2462" s="5" t="s">
        <v>69</v>
      </c>
      <c r="N2462" s="1" t="s">
        <v>1935</v>
      </c>
      <c r="O2462" s="1" t="s">
        <v>46</v>
      </c>
      <c r="P2462" s="1" t="s">
        <v>46</v>
      </c>
      <c r="Q2462" s="1" t="s">
        <v>46</v>
      </c>
      <c r="R2462" s="5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5" t="s">
        <v>3666</v>
      </c>
      <c r="C2463" s="1" t="s">
        <v>3667</v>
      </c>
      <c r="D2463" s="1" t="s">
        <v>14</v>
      </c>
      <c r="E2463" s="1" t="s">
        <v>3668</v>
      </c>
      <c r="F2463" s="1" t="s">
        <v>3380</v>
      </c>
      <c r="G2463" s="1" t="s">
        <v>3668</v>
      </c>
      <c r="H2463" s="2" t="s">
        <v>3446</v>
      </c>
      <c r="I2463" s="1" t="s">
        <v>3698</v>
      </c>
      <c r="J2463" s="1" t="s">
        <v>52</v>
      </c>
      <c r="K2463" s="2" t="s">
        <v>3446</v>
      </c>
      <c r="L2463" s="5" t="s">
        <v>69</v>
      </c>
      <c r="M2463" s="5" t="s">
        <v>69</v>
      </c>
      <c r="N2463" s="1" t="s">
        <v>1935</v>
      </c>
      <c r="O2463" s="1" t="s">
        <v>46</v>
      </c>
      <c r="P2463" s="1" t="s">
        <v>46</v>
      </c>
      <c r="Q2463" s="1" t="s">
        <v>46</v>
      </c>
      <c r="R2463" s="5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5" t="s">
        <v>3666</v>
      </c>
      <c r="C2464" s="1" t="s">
        <v>3667</v>
      </c>
      <c r="D2464" s="1" t="s">
        <v>14</v>
      </c>
      <c r="E2464" s="1" t="s">
        <v>3668</v>
      </c>
      <c r="F2464" s="1" t="s">
        <v>3380</v>
      </c>
      <c r="G2464" s="1" t="s">
        <v>3668</v>
      </c>
      <c r="H2464" s="2" t="s">
        <v>3448</v>
      </c>
      <c r="I2464" s="1" t="s">
        <v>3699</v>
      </c>
      <c r="J2464" s="1" t="s">
        <v>52</v>
      </c>
      <c r="K2464" s="2" t="s">
        <v>3448</v>
      </c>
      <c r="L2464" s="5" t="s">
        <v>69</v>
      </c>
      <c r="M2464" s="5" t="s">
        <v>69</v>
      </c>
      <c r="N2464" s="1" t="s">
        <v>1935</v>
      </c>
      <c r="O2464" s="1" t="s">
        <v>46</v>
      </c>
      <c r="P2464" s="1" t="s">
        <v>46</v>
      </c>
      <c r="Q2464" s="1" t="s">
        <v>46</v>
      </c>
      <c r="R2464" s="5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5" t="s">
        <v>3666</v>
      </c>
      <c r="C2465" s="1" t="s">
        <v>3667</v>
      </c>
      <c r="D2465" s="1" t="s">
        <v>14</v>
      </c>
      <c r="E2465" s="1" t="s">
        <v>3668</v>
      </c>
      <c r="F2465" s="1" t="s">
        <v>3380</v>
      </c>
      <c r="G2465" s="1" t="s">
        <v>3668</v>
      </c>
      <c r="H2465" s="2" t="s">
        <v>3450</v>
      </c>
      <c r="I2465" s="1" t="s">
        <v>3700</v>
      </c>
      <c r="J2465" s="1" t="s">
        <v>52</v>
      </c>
      <c r="K2465" s="2" t="s">
        <v>3450</v>
      </c>
      <c r="L2465" s="5" t="s">
        <v>69</v>
      </c>
      <c r="M2465" s="5" t="s">
        <v>69</v>
      </c>
      <c r="N2465" s="1" t="s">
        <v>1935</v>
      </c>
      <c r="O2465" s="1" t="s">
        <v>46</v>
      </c>
      <c r="P2465" s="1" t="s">
        <v>46</v>
      </c>
      <c r="Q2465" s="1" t="s">
        <v>46</v>
      </c>
      <c r="R2465" s="5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5" t="s">
        <v>3666</v>
      </c>
      <c r="C2466" s="1" t="s">
        <v>3667</v>
      </c>
      <c r="D2466" s="1" t="s">
        <v>14</v>
      </c>
      <c r="E2466" s="1" t="s">
        <v>3668</v>
      </c>
      <c r="F2466" s="1" t="s">
        <v>3380</v>
      </c>
      <c r="G2466" s="1" t="s">
        <v>3668</v>
      </c>
      <c r="H2466" s="2" t="s">
        <v>3452</v>
      </c>
      <c r="I2466" s="1" t="s">
        <v>3701</v>
      </c>
      <c r="J2466" s="1" t="s">
        <v>52</v>
      </c>
      <c r="K2466" s="2" t="s">
        <v>3452</v>
      </c>
      <c r="L2466" s="5" t="s">
        <v>69</v>
      </c>
      <c r="M2466" s="5" t="s">
        <v>69</v>
      </c>
      <c r="N2466" s="1" t="s">
        <v>1935</v>
      </c>
      <c r="O2466" s="1" t="s">
        <v>46</v>
      </c>
      <c r="P2466" s="1" t="s">
        <v>46</v>
      </c>
      <c r="Q2466" s="1" t="s">
        <v>46</v>
      </c>
      <c r="R2466" s="5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5" t="s">
        <v>3666</v>
      </c>
      <c r="C2467" s="1" t="s">
        <v>3667</v>
      </c>
      <c r="D2467" s="1" t="s">
        <v>14</v>
      </c>
      <c r="E2467" s="1" t="s">
        <v>3668</v>
      </c>
      <c r="F2467" s="1" t="s">
        <v>3380</v>
      </c>
      <c r="G2467" s="1" t="s">
        <v>3668</v>
      </c>
      <c r="H2467" s="2" t="s">
        <v>3454</v>
      </c>
      <c r="I2467" s="1" t="s">
        <v>3702</v>
      </c>
      <c r="J2467" s="1" t="s">
        <v>52</v>
      </c>
      <c r="K2467" s="2" t="s">
        <v>3454</v>
      </c>
      <c r="L2467" s="5" t="s">
        <v>69</v>
      </c>
      <c r="M2467" s="5" t="s">
        <v>69</v>
      </c>
      <c r="N2467" s="1" t="s">
        <v>1935</v>
      </c>
      <c r="O2467" s="1" t="s">
        <v>46</v>
      </c>
      <c r="P2467" s="1" t="s">
        <v>46</v>
      </c>
      <c r="Q2467" s="1" t="s">
        <v>46</v>
      </c>
      <c r="R2467" s="5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5" t="s">
        <v>3666</v>
      </c>
      <c r="C2468" s="1" t="s">
        <v>3667</v>
      </c>
      <c r="D2468" s="1" t="s">
        <v>14</v>
      </c>
      <c r="E2468" s="1" t="s">
        <v>3668</v>
      </c>
      <c r="F2468" s="1" t="s">
        <v>3380</v>
      </c>
      <c r="G2468" s="1" t="s">
        <v>3668</v>
      </c>
      <c r="H2468" s="2" t="s">
        <v>3456</v>
      </c>
      <c r="I2468" s="1" t="s">
        <v>3703</v>
      </c>
      <c r="J2468" s="1" t="s">
        <v>52</v>
      </c>
      <c r="K2468" s="2" t="s">
        <v>3456</v>
      </c>
      <c r="L2468" s="5" t="s">
        <v>69</v>
      </c>
      <c r="M2468" s="5" t="s">
        <v>69</v>
      </c>
      <c r="N2468" s="1" t="s">
        <v>1935</v>
      </c>
      <c r="O2468" s="1" t="s">
        <v>46</v>
      </c>
      <c r="P2468" s="1" t="s">
        <v>46</v>
      </c>
      <c r="Q2468" s="1" t="s">
        <v>46</v>
      </c>
      <c r="R2468" s="5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5" t="s">
        <v>3666</v>
      </c>
      <c r="C2469" s="1" t="s">
        <v>3667</v>
      </c>
      <c r="D2469" s="1" t="s">
        <v>14</v>
      </c>
      <c r="E2469" s="1" t="s">
        <v>3668</v>
      </c>
      <c r="F2469" s="1" t="s">
        <v>3380</v>
      </c>
      <c r="G2469" s="1" t="s">
        <v>3668</v>
      </c>
      <c r="H2469" s="2" t="s">
        <v>3458</v>
      </c>
      <c r="I2469" s="1" t="s">
        <v>3704</v>
      </c>
      <c r="J2469" s="1" t="s">
        <v>52</v>
      </c>
      <c r="K2469" s="2" t="s">
        <v>3458</v>
      </c>
      <c r="L2469" s="5" t="s">
        <v>69</v>
      </c>
      <c r="M2469" s="5" t="s">
        <v>69</v>
      </c>
      <c r="N2469" s="1" t="s">
        <v>1935</v>
      </c>
      <c r="O2469" s="1" t="s">
        <v>46</v>
      </c>
      <c r="P2469" s="1" t="s">
        <v>46</v>
      </c>
      <c r="Q2469" s="1" t="s">
        <v>46</v>
      </c>
      <c r="R2469" s="5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5" t="s">
        <v>3666</v>
      </c>
      <c r="C2470" s="1" t="s">
        <v>3667</v>
      </c>
      <c r="D2470" s="1" t="s">
        <v>14</v>
      </c>
      <c r="E2470" s="1" t="s">
        <v>3668</v>
      </c>
      <c r="F2470" s="1" t="s">
        <v>3380</v>
      </c>
      <c r="G2470" s="1" t="s">
        <v>3668</v>
      </c>
      <c r="H2470" s="2" t="s">
        <v>3460</v>
      </c>
      <c r="I2470" s="1" t="s">
        <v>3705</v>
      </c>
      <c r="J2470" s="1" t="s">
        <v>52</v>
      </c>
      <c r="K2470" s="2" t="s">
        <v>3460</v>
      </c>
      <c r="L2470" s="5" t="s">
        <v>69</v>
      </c>
      <c r="M2470" s="5" t="s">
        <v>69</v>
      </c>
      <c r="N2470" s="1" t="s">
        <v>1935</v>
      </c>
      <c r="O2470" s="1" t="s">
        <v>46</v>
      </c>
      <c r="P2470" s="1" t="s">
        <v>46</v>
      </c>
      <c r="Q2470" s="1" t="s">
        <v>46</v>
      </c>
      <c r="R2470" s="5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5" t="s">
        <v>3666</v>
      </c>
      <c r="C2471" s="1" t="s">
        <v>3667</v>
      </c>
      <c r="D2471" s="1" t="s">
        <v>14</v>
      </c>
      <c r="E2471" s="1" t="s">
        <v>3668</v>
      </c>
      <c r="F2471" s="1" t="s">
        <v>3380</v>
      </c>
      <c r="G2471" s="1" t="s">
        <v>3668</v>
      </c>
      <c r="H2471" s="2" t="s">
        <v>3462</v>
      </c>
      <c r="I2471" s="1" t="s">
        <v>3706</v>
      </c>
      <c r="J2471" s="1" t="s">
        <v>52</v>
      </c>
      <c r="K2471" s="2" t="s">
        <v>3462</v>
      </c>
      <c r="L2471" s="5" t="s">
        <v>69</v>
      </c>
      <c r="M2471" s="5" t="s">
        <v>69</v>
      </c>
      <c r="N2471" s="1" t="s">
        <v>1935</v>
      </c>
      <c r="O2471" s="1" t="s">
        <v>46</v>
      </c>
      <c r="P2471" s="1" t="s">
        <v>46</v>
      </c>
      <c r="Q2471" s="1" t="s">
        <v>46</v>
      </c>
      <c r="R2471" s="5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5" t="s">
        <v>3666</v>
      </c>
      <c r="C2472" s="1" t="s">
        <v>3667</v>
      </c>
      <c r="D2472" s="1" t="s">
        <v>14</v>
      </c>
      <c r="E2472" s="1" t="s">
        <v>3668</v>
      </c>
      <c r="F2472" s="1" t="s">
        <v>3380</v>
      </c>
      <c r="G2472" s="1" t="s">
        <v>3668</v>
      </c>
      <c r="H2472" s="2" t="s">
        <v>3464</v>
      </c>
      <c r="I2472" s="1" t="s">
        <v>3707</v>
      </c>
      <c r="J2472" s="1" t="s">
        <v>52</v>
      </c>
      <c r="K2472" s="2" t="s">
        <v>3464</v>
      </c>
      <c r="L2472" s="5" t="s">
        <v>69</v>
      </c>
      <c r="M2472" s="5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5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5" t="s">
        <v>3666</v>
      </c>
      <c r="C2473" s="1" t="s">
        <v>3667</v>
      </c>
      <c r="D2473" s="1" t="s">
        <v>14</v>
      </c>
      <c r="E2473" s="1" t="s">
        <v>3668</v>
      </c>
      <c r="F2473" s="1" t="s">
        <v>3380</v>
      </c>
      <c r="G2473" s="1" t="s">
        <v>3668</v>
      </c>
      <c r="H2473" s="2" t="s">
        <v>3466</v>
      </c>
      <c r="I2473" s="1" t="s">
        <v>3708</v>
      </c>
      <c r="J2473" s="1" t="s">
        <v>52</v>
      </c>
      <c r="K2473" s="2" t="s">
        <v>3466</v>
      </c>
      <c r="L2473" s="5" t="s">
        <v>69</v>
      </c>
      <c r="M2473" s="5" t="s">
        <v>69</v>
      </c>
      <c r="N2473" s="1" t="s">
        <v>3468</v>
      </c>
      <c r="O2473" s="1" t="s">
        <v>46</v>
      </c>
      <c r="P2473" s="1" t="s">
        <v>46</v>
      </c>
      <c r="Q2473" s="1" t="s">
        <v>46</v>
      </c>
      <c r="R2473" s="5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5" t="s">
        <v>3666</v>
      </c>
      <c r="C2474" s="1" t="s">
        <v>3667</v>
      </c>
      <c r="D2474" s="1" t="s">
        <v>14</v>
      </c>
      <c r="E2474" s="1" t="s">
        <v>3668</v>
      </c>
      <c r="F2474" s="1" t="s">
        <v>3380</v>
      </c>
      <c r="G2474" s="1" t="s">
        <v>3668</v>
      </c>
      <c r="H2474" s="2" t="s">
        <v>3469</v>
      </c>
      <c r="I2474" s="1" t="s">
        <v>3709</v>
      </c>
      <c r="J2474" s="1" t="s">
        <v>52</v>
      </c>
      <c r="K2474" s="2" t="s">
        <v>3469</v>
      </c>
      <c r="L2474" s="5" t="s">
        <v>69</v>
      </c>
      <c r="M2474" s="5" t="s">
        <v>69</v>
      </c>
      <c r="N2474" s="1" t="s">
        <v>3468</v>
      </c>
      <c r="O2474" s="1" t="s">
        <v>46</v>
      </c>
      <c r="P2474" s="1" t="s">
        <v>46</v>
      </c>
      <c r="Q2474" s="1" t="s">
        <v>46</v>
      </c>
      <c r="R2474" s="5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5" t="s">
        <v>3666</v>
      </c>
      <c r="C2475" s="1" t="s">
        <v>3667</v>
      </c>
      <c r="D2475" s="1" t="s">
        <v>14</v>
      </c>
      <c r="E2475" s="1" t="s">
        <v>3668</v>
      </c>
      <c r="F2475" s="1" t="s">
        <v>3380</v>
      </c>
      <c r="G2475" s="1" t="s">
        <v>3668</v>
      </c>
      <c r="H2475" s="2" t="s">
        <v>3471</v>
      </c>
      <c r="I2475" s="1" t="s">
        <v>3710</v>
      </c>
      <c r="J2475" s="1" t="s">
        <v>52</v>
      </c>
      <c r="K2475" s="2" t="s">
        <v>3471</v>
      </c>
      <c r="L2475" s="5" t="s">
        <v>69</v>
      </c>
      <c r="M2475" s="5" t="s">
        <v>69</v>
      </c>
      <c r="N2475" s="1" t="s">
        <v>3468</v>
      </c>
      <c r="O2475" s="1" t="s">
        <v>46</v>
      </c>
      <c r="P2475" s="1" t="s">
        <v>46</v>
      </c>
      <c r="Q2475" s="1" t="s">
        <v>46</v>
      </c>
      <c r="R2475" s="5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5" t="s">
        <v>3666</v>
      </c>
      <c r="C2476" s="1" t="s">
        <v>3667</v>
      </c>
      <c r="D2476" s="1" t="s">
        <v>14</v>
      </c>
      <c r="E2476" s="1" t="s">
        <v>3668</v>
      </c>
      <c r="F2476" s="1" t="s">
        <v>3380</v>
      </c>
      <c r="G2476" s="1" t="s">
        <v>3668</v>
      </c>
      <c r="H2476" s="2" t="s">
        <v>3473</v>
      </c>
      <c r="I2476" s="1" t="s">
        <v>3711</v>
      </c>
      <c r="J2476" s="1" t="s">
        <v>52</v>
      </c>
      <c r="K2476" s="2" t="s">
        <v>3473</v>
      </c>
      <c r="L2476" s="5" t="s">
        <v>69</v>
      </c>
      <c r="M2476" s="5" t="s">
        <v>69</v>
      </c>
      <c r="N2476" s="1" t="s">
        <v>3468</v>
      </c>
      <c r="O2476" s="1" t="s">
        <v>46</v>
      </c>
      <c r="P2476" s="1" t="s">
        <v>46</v>
      </c>
      <c r="Q2476" s="1" t="s">
        <v>46</v>
      </c>
      <c r="R2476" s="5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5" t="s">
        <v>3666</v>
      </c>
      <c r="C2477" s="1" t="s">
        <v>3667</v>
      </c>
      <c r="D2477" s="1" t="s">
        <v>14</v>
      </c>
      <c r="E2477" s="1" t="s">
        <v>3668</v>
      </c>
      <c r="F2477" s="1" t="s">
        <v>3380</v>
      </c>
      <c r="G2477" s="1" t="s">
        <v>3668</v>
      </c>
      <c r="H2477" s="2" t="s">
        <v>3475</v>
      </c>
      <c r="I2477" s="1" t="s">
        <v>3712</v>
      </c>
      <c r="J2477" s="1" t="s">
        <v>52</v>
      </c>
      <c r="K2477" s="2" t="s">
        <v>3475</v>
      </c>
      <c r="L2477" s="5" t="s">
        <v>69</v>
      </c>
      <c r="M2477" s="5" t="s">
        <v>69</v>
      </c>
      <c r="N2477" s="1" t="s">
        <v>3468</v>
      </c>
      <c r="O2477" s="1" t="s">
        <v>46</v>
      </c>
      <c r="P2477" s="1" t="s">
        <v>46</v>
      </c>
      <c r="Q2477" s="1" t="s">
        <v>46</v>
      </c>
      <c r="R2477" s="5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5" t="s">
        <v>3666</v>
      </c>
      <c r="C2478" s="1" t="s">
        <v>3667</v>
      </c>
      <c r="D2478" s="1" t="s">
        <v>14</v>
      </c>
      <c r="E2478" s="1" t="s">
        <v>3668</v>
      </c>
      <c r="F2478" s="1" t="s">
        <v>3380</v>
      </c>
      <c r="G2478" s="1" t="s">
        <v>3668</v>
      </c>
      <c r="H2478" s="2" t="s">
        <v>3477</v>
      </c>
      <c r="I2478" s="1" t="s">
        <v>3713</v>
      </c>
      <c r="J2478" s="1" t="s">
        <v>52</v>
      </c>
      <c r="K2478" s="2" t="s">
        <v>3477</v>
      </c>
      <c r="L2478" s="5" t="s">
        <v>69</v>
      </c>
      <c r="M2478" s="5" t="s">
        <v>69</v>
      </c>
      <c r="N2478" s="1" t="s">
        <v>3468</v>
      </c>
      <c r="O2478" s="1" t="s">
        <v>46</v>
      </c>
      <c r="P2478" s="1" t="s">
        <v>46</v>
      </c>
      <c r="Q2478" s="1" t="s">
        <v>46</v>
      </c>
      <c r="R2478" s="5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5" t="s">
        <v>3666</v>
      </c>
      <c r="C2479" s="1" t="s">
        <v>3667</v>
      </c>
      <c r="D2479" s="1" t="s">
        <v>14</v>
      </c>
      <c r="E2479" s="1" t="s">
        <v>3668</v>
      </c>
      <c r="F2479" s="1" t="s">
        <v>3380</v>
      </c>
      <c r="G2479" s="1" t="s">
        <v>3668</v>
      </c>
      <c r="H2479" s="2" t="s">
        <v>3479</v>
      </c>
      <c r="I2479" s="1" t="s">
        <v>3714</v>
      </c>
      <c r="J2479" s="1" t="s">
        <v>52</v>
      </c>
      <c r="K2479" s="2" t="s">
        <v>3479</v>
      </c>
      <c r="L2479" s="5" t="s">
        <v>69</v>
      </c>
      <c r="M2479" s="5" t="s">
        <v>69</v>
      </c>
      <c r="N2479" s="1" t="s">
        <v>3468</v>
      </c>
      <c r="O2479" s="1" t="s">
        <v>46</v>
      </c>
      <c r="P2479" s="1" t="s">
        <v>46</v>
      </c>
      <c r="Q2479" s="1" t="s">
        <v>46</v>
      </c>
      <c r="R2479" s="5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5" t="s">
        <v>3666</v>
      </c>
      <c r="C2480" s="1" t="s">
        <v>3667</v>
      </c>
      <c r="D2480" s="1" t="s">
        <v>14</v>
      </c>
      <c r="E2480" s="1" t="s">
        <v>3668</v>
      </c>
      <c r="F2480" s="1" t="s">
        <v>3380</v>
      </c>
      <c r="G2480" s="1" t="s">
        <v>3668</v>
      </c>
      <c r="H2480" s="2" t="s">
        <v>3481</v>
      </c>
      <c r="I2480" s="1" t="s">
        <v>3715</v>
      </c>
      <c r="J2480" s="1" t="s">
        <v>52</v>
      </c>
      <c r="K2480" s="2" t="s">
        <v>3481</v>
      </c>
      <c r="L2480" s="5" t="s">
        <v>69</v>
      </c>
      <c r="M2480" s="5" t="s">
        <v>69</v>
      </c>
      <c r="N2480" s="1" t="s">
        <v>3468</v>
      </c>
      <c r="O2480" s="1" t="s">
        <v>46</v>
      </c>
      <c r="P2480" s="1" t="s">
        <v>46</v>
      </c>
      <c r="Q2480" s="1" t="s">
        <v>46</v>
      </c>
      <c r="R2480" s="5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5" t="s">
        <v>3666</v>
      </c>
      <c r="C2481" s="1" t="s">
        <v>3667</v>
      </c>
      <c r="D2481" s="1" t="s">
        <v>14</v>
      </c>
      <c r="E2481" s="1" t="s">
        <v>3668</v>
      </c>
      <c r="F2481" s="1" t="s">
        <v>3380</v>
      </c>
      <c r="G2481" s="1" t="s">
        <v>3668</v>
      </c>
      <c r="H2481" s="2" t="s">
        <v>3483</v>
      </c>
      <c r="I2481" s="1" t="s">
        <v>3716</v>
      </c>
      <c r="J2481" s="1" t="s">
        <v>52</v>
      </c>
      <c r="K2481" s="2" t="s">
        <v>3483</v>
      </c>
      <c r="L2481" s="5" t="s">
        <v>69</v>
      </c>
      <c r="M2481" s="5" t="s">
        <v>69</v>
      </c>
      <c r="N2481" s="1" t="s">
        <v>3468</v>
      </c>
      <c r="O2481" s="1" t="s">
        <v>46</v>
      </c>
      <c r="P2481" s="1" t="s">
        <v>46</v>
      </c>
      <c r="Q2481" s="1" t="s">
        <v>46</v>
      </c>
      <c r="R2481" s="5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5" t="s">
        <v>3666</v>
      </c>
      <c r="C2482" s="1" t="s">
        <v>3667</v>
      </c>
      <c r="D2482" s="1" t="s">
        <v>14</v>
      </c>
      <c r="E2482" s="1" t="s">
        <v>3668</v>
      </c>
      <c r="F2482" s="1" t="s">
        <v>3380</v>
      </c>
      <c r="G2482" s="1" t="s">
        <v>3668</v>
      </c>
      <c r="H2482" s="2" t="s">
        <v>3485</v>
      </c>
      <c r="I2482" s="1" t="s">
        <v>3717</v>
      </c>
      <c r="J2482" s="1" t="s">
        <v>52</v>
      </c>
      <c r="K2482" s="2" t="s">
        <v>3485</v>
      </c>
      <c r="L2482" s="5" t="s">
        <v>69</v>
      </c>
      <c r="M2482" s="5" t="s">
        <v>69</v>
      </c>
      <c r="N2482" s="1" t="s">
        <v>3468</v>
      </c>
      <c r="O2482" s="1" t="s">
        <v>46</v>
      </c>
      <c r="P2482" s="1" t="s">
        <v>46</v>
      </c>
      <c r="Q2482" s="1" t="s">
        <v>46</v>
      </c>
      <c r="R2482" s="5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5" t="s">
        <v>3666</v>
      </c>
      <c r="C2483" s="1" t="s">
        <v>3667</v>
      </c>
      <c r="D2483" s="1" t="s">
        <v>14</v>
      </c>
      <c r="E2483" s="1" t="s">
        <v>3668</v>
      </c>
      <c r="F2483" s="1" t="s">
        <v>3380</v>
      </c>
      <c r="G2483" s="1" t="s">
        <v>3668</v>
      </c>
      <c r="H2483" s="2" t="s">
        <v>3487</v>
      </c>
      <c r="I2483" s="1" t="s">
        <v>3718</v>
      </c>
      <c r="J2483" s="1" t="s">
        <v>52</v>
      </c>
      <c r="K2483" s="2" t="s">
        <v>3487</v>
      </c>
      <c r="L2483" s="5" t="s">
        <v>69</v>
      </c>
      <c r="M2483" s="5" t="s">
        <v>69</v>
      </c>
      <c r="N2483" s="1" t="s">
        <v>3468</v>
      </c>
      <c r="O2483" s="1" t="s">
        <v>46</v>
      </c>
      <c r="P2483" s="1" t="s">
        <v>46</v>
      </c>
      <c r="Q2483" s="1" t="s">
        <v>46</v>
      </c>
      <c r="R2483" s="5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5" t="s">
        <v>3666</v>
      </c>
      <c r="C2484" s="1" t="s">
        <v>3667</v>
      </c>
      <c r="D2484" s="1" t="s">
        <v>14</v>
      </c>
      <c r="E2484" s="1" t="s">
        <v>3668</v>
      </c>
      <c r="F2484" s="1" t="s">
        <v>3380</v>
      </c>
      <c r="G2484" s="1" t="s">
        <v>3668</v>
      </c>
      <c r="H2484" s="2" t="s">
        <v>3489</v>
      </c>
      <c r="I2484" s="1" t="s">
        <v>3719</v>
      </c>
      <c r="J2484" s="1" t="s">
        <v>52</v>
      </c>
      <c r="K2484" s="2" t="s">
        <v>3489</v>
      </c>
      <c r="L2484" s="5" t="s">
        <v>69</v>
      </c>
      <c r="M2484" s="5" t="s">
        <v>69</v>
      </c>
      <c r="N2484" s="1" t="s">
        <v>3468</v>
      </c>
      <c r="O2484" s="1" t="s">
        <v>46</v>
      </c>
      <c r="P2484" s="1" t="s">
        <v>46</v>
      </c>
      <c r="Q2484" s="1" t="s">
        <v>46</v>
      </c>
      <c r="R2484" s="5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5" t="s">
        <v>3666</v>
      </c>
      <c r="C2485" s="1" t="s">
        <v>3667</v>
      </c>
      <c r="D2485" s="1" t="s">
        <v>14</v>
      </c>
      <c r="E2485" s="1" t="s">
        <v>3668</v>
      </c>
      <c r="F2485" s="1" t="s">
        <v>3380</v>
      </c>
      <c r="G2485" s="1" t="s">
        <v>3668</v>
      </c>
      <c r="H2485" s="2" t="s">
        <v>3491</v>
      </c>
      <c r="I2485" s="1" t="s">
        <v>3720</v>
      </c>
      <c r="J2485" s="1" t="s">
        <v>52</v>
      </c>
      <c r="K2485" s="2" t="s">
        <v>3491</v>
      </c>
      <c r="L2485" s="5" t="s">
        <v>69</v>
      </c>
      <c r="M2485" s="5" t="s">
        <v>69</v>
      </c>
      <c r="N2485" s="1" t="s">
        <v>3468</v>
      </c>
      <c r="O2485" s="1" t="s">
        <v>46</v>
      </c>
      <c r="P2485" s="1" t="s">
        <v>46</v>
      </c>
      <c r="Q2485" s="1" t="s">
        <v>46</v>
      </c>
      <c r="R2485" s="5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5" t="s">
        <v>3666</v>
      </c>
      <c r="C2486" s="1" t="s">
        <v>3667</v>
      </c>
      <c r="D2486" s="1" t="s">
        <v>14</v>
      </c>
      <c r="E2486" s="1" t="s">
        <v>3668</v>
      </c>
      <c r="F2486" s="1" t="s">
        <v>3380</v>
      </c>
      <c r="G2486" s="1" t="s">
        <v>3668</v>
      </c>
      <c r="H2486" s="2" t="s">
        <v>3493</v>
      </c>
      <c r="I2486" s="1" t="s">
        <v>3721</v>
      </c>
      <c r="J2486" s="1" t="s">
        <v>52</v>
      </c>
      <c r="K2486" s="2" t="s">
        <v>3493</v>
      </c>
      <c r="L2486" s="5" t="s">
        <v>69</v>
      </c>
      <c r="M2486" s="5" t="s">
        <v>69</v>
      </c>
      <c r="N2486" s="1" t="s">
        <v>3468</v>
      </c>
      <c r="O2486" s="1" t="s">
        <v>46</v>
      </c>
      <c r="P2486" s="1" t="s">
        <v>46</v>
      </c>
      <c r="Q2486" s="1" t="s">
        <v>46</v>
      </c>
      <c r="R2486" s="5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5" t="s">
        <v>3666</v>
      </c>
      <c r="C2487" s="1" t="s">
        <v>3667</v>
      </c>
      <c r="D2487" s="1" t="s">
        <v>14</v>
      </c>
      <c r="E2487" s="1" t="s">
        <v>3668</v>
      </c>
      <c r="F2487" s="1" t="s">
        <v>3380</v>
      </c>
      <c r="G2487" s="1" t="s">
        <v>3668</v>
      </c>
      <c r="H2487" s="2" t="s">
        <v>3495</v>
      </c>
      <c r="I2487" s="1" t="s">
        <v>3722</v>
      </c>
      <c r="J2487" s="1" t="s">
        <v>52</v>
      </c>
      <c r="K2487" s="2" t="s">
        <v>3495</v>
      </c>
      <c r="L2487" s="5" t="s">
        <v>69</v>
      </c>
      <c r="M2487" s="5" t="s">
        <v>69</v>
      </c>
      <c r="N2487" s="1" t="s">
        <v>3468</v>
      </c>
      <c r="O2487" s="1" t="s">
        <v>46</v>
      </c>
      <c r="P2487" s="1" t="s">
        <v>46</v>
      </c>
      <c r="Q2487" s="1" t="s">
        <v>46</v>
      </c>
      <c r="R2487" s="5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5" t="s">
        <v>3723</v>
      </c>
      <c r="C2488" s="1" t="s">
        <v>3724</v>
      </c>
      <c r="D2488" s="1" t="s">
        <v>14</v>
      </c>
      <c r="E2488" s="1" t="s">
        <v>3668</v>
      </c>
      <c r="F2488" s="1" t="s">
        <v>3380</v>
      </c>
      <c r="G2488" s="1" t="s">
        <v>3668</v>
      </c>
      <c r="H2488" s="2" t="s">
        <v>3499</v>
      </c>
      <c r="I2488" s="1" t="s">
        <v>3725</v>
      </c>
      <c r="J2488" s="1" t="s">
        <v>52</v>
      </c>
      <c r="K2488" s="2" t="s">
        <v>3499</v>
      </c>
      <c r="L2488" s="36" t="s">
        <v>69</v>
      </c>
      <c r="M2488" s="1" t="s">
        <v>69</v>
      </c>
      <c r="N2488" s="1" t="s">
        <v>3383</v>
      </c>
      <c r="O2488" s="1" t="s">
        <v>3501</v>
      </c>
      <c r="P2488" s="1" t="s">
        <v>3385</v>
      </c>
      <c r="Q2488" s="1" t="s">
        <v>3385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5" t="s">
        <v>3723</v>
      </c>
      <c r="C2489" s="1" t="s">
        <v>3724</v>
      </c>
      <c r="D2489" s="1" t="s">
        <v>14</v>
      </c>
      <c r="E2489" s="1" t="s">
        <v>3668</v>
      </c>
      <c r="F2489" s="1" t="s">
        <v>3380</v>
      </c>
      <c r="G2489" s="1" t="s">
        <v>3668</v>
      </c>
      <c r="H2489" s="2" t="s">
        <v>3502</v>
      </c>
      <c r="I2489" s="1" t="s">
        <v>3726</v>
      </c>
      <c r="J2489" s="1" t="s">
        <v>52</v>
      </c>
      <c r="K2489" s="2" t="s">
        <v>3502</v>
      </c>
      <c r="L2489" s="36" t="s">
        <v>69</v>
      </c>
      <c r="M2489" s="1" t="s">
        <v>69</v>
      </c>
      <c r="N2489" s="1" t="s">
        <v>3383</v>
      </c>
      <c r="O2489" s="1" t="s">
        <v>3501</v>
      </c>
      <c r="P2489" s="1" t="s">
        <v>3385</v>
      </c>
      <c r="Q2489" s="1" t="s">
        <v>3385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5" t="s">
        <v>3723</v>
      </c>
      <c r="C2490" s="1" t="s">
        <v>3724</v>
      </c>
      <c r="D2490" s="1" t="s">
        <v>14</v>
      </c>
      <c r="E2490" s="1" t="s">
        <v>3668</v>
      </c>
      <c r="F2490" s="1" t="s">
        <v>3380</v>
      </c>
      <c r="G2490" s="1" t="s">
        <v>3668</v>
      </c>
      <c r="H2490" s="2" t="s">
        <v>3504</v>
      </c>
      <c r="I2490" s="1" t="s">
        <v>3727</v>
      </c>
      <c r="J2490" s="1" t="s">
        <v>52</v>
      </c>
      <c r="K2490" s="2" t="s">
        <v>3504</v>
      </c>
      <c r="L2490" s="36" t="s">
        <v>69</v>
      </c>
      <c r="M2490" s="1" t="s">
        <v>69</v>
      </c>
      <c r="N2490" s="1" t="s">
        <v>3383</v>
      </c>
      <c r="O2490" s="1" t="s">
        <v>3501</v>
      </c>
      <c r="P2490" s="1" t="s">
        <v>3385</v>
      </c>
      <c r="Q2490" s="1" t="s">
        <v>3385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5" t="s">
        <v>3723</v>
      </c>
      <c r="C2491" s="1" t="s">
        <v>3724</v>
      </c>
      <c r="D2491" s="1" t="s">
        <v>14</v>
      </c>
      <c r="E2491" s="1" t="s">
        <v>3668</v>
      </c>
      <c r="F2491" s="1" t="s">
        <v>3380</v>
      </c>
      <c r="G2491" s="1" t="s">
        <v>3668</v>
      </c>
      <c r="H2491" s="2" t="s">
        <v>3506</v>
      </c>
      <c r="I2491" s="1" t="s">
        <v>3728</v>
      </c>
      <c r="J2491" s="1" t="s">
        <v>52</v>
      </c>
      <c r="K2491" s="2" t="s">
        <v>3506</v>
      </c>
      <c r="L2491" s="36" t="s">
        <v>69</v>
      </c>
      <c r="M2491" s="1" t="s">
        <v>69</v>
      </c>
      <c r="N2491" s="1" t="s">
        <v>3383</v>
      </c>
      <c r="O2491" s="1" t="s">
        <v>3501</v>
      </c>
      <c r="P2491" s="1" t="s">
        <v>3385</v>
      </c>
      <c r="Q2491" s="1" t="s">
        <v>3385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5" t="s">
        <v>3723</v>
      </c>
      <c r="C2492" s="1" t="s">
        <v>3724</v>
      </c>
      <c r="D2492" s="1" t="s">
        <v>14</v>
      </c>
      <c r="E2492" s="1" t="s">
        <v>3668</v>
      </c>
      <c r="F2492" s="1" t="s">
        <v>3380</v>
      </c>
      <c r="G2492" s="1" t="s">
        <v>3668</v>
      </c>
      <c r="H2492" s="2" t="s">
        <v>3508</v>
      </c>
      <c r="I2492" s="1" t="s">
        <v>3729</v>
      </c>
      <c r="J2492" s="1" t="s">
        <v>52</v>
      </c>
      <c r="K2492" s="2" t="s">
        <v>3508</v>
      </c>
      <c r="L2492" s="36" t="s">
        <v>69</v>
      </c>
      <c r="M2492" s="1" t="s">
        <v>69</v>
      </c>
      <c r="N2492" s="1" t="s">
        <v>3383</v>
      </c>
      <c r="O2492" s="1" t="s">
        <v>3501</v>
      </c>
      <c r="P2492" s="1" t="s">
        <v>3385</v>
      </c>
      <c r="Q2492" s="1" t="s">
        <v>3385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5" t="s">
        <v>3723</v>
      </c>
      <c r="C2493" s="1" t="s">
        <v>3724</v>
      </c>
      <c r="D2493" s="1" t="s">
        <v>14</v>
      </c>
      <c r="E2493" s="1" t="s">
        <v>3668</v>
      </c>
      <c r="F2493" s="1" t="s">
        <v>3380</v>
      </c>
      <c r="G2493" s="1" t="s">
        <v>3668</v>
      </c>
      <c r="H2493" s="2" t="s">
        <v>3510</v>
      </c>
      <c r="I2493" s="1" t="s">
        <v>3730</v>
      </c>
      <c r="J2493" s="1" t="s">
        <v>52</v>
      </c>
      <c r="K2493" s="2" t="s">
        <v>3510</v>
      </c>
      <c r="L2493" s="36" t="s">
        <v>69</v>
      </c>
      <c r="M2493" s="1" t="s">
        <v>69</v>
      </c>
      <c r="N2493" s="1" t="s">
        <v>3383</v>
      </c>
      <c r="O2493" s="1" t="s">
        <v>3512</v>
      </c>
      <c r="P2493" s="1" t="s">
        <v>3385</v>
      </c>
      <c r="Q2493" s="1" t="s">
        <v>3385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5" t="s">
        <v>3723</v>
      </c>
      <c r="C2494" s="1" t="s">
        <v>3724</v>
      </c>
      <c r="D2494" s="1" t="s">
        <v>14</v>
      </c>
      <c r="E2494" s="1" t="s">
        <v>3668</v>
      </c>
      <c r="F2494" s="1" t="s">
        <v>3380</v>
      </c>
      <c r="G2494" s="1" t="s">
        <v>3668</v>
      </c>
      <c r="H2494" s="2" t="s">
        <v>3513</v>
      </c>
      <c r="I2494" s="1" t="s">
        <v>3731</v>
      </c>
      <c r="J2494" s="1" t="s">
        <v>52</v>
      </c>
      <c r="K2494" s="2" t="s">
        <v>3513</v>
      </c>
      <c r="L2494" s="36" t="s">
        <v>69</v>
      </c>
      <c r="M2494" s="1" t="s">
        <v>69</v>
      </c>
      <c r="N2494" s="1" t="s">
        <v>3383</v>
      </c>
      <c r="O2494" s="1" t="s">
        <v>3512</v>
      </c>
      <c r="P2494" s="1" t="s">
        <v>3385</v>
      </c>
      <c r="Q2494" s="1" t="s">
        <v>3385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5" t="s">
        <v>3723</v>
      </c>
      <c r="C2495" s="1" t="s">
        <v>3724</v>
      </c>
      <c r="D2495" s="1" t="s">
        <v>14</v>
      </c>
      <c r="E2495" s="1" t="s">
        <v>3668</v>
      </c>
      <c r="F2495" s="1" t="s">
        <v>3380</v>
      </c>
      <c r="G2495" s="1" t="s">
        <v>3668</v>
      </c>
      <c r="H2495" s="2" t="s">
        <v>3515</v>
      </c>
      <c r="I2495" s="1" t="s">
        <v>3732</v>
      </c>
      <c r="J2495" s="1" t="s">
        <v>52</v>
      </c>
      <c r="K2495" s="2" t="s">
        <v>3515</v>
      </c>
      <c r="L2495" s="36" t="s">
        <v>69</v>
      </c>
      <c r="M2495" s="1" t="s">
        <v>69</v>
      </c>
      <c r="N2495" s="1" t="s">
        <v>3383</v>
      </c>
      <c r="O2495" s="1" t="s">
        <v>3512</v>
      </c>
      <c r="P2495" s="1" t="s">
        <v>3385</v>
      </c>
      <c r="Q2495" s="1" t="s">
        <v>3385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5" t="s">
        <v>3723</v>
      </c>
      <c r="C2496" s="1" t="s">
        <v>3724</v>
      </c>
      <c r="D2496" s="1" t="s">
        <v>14</v>
      </c>
      <c r="E2496" s="1" t="s">
        <v>3668</v>
      </c>
      <c r="F2496" s="1" t="s">
        <v>3380</v>
      </c>
      <c r="G2496" s="1" t="s">
        <v>3668</v>
      </c>
      <c r="H2496" s="2" t="s">
        <v>3517</v>
      </c>
      <c r="I2496" s="1" t="s">
        <v>3733</v>
      </c>
      <c r="J2496" s="1" t="s">
        <v>52</v>
      </c>
      <c r="K2496" s="2" t="s">
        <v>3517</v>
      </c>
      <c r="L2496" s="36" t="s">
        <v>69</v>
      </c>
      <c r="M2496" s="1" t="s">
        <v>69</v>
      </c>
      <c r="N2496" s="1" t="s">
        <v>3383</v>
      </c>
      <c r="O2496" s="1" t="s">
        <v>3512</v>
      </c>
      <c r="P2496" s="1" t="s">
        <v>3385</v>
      </c>
      <c r="Q2496" s="1" t="s">
        <v>3385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5" t="s">
        <v>3723</v>
      </c>
      <c r="C2497" s="1" t="s">
        <v>3724</v>
      </c>
      <c r="D2497" s="1" t="s">
        <v>14</v>
      </c>
      <c r="E2497" s="1" t="s">
        <v>3668</v>
      </c>
      <c r="F2497" s="1" t="s">
        <v>3380</v>
      </c>
      <c r="G2497" s="1" t="s">
        <v>3668</v>
      </c>
      <c r="H2497" s="2" t="s">
        <v>3519</v>
      </c>
      <c r="I2497" s="1" t="s">
        <v>3734</v>
      </c>
      <c r="J2497" s="1" t="s">
        <v>52</v>
      </c>
      <c r="K2497" s="2" t="s">
        <v>3519</v>
      </c>
      <c r="L2497" s="36" t="s">
        <v>69</v>
      </c>
      <c r="M2497" s="1" t="s">
        <v>69</v>
      </c>
      <c r="N2497" s="1" t="s">
        <v>3383</v>
      </c>
      <c r="O2497" s="1" t="s">
        <v>3521</v>
      </c>
      <c r="P2497" s="1" t="s">
        <v>3385</v>
      </c>
      <c r="Q2497" s="1" t="s">
        <v>3385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1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5" t="s">
        <v>3723</v>
      </c>
      <c r="C2498" s="1" t="s">
        <v>3724</v>
      </c>
      <c r="D2498" s="1" t="s">
        <v>14</v>
      </c>
      <c r="E2498" s="1" t="s">
        <v>3668</v>
      </c>
      <c r="F2498" s="1" t="s">
        <v>3380</v>
      </c>
      <c r="G2498" s="1" t="s">
        <v>3668</v>
      </c>
      <c r="H2498" s="2" t="s">
        <v>3522</v>
      </c>
      <c r="I2498" s="1" t="s">
        <v>3735</v>
      </c>
      <c r="J2498" s="1" t="s">
        <v>52</v>
      </c>
      <c r="K2498" s="2" t="s">
        <v>3522</v>
      </c>
      <c r="L2498" s="36" t="s">
        <v>69</v>
      </c>
      <c r="M2498" s="1" t="s">
        <v>69</v>
      </c>
      <c r="N2498" s="1" t="s">
        <v>3383</v>
      </c>
      <c r="O2498" s="1" t="s">
        <v>3521</v>
      </c>
      <c r="P2498" s="1" t="s">
        <v>3385</v>
      </c>
      <c r="Q2498" s="1" t="s">
        <v>3385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2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5" t="s">
        <v>3723</v>
      </c>
      <c r="C2499" s="1" t="s">
        <v>3724</v>
      </c>
      <c r="D2499" s="1" t="s">
        <v>14</v>
      </c>
      <c r="E2499" s="1" t="s">
        <v>3668</v>
      </c>
      <c r="F2499" s="1" t="s">
        <v>3380</v>
      </c>
      <c r="G2499" s="1" t="s">
        <v>3668</v>
      </c>
      <c r="H2499" s="2" t="s">
        <v>3524</v>
      </c>
      <c r="I2499" s="1" t="s">
        <v>3736</v>
      </c>
      <c r="J2499" s="1" t="s">
        <v>52</v>
      </c>
      <c r="K2499" s="2" t="s">
        <v>3524</v>
      </c>
      <c r="L2499" s="36" t="s">
        <v>69</v>
      </c>
      <c r="M2499" s="1" t="s">
        <v>69</v>
      </c>
      <c r="N2499" s="1" t="s">
        <v>3383</v>
      </c>
      <c r="O2499" s="1" t="s">
        <v>3521</v>
      </c>
      <c r="P2499" s="1" t="s">
        <v>3385</v>
      </c>
      <c r="Q2499" s="1" t="s">
        <v>3385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3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5" t="s">
        <v>3723</v>
      </c>
      <c r="C2500" s="1" t="s">
        <v>3724</v>
      </c>
      <c r="D2500" s="1" t="s">
        <v>14</v>
      </c>
      <c r="E2500" s="1" t="s">
        <v>3668</v>
      </c>
      <c r="F2500" s="1" t="s">
        <v>3380</v>
      </c>
      <c r="G2500" s="1" t="s">
        <v>3668</v>
      </c>
      <c r="H2500" s="2" t="s">
        <v>3526</v>
      </c>
      <c r="I2500" s="1" t="s">
        <v>3737</v>
      </c>
      <c r="J2500" s="1" t="s">
        <v>52</v>
      </c>
      <c r="K2500" s="2" t="s">
        <v>3526</v>
      </c>
      <c r="L2500" s="36" t="s">
        <v>69</v>
      </c>
      <c r="M2500" s="1" t="s">
        <v>69</v>
      </c>
      <c r="N2500" s="1" t="s">
        <v>3383</v>
      </c>
      <c r="O2500" s="1" t="s">
        <v>3521</v>
      </c>
      <c r="P2500" s="1" t="s">
        <v>3385</v>
      </c>
      <c r="Q2500" s="1" t="s">
        <v>3385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4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5" t="s">
        <v>3723</v>
      </c>
      <c r="C2501" s="1" t="s">
        <v>3724</v>
      </c>
      <c r="D2501" s="1" t="s">
        <v>14</v>
      </c>
      <c r="E2501" s="1" t="s">
        <v>3668</v>
      </c>
      <c r="F2501" s="1" t="s">
        <v>3380</v>
      </c>
      <c r="G2501" s="1" t="s">
        <v>3668</v>
      </c>
      <c r="H2501" s="2" t="s">
        <v>3528</v>
      </c>
      <c r="I2501" s="1" t="s">
        <v>3738</v>
      </c>
      <c r="J2501" s="1" t="s">
        <v>52</v>
      </c>
      <c r="K2501" s="2" t="s">
        <v>3528</v>
      </c>
      <c r="L2501" s="36" t="s">
        <v>69</v>
      </c>
      <c r="M2501" s="1" t="s">
        <v>69</v>
      </c>
      <c r="N2501" s="1" t="s">
        <v>3383</v>
      </c>
      <c r="O2501" s="1" t="s">
        <v>3521</v>
      </c>
      <c r="P2501" s="1" t="s">
        <v>3385</v>
      </c>
      <c r="Q2501" s="1" t="s">
        <v>3385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5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5" t="s">
        <v>3723</v>
      </c>
      <c r="C2502" s="1" t="s">
        <v>3724</v>
      </c>
      <c r="D2502" s="1" t="s">
        <v>14</v>
      </c>
      <c r="E2502" s="1" t="s">
        <v>3668</v>
      </c>
      <c r="F2502" s="1" t="s">
        <v>3380</v>
      </c>
      <c r="G2502" s="1" t="s">
        <v>3668</v>
      </c>
      <c r="H2502" s="2" t="s">
        <v>3530</v>
      </c>
      <c r="I2502" s="1" t="s">
        <v>3739</v>
      </c>
      <c r="J2502" s="1" t="s">
        <v>52</v>
      </c>
      <c r="K2502" s="1" t="s">
        <v>3530</v>
      </c>
      <c r="L2502" s="36" t="s">
        <v>69</v>
      </c>
      <c r="M2502" s="1" t="s">
        <v>69</v>
      </c>
      <c r="N2502" s="1" t="s">
        <v>3383</v>
      </c>
      <c r="O2502" s="1" t="s">
        <v>3532</v>
      </c>
      <c r="P2502" s="1" t="s">
        <v>3385</v>
      </c>
      <c r="Q2502" s="1" t="s">
        <v>3385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1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5" t="s">
        <v>3723</v>
      </c>
      <c r="C2503" s="1" t="s">
        <v>3724</v>
      </c>
      <c r="D2503" s="1" t="s">
        <v>14</v>
      </c>
      <c r="E2503" s="1" t="s">
        <v>3668</v>
      </c>
      <c r="F2503" s="1" t="s">
        <v>3380</v>
      </c>
      <c r="G2503" s="1" t="s">
        <v>3668</v>
      </c>
      <c r="H2503" s="2" t="s">
        <v>3533</v>
      </c>
      <c r="I2503" s="1" t="s">
        <v>3740</v>
      </c>
      <c r="J2503" s="1" t="s">
        <v>52</v>
      </c>
      <c r="K2503" s="1" t="s">
        <v>3533</v>
      </c>
      <c r="L2503" s="36" t="s">
        <v>69</v>
      </c>
      <c r="M2503" s="1" t="s">
        <v>69</v>
      </c>
      <c r="N2503" s="1" t="s">
        <v>3383</v>
      </c>
      <c r="O2503" s="1" t="s">
        <v>3532</v>
      </c>
      <c r="P2503" s="1" t="s">
        <v>3385</v>
      </c>
      <c r="Q2503" s="1" t="s">
        <v>3385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2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5" t="s">
        <v>3723</v>
      </c>
      <c r="C2504" s="1" t="s">
        <v>3724</v>
      </c>
      <c r="D2504" s="1" t="s">
        <v>14</v>
      </c>
      <c r="E2504" s="1" t="s">
        <v>3668</v>
      </c>
      <c r="F2504" s="1" t="s">
        <v>3380</v>
      </c>
      <c r="G2504" s="1" t="s">
        <v>3668</v>
      </c>
      <c r="H2504" s="2" t="s">
        <v>3535</v>
      </c>
      <c r="I2504" s="1" t="s">
        <v>3741</v>
      </c>
      <c r="J2504" s="1" t="s">
        <v>52</v>
      </c>
      <c r="K2504" s="1" t="s">
        <v>3535</v>
      </c>
      <c r="L2504" s="36" t="s">
        <v>69</v>
      </c>
      <c r="M2504" s="1" t="s">
        <v>69</v>
      </c>
      <c r="N2504" s="1" t="s">
        <v>3383</v>
      </c>
      <c r="O2504" s="1" t="s">
        <v>3532</v>
      </c>
      <c r="P2504" s="1" t="s">
        <v>3385</v>
      </c>
      <c r="Q2504" s="1" t="s">
        <v>3385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3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5" t="s">
        <v>3723</v>
      </c>
      <c r="C2505" s="1" t="s">
        <v>3724</v>
      </c>
      <c r="D2505" s="1" t="s">
        <v>14</v>
      </c>
      <c r="E2505" s="1" t="s">
        <v>3668</v>
      </c>
      <c r="F2505" s="1" t="s">
        <v>3380</v>
      </c>
      <c r="G2505" s="1" t="s">
        <v>3668</v>
      </c>
      <c r="H2505" s="2" t="s">
        <v>3537</v>
      </c>
      <c r="I2505" s="1" t="s">
        <v>3742</v>
      </c>
      <c r="J2505" s="1" t="s">
        <v>52</v>
      </c>
      <c r="K2505" s="1" t="s">
        <v>3537</v>
      </c>
      <c r="L2505" s="36" t="s">
        <v>69</v>
      </c>
      <c r="M2505" s="1" t="s">
        <v>69</v>
      </c>
      <c r="N2505" s="1" t="s">
        <v>3383</v>
      </c>
      <c r="O2505" s="1" t="s">
        <v>3532</v>
      </c>
      <c r="P2505" s="1" t="s">
        <v>3385</v>
      </c>
      <c r="Q2505" s="1" t="s">
        <v>3385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4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5" t="s">
        <v>3723</v>
      </c>
      <c r="C2506" s="1" t="s">
        <v>3724</v>
      </c>
      <c r="D2506" s="1" t="s">
        <v>14</v>
      </c>
      <c r="E2506" s="1" t="s">
        <v>3668</v>
      </c>
      <c r="F2506" s="1" t="s">
        <v>3380</v>
      </c>
      <c r="G2506" s="1" t="s">
        <v>3668</v>
      </c>
      <c r="H2506" s="2" t="s">
        <v>3539</v>
      </c>
      <c r="I2506" s="1" t="s">
        <v>3743</v>
      </c>
      <c r="J2506" s="1" t="s">
        <v>52</v>
      </c>
      <c r="K2506" s="1" t="s">
        <v>3539</v>
      </c>
      <c r="L2506" s="36" t="s">
        <v>69</v>
      </c>
      <c r="M2506" s="1" t="s">
        <v>69</v>
      </c>
      <c r="N2506" s="1" t="s">
        <v>3383</v>
      </c>
      <c r="O2506" s="1" t="s">
        <v>3532</v>
      </c>
      <c r="P2506" s="1" t="s">
        <v>3385</v>
      </c>
      <c r="Q2506" s="1" t="s">
        <v>3385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5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5" t="s">
        <v>3723</v>
      </c>
      <c r="C2507" s="1" t="s">
        <v>3724</v>
      </c>
      <c r="D2507" s="1" t="s">
        <v>14</v>
      </c>
      <c r="E2507" s="1" t="s">
        <v>3668</v>
      </c>
      <c r="F2507" s="1" t="s">
        <v>3380</v>
      </c>
      <c r="G2507" s="1" t="s">
        <v>3668</v>
      </c>
      <c r="H2507" s="2" t="s">
        <v>3541</v>
      </c>
      <c r="I2507" s="1" t="s">
        <v>3744</v>
      </c>
      <c r="J2507" s="1" t="s">
        <v>52</v>
      </c>
      <c r="K2507" s="1" t="s">
        <v>3541</v>
      </c>
      <c r="L2507" s="36" t="s">
        <v>69</v>
      </c>
      <c r="M2507" s="1" t="s">
        <v>69</v>
      </c>
      <c r="N2507" s="1" t="s">
        <v>3383</v>
      </c>
      <c r="O2507" s="1" t="s">
        <v>3543</v>
      </c>
      <c r="P2507" s="1" t="s">
        <v>3385</v>
      </c>
      <c r="Q2507" s="1" t="s">
        <v>3385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5" t="s">
        <v>3723</v>
      </c>
      <c r="C2508" s="1" t="s">
        <v>3724</v>
      </c>
      <c r="D2508" s="1" t="s">
        <v>14</v>
      </c>
      <c r="E2508" s="1" t="s">
        <v>3668</v>
      </c>
      <c r="F2508" s="1" t="s">
        <v>3380</v>
      </c>
      <c r="G2508" s="1" t="s">
        <v>3668</v>
      </c>
      <c r="H2508" s="2" t="s">
        <v>3544</v>
      </c>
      <c r="I2508" s="1" t="s">
        <v>3745</v>
      </c>
      <c r="J2508" s="1" t="s">
        <v>52</v>
      </c>
      <c r="K2508" s="1" t="s">
        <v>3544</v>
      </c>
      <c r="L2508" s="36" t="s">
        <v>69</v>
      </c>
      <c r="M2508" s="1" t="s">
        <v>69</v>
      </c>
      <c r="N2508" s="1" t="s">
        <v>3383</v>
      </c>
      <c r="O2508" s="1" t="s">
        <v>3543</v>
      </c>
      <c r="P2508" s="1" t="s">
        <v>3385</v>
      </c>
      <c r="Q2508" s="1" t="s">
        <v>3385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5" t="s">
        <v>3723</v>
      </c>
      <c r="C2509" s="1" t="s">
        <v>3724</v>
      </c>
      <c r="D2509" s="1" t="s">
        <v>14</v>
      </c>
      <c r="E2509" s="1" t="s">
        <v>3668</v>
      </c>
      <c r="F2509" s="1" t="s">
        <v>3380</v>
      </c>
      <c r="G2509" s="1" t="s">
        <v>3668</v>
      </c>
      <c r="H2509" s="2" t="s">
        <v>3546</v>
      </c>
      <c r="I2509" s="1" t="s">
        <v>3746</v>
      </c>
      <c r="J2509" s="1" t="s">
        <v>52</v>
      </c>
      <c r="K2509" s="1" t="s">
        <v>3546</v>
      </c>
      <c r="L2509" s="36" t="s">
        <v>69</v>
      </c>
      <c r="M2509" s="1" t="s">
        <v>69</v>
      </c>
      <c r="N2509" s="1" t="s">
        <v>3383</v>
      </c>
      <c r="O2509" s="1" t="s">
        <v>3543</v>
      </c>
      <c r="P2509" s="1" t="s">
        <v>3385</v>
      </c>
      <c r="Q2509" s="1" t="s">
        <v>3385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5" t="s">
        <v>3723</v>
      </c>
      <c r="C2510" s="1" t="s">
        <v>3724</v>
      </c>
      <c r="D2510" s="1" t="s">
        <v>14</v>
      </c>
      <c r="E2510" s="1" t="s">
        <v>3668</v>
      </c>
      <c r="F2510" s="1" t="s">
        <v>3380</v>
      </c>
      <c r="G2510" s="1" t="s">
        <v>3668</v>
      </c>
      <c r="H2510" s="2" t="s">
        <v>3548</v>
      </c>
      <c r="I2510" s="1" t="s">
        <v>3747</v>
      </c>
      <c r="J2510" s="1" t="s">
        <v>52</v>
      </c>
      <c r="K2510" s="1" t="s">
        <v>3548</v>
      </c>
      <c r="L2510" s="36" t="s">
        <v>69</v>
      </c>
      <c r="M2510" s="1" t="s">
        <v>69</v>
      </c>
      <c r="N2510" s="1" t="s">
        <v>3383</v>
      </c>
      <c r="O2510" s="1" t="s">
        <v>3543</v>
      </c>
      <c r="P2510" s="1" t="s">
        <v>3385</v>
      </c>
      <c r="Q2510" s="1" t="s">
        <v>3385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5" t="s">
        <v>3723</v>
      </c>
      <c r="C2511" s="1" t="s">
        <v>3724</v>
      </c>
      <c r="D2511" s="1" t="s">
        <v>14</v>
      </c>
      <c r="E2511" s="1" t="s">
        <v>3668</v>
      </c>
      <c r="F2511" s="1" t="s">
        <v>3380</v>
      </c>
      <c r="G2511" s="1" t="s">
        <v>3668</v>
      </c>
      <c r="H2511" s="2" t="s">
        <v>3550</v>
      </c>
      <c r="I2511" s="1" t="s">
        <v>3748</v>
      </c>
      <c r="J2511" s="1" t="s">
        <v>52</v>
      </c>
      <c r="K2511" s="1" t="s">
        <v>3550</v>
      </c>
      <c r="L2511" s="36" t="s">
        <v>69</v>
      </c>
      <c r="M2511" s="1" t="s">
        <v>69</v>
      </c>
      <c r="N2511" s="1" t="s">
        <v>3383</v>
      </c>
      <c r="O2511" s="1" t="s">
        <v>3543</v>
      </c>
      <c r="P2511" s="1" t="s">
        <v>3385</v>
      </c>
      <c r="Q2511" s="1" t="s">
        <v>3385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5" t="s">
        <v>3723</v>
      </c>
      <c r="C2512" s="1" t="s">
        <v>3724</v>
      </c>
      <c r="D2512" s="1" t="s">
        <v>14</v>
      </c>
      <c r="E2512" s="1" t="s">
        <v>3668</v>
      </c>
      <c r="F2512" s="1" t="s">
        <v>3380</v>
      </c>
      <c r="G2512" s="1" t="s">
        <v>3668</v>
      </c>
      <c r="H2512" s="2" t="s">
        <v>3436</v>
      </c>
      <c r="I2512" s="1" t="s">
        <v>3693</v>
      </c>
      <c r="J2512" s="1" t="s">
        <v>52</v>
      </c>
      <c r="K2512" s="2" t="s">
        <v>3436</v>
      </c>
      <c r="L2512" s="5" t="s">
        <v>69</v>
      </c>
      <c r="M2512" s="5" t="s">
        <v>69</v>
      </c>
      <c r="N2512" s="1" t="s">
        <v>1935</v>
      </c>
      <c r="O2512" s="1" t="s">
        <v>46</v>
      </c>
      <c r="P2512" s="1" t="s">
        <v>46</v>
      </c>
      <c r="Q2512" s="1" t="s">
        <v>46</v>
      </c>
      <c r="R2512" s="5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5" t="s">
        <v>3723</v>
      </c>
      <c r="C2513" s="1" t="s">
        <v>3724</v>
      </c>
      <c r="D2513" s="1" t="s">
        <v>14</v>
      </c>
      <c r="E2513" s="1" t="s">
        <v>3668</v>
      </c>
      <c r="F2513" s="1" t="s">
        <v>3380</v>
      </c>
      <c r="G2513" s="1" t="s">
        <v>3668</v>
      </c>
      <c r="H2513" s="2" t="s">
        <v>3438</v>
      </c>
      <c r="I2513" s="1" t="s">
        <v>3694</v>
      </c>
      <c r="J2513" s="1" t="s">
        <v>52</v>
      </c>
      <c r="K2513" s="2" t="s">
        <v>3438</v>
      </c>
      <c r="L2513" s="5" t="s">
        <v>69</v>
      </c>
      <c r="M2513" s="5" t="s">
        <v>69</v>
      </c>
      <c r="N2513" s="1" t="s">
        <v>1935</v>
      </c>
      <c r="O2513" s="1" t="s">
        <v>46</v>
      </c>
      <c r="P2513" s="1" t="s">
        <v>46</v>
      </c>
      <c r="Q2513" s="1" t="s">
        <v>46</v>
      </c>
      <c r="R2513" s="5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5" t="s">
        <v>3723</v>
      </c>
      <c r="C2514" s="1" t="s">
        <v>3724</v>
      </c>
      <c r="D2514" s="1" t="s">
        <v>14</v>
      </c>
      <c r="E2514" s="1" t="s">
        <v>3668</v>
      </c>
      <c r="F2514" s="1" t="s">
        <v>3380</v>
      </c>
      <c r="G2514" s="1" t="s">
        <v>3668</v>
      </c>
      <c r="H2514" s="2" t="s">
        <v>3440</v>
      </c>
      <c r="I2514" s="1" t="s">
        <v>3695</v>
      </c>
      <c r="J2514" s="1" t="s">
        <v>52</v>
      </c>
      <c r="K2514" s="2" t="s">
        <v>3440</v>
      </c>
      <c r="L2514" s="5" t="s">
        <v>69</v>
      </c>
      <c r="M2514" s="5" t="s">
        <v>69</v>
      </c>
      <c r="N2514" s="1" t="s">
        <v>1935</v>
      </c>
      <c r="O2514" s="1" t="s">
        <v>46</v>
      </c>
      <c r="P2514" s="1" t="s">
        <v>46</v>
      </c>
      <c r="Q2514" s="1" t="s">
        <v>46</v>
      </c>
      <c r="R2514" s="5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5" t="s">
        <v>3723</v>
      </c>
      <c r="C2515" s="1" t="s">
        <v>3724</v>
      </c>
      <c r="D2515" s="1" t="s">
        <v>14</v>
      </c>
      <c r="E2515" s="1" t="s">
        <v>3668</v>
      </c>
      <c r="F2515" s="1" t="s">
        <v>3380</v>
      </c>
      <c r="G2515" s="1" t="s">
        <v>3668</v>
      </c>
      <c r="H2515" s="2" t="s">
        <v>3442</v>
      </c>
      <c r="I2515" s="1" t="s">
        <v>3696</v>
      </c>
      <c r="J2515" s="1" t="s">
        <v>52</v>
      </c>
      <c r="K2515" s="2" t="s">
        <v>3442</v>
      </c>
      <c r="L2515" s="5" t="s">
        <v>69</v>
      </c>
      <c r="M2515" s="5" t="s">
        <v>69</v>
      </c>
      <c r="N2515" s="1" t="s">
        <v>1935</v>
      </c>
      <c r="O2515" s="1" t="s">
        <v>46</v>
      </c>
      <c r="P2515" s="1" t="s">
        <v>46</v>
      </c>
      <c r="Q2515" s="1" t="s">
        <v>46</v>
      </c>
      <c r="R2515" s="5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5" t="s">
        <v>3723</v>
      </c>
      <c r="C2516" s="1" t="s">
        <v>3724</v>
      </c>
      <c r="D2516" s="1" t="s">
        <v>14</v>
      </c>
      <c r="E2516" s="1" t="s">
        <v>3668</v>
      </c>
      <c r="F2516" s="1" t="s">
        <v>3380</v>
      </c>
      <c r="G2516" s="1" t="s">
        <v>3668</v>
      </c>
      <c r="H2516" s="2" t="s">
        <v>3444</v>
      </c>
      <c r="I2516" s="1" t="s">
        <v>3697</v>
      </c>
      <c r="J2516" s="1" t="s">
        <v>52</v>
      </c>
      <c r="K2516" s="2" t="s">
        <v>3444</v>
      </c>
      <c r="L2516" s="5" t="s">
        <v>69</v>
      </c>
      <c r="M2516" s="5" t="s">
        <v>69</v>
      </c>
      <c r="N2516" s="1" t="s">
        <v>1935</v>
      </c>
      <c r="O2516" s="1" t="s">
        <v>46</v>
      </c>
      <c r="P2516" s="1" t="s">
        <v>46</v>
      </c>
      <c r="Q2516" s="1" t="s">
        <v>46</v>
      </c>
      <c r="R2516" s="5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5" t="s">
        <v>3723</v>
      </c>
      <c r="C2517" s="1" t="s">
        <v>3724</v>
      </c>
      <c r="D2517" s="1" t="s">
        <v>14</v>
      </c>
      <c r="E2517" s="1" t="s">
        <v>3668</v>
      </c>
      <c r="F2517" s="1" t="s">
        <v>3380</v>
      </c>
      <c r="G2517" s="1" t="s">
        <v>3668</v>
      </c>
      <c r="H2517" s="2" t="s">
        <v>3446</v>
      </c>
      <c r="I2517" s="1" t="s">
        <v>3698</v>
      </c>
      <c r="J2517" s="1" t="s">
        <v>52</v>
      </c>
      <c r="K2517" s="2" t="s">
        <v>3446</v>
      </c>
      <c r="L2517" s="5" t="s">
        <v>69</v>
      </c>
      <c r="M2517" s="5" t="s">
        <v>69</v>
      </c>
      <c r="N2517" s="1" t="s">
        <v>1935</v>
      </c>
      <c r="O2517" s="1" t="s">
        <v>46</v>
      </c>
      <c r="P2517" s="1" t="s">
        <v>46</v>
      </c>
      <c r="Q2517" s="1" t="s">
        <v>46</v>
      </c>
      <c r="R2517" s="5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5" t="s">
        <v>3723</v>
      </c>
      <c r="C2518" s="1" t="s">
        <v>3724</v>
      </c>
      <c r="D2518" s="1" t="s">
        <v>14</v>
      </c>
      <c r="E2518" s="1" t="s">
        <v>3668</v>
      </c>
      <c r="F2518" s="1" t="s">
        <v>3380</v>
      </c>
      <c r="G2518" s="1" t="s">
        <v>3668</v>
      </c>
      <c r="H2518" s="2" t="s">
        <v>3448</v>
      </c>
      <c r="I2518" s="1" t="s">
        <v>3699</v>
      </c>
      <c r="J2518" s="1" t="s">
        <v>52</v>
      </c>
      <c r="K2518" s="2" t="s">
        <v>3448</v>
      </c>
      <c r="L2518" s="5" t="s">
        <v>69</v>
      </c>
      <c r="M2518" s="5" t="s">
        <v>69</v>
      </c>
      <c r="N2518" s="1" t="s">
        <v>1935</v>
      </c>
      <c r="O2518" s="1" t="s">
        <v>46</v>
      </c>
      <c r="P2518" s="1" t="s">
        <v>46</v>
      </c>
      <c r="Q2518" s="1" t="s">
        <v>46</v>
      </c>
      <c r="R2518" s="5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5" t="s">
        <v>3723</v>
      </c>
      <c r="C2519" s="1" t="s">
        <v>3724</v>
      </c>
      <c r="D2519" s="1" t="s">
        <v>14</v>
      </c>
      <c r="E2519" s="1" t="s">
        <v>3668</v>
      </c>
      <c r="F2519" s="1" t="s">
        <v>3380</v>
      </c>
      <c r="G2519" s="1" t="s">
        <v>3668</v>
      </c>
      <c r="H2519" s="2" t="s">
        <v>3450</v>
      </c>
      <c r="I2519" s="1" t="s">
        <v>3700</v>
      </c>
      <c r="J2519" s="1" t="s">
        <v>52</v>
      </c>
      <c r="K2519" s="2" t="s">
        <v>3450</v>
      </c>
      <c r="L2519" s="5" t="s">
        <v>69</v>
      </c>
      <c r="M2519" s="5" t="s">
        <v>69</v>
      </c>
      <c r="N2519" s="1" t="s">
        <v>1935</v>
      </c>
      <c r="O2519" s="1" t="s">
        <v>46</v>
      </c>
      <c r="P2519" s="1" t="s">
        <v>46</v>
      </c>
      <c r="Q2519" s="1" t="s">
        <v>46</v>
      </c>
      <c r="R2519" s="5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5" t="s">
        <v>3723</v>
      </c>
      <c r="C2520" s="1" t="s">
        <v>3724</v>
      </c>
      <c r="D2520" s="1" t="s">
        <v>14</v>
      </c>
      <c r="E2520" s="1" t="s">
        <v>3668</v>
      </c>
      <c r="F2520" s="1" t="s">
        <v>3380</v>
      </c>
      <c r="G2520" s="1" t="s">
        <v>3668</v>
      </c>
      <c r="H2520" s="2" t="s">
        <v>3452</v>
      </c>
      <c r="I2520" s="1" t="s">
        <v>3701</v>
      </c>
      <c r="J2520" s="1" t="s">
        <v>52</v>
      </c>
      <c r="K2520" s="2" t="s">
        <v>3452</v>
      </c>
      <c r="L2520" s="5" t="s">
        <v>69</v>
      </c>
      <c r="M2520" s="5" t="s">
        <v>69</v>
      </c>
      <c r="N2520" s="1" t="s">
        <v>1935</v>
      </c>
      <c r="O2520" s="1" t="s">
        <v>46</v>
      </c>
      <c r="P2520" s="1" t="s">
        <v>46</v>
      </c>
      <c r="Q2520" s="1" t="s">
        <v>46</v>
      </c>
      <c r="R2520" s="5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5" t="s">
        <v>3723</v>
      </c>
      <c r="C2521" s="1" t="s">
        <v>3724</v>
      </c>
      <c r="D2521" s="1" t="s">
        <v>14</v>
      </c>
      <c r="E2521" s="1" t="s">
        <v>3668</v>
      </c>
      <c r="F2521" s="1" t="s">
        <v>3380</v>
      </c>
      <c r="G2521" s="1" t="s">
        <v>3668</v>
      </c>
      <c r="H2521" s="2" t="s">
        <v>3454</v>
      </c>
      <c r="I2521" s="1" t="s">
        <v>3702</v>
      </c>
      <c r="J2521" s="1" t="s">
        <v>52</v>
      </c>
      <c r="K2521" s="2" t="s">
        <v>3454</v>
      </c>
      <c r="L2521" s="5" t="s">
        <v>69</v>
      </c>
      <c r="M2521" s="5" t="s">
        <v>69</v>
      </c>
      <c r="N2521" s="1" t="s">
        <v>1935</v>
      </c>
      <c r="O2521" s="1" t="s">
        <v>46</v>
      </c>
      <c r="P2521" s="1" t="s">
        <v>46</v>
      </c>
      <c r="Q2521" s="1" t="s">
        <v>46</v>
      </c>
      <c r="R2521" s="5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5" t="s">
        <v>3723</v>
      </c>
      <c r="C2522" s="1" t="s">
        <v>3724</v>
      </c>
      <c r="D2522" s="1" t="s">
        <v>14</v>
      </c>
      <c r="E2522" s="1" t="s">
        <v>3668</v>
      </c>
      <c r="F2522" s="1" t="s">
        <v>3380</v>
      </c>
      <c r="G2522" s="1" t="s">
        <v>3668</v>
      </c>
      <c r="H2522" s="2" t="s">
        <v>3456</v>
      </c>
      <c r="I2522" s="1" t="s">
        <v>3703</v>
      </c>
      <c r="J2522" s="1" t="s">
        <v>52</v>
      </c>
      <c r="K2522" s="2" t="s">
        <v>3456</v>
      </c>
      <c r="L2522" s="5" t="s">
        <v>69</v>
      </c>
      <c r="M2522" s="5" t="s">
        <v>69</v>
      </c>
      <c r="N2522" s="1" t="s">
        <v>1935</v>
      </c>
      <c r="O2522" s="1" t="s">
        <v>46</v>
      </c>
      <c r="P2522" s="1" t="s">
        <v>46</v>
      </c>
      <c r="Q2522" s="1" t="s">
        <v>46</v>
      </c>
      <c r="R2522" s="5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5" t="s">
        <v>3723</v>
      </c>
      <c r="C2523" s="1" t="s">
        <v>3724</v>
      </c>
      <c r="D2523" s="1" t="s">
        <v>14</v>
      </c>
      <c r="E2523" s="1" t="s">
        <v>3668</v>
      </c>
      <c r="F2523" s="1" t="s">
        <v>3380</v>
      </c>
      <c r="G2523" s="1" t="s">
        <v>3668</v>
      </c>
      <c r="H2523" s="2" t="s">
        <v>3458</v>
      </c>
      <c r="I2523" s="1" t="s">
        <v>3704</v>
      </c>
      <c r="J2523" s="1" t="s">
        <v>52</v>
      </c>
      <c r="K2523" s="2" t="s">
        <v>3458</v>
      </c>
      <c r="L2523" s="5" t="s">
        <v>69</v>
      </c>
      <c r="M2523" s="5" t="s">
        <v>69</v>
      </c>
      <c r="N2523" s="1" t="s">
        <v>1935</v>
      </c>
      <c r="O2523" s="1" t="s">
        <v>46</v>
      </c>
      <c r="P2523" s="1" t="s">
        <v>46</v>
      </c>
      <c r="Q2523" s="1" t="s">
        <v>46</v>
      </c>
      <c r="R2523" s="5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5" t="s">
        <v>3723</v>
      </c>
      <c r="C2524" s="1" t="s">
        <v>3724</v>
      </c>
      <c r="D2524" s="1" t="s">
        <v>14</v>
      </c>
      <c r="E2524" s="1" t="s">
        <v>3668</v>
      </c>
      <c r="F2524" s="1" t="s">
        <v>3380</v>
      </c>
      <c r="G2524" s="1" t="s">
        <v>3668</v>
      </c>
      <c r="H2524" s="2" t="s">
        <v>3460</v>
      </c>
      <c r="I2524" s="1" t="s">
        <v>3705</v>
      </c>
      <c r="J2524" s="1" t="s">
        <v>52</v>
      </c>
      <c r="K2524" s="2" t="s">
        <v>3460</v>
      </c>
      <c r="L2524" s="5" t="s">
        <v>69</v>
      </c>
      <c r="M2524" s="5" t="s">
        <v>69</v>
      </c>
      <c r="N2524" s="1" t="s">
        <v>1935</v>
      </c>
      <c r="O2524" s="1" t="s">
        <v>46</v>
      </c>
      <c r="P2524" s="1" t="s">
        <v>46</v>
      </c>
      <c r="Q2524" s="1" t="s">
        <v>46</v>
      </c>
      <c r="R2524" s="5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5" t="s">
        <v>3723</v>
      </c>
      <c r="C2525" s="1" t="s">
        <v>3724</v>
      </c>
      <c r="D2525" s="1" t="s">
        <v>14</v>
      </c>
      <c r="E2525" s="1" t="s">
        <v>3668</v>
      </c>
      <c r="F2525" s="1" t="s">
        <v>3380</v>
      </c>
      <c r="G2525" s="1" t="s">
        <v>3668</v>
      </c>
      <c r="H2525" s="2" t="s">
        <v>3462</v>
      </c>
      <c r="I2525" s="1" t="s">
        <v>3706</v>
      </c>
      <c r="J2525" s="1" t="s">
        <v>52</v>
      </c>
      <c r="K2525" s="2" t="s">
        <v>3462</v>
      </c>
      <c r="L2525" s="5" t="s">
        <v>69</v>
      </c>
      <c r="M2525" s="5" t="s">
        <v>69</v>
      </c>
      <c r="N2525" s="1" t="s">
        <v>1935</v>
      </c>
      <c r="O2525" s="1" t="s">
        <v>46</v>
      </c>
      <c r="P2525" s="1" t="s">
        <v>46</v>
      </c>
      <c r="Q2525" s="1" t="s">
        <v>46</v>
      </c>
      <c r="R2525" s="5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5" t="s">
        <v>3723</v>
      </c>
      <c r="C2526" s="1" t="s">
        <v>3724</v>
      </c>
      <c r="D2526" s="1" t="s">
        <v>14</v>
      </c>
      <c r="E2526" s="1" t="s">
        <v>3668</v>
      </c>
      <c r="F2526" s="1" t="s">
        <v>3380</v>
      </c>
      <c r="G2526" s="1" t="s">
        <v>3668</v>
      </c>
      <c r="H2526" s="2" t="s">
        <v>3464</v>
      </c>
      <c r="I2526" s="1" t="s">
        <v>3707</v>
      </c>
      <c r="J2526" s="1" t="s">
        <v>52</v>
      </c>
      <c r="K2526" s="2" t="s">
        <v>3464</v>
      </c>
      <c r="L2526" s="5" t="s">
        <v>69</v>
      </c>
      <c r="M2526" s="5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5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5" t="s">
        <v>3723</v>
      </c>
      <c r="C2527" s="1" t="s">
        <v>3724</v>
      </c>
      <c r="D2527" s="1" t="s">
        <v>14</v>
      </c>
      <c r="E2527" s="1" t="s">
        <v>3668</v>
      </c>
      <c r="F2527" s="1" t="s">
        <v>3380</v>
      </c>
      <c r="G2527" s="1" t="s">
        <v>3668</v>
      </c>
      <c r="H2527" s="2" t="s">
        <v>3466</v>
      </c>
      <c r="I2527" s="1" t="s">
        <v>3708</v>
      </c>
      <c r="J2527" s="1" t="s">
        <v>52</v>
      </c>
      <c r="K2527" s="2" t="s">
        <v>3466</v>
      </c>
      <c r="L2527" s="5" t="s">
        <v>69</v>
      </c>
      <c r="M2527" s="5" t="s">
        <v>69</v>
      </c>
      <c r="N2527" s="1" t="s">
        <v>3468</v>
      </c>
      <c r="O2527" s="1" t="s">
        <v>46</v>
      </c>
      <c r="P2527" s="1" t="s">
        <v>46</v>
      </c>
      <c r="Q2527" s="1" t="s">
        <v>46</v>
      </c>
      <c r="R2527" s="5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5" t="s">
        <v>3723</v>
      </c>
      <c r="C2528" s="1" t="s">
        <v>3724</v>
      </c>
      <c r="D2528" s="1" t="s">
        <v>14</v>
      </c>
      <c r="E2528" s="1" t="s">
        <v>3668</v>
      </c>
      <c r="F2528" s="1" t="s">
        <v>3380</v>
      </c>
      <c r="G2528" s="1" t="s">
        <v>3668</v>
      </c>
      <c r="H2528" s="2" t="s">
        <v>3469</v>
      </c>
      <c r="I2528" s="1" t="s">
        <v>3709</v>
      </c>
      <c r="J2528" s="1" t="s">
        <v>52</v>
      </c>
      <c r="K2528" s="2" t="s">
        <v>3469</v>
      </c>
      <c r="L2528" s="5" t="s">
        <v>69</v>
      </c>
      <c r="M2528" s="5" t="s">
        <v>69</v>
      </c>
      <c r="N2528" s="1" t="s">
        <v>3468</v>
      </c>
      <c r="O2528" s="1" t="s">
        <v>46</v>
      </c>
      <c r="P2528" s="1" t="s">
        <v>46</v>
      </c>
      <c r="Q2528" s="1" t="s">
        <v>46</v>
      </c>
      <c r="R2528" s="5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5" t="s">
        <v>3723</v>
      </c>
      <c r="C2529" s="1" t="s">
        <v>3724</v>
      </c>
      <c r="D2529" s="1" t="s">
        <v>14</v>
      </c>
      <c r="E2529" s="1" t="s">
        <v>3668</v>
      </c>
      <c r="F2529" s="1" t="s">
        <v>3380</v>
      </c>
      <c r="G2529" s="1" t="s">
        <v>3668</v>
      </c>
      <c r="H2529" s="2" t="s">
        <v>3471</v>
      </c>
      <c r="I2529" s="1" t="s">
        <v>3710</v>
      </c>
      <c r="J2529" s="1" t="s">
        <v>52</v>
      </c>
      <c r="K2529" s="2" t="s">
        <v>3471</v>
      </c>
      <c r="L2529" s="5" t="s">
        <v>69</v>
      </c>
      <c r="M2529" s="5" t="s">
        <v>69</v>
      </c>
      <c r="N2529" s="1" t="s">
        <v>3468</v>
      </c>
      <c r="O2529" s="1" t="s">
        <v>46</v>
      </c>
      <c r="P2529" s="1" t="s">
        <v>46</v>
      </c>
      <c r="Q2529" s="1" t="s">
        <v>46</v>
      </c>
      <c r="R2529" s="5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5" t="s">
        <v>3723</v>
      </c>
      <c r="C2530" s="1" t="s">
        <v>3724</v>
      </c>
      <c r="D2530" s="1" t="s">
        <v>14</v>
      </c>
      <c r="E2530" s="1" t="s">
        <v>3668</v>
      </c>
      <c r="F2530" s="1" t="s">
        <v>3380</v>
      </c>
      <c r="G2530" s="1" t="s">
        <v>3668</v>
      </c>
      <c r="H2530" s="2" t="s">
        <v>3473</v>
      </c>
      <c r="I2530" s="1" t="s">
        <v>3711</v>
      </c>
      <c r="J2530" s="1" t="s">
        <v>52</v>
      </c>
      <c r="K2530" s="2" t="s">
        <v>3473</v>
      </c>
      <c r="L2530" s="5" t="s">
        <v>69</v>
      </c>
      <c r="M2530" s="5" t="s">
        <v>69</v>
      </c>
      <c r="N2530" s="1" t="s">
        <v>3468</v>
      </c>
      <c r="O2530" s="1" t="s">
        <v>46</v>
      </c>
      <c r="P2530" s="1" t="s">
        <v>46</v>
      </c>
      <c r="Q2530" s="1" t="s">
        <v>46</v>
      </c>
      <c r="R2530" s="5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5" t="s">
        <v>3723</v>
      </c>
      <c r="C2531" s="1" t="s">
        <v>3724</v>
      </c>
      <c r="D2531" s="1" t="s">
        <v>14</v>
      </c>
      <c r="E2531" s="1" t="s">
        <v>3668</v>
      </c>
      <c r="F2531" s="1" t="s">
        <v>3380</v>
      </c>
      <c r="G2531" s="1" t="s">
        <v>3668</v>
      </c>
      <c r="H2531" s="2" t="s">
        <v>3475</v>
      </c>
      <c r="I2531" s="1" t="s">
        <v>3712</v>
      </c>
      <c r="J2531" s="1" t="s">
        <v>52</v>
      </c>
      <c r="K2531" s="2" t="s">
        <v>3475</v>
      </c>
      <c r="L2531" s="5" t="s">
        <v>69</v>
      </c>
      <c r="M2531" s="5" t="s">
        <v>69</v>
      </c>
      <c r="N2531" s="1" t="s">
        <v>3468</v>
      </c>
      <c r="O2531" s="1" t="s">
        <v>46</v>
      </c>
      <c r="P2531" s="1" t="s">
        <v>46</v>
      </c>
      <c r="Q2531" s="1" t="s">
        <v>46</v>
      </c>
      <c r="R2531" s="5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5" t="s">
        <v>3723</v>
      </c>
      <c r="C2532" s="1" t="s">
        <v>3724</v>
      </c>
      <c r="D2532" s="1" t="s">
        <v>14</v>
      </c>
      <c r="E2532" s="1" t="s">
        <v>3668</v>
      </c>
      <c r="F2532" s="1" t="s">
        <v>3380</v>
      </c>
      <c r="G2532" s="1" t="s">
        <v>3668</v>
      </c>
      <c r="H2532" s="2" t="s">
        <v>3477</v>
      </c>
      <c r="I2532" s="1" t="s">
        <v>3713</v>
      </c>
      <c r="J2532" s="1" t="s">
        <v>52</v>
      </c>
      <c r="K2532" s="2" t="s">
        <v>3477</v>
      </c>
      <c r="L2532" s="5" t="s">
        <v>69</v>
      </c>
      <c r="M2532" s="5" t="s">
        <v>69</v>
      </c>
      <c r="N2532" s="1" t="s">
        <v>3468</v>
      </c>
      <c r="O2532" s="1" t="s">
        <v>46</v>
      </c>
      <c r="P2532" s="1" t="s">
        <v>46</v>
      </c>
      <c r="Q2532" s="1" t="s">
        <v>46</v>
      </c>
      <c r="R2532" s="5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5" t="s">
        <v>3723</v>
      </c>
      <c r="C2533" s="1" t="s">
        <v>3724</v>
      </c>
      <c r="D2533" s="1" t="s">
        <v>14</v>
      </c>
      <c r="E2533" s="1" t="s">
        <v>3668</v>
      </c>
      <c r="F2533" s="1" t="s">
        <v>3380</v>
      </c>
      <c r="G2533" s="1" t="s">
        <v>3668</v>
      </c>
      <c r="H2533" s="2" t="s">
        <v>3479</v>
      </c>
      <c r="I2533" s="1" t="s">
        <v>3714</v>
      </c>
      <c r="J2533" s="1" t="s">
        <v>52</v>
      </c>
      <c r="K2533" s="2" t="s">
        <v>3479</v>
      </c>
      <c r="L2533" s="5" t="s">
        <v>69</v>
      </c>
      <c r="M2533" s="5" t="s">
        <v>69</v>
      </c>
      <c r="N2533" s="1" t="s">
        <v>3468</v>
      </c>
      <c r="O2533" s="1" t="s">
        <v>46</v>
      </c>
      <c r="P2533" s="1" t="s">
        <v>46</v>
      </c>
      <c r="Q2533" s="1" t="s">
        <v>46</v>
      </c>
      <c r="R2533" s="5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5" t="s">
        <v>3723</v>
      </c>
      <c r="C2534" s="1" t="s">
        <v>3724</v>
      </c>
      <c r="D2534" s="1" t="s">
        <v>14</v>
      </c>
      <c r="E2534" s="1" t="s">
        <v>3668</v>
      </c>
      <c r="F2534" s="1" t="s">
        <v>3380</v>
      </c>
      <c r="G2534" s="1" t="s">
        <v>3668</v>
      </c>
      <c r="H2534" s="2" t="s">
        <v>3481</v>
      </c>
      <c r="I2534" s="1" t="s">
        <v>3715</v>
      </c>
      <c r="J2534" s="1" t="s">
        <v>52</v>
      </c>
      <c r="K2534" s="2" t="s">
        <v>3481</v>
      </c>
      <c r="L2534" s="5" t="s">
        <v>69</v>
      </c>
      <c r="M2534" s="5" t="s">
        <v>69</v>
      </c>
      <c r="N2534" s="1" t="s">
        <v>3468</v>
      </c>
      <c r="O2534" s="1" t="s">
        <v>46</v>
      </c>
      <c r="P2534" s="1" t="s">
        <v>46</v>
      </c>
      <c r="Q2534" s="1" t="s">
        <v>46</v>
      </c>
      <c r="R2534" s="5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5" t="s">
        <v>3723</v>
      </c>
      <c r="C2535" s="1" t="s">
        <v>3724</v>
      </c>
      <c r="D2535" s="1" t="s">
        <v>14</v>
      </c>
      <c r="E2535" s="1" t="s">
        <v>3668</v>
      </c>
      <c r="F2535" s="1" t="s">
        <v>3380</v>
      </c>
      <c r="G2535" s="1" t="s">
        <v>3668</v>
      </c>
      <c r="H2535" s="2" t="s">
        <v>3483</v>
      </c>
      <c r="I2535" s="1" t="s">
        <v>3716</v>
      </c>
      <c r="J2535" s="1" t="s">
        <v>52</v>
      </c>
      <c r="K2535" s="2" t="s">
        <v>3483</v>
      </c>
      <c r="L2535" s="5" t="s">
        <v>69</v>
      </c>
      <c r="M2535" s="5" t="s">
        <v>69</v>
      </c>
      <c r="N2535" s="1" t="s">
        <v>3468</v>
      </c>
      <c r="O2535" s="1" t="s">
        <v>46</v>
      </c>
      <c r="P2535" s="1" t="s">
        <v>46</v>
      </c>
      <c r="Q2535" s="1" t="s">
        <v>46</v>
      </c>
      <c r="R2535" s="5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5" t="s">
        <v>3723</v>
      </c>
      <c r="C2536" s="1" t="s">
        <v>3724</v>
      </c>
      <c r="D2536" s="1" t="s">
        <v>14</v>
      </c>
      <c r="E2536" s="1" t="s">
        <v>3668</v>
      </c>
      <c r="F2536" s="1" t="s">
        <v>3380</v>
      </c>
      <c r="G2536" s="1" t="s">
        <v>3668</v>
      </c>
      <c r="H2536" s="2" t="s">
        <v>3485</v>
      </c>
      <c r="I2536" s="1" t="s">
        <v>3717</v>
      </c>
      <c r="J2536" s="1" t="s">
        <v>52</v>
      </c>
      <c r="K2536" s="2" t="s">
        <v>3485</v>
      </c>
      <c r="L2536" s="5" t="s">
        <v>69</v>
      </c>
      <c r="M2536" s="5" t="s">
        <v>69</v>
      </c>
      <c r="N2536" s="1" t="s">
        <v>3468</v>
      </c>
      <c r="O2536" s="1" t="s">
        <v>46</v>
      </c>
      <c r="P2536" s="1" t="s">
        <v>46</v>
      </c>
      <c r="Q2536" s="1" t="s">
        <v>46</v>
      </c>
      <c r="R2536" s="5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5" t="s">
        <v>3723</v>
      </c>
      <c r="C2537" s="1" t="s">
        <v>3724</v>
      </c>
      <c r="D2537" s="1" t="s">
        <v>14</v>
      </c>
      <c r="E2537" s="1" t="s">
        <v>3668</v>
      </c>
      <c r="F2537" s="1" t="s">
        <v>3380</v>
      </c>
      <c r="G2537" s="1" t="s">
        <v>3668</v>
      </c>
      <c r="H2537" s="2" t="s">
        <v>3487</v>
      </c>
      <c r="I2537" s="1" t="s">
        <v>3718</v>
      </c>
      <c r="J2537" s="1" t="s">
        <v>52</v>
      </c>
      <c r="K2537" s="2" t="s">
        <v>3487</v>
      </c>
      <c r="L2537" s="5" t="s">
        <v>69</v>
      </c>
      <c r="M2537" s="5" t="s">
        <v>69</v>
      </c>
      <c r="N2537" s="1" t="s">
        <v>3468</v>
      </c>
      <c r="O2537" s="1" t="s">
        <v>46</v>
      </c>
      <c r="P2537" s="1" t="s">
        <v>46</v>
      </c>
      <c r="Q2537" s="1" t="s">
        <v>46</v>
      </c>
      <c r="R2537" s="5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5" t="s">
        <v>3723</v>
      </c>
      <c r="C2538" s="1" t="s">
        <v>3724</v>
      </c>
      <c r="D2538" s="1" t="s">
        <v>14</v>
      </c>
      <c r="E2538" s="1" t="s">
        <v>3668</v>
      </c>
      <c r="F2538" s="1" t="s">
        <v>3380</v>
      </c>
      <c r="G2538" s="1" t="s">
        <v>3668</v>
      </c>
      <c r="H2538" s="2" t="s">
        <v>3489</v>
      </c>
      <c r="I2538" s="1" t="s">
        <v>3719</v>
      </c>
      <c r="J2538" s="1" t="s">
        <v>52</v>
      </c>
      <c r="K2538" s="2" t="s">
        <v>3489</v>
      </c>
      <c r="L2538" s="5" t="s">
        <v>69</v>
      </c>
      <c r="M2538" s="5" t="s">
        <v>69</v>
      </c>
      <c r="N2538" s="1" t="s">
        <v>3468</v>
      </c>
      <c r="O2538" s="1" t="s">
        <v>46</v>
      </c>
      <c r="P2538" s="1" t="s">
        <v>46</v>
      </c>
      <c r="Q2538" s="1" t="s">
        <v>46</v>
      </c>
      <c r="R2538" s="5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5" t="s">
        <v>3723</v>
      </c>
      <c r="C2539" s="1" t="s">
        <v>3724</v>
      </c>
      <c r="D2539" s="1" t="s">
        <v>14</v>
      </c>
      <c r="E2539" s="1" t="s">
        <v>3668</v>
      </c>
      <c r="F2539" s="1" t="s">
        <v>3380</v>
      </c>
      <c r="G2539" s="1" t="s">
        <v>3668</v>
      </c>
      <c r="H2539" s="2" t="s">
        <v>3491</v>
      </c>
      <c r="I2539" s="1" t="s">
        <v>3720</v>
      </c>
      <c r="J2539" s="1" t="s">
        <v>52</v>
      </c>
      <c r="K2539" s="2" t="s">
        <v>3491</v>
      </c>
      <c r="L2539" s="5" t="s">
        <v>69</v>
      </c>
      <c r="M2539" s="5" t="s">
        <v>69</v>
      </c>
      <c r="N2539" s="1" t="s">
        <v>3468</v>
      </c>
      <c r="O2539" s="1" t="s">
        <v>46</v>
      </c>
      <c r="P2539" s="1" t="s">
        <v>46</v>
      </c>
      <c r="Q2539" s="1" t="s">
        <v>46</v>
      </c>
      <c r="R2539" s="5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5" t="s">
        <v>3723</v>
      </c>
      <c r="C2540" s="1" t="s">
        <v>3724</v>
      </c>
      <c r="D2540" s="1" t="s">
        <v>14</v>
      </c>
      <c r="E2540" s="1" t="s">
        <v>3668</v>
      </c>
      <c r="F2540" s="1" t="s">
        <v>3380</v>
      </c>
      <c r="G2540" s="1" t="s">
        <v>3668</v>
      </c>
      <c r="H2540" s="2" t="s">
        <v>3493</v>
      </c>
      <c r="I2540" s="1" t="s">
        <v>3721</v>
      </c>
      <c r="J2540" s="1" t="s">
        <v>52</v>
      </c>
      <c r="K2540" s="2" t="s">
        <v>3493</v>
      </c>
      <c r="L2540" s="5" t="s">
        <v>69</v>
      </c>
      <c r="M2540" s="5" t="s">
        <v>69</v>
      </c>
      <c r="N2540" s="1" t="s">
        <v>3468</v>
      </c>
      <c r="O2540" s="1" t="s">
        <v>46</v>
      </c>
      <c r="P2540" s="1" t="s">
        <v>46</v>
      </c>
      <c r="Q2540" s="1" t="s">
        <v>46</v>
      </c>
      <c r="R2540" s="5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5" t="s">
        <v>3723</v>
      </c>
      <c r="C2541" s="1" t="s">
        <v>3724</v>
      </c>
      <c r="D2541" s="1" t="s">
        <v>14</v>
      </c>
      <c r="E2541" s="1" t="s">
        <v>3668</v>
      </c>
      <c r="F2541" s="1" t="s">
        <v>3380</v>
      </c>
      <c r="G2541" s="1" t="s">
        <v>3668</v>
      </c>
      <c r="H2541" s="2" t="s">
        <v>3495</v>
      </c>
      <c r="I2541" s="1" t="s">
        <v>3722</v>
      </c>
      <c r="J2541" s="1" t="s">
        <v>52</v>
      </c>
      <c r="K2541" s="2" t="s">
        <v>3495</v>
      </c>
      <c r="L2541" s="5" t="s">
        <v>69</v>
      </c>
      <c r="M2541" s="5" t="s">
        <v>69</v>
      </c>
      <c r="N2541" s="1" t="s">
        <v>3468</v>
      </c>
      <c r="O2541" s="1" t="s">
        <v>46</v>
      </c>
      <c r="P2541" s="1" t="s">
        <v>46</v>
      </c>
      <c r="Q2541" s="1" t="s">
        <v>46</v>
      </c>
      <c r="R2541" s="5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5" t="s">
        <v>3749</v>
      </c>
      <c r="C2542" s="1" t="s">
        <v>3750</v>
      </c>
      <c r="D2542" s="1" t="s">
        <v>14</v>
      </c>
      <c r="E2542" s="1" t="s">
        <v>3668</v>
      </c>
      <c r="F2542" s="1" t="s">
        <v>3380</v>
      </c>
      <c r="G2542" s="1" t="s">
        <v>3668</v>
      </c>
      <c r="H2542" s="2" t="s">
        <v>3554</v>
      </c>
      <c r="I2542" s="1" t="str">
        <f aca="false">E2542&amp;"_"&amp;H2542</f>
        <v>NLA_2025_003_C3-subgroup121</v>
      </c>
      <c r="J2542" s="1" t="s">
        <v>52</v>
      </c>
      <c r="K2542" s="2" t="s">
        <v>3554</v>
      </c>
      <c r="L2542" s="5" t="s">
        <v>69</v>
      </c>
      <c r="M2542" s="5" t="s">
        <v>69</v>
      </c>
      <c r="N2542" s="1" t="s">
        <v>3383</v>
      </c>
      <c r="O2542" s="1" t="s">
        <v>3556</v>
      </c>
      <c r="P2542" s="1" t="s">
        <v>3385</v>
      </c>
      <c r="Q2542" s="1" t="s">
        <v>3385</v>
      </c>
      <c r="R2542" s="1" t="s">
        <v>46</v>
      </c>
      <c r="S2542" s="1" t="s">
        <v>69</v>
      </c>
      <c r="T2542" s="1" t="s">
        <v>69</v>
      </c>
      <c r="U2542" s="1" t="s">
        <v>46</v>
      </c>
      <c r="V2542" s="1" t="n">
        <v>1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5" t="s">
        <v>3749</v>
      </c>
      <c r="C2543" s="1" t="s">
        <v>3750</v>
      </c>
      <c r="D2543" s="1" t="s">
        <v>14</v>
      </c>
      <c r="E2543" s="1" t="s">
        <v>3668</v>
      </c>
      <c r="F2543" s="1" t="s">
        <v>3380</v>
      </c>
      <c r="G2543" s="1" t="s">
        <v>3668</v>
      </c>
      <c r="H2543" s="2" t="s">
        <v>3557</v>
      </c>
      <c r="I2543" s="1" t="str">
        <f aca="false">E2543&amp;"_"&amp;H2543</f>
        <v>NLA_2025_003_C3-subgroup122</v>
      </c>
      <c r="J2543" s="1" t="s">
        <v>52</v>
      </c>
      <c r="K2543" s="2" t="s">
        <v>3557</v>
      </c>
      <c r="L2543" s="5" t="s">
        <v>69</v>
      </c>
      <c r="M2543" s="5" t="s">
        <v>69</v>
      </c>
      <c r="N2543" s="1" t="s">
        <v>3383</v>
      </c>
      <c r="O2543" s="1" t="s">
        <v>3556</v>
      </c>
      <c r="P2543" s="1" t="s">
        <v>3385</v>
      </c>
      <c r="Q2543" s="1" t="s">
        <v>3385</v>
      </c>
      <c r="R2543" s="1" t="s">
        <v>46</v>
      </c>
      <c r="S2543" s="1" t="s">
        <v>69</v>
      </c>
      <c r="T2543" s="1" t="s">
        <v>69</v>
      </c>
      <c r="U2543" s="1" t="s">
        <v>46</v>
      </c>
      <c r="V2543" s="1" t="n">
        <v>2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5" t="s">
        <v>3749</v>
      </c>
      <c r="C2544" s="1" t="s">
        <v>3750</v>
      </c>
      <c r="D2544" s="1" t="s">
        <v>14</v>
      </c>
      <c r="E2544" s="1" t="s">
        <v>3668</v>
      </c>
      <c r="F2544" s="1" t="s">
        <v>3380</v>
      </c>
      <c r="G2544" s="1" t="s">
        <v>3668</v>
      </c>
      <c r="H2544" s="2" t="s">
        <v>3559</v>
      </c>
      <c r="I2544" s="1" t="str">
        <f aca="false">E2544&amp;"_"&amp;H2544</f>
        <v>NLA_2025_003_C3-subgroup123</v>
      </c>
      <c r="J2544" s="1" t="s">
        <v>52</v>
      </c>
      <c r="K2544" s="2" t="s">
        <v>3559</v>
      </c>
      <c r="L2544" s="5" t="s">
        <v>69</v>
      </c>
      <c r="M2544" s="5" t="s">
        <v>69</v>
      </c>
      <c r="N2544" s="1" t="s">
        <v>3383</v>
      </c>
      <c r="O2544" s="1" t="s">
        <v>3556</v>
      </c>
      <c r="P2544" s="1" t="s">
        <v>3385</v>
      </c>
      <c r="Q2544" s="1" t="s">
        <v>3385</v>
      </c>
      <c r="R2544" s="1" t="s">
        <v>46</v>
      </c>
      <c r="S2544" s="1" t="s">
        <v>69</v>
      </c>
      <c r="T2544" s="1" t="s">
        <v>69</v>
      </c>
      <c r="U2544" s="1" t="s">
        <v>46</v>
      </c>
      <c r="V2544" s="1" t="n">
        <v>3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5" t="s">
        <v>3749</v>
      </c>
      <c r="C2545" s="1" t="s">
        <v>3750</v>
      </c>
      <c r="D2545" s="1" t="s">
        <v>14</v>
      </c>
      <c r="E2545" s="1" t="s">
        <v>3668</v>
      </c>
      <c r="F2545" s="1" t="s">
        <v>3380</v>
      </c>
      <c r="G2545" s="1" t="s">
        <v>3668</v>
      </c>
      <c r="H2545" s="2" t="s">
        <v>3561</v>
      </c>
      <c r="I2545" s="1" t="str">
        <f aca="false">E2545&amp;"_"&amp;H2545</f>
        <v>NLA_2025_003_C3-subgroup124</v>
      </c>
      <c r="J2545" s="1" t="s">
        <v>52</v>
      </c>
      <c r="K2545" s="2" t="s">
        <v>3561</v>
      </c>
      <c r="L2545" s="5" t="s">
        <v>69</v>
      </c>
      <c r="M2545" s="5" t="s">
        <v>69</v>
      </c>
      <c r="N2545" s="1" t="s">
        <v>3383</v>
      </c>
      <c r="O2545" s="1" t="s">
        <v>3556</v>
      </c>
      <c r="P2545" s="1" t="s">
        <v>3385</v>
      </c>
      <c r="Q2545" s="1" t="s">
        <v>3385</v>
      </c>
      <c r="R2545" s="1" t="s">
        <v>46</v>
      </c>
      <c r="S2545" s="1" t="s">
        <v>69</v>
      </c>
      <c r="T2545" s="1" t="s">
        <v>69</v>
      </c>
      <c r="U2545" s="1" t="s">
        <v>46</v>
      </c>
      <c r="V2545" s="1" t="n">
        <v>4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5" t="s">
        <v>3749</v>
      </c>
      <c r="C2546" s="1" t="s">
        <v>3750</v>
      </c>
      <c r="D2546" s="1" t="s">
        <v>14</v>
      </c>
      <c r="E2546" s="1" t="s">
        <v>3668</v>
      </c>
      <c r="F2546" s="1" t="s">
        <v>3380</v>
      </c>
      <c r="G2546" s="1" t="s">
        <v>3668</v>
      </c>
      <c r="H2546" s="2" t="s">
        <v>3563</v>
      </c>
      <c r="I2546" s="1" t="str">
        <f aca="false">E2546&amp;"_"&amp;H2546</f>
        <v>NLA_2025_003_C3-subgroup125</v>
      </c>
      <c r="J2546" s="1" t="s">
        <v>52</v>
      </c>
      <c r="K2546" s="2" t="s">
        <v>3563</v>
      </c>
      <c r="L2546" s="5" t="s">
        <v>69</v>
      </c>
      <c r="M2546" s="5" t="s">
        <v>69</v>
      </c>
      <c r="N2546" s="1" t="s">
        <v>3383</v>
      </c>
      <c r="O2546" s="1" t="s">
        <v>3556</v>
      </c>
      <c r="P2546" s="1" t="s">
        <v>3385</v>
      </c>
      <c r="Q2546" s="1" t="s">
        <v>3385</v>
      </c>
      <c r="R2546" s="1" t="s">
        <v>46</v>
      </c>
      <c r="S2546" s="1" t="s">
        <v>69</v>
      </c>
      <c r="T2546" s="1" t="s">
        <v>69</v>
      </c>
      <c r="U2546" s="1" t="s">
        <v>46</v>
      </c>
      <c r="V2546" s="1" t="n">
        <v>5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5" t="s">
        <v>3749</v>
      </c>
      <c r="C2547" s="1" t="s">
        <v>3750</v>
      </c>
      <c r="D2547" s="1" t="s">
        <v>14</v>
      </c>
      <c r="E2547" s="1" t="s">
        <v>3668</v>
      </c>
      <c r="F2547" s="1" t="s">
        <v>3380</v>
      </c>
      <c r="G2547" s="1" t="s">
        <v>3668</v>
      </c>
      <c r="H2547" s="2" t="s">
        <v>3565</v>
      </c>
      <c r="I2547" s="1" t="str">
        <f aca="false">E2547&amp;"_"&amp;H2547</f>
        <v>NLA_2025_003_C3-subgroup31</v>
      </c>
      <c r="J2547" s="1" t="s">
        <v>52</v>
      </c>
      <c r="K2547" s="2" t="s">
        <v>3565</v>
      </c>
      <c r="L2547" s="5" t="s">
        <v>69</v>
      </c>
      <c r="M2547" s="5" t="s">
        <v>69</v>
      </c>
      <c r="N2547" s="1" t="s">
        <v>3383</v>
      </c>
      <c r="O2547" s="1" t="s">
        <v>3567</v>
      </c>
      <c r="P2547" s="1" t="s">
        <v>3385</v>
      </c>
      <c r="Q2547" s="1" t="s">
        <v>3385</v>
      </c>
      <c r="R2547" s="1" t="s">
        <v>46</v>
      </c>
      <c r="S2547" s="1" t="s">
        <v>69</v>
      </c>
      <c r="T2547" s="1" t="s">
        <v>69</v>
      </c>
      <c r="U2547" s="1" t="s">
        <v>46</v>
      </c>
      <c r="V2547" s="1" t="n">
        <v>1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5" t="s">
        <v>3749</v>
      </c>
      <c r="C2548" s="1" t="s">
        <v>3750</v>
      </c>
      <c r="D2548" s="1" t="s">
        <v>14</v>
      </c>
      <c r="E2548" s="1" t="s">
        <v>3668</v>
      </c>
      <c r="F2548" s="1" t="s">
        <v>3380</v>
      </c>
      <c r="G2548" s="1" t="s">
        <v>3668</v>
      </c>
      <c r="H2548" s="2" t="s">
        <v>3568</v>
      </c>
      <c r="I2548" s="1" t="str">
        <f aca="false">E2548&amp;"_"&amp;H2548</f>
        <v>NLA_2025_003_C3-subgroup32</v>
      </c>
      <c r="J2548" s="1" t="s">
        <v>52</v>
      </c>
      <c r="K2548" s="2" t="s">
        <v>3568</v>
      </c>
      <c r="L2548" s="5" t="s">
        <v>69</v>
      </c>
      <c r="M2548" s="5" t="s">
        <v>69</v>
      </c>
      <c r="N2548" s="1" t="s">
        <v>3383</v>
      </c>
      <c r="O2548" s="1" t="s">
        <v>3567</v>
      </c>
      <c r="P2548" s="1" t="s">
        <v>3385</v>
      </c>
      <c r="Q2548" s="1" t="s">
        <v>3385</v>
      </c>
      <c r="R2548" s="1" t="s">
        <v>46</v>
      </c>
      <c r="S2548" s="1" t="s">
        <v>69</v>
      </c>
      <c r="T2548" s="1" t="s">
        <v>69</v>
      </c>
      <c r="U2548" s="1" t="s">
        <v>46</v>
      </c>
      <c r="V2548" s="1" t="n">
        <v>2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5" t="s">
        <v>3749</v>
      </c>
      <c r="C2549" s="1" t="s">
        <v>3750</v>
      </c>
      <c r="D2549" s="1" t="s">
        <v>14</v>
      </c>
      <c r="E2549" s="1" t="s">
        <v>3668</v>
      </c>
      <c r="F2549" s="1" t="s">
        <v>3380</v>
      </c>
      <c r="G2549" s="1" t="s">
        <v>3668</v>
      </c>
      <c r="H2549" s="2" t="s">
        <v>3570</v>
      </c>
      <c r="I2549" s="1" t="str">
        <f aca="false">E2549&amp;"_"&amp;H2549</f>
        <v>NLA_2025_003_C3-subgroup33</v>
      </c>
      <c r="J2549" s="1" t="s">
        <v>52</v>
      </c>
      <c r="K2549" s="2" t="s">
        <v>3570</v>
      </c>
      <c r="L2549" s="5" t="s">
        <v>69</v>
      </c>
      <c r="M2549" s="5" t="s">
        <v>69</v>
      </c>
      <c r="N2549" s="1" t="s">
        <v>3383</v>
      </c>
      <c r="O2549" s="1" t="s">
        <v>3567</v>
      </c>
      <c r="P2549" s="1" t="s">
        <v>3385</v>
      </c>
      <c r="Q2549" s="1" t="s">
        <v>3385</v>
      </c>
      <c r="R2549" s="1" t="s">
        <v>46</v>
      </c>
      <c r="S2549" s="1" t="s">
        <v>69</v>
      </c>
      <c r="T2549" s="1" t="s">
        <v>69</v>
      </c>
      <c r="U2549" s="1" t="s">
        <v>46</v>
      </c>
      <c r="V2549" s="1" t="n">
        <v>3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5" t="s">
        <v>3749</v>
      </c>
      <c r="C2550" s="1" t="s">
        <v>3750</v>
      </c>
      <c r="D2550" s="1" t="s">
        <v>14</v>
      </c>
      <c r="E2550" s="1" t="s">
        <v>3668</v>
      </c>
      <c r="F2550" s="1" t="s">
        <v>3380</v>
      </c>
      <c r="G2550" s="1" t="s">
        <v>3668</v>
      </c>
      <c r="H2550" s="2" t="s">
        <v>3572</v>
      </c>
      <c r="I2550" s="1" t="str">
        <f aca="false">E2550&amp;"_"&amp;H2550</f>
        <v>NLA_2025_003_C3-subgroup34</v>
      </c>
      <c r="J2550" s="1" t="s">
        <v>52</v>
      </c>
      <c r="K2550" s="2" t="s">
        <v>3572</v>
      </c>
      <c r="L2550" s="5" t="s">
        <v>69</v>
      </c>
      <c r="M2550" s="5" t="s">
        <v>69</v>
      </c>
      <c r="N2550" s="1" t="s">
        <v>3383</v>
      </c>
      <c r="O2550" s="1" t="s">
        <v>3567</v>
      </c>
      <c r="P2550" s="1" t="s">
        <v>3385</v>
      </c>
      <c r="Q2550" s="1" t="s">
        <v>3385</v>
      </c>
      <c r="R2550" s="1" t="s">
        <v>46</v>
      </c>
      <c r="S2550" s="1" t="s">
        <v>69</v>
      </c>
      <c r="T2550" s="1" t="s">
        <v>69</v>
      </c>
      <c r="U2550" s="1" t="s">
        <v>46</v>
      </c>
      <c r="V2550" s="1" t="n">
        <v>4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5" t="s">
        <v>3749</v>
      </c>
      <c r="C2551" s="1" t="s">
        <v>3750</v>
      </c>
      <c r="D2551" s="1" t="s">
        <v>14</v>
      </c>
      <c r="E2551" s="1" t="s">
        <v>3668</v>
      </c>
      <c r="F2551" s="1" t="s">
        <v>3380</v>
      </c>
      <c r="G2551" s="1" t="s">
        <v>3668</v>
      </c>
      <c r="H2551" s="2" t="s">
        <v>3574</v>
      </c>
      <c r="I2551" s="1" t="str">
        <f aca="false">E2551&amp;"_"&amp;H2551</f>
        <v>NLA_2025_003_C3-subgroup35</v>
      </c>
      <c r="J2551" s="1" t="s">
        <v>52</v>
      </c>
      <c r="K2551" s="2" t="s">
        <v>3574</v>
      </c>
      <c r="L2551" s="5" t="s">
        <v>69</v>
      </c>
      <c r="M2551" s="5" t="s">
        <v>69</v>
      </c>
      <c r="N2551" s="1" t="s">
        <v>3383</v>
      </c>
      <c r="O2551" s="1" t="s">
        <v>3567</v>
      </c>
      <c r="P2551" s="1" t="s">
        <v>3385</v>
      </c>
      <c r="Q2551" s="1" t="s">
        <v>3385</v>
      </c>
      <c r="R2551" s="1" t="s">
        <v>46</v>
      </c>
      <c r="S2551" s="1" t="s">
        <v>69</v>
      </c>
      <c r="T2551" s="1" t="s">
        <v>69</v>
      </c>
      <c r="U2551" s="1" t="s">
        <v>46</v>
      </c>
      <c r="V2551" s="1" t="n">
        <v>5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5" t="s">
        <v>3749</v>
      </c>
      <c r="C2552" s="1" t="s">
        <v>3750</v>
      </c>
      <c r="D2552" s="1" t="s">
        <v>14</v>
      </c>
      <c r="E2552" s="1" t="s">
        <v>3668</v>
      </c>
      <c r="F2552" s="1" t="s">
        <v>3380</v>
      </c>
      <c r="G2552" s="1" t="s">
        <v>3668</v>
      </c>
      <c r="H2552" s="2" t="s">
        <v>3576</v>
      </c>
      <c r="I2552" s="1" t="str">
        <f aca="false">E2552&amp;"_"&amp;H2552</f>
        <v>NLA_2025_003_C3-subgroup51</v>
      </c>
      <c r="J2552" s="1" t="s">
        <v>52</v>
      </c>
      <c r="K2552" s="2" t="s">
        <v>3576</v>
      </c>
      <c r="L2552" s="5" t="s">
        <v>69</v>
      </c>
      <c r="M2552" s="5" t="s">
        <v>69</v>
      </c>
      <c r="N2552" s="1" t="s">
        <v>3383</v>
      </c>
      <c r="O2552" s="1" t="s">
        <v>3578</v>
      </c>
      <c r="P2552" s="1" t="s">
        <v>3385</v>
      </c>
      <c r="Q2552" s="1" t="s">
        <v>3385</v>
      </c>
      <c r="R2552" s="1" t="s">
        <v>46</v>
      </c>
      <c r="S2552" s="1" t="s">
        <v>69</v>
      </c>
      <c r="T2552" s="1" t="s">
        <v>69</v>
      </c>
      <c r="U2552" s="1" t="s">
        <v>46</v>
      </c>
      <c r="V2552" s="1" t="n">
        <v>1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5" t="s">
        <v>3749</v>
      </c>
      <c r="C2553" s="1" t="s">
        <v>3750</v>
      </c>
      <c r="D2553" s="1" t="s">
        <v>14</v>
      </c>
      <c r="E2553" s="1" t="s">
        <v>3668</v>
      </c>
      <c r="F2553" s="1" t="s">
        <v>3380</v>
      </c>
      <c r="G2553" s="1" t="s">
        <v>3668</v>
      </c>
      <c r="H2553" s="2" t="s">
        <v>3579</v>
      </c>
      <c r="I2553" s="1" t="str">
        <f aca="false">E2553&amp;"_"&amp;H2553</f>
        <v>NLA_2025_003_C3-subgroup52</v>
      </c>
      <c r="J2553" s="1" t="s">
        <v>52</v>
      </c>
      <c r="K2553" s="2" t="s">
        <v>3579</v>
      </c>
      <c r="L2553" s="5" t="s">
        <v>69</v>
      </c>
      <c r="M2553" s="5" t="s">
        <v>69</v>
      </c>
      <c r="N2553" s="1" t="s">
        <v>3383</v>
      </c>
      <c r="O2553" s="1" t="s">
        <v>3578</v>
      </c>
      <c r="P2553" s="1" t="s">
        <v>3385</v>
      </c>
      <c r="Q2553" s="1" t="s">
        <v>3385</v>
      </c>
      <c r="R2553" s="1" t="s">
        <v>46</v>
      </c>
      <c r="S2553" s="1" t="s">
        <v>69</v>
      </c>
      <c r="T2553" s="1" t="s">
        <v>69</v>
      </c>
      <c r="U2553" s="1" t="s">
        <v>46</v>
      </c>
      <c r="V2553" s="1" t="n">
        <v>2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5" t="s">
        <v>3749</v>
      </c>
      <c r="C2554" s="1" t="s">
        <v>3750</v>
      </c>
      <c r="D2554" s="1" t="s">
        <v>14</v>
      </c>
      <c r="E2554" s="1" t="s">
        <v>3668</v>
      </c>
      <c r="F2554" s="1" t="s">
        <v>3380</v>
      </c>
      <c r="G2554" s="1" t="s">
        <v>3668</v>
      </c>
      <c r="H2554" s="2" t="s">
        <v>3581</v>
      </c>
      <c r="I2554" s="1" t="str">
        <f aca="false">E2554&amp;"_"&amp;H2554</f>
        <v>NLA_2025_003_C3-subgroup53</v>
      </c>
      <c r="J2554" s="1" t="s">
        <v>52</v>
      </c>
      <c r="K2554" s="2" t="s">
        <v>3581</v>
      </c>
      <c r="L2554" s="5" t="s">
        <v>69</v>
      </c>
      <c r="M2554" s="5" t="s">
        <v>69</v>
      </c>
      <c r="N2554" s="1" t="s">
        <v>3383</v>
      </c>
      <c r="O2554" s="1" t="s">
        <v>3578</v>
      </c>
      <c r="P2554" s="1" t="s">
        <v>3385</v>
      </c>
      <c r="Q2554" s="1" t="s">
        <v>3385</v>
      </c>
      <c r="R2554" s="1" t="s">
        <v>46</v>
      </c>
      <c r="S2554" s="1" t="s">
        <v>69</v>
      </c>
      <c r="T2554" s="1" t="s">
        <v>69</v>
      </c>
      <c r="U2554" s="1" t="s">
        <v>46</v>
      </c>
      <c r="V2554" s="1" t="n">
        <v>3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5" t="s">
        <v>3749</v>
      </c>
      <c r="C2555" s="1" t="s">
        <v>3750</v>
      </c>
      <c r="D2555" s="1" t="s">
        <v>14</v>
      </c>
      <c r="E2555" s="1" t="s">
        <v>3668</v>
      </c>
      <c r="F2555" s="1" t="s">
        <v>3380</v>
      </c>
      <c r="G2555" s="1" t="s">
        <v>3668</v>
      </c>
      <c r="H2555" s="2" t="s">
        <v>3583</v>
      </c>
      <c r="I2555" s="1" t="str">
        <f aca="false">E2555&amp;"_"&amp;H2555</f>
        <v>NLA_2025_003_C3-subgroup54</v>
      </c>
      <c r="J2555" s="1" t="s">
        <v>52</v>
      </c>
      <c r="K2555" s="2" t="s">
        <v>3583</v>
      </c>
      <c r="L2555" s="5" t="s">
        <v>69</v>
      </c>
      <c r="M2555" s="5" t="s">
        <v>69</v>
      </c>
      <c r="N2555" s="1" t="s">
        <v>3383</v>
      </c>
      <c r="O2555" s="1" t="s">
        <v>3578</v>
      </c>
      <c r="P2555" s="1" t="s">
        <v>3385</v>
      </c>
      <c r="Q2555" s="1" t="s">
        <v>3385</v>
      </c>
      <c r="R2555" s="1" t="s">
        <v>46</v>
      </c>
      <c r="S2555" s="1" t="s">
        <v>69</v>
      </c>
      <c r="T2555" s="1" t="s">
        <v>69</v>
      </c>
      <c r="U2555" s="1" t="s">
        <v>46</v>
      </c>
      <c r="V2555" s="1" t="n">
        <v>4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5" t="s">
        <v>3749</v>
      </c>
      <c r="C2556" s="1" t="s">
        <v>3750</v>
      </c>
      <c r="D2556" s="1" t="s">
        <v>14</v>
      </c>
      <c r="E2556" s="1" t="s">
        <v>3668</v>
      </c>
      <c r="F2556" s="1" t="s">
        <v>3380</v>
      </c>
      <c r="G2556" s="1" t="s">
        <v>3668</v>
      </c>
      <c r="H2556" s="2" t="s">
        <v>3585</v>
      </c>
      <c r="I2556" s="1" t="str">
        <f aca="false">E2556&amp;"_"&amp;H2556</f>
        <v>NLA_2025_003_C3-subgroup55</v>
      </c>
      <c r="J2556" s="1" t="s">
        <v>52</v>
      </c>
      <c r="K2556" s="2" t="s">
        <v>3585</v>
      </c>
      <c r="L2556" s="5" t="s">
        <v>69</v>
      </c>
      <c r="M2556" s="5" t="s">
        <v>69</v>
      </c>
      <c r="N2556" s="1" t="s">
        <v>3383</v>
      </c>
      <c r="O2556" s="1" t="s">
        <v>3578</v>
      </c>
      <c r="P2556" s="1" t="s">
        <v>3385</v>
      </c>
      <c r="Q2556" s="1" t="s">
        <v>3385</v>
      </c>
      <c r="R2556" s="1" t="s">
        <v>46</v>
      </c>
      <c r="S2556" s="1" t="s">
        <v>69</v>
      </c>
      <c r="T2556" s="1" t="s">
        <v>69</v>
      </c>
      <c r="U2556" s="1" t="s">
        <v>46</v>
      </c>
      <c r="V2556" s="1" t="n">
        <v>5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5" t="s">
        <v>3749</v>
      </c>
      <c r="C2557" s="1" t="s">
        <v>3750</v>
      </c>
      <c r="D2557" s="1" t="s">
        <v>14</v>
      </c>
      <c r="E2557" s="1" t="s">
        <v>3668</v>
      </c>
      <c r="F2557" s="1" t="s">
        <v>3380</v>
      </c>
      <c r="G2557" s="1" t="s">
        <v>3668</v>
      </c>
      <c r="H2557" s="2" t="s">
        <v>3587</v>
      </c>
      <c r="I2557" s="1" t="str">
        <f aca="false">E2557&amp;"_"&amp;H2557</f>
        <v>NLA_2025_003_C3-subgroup71</v>
      </c>
      <c r="J2557" s="1" t="s">
        <v>52</v>
      </c>
      <c r="K2557" s="2" t="s">
        <v>3587</v>
      </c>
      <c r="L2557" s="5" t="s">
        <v>69</v>
      </c>
      <c r="M2557" s="5" t="s">
        <v>69</v>
      </c>
      <c r="N2557" s="1" t="s">
        <v>3383</v>
      </c>
      <c r="O2557" s="1" t="s">
        <v>3589</v>
      </c>
      <c r="P2557" s="1" t="s">
        <v>3385</v>
      </c>
      <c r="Q2557" s="1" t="s">
        <v>3385</v>
      </c>
      <c r="R2557" s="1" t="s">
        <v>46</v>
      </c>
      <c r="S2557" s="1" t="s">
        <v>69</v>
      </c>
      <c r="T2557" s="1" t="s">
        <v>69</v>
      </c>
      <c r="U2557" s="1" t="s">
        <v>46</v>
      </c>
      <c r="V2557" s="1" t="n">
        <v>1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5" t="s">
        <v>3749</v>
      </c>
      <c r="C2558" s="1" t="s">
        <v>3750</v>
      </c>
      <c r="D2558" s="1" t="s">
        <v>14</v>
      </c>
      <c r="E2558" s="1" t="s">
        <v>3668</v>
      </c>
      <c r="F2558" s="1" t="s">
        <v>3380</v>
      </c>
      <c r="G2558" s="1" t="s">
        <v>3668</v>
      </c>
      <c r="H2558" s="2" t="s">
        <v>3590</v>
      </c>
      <c r="I2558" s="1" t="str">
        <f aca="false">E2558&amp;"_"&amp;H2558</f>
        <v>NLA_2025_003_C3-subgroup72</v>
      </c>
      <c r="J2558" s="1" t="s">
        <v>52</v>
      </c>
      <c r="K2558" s="2" t="s">
        <v>3590</v>
      </c>
      <c r="L2558" s="5" t="s">
        <v>69</v>
      </c>
      <c r="M2558" s="5" t="s">
        <v>69</v>
      </c>
      <c r="N2558" s="1" t="s">
        <v>3383</v>
      </c>
      <c r="O2558" s="1" t="s">
        <v>3589</v>
      </c>
      <c r="P2558" s="1" t="s">
        <v>3385</v>
      </c>
      <c r="Q2558" s="1" t="s">
        <v>3385</v>
      </c>
      <c r="R2558" s="1" t="s">
        <v>46</v>
      </c>
      <c r="S2558" s="1" t="s">
        <v>69</v>
      </c>
      <c r="T2558" s="1" t="s">
        <v>69</v>
      </c>
      <c r="U2558" s="1" t="s">
        <v>46</v>
      </c>
      <c r="V2558" s="1" t="n">
        <v>2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5" t="s">
        <v>3749</v>
      </c>
      <c r="C2559" s="1" t="s">
        <v>3750</v>
      </c>
      <c r="D2559" s="1" t="s">
        <v>14</v>
      </c>
      <c r="E2559" s="1" t="s">
        <v>3668</v>
      </c>
      <c r="F2559" s="1" t="s">
        <v>3380</v>
      </c>
      <c r="G2559" s="1" t="s">
        <v>3668</v>
      </c>
      <c r="H2559" s="2" t="s">
        <v>3592</v>
      </c>
      <c r="I2559" s="1" t="str">
        <f aca="false">E2559&amp;"_"&amp;H2559</f>
        <v>NLA_2025_003_C3-subgroup73</v>
      </c>
      <c r="J2559" s="1" t="s">
        <v>52</v>
      </c>
      <c r="K2559" s="2" t="s">
        <v>3592</v>
      </c>
      <c r="L2559" s="5" t="s">
        <v>69</v>
      </c>
      <c r="M2559" s="5" t="s">
        <v>69</v>
      </c>
      <c r="N2559" s="1" t="s">
        <v>3383</v>
      </c>
      <c r="O2559" s="1" t="s">
        <v>3589</v>
      </c>
      <c r="P2559" s="1" t="s">
        <v>3385</v>
      </c>
      <c r="Q2559" s="1" t="s">
        <v>3385</v>
      </c>
      <c r="R2559" s="1" t="s">
        <v>46</v>
      </c>
      <c r="S2559" s="1" t="s">
        <v>69</v>
      </c>
      <c r="T2559" s="1" t="s">
        <v>69</v>
      </c>
      <c r="U2559" s="1" t="s">
        <v>46</v>
      </c>
      <c r="V2559" s="1" t="n">
        <v>3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5" t="s">
        <v>3749</v>
      </c>
      <c r="C2560" s="1" t="s">
        <v>3750</v>
      </c>
      <c r="D2560" s="1" t="s">
        <v>14</v>
      </c>
      <c r="E2560" s="1" t="s">
        <v>3668</v>
      </c>
      <c r="F2560" s="1" t="s">
        <v>3380</v>
      </c>
      <c r="G2560" s="1" t="s">
        <v>3668</v>
      </c>
      <c r="H2560" s="2" t="s">
        <v>3594</v>
      </c>
      <c r="I2560" s="1" t="str">
        <f aca="false">E2560&amp;"_"&amp;H2560</f>
        <v>NLA_2025_003_C3-subgroup74</v>
      </c>
      <c r="J2560" s="1" t="s">
        <v>52</v>
      </c>
      <c r="K2560" s="2" t="s">
        <v>3594</v>
      </c>
      <c r="L2560" s="5" t="s">
        <v>69</v>
      </c>
      <c r="M2560" s="5" t="s">
        <v>69</v>
      </c>
      <c r="N2560" s="1" t="s">
        <v>3383</v>
      </c>
      <c r="O2560" s="1" t="s">
        <v>3589</v>
      </c>
      <c r="P2560" s="1" t="s">
        <v>3385</v>
      </c>
      <c r="Q2560" s="1" t="s">
        <v>3385</v>
      </c>
      <c r="R2560" s="1" t="s">
        <v>46</v>
      </c>
      <c r="S2560" s="1" t="s">
        <v>69</v>
      </c>
      <c r="T2560" s="1" t="s">
        <v>69</v>
      </c>
      <c r="U2560" s="1" t="s">
        <v>46</v>
      </c>
      <c r="V2560" s="1" t="n">
        <v>4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5" t="s">
        <v>3749</v>
      </c>
      <c r="C2561" s="1" t="s">
        <v>3750</v>
      </c>
      <c r="D2561" s="1" t="s">
        <v>14</v>
      </c>
      <c r="E2561" s="1" t="s">
        <v>3668</v>
      </c>
      <c r="F2561" s="1" t="s">
        <v>3380</v>
      </c>
      <c r="G2561" s="1" t="s">
        <v>3668</v>
      </c>
      <c r="H2561" s="2" t="s">
        <v>3596</v>
      </c>
      <c r="I2561" s="1" t="str">
        <f aca="false">E2561&amp;"_"&amp;H2561</f>
        <v>NLA_2025_003_C3-subgroup75</v>
      </c>
      <c r="J2561" s="1" t="s">
        <v>52</v>
      </c>
      <c r="K2561" s="2" t="s">
        <v>3596</v>
      </c>
      <c r="L2561" s="5" t="s">
        <v>69</v>
      </c>
      <c r="M2561" s="5" t="s">
        <v>69</v>
      </c>
      <c r="N2561" s="1" t="s">
        <v>3383</v>
      </c>
      <c r="O2561" s="1" t="s">
        <v>3589</v>
      </c>
      <c r="P2561" s="1" t="s">
        <v>3385</v>
      </c>
      <c r="Q2561" s="1" t="s">
        <v>3385</v>
      </c>
      <c r="R2561" s="1" t="s">
        <v>46</v>
      </c>
      <c r="S2561" s="1" t="s">
        <v>69</v>
      </c>
      <c r="T2561" s="1" t="s">
        <v>69</v>
      </c>
      <c r="U2561" s="1" t="s">
        <v>46</v>
      </c>
      <c r="V2561" s="1" t="n">
        <v>5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5" t="s">
        <v>3749</v>
      </c>
      <c r="C2562" s="1" t="s">
        <v>3750</v>
      </c>
      <c r="D2562" s="1" t="s">
        <v>14</v>
      </c>
      <c r="E2562" s="1" t="s">
        <v>3668</v>
      </c>
      <c r="F2562" s="1" t="s">
        <v>3380</v>
      </c>
      <c r="G2562" s="1" t="s">
        <v>3668</v>
      </c>
      <c r="H2562" s="2" t="s">
        <v>3598</v>
      </c>
      <c r="I2562" s="1" t="str">
        <f aca="false">E2562&amp;"_"&amp;H2562</f>
        <v>NLA_2025_003_C3-subgroup91</v>
      </c>
      <c r="J2562" s="1" t="s">
        <v>52</v>
      </c>
      <c r="K2562" s="2" t="s">
        <v>3598</v>
      </c>
      <c r="L2562" s="5" t="s">
        <v>69</v>
      </c>
      <c r="M2562" s="5" t="s">
        <v>69</v>
      </c>
      <c r="N2562" s="1" t="s">
        <v>3383</v>
      </c>
      <c r="O2562" s="1" t="s">
        <v>3600</v>
      </c>
      <c r="P2562" s="1" t="s">
        <v>3385</v>
      </c>
      <c r="Q2562" s="1" t="s">
        <v>3385</v>
      </c>
      <c r="R2562" s="1" t="s">
        <v>46</v>
      </c>
      <c r="S2562" s="1" t="s">
        <v>69</v>
      </c>
      <c r="T2562" s="1" t="s">
        <v>69</v>
      </c>
      <c r="U2562" s="1" t="s">
        <v>46</v>
      </c>
      <c r="V2562" s="1" t="n">
        <v>1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5" t="s">
        <v>3749</v>
      </c>
      <c r="C2563" s="1" t="s">
        <v>3750</v>
      </c>
      <c r="D2563" s="1" t="s">
        <v>14</v>
      </c>
      <c r="E2563" s="1" t="s">
        <v>3668</v>
      </c>
      <c r="F2563" s="1" t="s">
        <v>3380</v>
      </c>
      <c r="G2563" s="1" t="s">
        <v>3668</v>
      </c>
      <c r="H2563" s="2" t="s">
        <v>3601</v>
      </c>
      <c r="I2563" s="1" t="str">
        <f aca="false">E2563&amp;"_"&amp;H2563</f>
        <v>NLA_2025_003_C3-subgroup92</v>
      </c>
      <c r="J2563" s="1" t="s">
        <v>52</v>
      </c>
      <c r="K2563" s="2" t="s">
        <v>3601</v>
      </c>
      <c r="L2563" s="5" t="s">
        <v>69</v>
      </c>
      <c r="M2563" s="5" t="s">
        <v>69</v>
      </c>
      <c r="N2563" s="1" t="s">
        <v>3383</v>
      </c>
      <c r="O2563" s="1" t="s">
        <v>3600</v>
      </c>
      <c r="P2563" s="1" t="s">
        <v>3385</v>
      </c>
      <c r="Q2563" s="1" t="s">
        <v>3385</v>
      </c>
      <c r="R2563" s="1" t="s">
        <v>46</v>
      </c>
      <c r="S2563" s="1" t="s">
        <v>69</v>
      </c>
      <c r="T2563" s="1" t="s">
        <v>69</v>
      </c>
      <c r="U2563" s="1" t="s">
        <v>46</v>
      </c>
      <c r="V2563" s="1" t="n">
        <v>2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5" t="s">
        <v>3749</v>
      </c>
      <c r="C2564" s="1" t="s">
        <v>3750</v>
      </c>
      <c r="D2564" s="1" t="s">
        <v>14</v>
      </c>
      <c r="E2564" s="1" t="s">
        <v>3668</v>
      </c>
      <c r="F2564" s="1" t="s">
        <v>3380</v>
      </c>
      <c r="G2564" s="1" t="s">
        <v>3668</v>
      </c>
      <c r="H2564" s="2" t="s">
        <v>3603</v>
      </c>
      <c r="I2564" s="1" t="str">
        <f aca="false">E2564&amp;"_"&amp;H2564</f>
        <v>NLA_2025_003_C3-subgroup93</v>
      </c>
      <c r="J2564" s="1" t="s">
        <v>52</v>
      </c>
      <c r="K2564" s="2" t="s">
        <v>3603</v>
      </c>
      <c r="L2564" s="5" t="s">
        <v>69</v>
      </c>
      <c r="M2564" s="5" t="s">
        <v>69</v>
      </c>
      <c r="N2564" s="1" t="s">
        <v>3383</v>
      </c>
      <c r="O2564" s="1" t="s">
        <v>3600</v>
      </c>
      <c r="P2564" s="1" t="s">
        <v>3385</v>
      </c>
      <c r="Q2564" s="1" t="s">
        <v>3385</v>
      </c>
      <c r="R2564" s="1" t="s">
        <v>46</v>
      </c>
      <c r="S2564" s="1" t="s">
        <v>69</v>
      </c>
      <c r="T2564" s="1" t="s">
        <v>69</v>
      </c>
      <c r="U2564" s="1" t="s">
        <v>46</v>
      </c>
      <c r="V2564" s="1" t="n">
        <v>3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5" t="s">
        <v>3749</v>
      </c>
      <c r="C2565" s="1" t="s">
        <v>3750</v>
      </c>
      <c r="D2565" s="1" t="s">
        <v>14</v>
      </c>
      <c r="E2565" s="1" t="s">
        <v>3668</v>
      </c>
      <c r="F2565" s="1" t="s">
        <v>3380</v>
      </c>
      <c r="G2565" s="1" t="s">
        <v>3668</v>
      </c>
      <c r="H2565" s="2" t="s">
        <v>3605</v>
      </c>
      <c r="I2565" s="1" t="str">
        <f aca="false">E2565&amp;"_"&amp;H2565</f>
        <v>NLA_2025_003_C3-subgroup94</v>
      </c>
      <c r="J2565" s="1" t="s">
        <v>52</v>
      </c>
      <c r="K2565" s="2" t="s">
        <v>3605</v>
      </c>
      <c r="L2565" s="5" t="s">
        <v>69</v>
      </c>
      <c r="M2565" s="5" t="s">
        <v>69</v>
      </c>
      <c r="N2565" s="1" t="s">
        <v>3383</v>
      </c>
      <c r="O2565" s="1" t="s">
        <v>3600</v>
      </c>
      <c r="P2565" s="1" t="s">
        <v>3385</v>
      </c>
      <c r="Q2565" s="1" t="s">
        <v>3385</v>
      </c>
      <c r="R2565" s="1" t="s">
        <v>46</v>
      </c>
      <c r="S2565" s="1" t="s">
        <v>69</v>
      </c>
      <c r="T2565" s="1" t="s">
        <v>69</v>
      </c>
      <c r="U2565" s="1" t="s">
        <v>46</v>
      </c>
      <c r="V2565" s="1" t="n">
        <v>4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5" t="s">
        <v>3749</v>
      </c>
      <c r="C2566" s="1" t="s">
        <v>3750</v>
      </c>
      <c r="D2566" s="1" t="s">
        <v>14</v>
      </c>
      <c r="E2566" s="1" t="s">
        <v>3668</v>
      </c>
      <c r="F2566" s="1" t="s">
        <v>3380</v>
      </c>
      <c r="G2566" s="1" t="s">
        <v>3668</v>
      </c>
      <c r="H2566" s="2" t="s">
        <v>3607</v>
      </c>
      <c r="I2566" s="1" t="str">
        <f aca="false">E2566&amp;"_"&amp;H2566</f>
        <v>NLA_2025_003_C3-subgroup95</v>
      </c>
      <c r="J2566" s="1" t="s">
        <v>52</v>
      </c>
      <c r="K2566" s="2" t="s">
        <v>3607</v>
      </c>
      <c r="L2566" s="5" t="s">
        <v>69</v>
      </c>
      <c r="M2566" s="5" t="s">
        <v>69</v>
      </c>
      <c r="N2566" s="1" t="s">
        <v>3383</v>
      </c>
      <c r="O2566" s="1" t="s">
        <v>3600</v>
      </c>
      <c r="P2566" s="1" t="s">
        <v>3385</v>
      </c>
      <c r="Q2566" s="1" t="s">
        <v>3385</v>
      </c>
      <c r="R2566" s="1" t="s">
        <v>46</v>
      </c>
      <c r="S2566" s="1" t="s">
        <v>69</v>
      </c>
      <c r="T2566" s="1" t="s">
        <v>69</v>
      </c>
      <c r="U2566" s="1" t="s">
        <v>46</v>
      </c>
      <c r="V2566" s="1" t="n">
        <v>5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5" t="s">
        <v>3749</v>
      </c>
      <c r="C2567" s="1" t="s">
        <v>3750</v>
      </c>
      <c r="D2567" s="1" t="s">
        <v>14</v>
      </c>
      <c r="E2567" s="1" t="s">
        <v>3668</v>
      </c>
      <c r="F2567" s="1" t="s">
        <v>3380</v>
      </c>
      <c r="G2567" s="1" t="s">
        <v>3668</v>
      </c>
      <c r="H2567" s="2" t="s">
        <v>3436</v>
      </c>
      <c r="I2567" s="1" t="str">
        <f aca="false">E2567&amp;"_"&amp;H2567</f>
        <v>NLA_2025_003_Pooledsamples1</v>
      </c>
      <c r="J2567" s="1" t="s">
        <v>52</v>
      </c>
      <c r="K2567" s="2" t="s">
        <v>3436</v>
      </c>
      <c r="L2567" s="5" t="s">
        <v>69</v>
      </c>
      <c r="M2567" s="5" t="s">
        <v>69</v>
      </c>
      <c r="N2567" s="1" t="s">
        <v>1935</v>
      </c>
      <c r="O2567" s="1" t="s">
        <v>46</v>
      </c>
      <c r="P2567" s="1" t="s">
        <v>46</v>
      </c>
      <c r="Q2567" s="1" t="s">
        <v>46</v>
      </c>
      <c r="R2567" s="5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5" t="s">
        <v>3749</v>
      </c>
      <c r="C2568" s="1" t="s">
        <v>3750</v>
      </c>
      <c r="D2568" s="1" t="s">
        <v>14</v>
      </c>
      <c r="E2568" s="1" t="s">
        <v>3668</v>
      </c>
      <c r="F2568" s="1" t="s">
        <v>3380</v>
      </c>
      <c r="G2568" s="1" t="s">
        <v>3668</v>
      </c>
      <c r="H2568" s="2" t="s">
        <v>3438</v>
      </c>
      <c r="I2568" s="1" t="str">
        <f aca="false">E2568&amp;"_"&amp;H2568</f>
        <v>NLA_2025_003_Pooledsamples12</v>
      </c>
      <c r="J2568" s="1" t="s">
        <v>52</v>
      </c>
      <c r="K2568" s="2" t="s">
        <v>3438</v>
      </c>
      <c r="L2568" s="5" t="s">
        <v>69</v>
      </c>
      <c r="M2568" s="5" t="s">
        <v>69</v>
      </c>
      <c r="N2568" s="1" t="s">
        <v>1935</v>
      </c>
      <c r="O2568" s="1" t="s">
        <v>46</v>
      </c>
      <c r="P2568" s="1" t="s">
        <v>46</v>
      </c>
      <c r="Q2568" s="1" t="s">
        <v>46</v>
      </c>
      <c r="R2568" s="5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5" t="s">
        <v>3749</v>
      </c>
      <c r="C2569" s="1" t="s">
        <v>3750</v>
      </c>
      <c r="D2569" s="1" t="s">
        <v>14</v>
      </c>
      <c r="E2569" s="1" t="s">
        <v>3668</v>
      </c>
      <c r="F2569" s="1" t="s">
        <v>3380</v>
      </c>
      <c r="G2569" s="1" t="s">
        <v>3668</v>
      </c>
      <c r="H2569" s="2" t="s">
        <v>3440</v>
      </c>
      <c r="I2569" s="1" t="str">
        <f aca="false">E2569&amp;"_"&amp;H2569</f>
        <v>NLA_2025_003_Pooledsamples13</v>
      </c>
      <c r="J2569" s="1" t="s">
        <v>52</v>
      </c>
      <c r="K2569" s="2" t="s">
        <v>3440</v>
      </c>
      <c r="L2569" s="5" t="s">
        <v>69</v>
      </c>
      <c r="M2569" s="5" t="s">
        <v>69</v>
      </c>
      <c r="N2569" s="1" t="s">
        <v>1935</v>
      </c>
      <c r="O2569" s="1" t="s">
        <v>46</v>
      </c>
      <c r="P2569" s="1" t="s">
        <v>46</v>
      </c>
      <c r="Q2569" s="1" t="s">
        <v>46</v>
      </c>
      <c r="R2569" s="5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5" t="s">
        <v>3749</v>
      </c>
      <c r="C2570" s="1" t="s">
        <v>3750</v>
      </c>
      <c r="D2570" s="1" t="s">
        <v>14</v>
      </c>
      <c r="E2570" s="1" t="s">
        <v>3668</v>
      </c>
      <c r="F2570" s="1" t="s">
        <v>3380</v>
      </c>
      <c r="G2570" s="1" t="s">
        <v>3668</v>
      </c>
      <c r="H2570" s="2" t="s">
        <v>3442</v>
      </c>
      <c r="I2570" s="1" t="str">
        <f aca="false">E2570&amp;"_"&amp;H2570</f>
        <v>NLA_2025_003_Pooledsamples14</v>
      </c>
      <c r="J2570" s="1" t="s">
        <v>52</v>
      </c>
      <c r="K2570" s="2" t="s">
        <v>3442</v>
      </c>
      <c r="L2570" s="5" t="s">
        <v>69</v>
      </c>
      <c r="M2570" s="5" t="s">
        <v>69</v>
      </c>
      <c r="N2570" s="1" t="s">
        <v>1935</v>
      </c>
      <c r="O2570" s="1" t="s">
        <v>46</v>
      </c>
      <c r="P2570" s="1" t="s">
        <v>46</v>
      </c>
      <c r="Q2570" s="1" t="s">
        <v>46</v>
      </c>
      <c r="R2570" s="5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5" t="s">
        <v>3749</v>
      </c>
      <c r="C2571" s="1" t="s">
        <v>3750</v>
      </c>
      <c r="D2571" s="1" t="s">
        <v>14</v>
      </c>
      <c r="E2571" s="1" t="s">
        <v>3668</v>
      </c>
      <c r="F2571" s="1" t="s">
        <v>3380</v>
      </c>
      <c r="G2571" s="1" t="s">
        <v>3668</v>
      </c>
      <c r="H2571" s="2" t="s">
        <v>3444</v>
      </c>
      <c r="I2571" s="1" t="str">
        <f aca="false">E2571&amp;"_"&amp;H2571</f>
        <v>NLA_2025_003_Pooledsamples2</v>
      </c>
      <c r="J2571" s="1" t="s">
        <v>52</v>
      </c>
      <c r="K2571" s="2" t="s">
        <v>3444</v>
      </c>
      <c r="L2571" s="5" t="s">
        <v>69</v>
      </c>
      <c r="M2571" s="5" t="s">
        <v>69</v>
      </c>
      <c r="N2571" s="1" t="s">
        <v>1935</v>
      </c>
      <c r="O2571" s="1" t="s">
        <v>46</v>
      </c>
      <c r="P2571" s="1" t="s">
        <v>46</v>
      </c>
      <c r="Q2571" s="1" t="s">
        <v>46</v>
      </c>
      <c r="R2571" s="5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5" t="s">
        <v>3749</v>
      </c>
      <c r="C2572" s="1" t="s">
        <v>3750</v>
      </c>
      <c r="D2572" s="1" t="s">
        <v>14</v>
      </c>
      <c r="E2572" s="1" t="s">
        <v>3668</v>
      </c>
      <c r="F2572" s="1" t="s">
        <v>3380</v>
      </c>
      <c r="G2572" s="1" t="s">
        <v>3668</v>
      </c>
      <c r="H2572" s="2" t="s">
        <v>3446</v>
      </c>
      <c r="I2572" s="1" t="str">
        <f aca="false">E2572&amp;"_"&amp;H2572</f>
        <v>NLA_2025_003_Pooledsamples22</v>
      </c>
      <c r="J2572" s="1" t="s">
        <v>52</v>
      </c>
      <c r="K2572" s="2" t="s">
        <v>3446</v>
      </c>
      <c r="L2572" s="5" t="s">
        <v>69</v>
      </c>
      <c r="M2572" s="5" t="s">
        <v>69</v>
      </c>
      <c r="N2572" s="1" t="s">
        <v>1935</v>
      </c>
      <c r="O2572" s="1" t="s">
        <v>46</v>
      </c>
      <c r="P2572" s="1" t="s">
        <v>46</v>
      </c>
      <c r="Q2572" s="1" t="s">
        <v>46</v>
      </c>
      <c r="R2572" s="5" t="s">
        <v>46</v>
      </c>
      <c r="S2572" s="1" t="s">
        <v>46</v>
      </c>
      <c r="T2572" s="1" t="s">
        <v>46</v>
      </c>
      <c r="U2572" s="1" t="s">
        <v>46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5" t="s">
        <v>3749</v>
      </c>
      <c r="C2573" s="1" t="s">
        <v>3750</v>
      </c>
      <c r="D2573" s="1" t="s">
        <v>14</v>
      </c>
      <c r="E2573" s="1" t="s">
        <v>3668</v>
      </c>
      <c r="F2573" s="1" t="s">
        <v>3380</v>
      </c>
      <c r="G2573" s="1" t="s">
        <v>3668</v>
      </c>
      <c r="H2573" s="2" t="s">
        <v>3448</v>
      </c>
      <c r="I2573" s="1" t="str">
        <f aca="false">E2573&amp;"_"&amp;H2573</f>
        <v>NLA_2025_003_Pooledsamples23</v>
      </c>
      <c r="J2573" s="1" t="s">
        <v>52</v>
      </c>
      <c r="K2573" s="2" t="s">
        <v>3448</v>
      </c>
      <c r="L2573" s="5" t="s">
        <v>69</v>
      </c>
      <c r="M2573" s="5" t="s">
        <v>69</v>
      </c>
      <c r="N2573" s="1" t="s">
        <v>1935</v>
      </c>
      <c r="O2573" s="1" t="s">
        <v>46</v>
      </c>
      <c r="P2573" s="1" t="s">
        <v>46</v>
      </c>
      <c r="Q2573" s="1" t="s">
        <v>46</v>
      </c>
      <c r="R2573" s="5" t="s">
        <v>46</v>
      </c>
      <c r="S2573" s="1" t="s">
        <v>46</v>
      </c>
      <c r="T2573" s="1" t="s">
        <v>46</v>
      </c>
      <c r="U2573" s="1" t="s">
        <v>46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5" t="s">
        <v>3749</v>
      </c>
      <c r="C2574" s="1" t="s">
        <v>3750</v>
      </c>
      <c r="D2574" s="1" t="s">
        <v>14</v>
      </c>
      <c r="E2574" s="1" t="s">
        <v>3668</v>
      </c>
      <c r="F2574" s="1" t="s">
        <v>3380</v>
      </c>
      <c r="G2574" s="1" t="s">
        <v>3668</v>
      </c>
      <c r="H2574" s="2" t="s">
        <v>3450</v>
      </c>
      <c r="I2574" s="1" t="str">
        <f aca="false">E2574&amp;"_"&amp;H2574</f>
        <v>NLA_2025_003_Pooledsamples24</v>
      </c>
      <c r="J2574" s="1" t="s">
        <v>52</v>
      </c>
      <c r="K2574" s="2" t="s">
        <v>3450</v>
      </c>
      <c r="L2574" s="5" t="s">
        <v>69</v>
      </c>
      <c r="M2574" s="5" t="s">
        <v>69</v>
      </c>
      <c r="N2574" s="1" t="s">
        <v>1935</v>
      </c>
      <c r="O2574" s="1" t="s">
        <v>46</v>
      </c>
      <c r="P2574" s="1" t="s">
        <v>46</v>
      </c>
      <c r="Q2574" s="1" t="s">
        <v>46</v>
      </c>
      <c r="R2574" s="5" t="s">
        <v>46</v>
      </c>
      <c r="S2574" s="1" t="s">
        <v>46</v>
      </c>
      <c r="T2574" s="1" t="s">
        <v>46</v>
      </c>
      <c r="U2574" s="1" t="s">
        <v>46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5" t="s">
        <v>3749</v>
      </c>
      <c r="C2575" s="1" t="s">
        <v>3750</v>
      </c>
      <c r="D2575" s="1" t="s">
        <v>14</v>
      </c>
      <c r="E2575" s="1" t="s">
        <v>3668</v>
      </c>
      <c r="F2575" s="1" t="s">
        <v>3380</v>
      </c>
      <c r="G2575" s="1" t="s">
        <v>3668</v>
      </c>
      <c r="H2575" s="2" t="s">
        <v>3452</v>
      </c>
      <c r="I2575" s="1" t="str">
        <f aca="false">E2575&amp;"_"&amp;H2575</f>
        <v>NLA_2025_003_Pooledsamples3</v>
      </c>
      <c r="J2575" s="1" t="s">
        <v>52</v>
      </c>
      <c r="K2575" s="2" t="s">
        <v>3452</v>
      </c>
      <c r="L2575" s="5" t="s">
        <v>69</v>
      </c>
      <c r="M2575" s="5" t="s">
        <v>69</v>
      </c>
      <c r="N2575" s="1" t="s">
        <v>1935</v>
      </c>
      <c r="O2575" s="1" t="s">
        <v>46</v>
      </c>
      <c r="P2575" s="1" t="s">
        <v>46</v>
      </c>
      <c r="Q2575" s="1" t="s">
        <v>46</v>
      </c>
      <c r="R2575" s="5" t="s">
        <v>46</v>
      </c>
      <c r="S2575" s="1" t="s">
        <v>46</v>
      </c>
      <c r="T2575" s="1" t="s">
        <v>46</v>
      </c>
      <c r="U2575" s="1" t="s">
        <v>46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5" t="s">
        <v>3749</v>
      </c>
      <c r="C2576" s="1" t="s">
        <v>3750</v>
      </c>
      <c r="D2576" s="1" t="s">
        <v>14</v>
      </c>
      <c r="E2576" s="1" t="s">
        <v>3668</v>
      </c>
      <c r="F2576" s="1" t="s">
        <v>3380</v>
      </c>
      <c r="G2576" s="1" t="s">
        <v>3668</v>
      </c>
      <c r="H2576" s="2" t="s">
        <v>3454</v>
      </c>
      <c r="I2576" s="1" t="str">
        <f aca="false">E2576&amp;"_"&amp;H2576</f>
        <v>NLA_2025_003_Pooledsamples32</v>
      </c>
      <c r="J2576" s="1" t="s">
        <v>52</v>
      </c>
      <c r="K2576" s="2" t="s">
        <v>3454</v>
      </c>
      <c r="L2576" s="5" t="s">
        <v>69</v>
      </c>
      <c r="M2576" s="5" t="s">
        <v>69</v>
      </c>
      <c r="N2576" s="1" t="s">
        <v>1935</v>
      </c>
      <c r="O2576" s="1" t="s">
        <v>46</v>
      </c>
      <c r="P2576" s="1" t="s">
        <v>46</v>
      </c>
      <c r="Q2576" s="1" t="s">
        <v>46</v>
      </c>
      <c r="R2576" s="5" t="s">
        <v>46</v>
      </c>
      <c r="S2576" s="1" t="s">
        <v>46</v>
      </c>
      <c r="T2576" s="1" t="s">
        <v>46</v>
      </c>
      <c r="U2576" s="1" t="s">
        <v>46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5" t="s">
        <v>3749</v>
      </c>
      <c r="C2577" s="1" t="s">
        <v>3750</v>
      </c>
      <c r="D2577" s="1" t="s">
        <v>14</v>
      </c>
      <c r="E2577" s="1" t="s">
        <v>3668</v>
      </c>
      <c r="F2577" s="1" t="s">
        <v>3380</v>
      </c>
      <c r="G2577" s="1" t="s">
        <v>3668</v>
      </c>
      <c r="H2577" s="2" t="s">
        <v>3456</v>
      </c>
      <c r="I2577" s="1" t="str">
        <f aca="false">E2577&amp;"_"&amp;H2577</f>
        <v>NLA_2025_003_Pooledsamples33</v>
      </c>
      <c r="J2577" s="1" t="s">
        <v>52</v>
      </c>
      <c r="K2577" s="2" t="s">
        <v>3456</v>
      </c>
      <c r="L2577" s="5" t="s">
        <v>69</v>
      </c>
      <c r="M2577" s="5" t="s">
        <v>69</v>
      </c>
      <c r="N2577" s="1" t="s">
        <v>1935</v>
      </c>
      <c r="O2577" s="1" t="s">
        <v>46</v>
      </c>
      <c r="P2577" s="1" t="s">
        <v>46</v>
      </c>
      <c r="Q2577" s="1" t="s">
        <v>46</v>
      </c>
      <c r="R2577" s="5" t="s">
        <v>46</v>
      </c>
      <c r="S2577" s="1" t="s">
        <v>46</v>
      </c>
      <c r="T2577" s="1" t="s">
        <v>46</v>
      </c>
      <c r="U2577" s="1" t="s">
        <v>46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5" t="s">
        <v>3749</v>
      </c>
      <c r="C2578" s="1" t="s">
        <v>3750</v>
      </c>
      <c r="D2578" s="1" t="s">
        <v>14</v>
      </c>
      <c r="E2578" s="1" t="s">
        <v>3668</v>
      </c>
      <c r="F2578" s="1" t="s">
        <v>3380</v>
      </c>
      <c r="G2578" s="1" t="s">
        <v>3668</v>
      </c>
      <c r="H2578" s="2" t="s">
        <v>3458</v>
      </c>
      <c r="I2578" s="1" t="str">
        <f aca="false">E2578&amp;"_"&amp;H2578</f>
        <v>NLA_2025_003_Pooledsamples34</v>
      </c>
      <c r="J2578" s="1" t="s">
        <v>52</v>
      </c>
      <c r="K2578" s="2" t="s">
        <v>3458</v>
      </c>
      <c r="L2578" s="5" t="s">
        <v>69</v>
      </c>
      <c r="M2578" s="5" t="s">
        <v>69</v>
      </c>
      <c r="N2578" s="1" t="s">
        <v>1935</v>
      </c>
      <c r="O2578" s="1" t="s">
        <v>46</v>
      </c>
      <c r="P2578" s="1" t="s">
        <v>46</v>
      </c>
      <c r="Q2578" s="1" t="s">
        <v>46</v>
      </c>
      <c r="R2578" s="5" t="s">
        <v>46</v>
      </c>
      <c r="S2578" s="1" t="s">
        <v>46</v>
      </c>
      <c r="T2578" s="1" t="s">
        <v>46</v>
      </c>
      <c r="U2578" s="1" t="s">
        <v>46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5" t="s">
        <v>3749</v>
      </c>
      <c r="C2579" s="1" t="s">
        <v>3750</v>
      </c>
      <c r="D2579" s="1" t="s">
        <v>14</v>
      </c>
      <c r="E2579" s="1" t="s">
        <v>3668</v>
      </c>
      <c r="F2579" s="1" t="s">
        <v>3380</v>
      </c>
      <c r="G2579" s="1" t="s">
        <v>3668</v>
      </c>
      <c r="H2579" s="2" t="s">
        <v>3460</v>
      </c>
      <c r="I2579" s="1" t="str">
        <f aca="false">E2579&amp;"_"&amp;H2579</f>
        <v>NLA_2025_003_Pooledsamples4</v>
      </c>
      <c r="J2579" s="1" t="s">
        <v>52</v>
      </c>
      <c r="K2579" s="2" t="s">
        <v>3460</v>
      </c>
      <c r="L2579" s="5" t="s">
        <v>69</v>
      </c>
      <c r="M2579" s="5" t="s">
        <v>69</v>
      </c>
      <c r="N2579" s="1" t="s">
        <v>1935</v>
      </c>
      <c r="O2579" s="1" t="s">
        <v>46</v>
      </c>
      <c r="P2579" s="1" t="s">
        <v>46</v>
      </c>
      <c r="Q2579" s="1" t="s">
        <v>46</v>
      </c>
      <c r="R2579" s="5" t="s">
        <v>46</v>
      </c>
      <c r="S2579" s="1" t="s">
        <v>46</v>
      </c>
      <c r="T2579" s="1" t="s">
        <v>46</v>
      </c>
      <c r="U2579" s="1" t="s">
        <v>46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5" t="s">
        <v>3749</v>
      </c>
      <c r="C2580" s="1" t="s">
        <v>3750</v>
      </c>
      <c r="D2580" s="1" t="s">
        <v>14</v>
      </c>
      <c r="E2580" s="1" t="s">
        <v>3668</v>
      </c>
      <c r="F2580" s="1" t="s">
        <v>3380</v>
      </c>
      <c r="G2580" s="1" t="s">
        <v>3668</v>
      </c>
      <c r="H2580" s="2" t="s">
        <v>3462</v>
      </c>
      <c r="I2580" s="1" t="str">
        <f aca="false">E2580&amp;"_"&amp;H2580</f>
        <v>NLA_2025_003_Pooledsamples42</v>
      </c>
      <c r="J2580" s="1" t="s">
        <v>52</v>
      </c>
      <c r="K2580" s="2" t="s">
        <v>3462</v>
      </c>
      <c r="L2580" s="5" t="s">
        <v>69</v>
      </c>
      <c r="M2580" s="5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5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5" t="s">
        <v>3749</v>
      </c>
      <c r="C2581" s="1" t="s">
        <v>3750</v>
      </c>
      <c r="D2581" s="1" t="s">
        <v>14</v>
      </c>
      <c r="E2581" s="1" t="s">
        <v>3668</v>
      </c>
      <c r="F2581" s="1" t="s">
        <v>3380</v>
      </c>
      <c r="G2581" s="1" t="s">
        <v>3668</v>
      </c>
      <c r="H2581" s="2" t="s">
        <v>3464</v>
      </c>
      <c r="I2581" s="1" t="str">
        <f aca="false">E2581&amp;"_"&amp;H2581</f>
        <v>NLA_2025_003_Pooledsamples43</v>
      </c>
      <c r="J2581" s="1" t="s">
        <v>52</v>
      </c>
      <c r="K2581" s="2" t="s">
        <v>3464</v>
      </c>
      <c r="L2581" s="5" t="s">
        <v>69</v>
      </c>
      <c r="M2581" s="5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5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5" t="s">
        <v>3749</v>
      </c>
      <c r="C2582" s="1" t="s">
        <v>3750</v>
      </c>
      <c r="D2582" s="1" t="s">
        <v>14</v>
      </c>
      <c r="E2582" s="1" t="s">
        <v>3668</v>
      </c>
      <c r="F2582" s="1" t="s">
        <v>3380</v>
      </c>
      <c r="G2582" s="1" t="s">
        <v>3668</v>
      </c>
      <c r="H2582" s="2" t="s">
        <v>3466</v>
      </c>
      <c r="I2582" s="1" t="str">
        <f aca="false">E2582&amp;"_"&amp;H2582</f>
        <v>NLA_2025_003_QualitycontrolPlasma1</v>
      </c>
      <c r="J2582" s="1" t="s">
        <v>52</v>
      </c>
      <c r="K2582" s="2" t="s">
        <v>3466</v>
      </c>
      <c r="L2582" s="5" t="s">
        <v>69</v>
      </c>
      <c r="M2582" s="5" t="s">
        <v>69</v>
      </c>
      <c r="N2582" s="1" t="s">
        <v>3468</v>
      </c>
      <c r="O2582" s="1" t="s">
        <v>46</v>
      </c>
      <c r="P2582" s="1" t="s">
        <v>46</v>
      </c>
      <c r="Q2582" s="1" t="s">
        <v>46</v>
      </c>
      <c r="R2582" s="5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5" t="s">
        <v>3749</v>
      </c>
      <c r="C2583" s="1" t="s">
        <v>3750</v>
      </c>
      <c r="D2583" s="1" t="s">
        <v>14</v>
      </c>
      <c r="E2583" s="1" t="s">
        <v>3668</v>
      </c>
      <c r="F2583" s="1" t="s">
        <v>3380</v>
      </c>
      <c r="G2583" s="1" t="s">
        <v>3668</v>
      </c>
      <c r="H2583" s="2" t="s">
        <v>3469</v>
      </c>
      <c r="I2583" s="1" t="str">
        <f aca="false">E2583&amp;"_"&amp;H2583</f>
        <v>NLA_2025_003_QualitycontrolPlasma12</v>
      </c>
      <c r="J2583" s="1" t="s">
        <v>52</v>
      </c>
      <c r="K2583" s="2" t="s">
        <v>3469</v>
      </c>
      <c r="L2583" s="5" t="s">
        <v>69</v>
      </c>
      <c r="M2583" s="5" t="s">
        <v>69</v>
      </c>
      <c r="N2583" s="1" t="s">
        <v>3468</v>
      </c>
      <c r="O2583" s="1" t="s">
        <v>46</v>
      </c>
      <c r="P2583" s="1" t="s">
        <v>46</v>
      </c>
      <c r="Q2583" s="1" t="s">
        <v>46</v>
      </c>
      <c r="R2583" s="5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5" t="s">
        <v>3749</v>
      </c>
      <c r="C2584" s="1" t="s">
        <v>3750</v>
      </c>
      <c r="D2584" s="1" t="s">
        <v>14</v>
      </c>
      <c r="E2584" s="1" t="s">
        <v>3668</v>
      </c>
      <c r="F2584" s="1" t="s">
        <v>3380</v>
      </c>
      <c r="G2584" s="1" t="s">
        <v>3668</v>
      </c>
      <c r="H2584" s="2" t="s">
        <v>3471</v>
      </c>
      <c r="I2584" s="1" t="str">
        <f aca="false">E2584&amp;"_"&amp;H2584</f>
        <v>NLA_2025_003_QualitycontrolPlasma13</v>
      </c>
      <c r="J2584" s="1" t="s">
        <v>52</v>
      </c>
      <c r="K2584" s="2" t="s">
        <v>3471</v>
      </c>
      <c r="L2584" s="5" t="s">
        <v>69</v>
      </c>
      <c r="M2584" s="5" t="s">
        <v>69</v>
      </c>
      <c r="N2584" s="1" t="s">
        <v>3468</v>
      </c>
      <c r="O2584" s="1" t="s">
        <v>46</v>
      </c>
      <c r="P2584" s="1" t="s">
        <v>46</v>
      </c>
      <c r="Q2584" s="1" t="s">
        <v>46</v>
      </c>
      <c r="R2584" s="5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5" t="s">
        <v>3749</v>
      </c>
      <c r="C2585" s="1" t="s">
        <v>3750</v>
      </c>
      <c r="D2585" s="1" t="s">
        <v>14</v>
      </c>
      <c r="E2585" s="1" t="s">
        <v>3668</v>
      </c>
      <c r="F2585" s="1" t="s">
        <v>3380</v>
      </c>
      <c r="G2585" s="1" t="s">
        <v>3668</v>
      </c>
      <c r="H2585" s="2" t="s">
        <v>3473</v>
      </c>
      <c r="I2585" s="1" t="str">
        <f aca="false">E2585&amp;"_"&amp;H2585</f>
        <v>NLA_2025_003_QualitycontrolPlasma14</v>
      </c>
      <c r="J2585" s="1" t="s">
        <v>52</v>
      </c>
      <c r="K2585" s="2" t="s">
        <v>3473</v>
      </c>
      <c r="L2585" s="5" t="s">
        <v>69</v>
      </c>
      <c r="M2585" s="5" t="s">
        <v>69</v>
      </c>
      <c r="N2585" s="1" t="s">
        <v>3468</v>
      </c>
      <c r="O2585" s="1" t="s">
        <v>46</v>
      </c>
      <c r="P2585" s="1" t="s">
        <v>46</v>
      </c>
      <c r="Q2585" s="1" t="s">
        <v>46</v>
      </c>
      <c r="R2585" s="5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5" t="s">
        <v>3749</v>
      </c>
      <c r="C2586" s="1" t="s">
        <v>3750</v>
      </c>
      <c r="D2586" s="1" t="s">
        <v>14</v>
      </c>
      <c r="E2586" s="1" t="s">
        <v>3668</v>
      </c>
      <c r="F2586" s="1" t="s">
        <v>3380</v>
      </c>
      <c r="G2586" s="1" t="s">
        <v>3668</v>
      </c>
      <c r="H2586" s="2" t="s">
        <v>3475</v>
      </c>
      <c r="I2586" s="1" t="str">
        <f aca="false">E2586&amp;"_"&amp;H2586</f>
        <v>NLA_2025_003_QualitycontrolPlasma2</v>
      </c>
      <c r="J2586" s="1" t="s">
        <v>52</v>
      </c>
      <c r="K2586" s="2" t="s">
        <v>3475</v>
      </c>
      <c r="L2586" s="5" t="s">
        <v>69</v>
      </c>
      <c r="M2586" s="5" t="s">
        <v>69</v>
      </c>
      <c r="N2586" s="1" t="s">
        <v>3468</v>
      </c>
      <c r="O2586" s="1" t="s">
        <v>46</v>
      </c>
      <c r="P2586" s="1" t="s">
        <v>46</v>
      </c>
      <c r="Q2586" s="1" t="s">
        <v>46</v>
      </c>
      <c r="R2586" s="5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5" t="s">
        <v>3749</v>
      </c>
      <c r="C2587" s="1" t="s">
        <v>3750</v>
      </c>
      <c r="D2587" s="1" t="s">
        <v>14</v>
      </c>
      <c r="E2587" s="1" t="s">
        <v>3668</v>
      </c>
      <c r="F2587" s="1" t="s">
        <v>3380</v>
      </c>
      <c r="G2587" s="1" t="s">
        <v>3668</v>
      </c>
      <c r="H2587" s="2" t="s">
        <v>3477</v>
      </c>
      <c r="I2587" s="1" t="str">
        <f aca="false">E2587&amp;"_"&amp;H2587</f>
        <v>NLA_2025_003_QualitycontrolPlasma22</v>
      </c>
      <c r="J2587" s="1" t="s">
        <v>52</v>
      </c>
      <c r="K2587" s="2" t="s">
        <v>3477</v>
      </c>
      <c r="L2587" s="5" t="s">
        <v>69</v>
      </c>
      <c r="M2587" s="5" t="s">
        <v>69</v>
      </c>
      <c r="N2587" s="1" t="s">
        <v>3468</v>
      </c>
      <c r="O2587" s="1" t="s">
        <v>46</v>
      </c>
      <c r="P2587" s="1" t="s">
        <v>46</v>
      </c>
      <c r="Q2587" s="1" t="s">
        <v>46</v>
      </c>
      <c r="R2587" s="5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5" t="s">
        <v>3749</v>
      </c>
      <c r="C2588" s="1" t="s">
        <v>3750</v>
      </c>
      <c r="D2588" s="1" t="s">
        <v>14</v>
      </c>
      <c r="E2588" s="1" t="s">
        <v>3668</v>
      </c>
      <c r="F2588" s="1" t="s">
        <v>3380</v>
      </c>
      <c r="G2588" s="1" t="s">
        <v>3668</v>
      </c>
      <c r="H2588" s="2" t="s">
        <v>3479</v>
      </c>
      <c r="I2588" s="1" t="str">
        <f aca="false">E2588&amp;"_"&amp;H2588</f>
        <v>NLA_2025_003_QualitycontrolPlasma23</v>
      </c>
      <c r="J2588" s="1" t="s">
        <v>52</v>
      </c>
      <c r="K2588" s="2" t="s">
        <v>3479</v>
      </c>
      <c r="L2588" s="5" t="s">
        <v>69</v>
      </c>
      <c r="M2588" s="5" t="s">
        <v>69</v>
      </c>
      <c r="N2588" s="1" t="s">
        <v>3468</v>
      </c>
      <c r="O2588" s="1" t="s">
        <v>46</v>
      </c>
      <c r="P2588" s="1" t="s">
        <v>46</v>
      </c>
      <c r="Q2588" s="1" t="s">
        <v>46</v>
      </c>
      <c r="R2588" s="5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5" t="s">
        <v>3749</v>
      </c>
      <c r="C2589" s="1" t="s">
        <v>3750</v>
      </c>
      <c r="D2589" s="1" t="s">
        <v>14</v>
      </c>
      <c r="E2589" s="1" t="s">
        <v>3668</v>
      </c>
      <c r="F2589" s="1" t="s">
        <v>3380</v>
      </c>
      <c r="G2589" s="1" t="s">
        <v>3668</v>
      </c>
      <c r="H2589" s="2" t="s">
        <v>3481</v>
      </c>
      <c r="I2589" s="1" t="str">
        <f aca="false">E2589&amp;"_"&amp;H2589</f>
        <v>NLA_2025_003_QualitycontrolPlasma24</v>
      </c>
      <c r="J2589" s="1" t="s">
        <v>52</v>
      </c>
      <c r="K2589" s="2" t="s">
        <v>3481</v>
      </c>
      <c r="L2589" s="5" t="s">
        <v>69</v>
      </c>
      <c r="M2589" s="5" t="s">
        <v>69</v>
      </c>
      <c r="N2589" s="1" t="s">
        <v>3468</v>
      </c>
      <c r="O2589" s="1" t="s">
        <v>46</v>
      </c>
      <c r="P2589" s="1" t="s">
        <v>46</v>
      </c>
      <c r="Q2589" s="1" t="s">
        <v>46</v>
      </c>
      <c r="R2589" s="5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5" t="s">
        <v>3749</v>
      </c>
      <c r="C2590" s="1" t="s">
        <v>3750</v>
      </c>
      <c r="D2590" s="1" t="s">
        <v>14</v>
      </c>
      <c r="E2590" s="1" t="s">
        <v>3668</v>
      </c>
      <c r="F2590" s="1" t="s">
        <v>3380</v>
      </c>
      <c r="G2590" s="1" t="s">
        <v>3668</v>
      </c>
      <c r="H2590" s="2" t="s">
        <v>3483</v>
      </c>
      <c r="I2590" s="1" t="str">
        <f aca="false">E2590&amp;"_"&amp;H2590</f>
        <v>NLA_2025_003_QualitycontrolPlasma3</v>
      </c>
      <c r="J2590" s="1" t="s">
        <v>52</v>
      </c>
      <c r="K2590" s="2" t="s">
        <v>3483</v>
      </c>
      <c r="L2590" s="5" t="s">
        <v>69</v>
      </c>
      <c r="M2590" s="5" t="s">
        <v>69</v>
      </c>
      <c r="N2590" s="1" t="s">
        <v>3468</v>
      </c>
      <c r="O2590" s="1" t="s">
        <v>46</v>
      </c>
      <c r="P2590" s="1" t="s">
        <v>46</v>
      </c>
      <c r="Q2590" s="1" t="s">
        <v>46</v>
      </c>
      <c r="R2590" s="5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5" t="s">
        <v>3749</v>
      </c>
      <c r="C2591" s="1" t="s">
        <v>3750</v>
      </c>
      <c r="D2591" s="1" t="s">
        <v>14</v>
      </c>
      <c r="E2591" s="1" t="s">
        <v>3668</v>
      </c>
      <c r="F2591" s="1" t="s">
        <v>3380</v>
      </c>
      <c r="G2591" s="1" t="s">
        <v>3668</v>
      </c>
      <c r="H2591" s="2" t="s">
        <v>3485</v>
      </c>
      <c r="I2591" s="1" t="str">
        <f aca="false">E2591&amp;"_"&amp;H2591</f>
        <v>NLA_2025_003_QualitycontrolPlasma32</v>
      </c>
      <c r="J2591" s="1" t="s">
        <v>52</v>
      </c>
      <c r="K2591" s="2" t="s">
        <v>3485</v>
      </c>
      <c r="L2591" s="5" t="s">
        <v>69</v>
      </c>
      <c r="M2591" s="5" t="s">
        <v>69</v>
      </c>
      <c r="N2591" s="1" t="s">
        <v>3468</v>
      </c>
      <c r="O2591" s="1" t="s">
        <v>46</v>
      </c>
      <c r="P2591" s="1" t="s">
        <v>46</v>
      </c>
      <c r="Q2591" s="1" t="s">
        <v>46</v>
      </c>
      <c r="R2591" s="5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5" t="s">
        <v>3749</v>
      </c>
      <c r="C2592" s="1" t="s">
        <v>3750</v>
      </c>
      <c r="D2592" s="1" t="s">
        <v>14</v>
      </c>
      <c r="E2592" s="1" t="s">
        <v>3668</v>
      </c>
      <c r="F2592" s="1" t="s">
        <v>3380</v>
      </c>
      <c r="G2592" s="1" t="s">
        <v>3668</v>
      </c>
      <c r="H2592" s="2" t="s">
        <v>3487</v>
      </c>
      <c r="I2592" s="1" t="str">
        <f aca="false">E2592&amp;"_"&amp;H2592</f>
        <v>NLA_2025_003_QualitycontrolPlasma33</v>
      </c>
      <c r="J2592" s="1" t="s">
        <v>52</v>
      </c>
      <c r="K2592" s="2" t="s">
        <v>3487</v>
      </c>
      <c r="L2592" s="5" t="s">
        <v>69</v>
      </c>
      <c r="M2592" s="5" t="s">
        <v>69</v>
      </c>
      <c r="N2592" s="1" t="s">
        <v>3468</v>
      </c>
      <c r="O2592" s="1" t="s">
        <v>46</v>
      </c>
      <c r="P2592" s="1" t="s">
        <v>46</v>
      </c>
      <c r="Q2592" s="1" t="s">
        <v>46</v>
      </c>
      <c r="R2592" s="5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5" t="s">
        <v>3749</v>
      </c>
      <c r="C2593" s="1" t="s">
        <v>3750</v>
      </c>
      <c r="D2593" s="1" t="s">
        <v>14</v>
      </c>
      <c r="E2593" s="1" t="s">
        <v>3668</v>
      </c>
      <c r="F2593" s="1" t="s">
        <v>3380</v>
      </c>
      <c r="G2593" s="1" t="s">
        <v>3668</v>
      </c>
      <c r="H2593" s="2" t="s">
        <v>3489</v>
      </c>
      <c r="I2593" s="1" t="str">
        <f aca="false">E2593&amp;"_"&amp;H2593</f>
        <v>NLA_2025_003_QualitycontrolPlasma34</v>
      </c>
      <c r="J2593" s="1" t="s">
        <v>52</v>
      </c>
      <c r="K2593" s="2" t="s">
        <v>3489</v>
      </c>
      <c r="L2593" s="5" t="s">
        <v>69</v>
      </c>
      <c r="M2593" s="5" t="s">
        <v>69</v>
      </c>
      <c r="N2593" s="1" t="s">
        <v>3468</v>
      </c>
      <c r="O2593" s="1" t="s">
        <v>46</v>
      </c>
      <c r="P2593" s="1" t="s">
        <v>46</v>
      </c>
      <c r="Q2593" s="1" t="s">
        <v>46</v>
      </c>
      <c r="R2593" s="5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5" t="s">
        <v>3749</v>
      </c>
      <c r="C2594" s="1" t="s">
        <v>3750</v>
      </c>
      <c r="D2594" s="1" t="s">
        <v>14</v>
      </c>
      <c r="E2594" s="1" t="s">
        <v>3668</v>
      </c>
      <c r="F2594" s="1" t="s">
        <v>3380</v>
      </c>
      <c r="G2594" s="1" t="s">
        <v>3668</v>
      </c>
      <c r="H2594" s="2" t="s">
        <v>3491</v>
      </c>
      <c r="I2594" s="1" t="str">
        <f aca="false">E2594&amp;"_"&amp;H2594</f>
        <v>NLA_2025_003_QualitycontrolPlasma4</v>
      </c>
      <c r="J2594" s="1" t="s">
        <v>52</v>
      </c>
      <c r="K2594" s="2" t="s">
        <v>3491</v>
      </c>
      <c r="L2594" s="5" t="s">
        <v>69</v>
      </c>
      <c r="M2594" s="5" t="s">
        <v>69</v>
      </c>
      <c r="N2594" s="1" t="s">
        <v>3468</v>
      </c>
      <c r="O2594" s="1" t="s">
        <v>46</v>
      </c>
      <c r="P2594" s="1" t="s">
        <v>46</v>
      </c>
      <c r="Q2594" s="1" t="s">
        <v>46</v>
      </c>
      <c r="R2594" s="5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5" t="s">
        <v>3749</v>
      </c>
      <c r="C2595" s="1" t="s">
        <v>3750</v>
      </c>
      <c r="D2595" s="1" t="s">
        <v>14</v>
      </c>
      <c r="E2595" s="1" t="s">
        <v>3668</v>
      </c>
      <c r="F2595" s="1" t="s">
        <v>3380</v>
      </c>
      <c r="G2595" s="1" t="s">
        <v>3668</v>
      </c>
      <c r="H2595" s="2" t="s">
        <v>3493</v>
      </c>
      <c r="I2595" s="1" t="str">
        <f aca="false">E2595&amp;"_"&amp;H2595</f>
        <v>NLA_2025_003_QualitycontrolPlasma42</v>
      </c>
      <c r="J2595" s="1" t="s">
        <v>52</v>
      </c>
      <c r="K2595" s="2" t="s">
        <v>3493</v>
      </c>
      <c r="L2595" s="5" t="s">
        <v>69</v>
      </c>
      <c r="M2595" s="5" t="s">
        <v>69</v>
      </c>
      <c r="N2595" s="1" t="s">
        <v>3468</v>
      </c>
      <c r="O2595" s="1" t="s">
        <v>46</v>
      </c>
      <c r="P2595" s="1" t="s">
        <v>46</v>
      </c>
      <c r="Q2595" s="1" t="s">
        <v>46</v>
      </c>
      <c r="R2595" s="5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5" t="s">
        <v>3749</v>
      </c>
      <c r="C2596" s="1" t="s">
        <v>3750</v>
      </c>
      <c r="D2596" s="1" t="s">
        <v>14</v>
      </c>
      <c r="E2596" s="1" t="s">
        <v>3668</v>
      </c>
      <c r="F2596" s="1" t="s">
        <v>3380</v>
      </c>
      <c r="G2596" s="1" t="s">
        <v>3668</v>
      </c>
      <c r="H2596" s="2" t="s">
        <v>3495</v>
      </c>
      <c r="I2596" s="1" t="str">
        <f aca="false">E2596&amp;"_"&amp;H2596</f>
        <v>NLA_2025_003_QualitycontrolPlasma43</v>
      </c>
      <c r="J2596" s="1" t="s">
        <v>52</v>
      </c>
      <c r="K2596" s="2" t="s">
        <v>3495</v>
      </c>
      <c r="L2596" s="5" t="s">
        <v>69</v>
      </c>
      <c r="M2596" s="5" t="s">
        <v>69</v>
      </c>
      <c r="N2596" s="1" t="s">
        <v>3468</v>
      </c>
      <c r="O2596" s="1" t="s">
        <v>46</v>
      </c>
      <c r="P2596" s="1" t="s">
        <v>46</v>
      </c>
      <c r="Q2596" s="1" t="s">
        <v>46</v>
      </c>
      <c r="R2596" s="5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5" t="s">
        <v>3751</v>
      </c>
      <c r="C2597" s="1" t="s">
        <v>3752</v>
      </c>
      <c r="D2597" s="1" t="s">
        <v>14</v>
      </c>
      <c r="E2597" s="1" t="s">
        <v>3668</v>
      </c>
      <c r="F2597" s="1" t="s">
        <v>3380</v>
      </c>
      <c r="G2597" s="1" t="s">
        <v>3668</v>
      </c>
      <c r="H2597" s="2" t="s">
        <v>3611</v>
      </c>
      <c r="I2597" s="1" t="s">
        <v>3753</v>
      </c>
      <c r="J2597" s="1" t="s">
        <v>52</v>
      </c>
      <c r="K2597" s="1" t="s">
        <v>3753</v>
      </c>
      <c r="L2597" s="36" t="s">
        <v>69</v>
      </c>
      <c r="M2597" s="1" t="s">
        <v>69</v>
      </c>
      <c r="N2597" s="1" t="s">
        <v>3383</v>
      </c>
      <c r="O2597" s="1" t="s">
        <v>3613</v>
      </c>
      <c r="P2597" s="1" t="s">
        <v>3385</v>
      </c>
      <c r="Q2597" s="1" t="s">
        <v>3385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1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5" t="s">
        <v>3751</v>
      </c>
      <c r="C2598" s="1" t="s">
        <v>3752</v>
      </c>
      <c r="D2598" s="1" t="s">
        <v>14</v>
      </c>
      <c r="E2598" s="1" t="s">
        <v>3668</v>
      </c>
      <c r="F2598" s="1" t="s">
        <v>3380</v>
      </c>
      <c r="G2598" s="1" t="s">
        <v>3668</v>
      </c>
      <c r="H2598" s="2" t="s">
        <v>3614</v>
      </c>
      <c r="I2598" s="1" t="s">
        <v>3754</v>
      </c>
      <c r="J2598" s="1" t="s">
        <v>52</v>
      </c>
      <c r="K2598" s="1" t="s">
        <v>3754</v>
      </c>
      <c r="L2598" s="36" t="s">
        <v>69</v>
      </c>
      <c r="M2598" s="1" t="s">
        <v>69</v>
      </c>
      <c r="N2598" s="1" t="s">
        <v>3383</v>
      </c>
      <c r="O2598" s="1" t="s">
        <v>3613</v>
      </c>
      <c r="P2598" s="1" t="s">
        <v>3385</v>
      </c>
      <c r="Q2598" s="1" t="s">
        <v>3385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2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5" t="s">
        <v>3751</v>
      </c>
      <c r="C2599" s="1" t="s">
        <v>3752</v>
      </c>
      <c r="D2599" s="1" t="s">
        <v>14</v>
      </c>
      <c r="E2599" s="1" t="s">
        <v>3668</v>
      </c>
      <c r="F2599" s="1" t="s">
        <v>3380</v>
      </c>
      <c r="G2599" s="1" t="s">
        <v>3668</v>
      </c>
      <c r="H2599" s="2" t="s">
        <v>3616</v>
      </c>
      <c r="I2599" s="1" t="s">
        <v>3755</v>
      </c>
      <c r="J2599" s="1" t="s">
        <v>52</v>
      </c>
      <c r="K2599" s="1" t="s">
        <v>3755</v>
      </c>
      <c r="L2599" s="36" t="s">
        <v>69</v>
      </c>
      <c r="M2599" s="1" t="s">
        <v>69</v>
      </c>
      <c r="N2599" s="1" t="s">
        <v>3383</v>
      </c>
      <c r="O2599" s="1" t="s">
        <v>3613</v>
      </c>
      <c r="P2599" s="1" t="s">
        <v>3385</v>
      </c>
      <c r="Q2599" s="1" t="s">
        <v>3385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3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5" t="s">
        <v>3751</v>
      </c>
      <c r="C2600" s="1" t="s">
        <v>3752</v>
      </c>
      <c r="D2600" s="1" t="s">
        <v>14</v>
      </c>
      <c r="E2600" s="1" t="s">
        <v>3668</v>
      </c>
      <c r="F2600" s="1" t="s">
        <v>3380</v>
      </c>
      <c r="G2600" s="1" t="s">
        <v>3668</v>
      </c>
      <c r="H2600" s="2" t="s">
        <v>3618</v>
      </c>
      <c r="I2600" s="1" t="s">
        <v>3756</v>
      </c>
      <c r="J2600" s="1" t="s">
        <v>52</v>
      </c>
      <c r="K2600" s="1" t="s">
        <v>3756</v>
      </c>
      <c r="L2600" s="36" t="s">
        <v>69</v>
      </c>
      <c r="M2600" s="1" t="s">
        <v>69</v>
      </c>
      <c r="N2600" s="1" t="s">
        <v>3383</v>
      </c>
      <c r="O2600" s="1" t="s">
        <v>3613</v>
      </c>
      <c r="P2600" s="1" t="s">
        <v>3385</v>
      </c>
      <c r="Q2600" s="1" t="s">
        <v>3385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4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5" t="s">
        <v>3751</v>
      </c>
      <c r="C2601" s="1" t="s">
        <v>3752</v>
      </c>
      <c r="D2601" s="1" t="s">
        <v>14</v>
      </c>
      <c r="E2601" s="1" t="s">
        <v>3668</v>
      </c>
      <c r="F2601" s="1" t="s">
        <v>3380</v>
      </c>
      <c r="G2601" s="1" t="s">
        <v>3668</v>
      </c>
      <c r="H2601" s="2" t="s">
        <v>3620</v>
      </c>
      <c r="I2601" s="1" t="s">
        <v>3757</v>
      </c>
      <c r="J2601" s="1" t="s">
        <v>52</v>
      </c>
      <c r="K2601" s="1" t="s">
        <v>3757</v>
      </c>
      <c r="L2601" s="36" t="s">
        <v>69</v>
      </c>
      <c r="M2601" s="1" t="s">
        <v>69</v>
      </c>
      <c r="N2601" s="1" t="s">
        <v>3383</v>
      </c>
      <c r="O2601" s="1" t="s">
        <v>3613</v>
      </c>
      <c r="P2601" s="1" t="s">
        <v>3385</v>
      </c>
      <c r="Q2601" s="1" t="s">
        <v>3385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5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5" t="s">
        <v>3751</v>
      </c>
      <c r="C2602" s="1" t="s">
        <v>3752</v>
      </c>
      <c r="D2602" s="1" t="s">
        <v>14</v>
      </c>
      <c r="E2602" s="1" t="s">
        <v>3668</v>
      </c>
      <c r="F2602" s="1" t="s">
        <v>3380</v>
      </c>
      <c r="G2602" s="1" t="s">
        <v>3668</v>
      </c>
      <c r="H2602" s="2" t="s">
        <v>3622</v>
      </c>
      <c r="I2602" s="1" t="s">
        <v>3758</v>
      </c>
      <c r="J2602" s="1" t="s">
        <v>52</v>
      </c>
      <c r="K2602" s="1" t="s">
        <v>3622</v>
      </c>
      <c r="L2602" s="36" t="s">
        <v>69</v>
      </c>
      <c r="M2602" s="1" t="s">
        <v>69</v>
      </c>
      <c r="N2602" s="1" t="s">
        <v>3383</v>
      </c>
      <c r="O2602" s="1" t="s">
        <v>3624</v>
      </c>
      <c r="P2602" s="1" t="s">
        <v>3385</v>
      </c>
      <c r="Q2602" s="1" t="s">
        <v>3385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1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5" t="s">
        <v>3751</v>
      </c>
      <c r="C2603" s="1" t="s">
        <v>3752</v>
      </c>
      <c r="D2603" s="1" t="s">
        <v>14</v>
      </c>
      <c r="E2603" s="1" t="s">
        <v>3668</v>
      </c>
      <c r="F2603" s="1" t="s">
        <v>3380</v>
      </c>
      <c r="G2603" s="1" t="s">
        <v>3668</v>
      </c>
      <c r="H2603" s="2" t="s">
        <v>3625</v>
      </c>
      <c r="I2603" s="1" t="s">
        <v>3759</v>
      </c>
      <c r="J2603" s="1" t="s">
        <v>52</v>
      </c>
      <c r="K2603" s="1" t="s">
        <v>3625</v>
      </c>
      <c r="L2603" s="36" t="s">
        <v>69</v>
      </c>
      <c r="M2603" s="1" t="s">
        <v>69</v>
      </c>
      <c r="N2603" s="1" t="s">
        <v>3383</v>
      </c>
      <c r="O2603" s="1" t="s">
        <v>3624</v>
      </c>
      <c r="P2603" s="1" t="s">
        <v>3385</v>
      </c>
      <c r="Q2603" s="1" t="s">
        <v>3385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2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5" t="s">
        <v>3751</v>
      </c>
      <c r="C2604" s="1" t="s">
        <v>3752</v>
      </c>
      <c r="D2604" s="1" t="s">
        <v>14</v>
      </c>
      <c r="E2604" s="1" t="s">
        <v>3668</v>
      </c>
      <c r="F2604" s="1" t="s">
        <v>3380</v>
      </c>
      <c r="G2604" s="1" t="s">
        <v>3668</v>
      </c>
      <c r="H2604" s="2" t="s">
        <v>3627</v>
      </c>
      <c r="I2604" s="1" t="s">
        <v>3760</v>
      </c>
      <c r="J2604" s="1" t="s">
        <v>52</v>
      </c>
      <c r="K2604" s="1" t="s">
        <v>3627</v>
      </c>
      <c r="L2604" s="36" t="s">
        <v>69</v>
      </c>
      <c r="M2604" s="1" t="s">
        <v>69</v>
      </c>
      <c r="N2604" s="1" t="s">
        <v>3383</v>
      </c>
      <c r="O2604" s="1" t="s">
        <v>3624</v>
      </c>
      <c r="P2604" s="1" t="s">
        <v>3385</v>
      </c>
      <c r="Q2604" s="1" t="s">
        <v>3385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3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5" t="s">
        <v>3751</v>
      </c>
      <c r="C2605" s="1" t="s">
        <v>3752</v>
      </c>
      <c r="D2605" s="1" t="s">
        <v>14</v>
      </c>
      <c r="E2605" s="1" t="s">
        <v>3668</v>
      </c>
      <c r="F2605" s="1" t="s">
        <v>3380</v>
      </c>
      <c r="G2605" s="1" t="s">
        <v>3668</v>
      </c>
      <c r="H2605" s="2" t="s">
        <v>3629</v>
      </c>
      <c r="I2605" s="1" t="s">
        <v>3761</v>
      </c>
      <c r="J2605" s="1" t="s">
        <v>52</v>
      </c>
      <c r="K2605" s="1" t="s">
        <v>3629</v>
      </c>
      <c r="L2605" s="36" t="s">
        <v>69</v>
      </c>
      <c r="M2605" s="1" t="s">
        <v>69</v>
      </c>
      <c r="N2605" s="1" t="s">
        <v>3383</v>
      </c>
      <c r="O2605" s="1" t="s">
        <v>3624</v>
      </c>
      <c r="P2605" s="1" t="s">
        <v>3385</v>
      </c>
      <c r="Q2605" s="1" t="s">
        <v>3385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4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5" t="s">
        <v>3751</v>
      </c>
      <c r="C2606" s="1" t="s">
        <v>3752</v>
      </c>
      <c r="D2606" s="1" t="s">
        <v>14</v>
      </c>
      <c r="E2606" s="1" t="s">
        <v>3668</v>
      </c>
      <c r="F2606" s="1" t="s">
        <v>3380</v>
      </c>
      <c r="G2606" s="1" t="s">
        <v>3668</v>
      </c>
      <c r="H2606" s="2" t="s">
        <v>3631</v>
      </c>
      <c r="I2606" s="1" t="s">
        <v>3762</v>
      </c>
      <c r="J2606" s="1" t="s">
        <v>52</v>
      </c>
      <c r="K2606" s="1" t="s">
        <v>3631</v>
      </c>
      <c r="L2606" s="36" t="s">
        <v>69</v>
      </c>
      <c r="M2606" s="1" t="s">
        <v>69</v>
      </c>
      <c r="N2606" s="1" t="s">
        <v>3383</v>
      </c>
      <c r="O2606" s="1" t="s">
        <v>3624</v>
      </c>
      <c r="P2606" s="1" t="s">
        <v>3385</v>
      </c>
      <c r="Q2606" s="1" t="s">
        <v>3385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5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5" t="s">
        <v>3751</v>
      </c>
      <c r="C2607" s="1" t="s">
        <v>3752</v>
      </c>
      <c r="D2607" s="1" t="s">
        <v>14</v>
      </c>
      <c r="E2607" s="1" t="s">
        <v>3668</v>
      </c>
      <c r="F2607" s="1" t="s">
        <v>3380</v>
      </c>
      <c r="G2607" s="1" t="s">
        <v>3668</v>
      </c>
      <c r="H2607" s="2" t="s">
        <v>3633</v>
      </c>
      <c r="I2607" s="1" t="s">
        <v>3763</v>
      </c>
      <c r="J2607" s="1" t="s">
        <v>52</v>
      </c>
      <c r="K2607" s="1" t="s">
        <v>3633</v>
      </c>
      <c r="L2607" s="36" t="s">
        <v>69</v>
      </c>
      <c r="M2607" s="1" t="s">
        <v>69</v>
      </c>
      <c r="N2607" s="1" t="s">
        <v>3383</v>
      </c>
      <c r="O2607" s="1" t="s">
        <v>3635</v>
      </c>
      <c r="P2607" s="1" t="s">
        <v>3385</v>
      </c>
      <c r="Q2607" s="1" t="s">
        <v>3385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1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5" t="s">
        <v>3751</v>
      </c>
      <c r="C2608" s="1" t="s">
        <v>3752</v>
      </c>
      <c r="D2608" s="1" t="s">
        <v>14</v>
      </c>
      <c r="E2608" s="1" t="s">
        <v>3668</v>
      </c>
      <c r="F2608" s="1" t="s">
        <v>3380</v>
      </c>
      <c r="G2608" s="1" t="s">
        <v>3668</v>
      </c>
      <c r="H2608" s="2" t="s">
        <v>3636</v>
      </c>
      <c r="I2608" s="1" t="s">
        <v>3764</v>
      </c>
      <c r="J2608" s="1" t="s">
        <v>52</v>
      </c>
      <c r="K2608" s="1" t="s">
        <v>3636</v>
      </c>
      <c r="L2608" s="36" t="s">
        <v>69</v>
      </c>
      <c r="M2608" s="1" t="s">
        <v>69</v>
      </c>
      <c r="N2608" s="1" t="s">
        <v>3383</v>
      </c>
      <c r="O2608" s="1" t="s">
        <v>3635</v>
      </c>
      <c r="P2608" s="1" t="s">
        <v>3385</v>
      </c>
      <c r="Q2608" s="1" t="s">
        <v>3385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2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5" t="s">
        <v>3751</v>
      </c>
      <c r="C2609" s="1" t="s">
        <v>3752</v>
      </c>
      <c r="D2609" s="1" t="s">
        <v>14</v>
      </c>
      <c r="E2609" s="1" t="s">
        <v>3668</v>
      </c>
      <c r="F2609" s="1" t="s">
        <v>3380</v>
      </c>
      <c r="G2609" s="1" t="s">
        <v>3668</v>
      </c>
      <c r="H2609" s="2" t="s">
        <v>3638</v>
      </c>
      <c r="I2609" s="1" t="s">
        <v>3765</v>
      </c>
      <c r="J2609" s="1" t="s">
        <v>52</v>
      </c>
      <c r="K2609" s="1" t="s">
        <v>3638</v>
      </c>
      <c r="L2609" s="36" t="s">
        <v>69</v>
      </c>
      <c r="M2609" s="1" t="s">
        <v>69</v>
      </c>
      <c r="N2609" s="1" t="s">
        <v>3383</v>
      </c>
      <c r="O2609" s="1" t="s">
        <v>3635</v>
      </c>
      <c r="P2609" s="1" t="s">
        <v>3385</v>
      </c>
      <c r="Q2609" s="1" t="s">
        <v>3385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3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5" t="s">
        <v>3751</v>
      </c>
      <c r="C2610" s="1" t="s">
        <v>3752</v>
      </c>
      <c r="D2610" s="1" t="s">
        <v>14</v>
      </c>
      <c r="E2610" s="1" t="s">
        <v>3668</v>
      </c>
      <c r="F2610" s="1" t="s">
        <v>3380</v>
      </c>
      <c r="G2610" s="1" t="s">
        <v>3668</v>
      </c>
      <c r="H2610" s="2" t="s">
        <v>3640</v>
      </c>
      <c r="I2610" s="1" t="s">
        <v>3766</v>
      </c>
      <c r="J2610" s="1" t="s">
        <v>52</v>
      </c>
      <c r="K2610" s="1" t="s">
        <v>3640</v>
      </c>
      <c r="L2610" s="36" t="s">
        <v>69</v>
      </c>
      <c r="M2610" s="1" t="s">
        <v>69</v>
      </c>
      <c r="N2610" s="1" t="s">
        <v>3383</v>
      </c>
      <c r="O2610" s="1" t="s">
        <v>3635</v>
      </c>
      <c r="P2610" s="1" t="s">
        <v>3385</v>
      </c>
      <c r="Q2610" s="1" t="s">
        <v>3385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4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5" t="s">
        <v>3751</v>
      </c>
      <c r="C2611" s="1" t="s">
        <v>3752</v>
      </c>
      <c r="D2611" s="1" t="s">
        <v>14</v>
      </c>
      <c r="E2611" s="1" t="s">
        <v>3668</v>
      </c>
      <c r="F2611" s="1" t="s">
        <v>3380</v>
      </c>
      <c r="G2611" s="1" t="s">
        <v>3668</v>
      </c>
      <c r="H2611" s="2" t="s">
        <v>3642</v>
      </c>
      <c r="I2611" s="1" t="s">
        <v>3767</v>
      </c>
      <c r="J2611" s="1" t="s">
        <v>52</v>
      </c>
      <c r="K2611" s="1" t="s">
        <v>3642</v>
      </c>
      <c r="L2611" s="36" t="s">
        <v>69</v>
      </c>
      <c r="M2611" s="1" t="s">
        <v>69</v>
      </c>
      <c r="N2611" s="1" t="s">
        <v>3383</v>
      </c>
      <c r="O2611" s="1" t="s">
        <v>3635</v>
      </c>
      <c r="P2611" s="1" t="s">
        <v>3385</v>
      </c>
      <c r="Q2611" s="1" t="s">
        <v>3385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5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5" t="s">
        <v>3751</v>
      </c>
      <c r="C2612" s="1" t="s">
        <v>3752</v>
      </c>
      <c r="D2612" s="1" t="s">
        <v>14</v>
      </c>
      <c r="E2612" s="1" t="s">
        <v>3668</v>
      </c>
      <c r="F2612" s="1" t="s">
        <v>3380</v>
      </c>
      <c r="G2612" s="1" t="s">
        <v>3668</v>
      </c>
      <c r="H2612" s="2" t="s">
        <v>3644</v>
      </c>
      <c r="I2612" s="1" t="s">
        <v>3768</v>
      </c>
      <c r="J2612" s="1" t="s">
        <v>52</v>
      </c>
      <c r="K2612" s="1" t="s">
        <v>3644</v>
      </c>
      <c r="L2612" s="36" t="s">
        <v>69</v>
      </c>
      <c r="M2612" s="1" t="s">
        <v>69</v>
      </c>
      <c r="N2612" s="1" t="s">
        <v>3383</v>
      </c>
      <c r="O2612" s="1" t="s">
        <v>3646</v>
      </c>
      <c r="P2612" s="1" t="s">
        <v>3385</v>
      </c>
      <c r="Q2612" s="1" t="s">
        <v>3385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1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5" t="s">
        <v>3751</v>
      </c>
      <c r="C2613" s="1" t="s">
        <v>3752</v>
      </c>
      <c r="D2613" s="1" t="s">
        <v>14</v>
      </c>
      <c r="E2613" s="1" t="s">
        <v>3668</v>
      </c>
      <c r="F2613" s="1" t="s">
        <v>3380</v>
      </c>
      <c r="G2613" s="1" t="s">
        <v>3668</v>
      </c>
      <c r="H2613" s="2" t="s">
        <v>3647</v>
      </c>
      <c r="I2613" s="1" t="s">
        <v>3769</v>
      </c>
      <c r="J2613" s="1" t="s">
        <v>52</v>
      </c>
      <c r="K2613" s="1" t="s">
        <v>3647</v>
      </c>
      <c r="L2613" s="36" t="s">
        <v>69</v>
      </c>
      <c r="M2613" s="1" t="s">
        <v>69</v>
      </c>
      <c r="N2613" s="1" t="s">
        <v>3383</v>
      </c>
      <c r="O2613" s="1" t="s">
        <v>3646</v>
      </c>
      <c r="P2613" s="1" t="s">
        <v>3385</v>
      </c>
      <c r="Q2613" s="1" t="s">
        <v>3385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2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5" t="s">
        <v>3751</v>
      </c>
      <c r="C2614" s="1" t="s">
        <v>3752</v>
      </c>
      <c r="D2614" s="1" t="s">
        <v>14</v>
      </c>
      <c r="E2614" s="1" t="s">
        <v>3668</v>
      </c>
      <c r="F2614" s="1" t="s">
        <v>3380</v>
      </c>
      <c r="G2614" s="1" t="s">
        <v>3668</v>
      </c>
      <c r="H2614" s="2" t="s">
        <v>3649</v>
      </c>
      <c r="I2614" s="1" t="s">
        <v>3770</v>
      </c>
      <c r="J2614" s="1" t="s">
        <v>52</v>
      </c>
      <c r="K2614" s="1" t="s">
        <v>3649</v>
      </c>
      <c r="L2614" s="36" t="s">
        <v>69</v>
      </c>
      <c r="M2614" s="1" t="s">
        <v>69</v>
      </c>
      <c r="N2614" s="1" t="s">
        <v>3383</v>
      </c>
      <c r="O2614" s="1" t="s">
        <v>3646</v>
      </c>
      <c r="P2614" s="1" t="s">
        <v>3385</v>
      </c>
      <c r="Q2614" s="1" t="s">
        <v>3385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3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5" t="s">
        <v>3751</v>
      </c>
      <c r="C2615" s="1" t="s">
        <v>3752</v>
      </c>
      <c r="D2615" s="1" t="s">
        <v>14</v>
      </c>
      <c r="E2615" s="1" t="s">
        <v>3668</v>
      </c>
      <c r="F2615" s="1" t="s">
        <v>3380</v>
      </c>
      <c r="G2615" s="1" t="s">
        <v>3668</v>
      </c>
      <c r="H2615" s="2" t="s">
        <v>3651</v>
      </c>
      <c r="I2615" s="1" t="s">
        <v>3771</v>
      </c>
      <c r="J2615" s="1" t="s">
        <v>52</v>
      </c>
      <c r="K2615" s="1" t="s">
        <v>3651</v>
      </c>
      <c r="L2615" s="36" t="s">
        <v>69</v>
      </c>
      <c r="M2615" s="1" t="s">
        <v>69</v>
      </c>
      <c r="N2615" s="1" t="s">
        <v>3383</v>
      </c>
      <c r="O2615" s="1" t="s">
        <v>3646</v>
      </c>
      <c r="P2615" s="1" t="s">
        <v>3385</v>
      </c>
      <c r="Q2615" s="1" t="s">
        <v>3385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4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5" t="s">
        <v>3751</v>
      </c>
      <c r="C2616" s="1" t="s">
        <v>3752</v>
      </c>
      <c r="D2616" s="1" t="s">
        <v>14</v>
      </c>
      <c r="E2616" s="1" t="s">
        <v>3668</v>
      </c>
      <c r="F2616" s="1" t="s">
        <v>3380</v>
      </c>
      <c r="G2616" s="1" t="s">
        <v>3668</v>
      </c>
      <c r="H2616" s="2" t="s">
        <v>3653</v>
      </c>
      <c r="I2616" s="1" t="s">
        <v>3772</v>
      </c>
      <c r="J2616" s="1" t="s">
        <v>52</v>
      </c>
      <c r="K2616" s="1" t="s">
        <v>3653</v>
      </c>
      <c r="L2616" s="36" t="s">
        <v>69</v>
      </c>
      <c r="M2616" s="1" t="s">
        <v>69</v>
      </c>
      <c r="N2616" s="1" t="s">
        <v>3383</v>
      </c>
      <c r="O2616" s="1" t="s">
        <v>3646</v>
      </c>
      <c r="P2616" s="1" t="s">
        <v>3385</v>
      </c>
      <c r="Q2616" s="1" t="s">
        <v>3385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5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5" t="s">
        <v>3751</v>
      </c>
      <c r="C2617" s="1" t="s">
        <v>3752</v>
      </c>
      <c r="D2617" s="1" t="s">
        <v>14</v>
      </c>
      <c r="E2617" s="1" t="s">
        <v>3668</v>
      </c>
      <c r="F2617" s="1" t="s">
        <v>3380</v>
      </c>
      <c r="G2617" s="1" t="s">
        <v>3668</v>
      </c>
      <c r="H2617" s="2" t="s">
        <v>3655</v>
      </c>
      <c r="I2617" s="1" t="s">
        <v>3773</v>
      </c>
      <c r="J2617" s="1" t="s">
        <v>52</v>
      </c>
      <c r="K2617" s="1" t="s">
        <v>3655</v>
      </c>
      <c r="L2617" s="36" t="s">
        <v>69</v>
      </c>
      <c r="M2617" s="1" t="s">
        <v>69</v>
      </c>
      <c r="N2617" s="1" t="s">
        <v>3383</v>
      </c>
      <c r="O2617" s="1" t="s">
        <v>3657</v>
      </c>
      <c r="P2617" s="1" t="s">
        <v>3385</v>
      </c>
      <c r="Q2617" s="1" t="s">
        <v>3385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1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5" t="s">
        <v>3751</v>
      </c>
      <c r="C2618" s="1" t="s">
        <v>3752</v>
      </c>
      <c r="D2618" s="1" t="s">
        <v>14</v>
      </c>
      <c r="E2618" s="1" t="s">
        <v>3668</v>
      </c>
      <c r="F2618" s="1" t="s">
        <v>3380</v>
      </c>
      <c r="G2618" s="1" t="s">
        <v>3668</v>
      </c>
      <c r="H2618" s="2" t="s">
        <v>3658</v>
      </c>
      <c r="I2618" s="1" t="s">
        <v>3774</v>
      </c>
      <c r="J2618" s="1" t="s">
        <v>52</v>
      </c>
      <c r="K2618" s="1" t="s">
        <v>3658</v>
      </c>
      <c r="L2618" s="36" t="s">
        <v>69</v>
      </c>
      <c r="M2618" s="1" t="s">
        <v>69</v>
      </c>
      <c r="N2618" s="1" t="s">
        <v>3383</v>
      </c>
      <c r="O2618" s="1" t="s">
        <v>3657</v>
      </c>
      <c r="P2618" s="1" t="s">
        <v>3385</v>
      </c>
      <c r="Q2618" s="1" t="s">
        <v>3385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2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5" t="s">
        <v>3751</v>
      </c>
      <c r="C2619" s="1" t="s">
        <v>3752</v>
      </c>
      <c r="D2619" s="1" t="s">
        <v>14</v>
      </c>
      <c r="E2619" s="1" t="s">
        <v>3668</v>
      </c>
      <c r="F2619" s="1" t="s">
        <v>3380</v>
      </c>
      <c r="G2619" s="1" t="s">
        <v>3668</v>
      </c>
      <c r="H2619" s="2" t="s">
        <v>3660</v>
      </c>
      <c r="I2619" s="1" t="s">
        <v>3775</v>
      </c>
      <c r="J2619" s="1" t="s">
        <v>52</v>
      </c>
      <c r="K2619" s="1" t="s">
        <v>3660</v>
      </c>
      <c r="L2619" s="36" t="s">
        <v>69</v>
      </c>
      <c r="M2619" s="1" t="s">
        <v>69</v>
      </c>
      <c r="N2619" s="1" t="s">
        <v>3383</v>
      </c>
      <c r="O2619" s="1" t="s">
        <v>3657</v>
      </c>
      <c r="P2619" s="1" t="s">
        <v>3385</v>
      </c>
      <c r="Q2619" s="1" t="s">
        <v>3385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3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5" t="s">
        <v>3751</v>
      </c>
      <c r="C2620" s="1" t="s">
        <v>3752</v>
      </c>
      <c r="D2620" s="1" t="s">
        <v>14</v>
      </c>
      <c r="E2620" s="1" t="s">
        <v>3668</v>
      </c>
      <c r="F2620" s="1" t="s">
        <v>3380</v>
      </c>
      <c r="G2620" s="1" t="s">
        <v>3668</v>
      </c>
      <c r="H2620" s="2" t="s">
        <v>3662</v>
      </c>
      <c r="I2620" s="1" t="s">
        <v>3776</v>
      </c>
      <c r="J2620" s="1" t="s">
        <v>52</v>
      </c>
      <c r="K2620" s="1" t="s">
        <v>3662</v>
      </c>
      <c r="L2620" s="36" t="s">
        <v>69</v>
      </c>
      <c r="M2620" s="1" t="s">
        <v>69</v>
      </c>
      <c r="N2620" s="1" t="s">
        <v>3383</v>
      </c>
      <c r="O2620" s="1" t="s">
        <v>3657</v>
      </c>
      <c r="P2620" s="1" t="s">
        <v>3385</v>
      </c>
      <c r="Q2620" s="1" t="s">
        <v>3385</v>
      </c>
      <c r="R2620" s="1" t="s">
        <v>46</v>
      </c>
      <c r="S2620" s="1" t="s">
        <v>69</v>
      </c>
      <c r="T2620" s="1" t="s">
        <v>69</v>
      </c>
      <c r="U2620" s="1" t="s">
        <v>46</v>
      </c>
      <c r="V2620" s="1" t="n">
        <v>4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5" t="s">
        <v>3751</v>
      </c>
      <c r="C2621" s="1" t="s">
        <v>3752</v>
      </c>
      <c r="D2621" s="1" t="s">
        <v>14</v>
      </c>
      <c r="E2621" s="1" t="s">
        <v>3668</v>
      </c>
      <c r="F2621" s="1" t="s">
        <v>3380</v>
      </c>
      <c r="G2621" s="1" t="s">
        <v>3668</v>
      </c>
      <c r="H2621" s="2" t="s">
        <v>3664</v>
      </c>
      <c r="I2621" s="1" t="s">
        <v>3777</v>
      </c>
      <c r="J2621" s="1" t="s">
        <v>52</v>
      </c>
      <c r="K2621" s="1" t="s">
        <v>3664</v>
      </c>
      <c r="L2621" s="36" t="s">
        <v>69</v>
      </c>
      <c r="M2621" s="1" t="s">
        <v>69</v>
      </c>
      <c r="N2621" s="1" t="s">
        <v>3383</v>
      </c>
      <c r="O2621" s="1" t="s">
        <v>3657</v>
      </c>
      <c r="P2621" s="1" t="s">
        <v>3385</v>
      </c>
      <c r="Q2621" s="1" t="s">
        <v>3385</v>
      </c>
      <c r="R2621" s="1" t="s">
        <v>46</v>
      </c>
      <c r="S2621" s="1" t="s">
        <v>69</v>
      </c>
      <c r="T2621" s="1" t="s">
        <v>69</v>
      </c>
      <c r="U2621" s="1" t="s">
        <v>46</v>
      </c>
      <c r="V2621" s="1" t="n">
        <v>5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5" t="s">
        <v>3751</v>
      </c>
      <c r="C2622" s="1" t="s">
        <v>3752</v>
      </c>
      <c r="D2622" s="1" t="s">
        <v>14</v>
      </c>
      <c r="E2622" s="1" t="s">
        <v>3668</v>
      </c>
      <c r="F2622" s="1" t="s">
        <v>3380</v>
      </c>
      <c r="G2622" s="1" t="s">
        <v>3668</v>
      </c>
      <c r="H2622" s="2" t="s">
        <v>3436</v>
      </c>
      <c r="I2622" s="1" t="s">
        <v>3693</v>
      </c>
      <c r="J2622" s="1" t="s">
        <v>52</v>
      </c>
      <c r="K2622" s="2" t="s">
        <v>3436</v>
      </c>
      <c r="L2622" s="5" t="s">
        <v>69</v>
      </c>
      <c r="M2622" s="5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5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5" t="s">
        <v>3751</v>
      </c>
      <c r="C2623" s="1" t="s">
        <v>3752</v>
      </c>
      <c r="D2623" s="1" t="s">
        <v>14</v>
      </c>
      <c r="E2623" s="1" t="s">
        <v>3668</v>
      </c>
      <c r="F2623" s="1" t="s">
        <v>3380</v>
      </c>
      <c r="G2623" s="1" t="s">
        <v>3668</v>
      </c>
      <c r="H2623" s="2" t="s">
        <v>3438</v>
      </c>
      <c r="I2623" s="1" t="s">
        <v>3694</v>
      </c>
      <c r="J2623" s="1" t="s">
        <v>52</v>
      </c>
      <c r="K2623" s="2" t="s">
        <v>3438</v>
      </c>
      <c r="L2623" s="5" t="s">
        <v>69</v>
      </c>
      <c r="M2623" s="5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5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5" t="s">
        <v>3751</v>
      </c>
      <c r="C2624" s="1" t="s">
        <v>3752</v>
      </c>
      <c r="D2624" s="1" t="s">
        <v>14</v>
      </c>
      <c r="E2624" s="1" t="s">
        <v>3668</v>
      </c>
      <c r="F2624" s="1" t="s">
        <v>3380</v>
      </c>
      <c r="G2624" s="1" t="s">
        <v>3668</v>
      </c>
      <c r="H2624" s="2" t="s">
        <v>3440</v>
      </c>
      <c r="I2624" s="1" t="s">
        <v>3695</v>
      </c>
      <c r="J2624" s="1" t="s">
        <v>52</v>
      </c>
      <c r="K2624" s="2" t="s">
        <v>3440</v>
      </c>
      <c r="L2624" s="5" t="s">
        <v>69</v>
      </c>
      <c r="M2624" s="5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5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5" t="s">
        <v>3751</v>
      </c>
      <c r="C2625" s="1" t="s">
        <v>3752</v>
      </c>
      <c r="D2625" s="1" t="s">
        <v>14</v>
      </c>
      <c r="E2625" s="1" t="s">
        <v>3668</v>
      </c>
      <c r="F2625" s="1" t="s">
        <v>3380</v>
      </c>
      <c r="G2625" s="1" t="s">
        <v>3668</v>
      </c>
      <c r="H2625" s="2" t="s">
        <v>3442</v>
      </c>
      <c r="I2625" s="1" t="s">
        <v>3696</v>
      </c>
      <c r="J2625" s="1" t="s">
        <v>52</v>
      </c>
      <c r="K2625" s="2" t="s">
        <v>3442</v>
      </c>
      <c r="L2625" s="5" t="s">
        <v>69</v>
      </c>
      <c r="M2625" s="5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5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5" t="s">
        <v>3751</v>
      </c>
      <c r="C2626" s="1" t="s">
        <v>3752</v>
      </c>
      <c r="D2626" s="1" t="s">
        <v>14</v>
      </c>
      <c r="E2626" s="1" t="s">
        <v>3668</v>
      </c>
      <c r="F2626" s="1" t="s">
        <v>3380</v>
      </c>
      <c r="G2626" s="1" t="s">
        <v>3668</v>
      </c>
      <c r="H2626" s="2" t="s">
        <v>3444</v>
      </c>
      <c r="I2626" s="1" t="s">
        <v>3697</v>
      </c>
      <c r="J2626" s="1" t="s">
        <v>52</v>
      </c>
      <c r="K2626" s="2" t="s">
        <v>3444</v>
      </c>
      <c r="L2626" s="5" t="s">
        <v>69</v>
      </c>
      <c r="M2626" s="5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5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5" t="s">
        <v>3751</v>
      </c>
      <c r="C2627" s="1" t="s">
        <v>3752</v>
      </c>
      <c r="D2627" s="1" t="s">
        <v>14</v>
      </c>
      <c r="E2627" s="1" t="s">
        <v>3668</v>
      </c>
      <c r="F2627" s="1" t="s">
        <v>3380</v>
      </c>
      <c r="G2627" s="1" t="s">
        <v>3668</v>
      </c>
      <c r="H2627" s="2" t="s">
        <v>3446</v>
      </c>
      <c r="I2627" s="1" t="s">
        <v>3698</v>
      </c>
      <c r="J2627" s="1" t="s">
        <v>52</v>
      </c>
      <c r="K2627" s="2" t="s">
        <v>3446</v>
      </c>
      <c r="L2627" s="5" t="s">
        <v>69</v>
      </c>
      <c r="M2627" s="5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5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5" t="s">
        <v>3751</v>
      </c>
      <c r="C2628" s="1" t="s">
        <v>3752</v>
      </c>
      <c r="D2628" s="1" t="s">
        <v>14</v>
      </c>
      <c r="E2628" s="1" t="s">
        <v>3668</v>
      </c>
      <c r="F2628" s="1" t="s">
        <v>3380</v>
      </c>
      <c r="G2628" s="1" t="s">
        <v>3668</v>
      </c>
      <c r="H2628" s="2" t="s">
        <v>3448</v>
      </c>
      <c r="I2628" s="1" t="s">
        <v>3699</v>
      </c>
      <c r="J2628" s="1" t="s">
        <v>52</v>
      </c>
      <c r="K2628" s="2" t="s">
        <v>3448</v>
      </c>
      <c r="L2628" s="5" t="s">
        <v>69</v>
      </c>
      <c r="M2628" s="5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5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5" t="s">
        <v>3751</v>
      </c>
      <c r="C2629" s="1" t="s">
        <v>3752</v>
      </c>
      <c r="D2629" s="1" t="s">
        <v>14</v>
      </c>
      <c r="E2629" s="1" t="s">
        <v>3668</v>
      </c>
      <c r="F2629" s="1" t="s">
        <v>3380</v>
      </c>
      <c r="G2629" s="1" t="s">
        <v>3668</v>
      </c>
      <c r="H2629" s="2" t="s">
        <v>3450</v>
      </c>
      <c r="I2629" s="1" t="s">
        <v>3700</v>
      </c>
      <c r="J2629" s="1" t="s">
        <v>52</v>
      </c>
      <c r="K2629" s="2" t="s">
        <v>3450</v>
      </c>
      <c r="L2629" s="5" t="s">
        <v>69</v>
      </c>
      <c r="M2629" s="5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5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5" t="s">
        <v>3751</v>
      </c>
      <c r="C2630" s="1" t="s">
        <v>3752</v>
      </c>
      <c r="D2630" s="1" t="s">
        <v>14</v>
      </c>
      <c r="E2630" s="1" t="s">
        <v>3668</v>
      </c>
      <c r="F2630" s="1" t="s">
        <v>3380</v>
      </c>
      <c r="G2630" s="1" t="s">
        <v>3668</v>
      </c>
      <c r="H2630" s="2" t="s">
        <v>3452</v>
      </c>
      <c r="I2630" s="1" t="s">
        <v>3701</v>
      </c>
      <c r="J2630" s="1" t="s">
        <v>52</v>
      </c>
      <c r="K2630" s="2" t="s">
        <v>3452</v>
      </c>
      <c r="L2630" s="5" t="s">
        <v>69</v>
      </c>
      <c r="M2630" s="5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5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5" t="s">
        <v>3751</v>
      </c>
      <c r="C2631" s="1" t="s">
        <v>3752</v>
      </c>
      <c r="D2631" s="1" t="s">
        <v>14</v>
      </c>
      <c r="E2631" s="1" t="s">
        <v>3668</v>
      </c>
      <c r="F2631" s="1" t="s">
        <v>3380</v>
      </c>
      <c r="G2631" s="1" t="s">
        <v>3668</v>
      </c>
      <c r="H2631" s="2" t="s">
        <v>3454</v>
      </c>
      <c r="I2631" s="1" t="s">
        <v>3702</v>
      </c>
      <c r="J2631" s="1" t="s">
        <v>52</v>
      </c>
      <c r="K2631" s="2" t="s">
        <v>3454</v>
      </c>
      <c r="L2631" s="5" t="s">
        <v>69</v>
      </c>
      <c r="M2631" s="5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5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5" t="s">
        <v>3751</v>
      </c>
      <c r="C2632" s="1" t="s">
        <v>3752</v>
      </c>
      <c r="D2632" s="1" t="s">
        <v>14</v>
      </c>
      <c r="E2632" s="1" t="s">
        <v>3668</v>
      </c>
      <c r="F2632" s="1" t="s">
        <v>3380</v>
      </c>
      <c r="G2632" s="1" t="s">
        <v>3668</v>
      </c>
      <c r="H2632" s="2" t="s">
        <v>3456</v>
      </c>
      <c r="I2632" s="1" t="s">
        <v>3703</v>
      </c>
      <c r="J2632" s="1" t="s">
        <v>52</v>
      </c>
      <c r="K2632" s="2" t="s">
        <v>3456</v>
      </c>
      <c r="L2632" s="5" t="s">
        <v>69</v>
      </c>
      <c r="M2632" s="5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5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5" t="s">
        <v>3751</v>
      </c>
      <c r="C2633" s="1" t="s">
        <v>3752</v>
      </c>
      <c r="D2633" s="1" t="s">
        <v>14</v>
      </c>
      <c r="E2633" s="1" t="s">
        <v>3668</v>
      </c>
      <c r="F2633" s="1" t="s">
        <v>3380</v>
      </c>
      <c r="G2633" s="1" t="s">
        <v>3668</v>
      </c>
      <c r="H2633" s="2" t="s">
        <v>3458</v>
      </c>
      <c r="I2633" s="1" t="s">
        <v>3704</v>
      </c>
      <c r="J2633" s="1" t="s">
        <v>52</v>
      </c>
      <c r="K2633" s="2" t="s">
        <v>3458</v>
      </c>
      <c r="L2633" s="5" t="s">
        <v>69</v>
      </c>
      <c r="M2633" s="5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5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5" t="s">
        <v>3751</v>
      </c>
      <c r="C2634" s="1" t="s">
        <v>3752</v>
      </c>
      <c r="D2634" s="1" t="s">
        <v>14</v>
      </c>
      <c r="E2634" s="1" t="s">
        <v>3668</v>
      </c>
      <c r="F2634" s="1" t="s">
        <v>3380</v>
      </c>
      <c r="G2634" s="1" t="s">
        <v>3668</v>
      </c>
      <c r="H2634" s="2" t="s">
        <v>3460</v>
      </c>
      <c r="I2634" s="1" t="s">
        <v>3705</v>
      </c>
      <c r="J2634" s="1" t="s">
        <v>52</v>
      </c>
      <c r="K2634" s="2" t="s">
        <v>3460</v>
      </c>
      <c r="L2634" s="5" t="s">
        <v>69</v>
      </c>
      <c r="M2634" s="5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5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5" t="s">
        <v>3751</v>
      </c>
      <c r="C2635" s="1" t="s">
        <v>3752</v>
      </c>
      <c r="D2635" s="1" t="s">
        <v>14</v>
      </c>
      <c r="E2635" s="1" t="s">
        <v>3668</v>
      </c>
      <c r="F2635" s="1" t="s">
        <v>3380</v>
      </c>
      <c r="G2635" s="1" t="s">
        <v>3668</v>
      </c>
      <c r="H2635" s="2" t="s">
        <v>3462</v>
      </c>
      <c r="I2635" s="1" t="s">
        <v>3706</v>
      </c>
      <c r="J2635" s="1" t="s">
        <v>52</v>
      </c>
      <c r="K2635" s="2" t="s">
        <v>3462</v>
      </c>
      <c r="L2635" s="5" t="s">
        <v>69</v>
      </c>
      <c r="M2635" s="5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5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5" t="s">
        <v>3751</v>
      </c>
      <c r="C2636" s="1" t="s">
        <v>3752</v>
      </c>
      <c r="D2636" s="1" t="s">
        <v>14</v>
      </c>
      <c r="E2636" s="1" t="s">
        <v>3668</v>
      </c>
      <c r="F2636" s="1" t="s">
        <v>3380</v>
      </c>
      <c r="G2636" s="1" t="s">
        <v>3668</v>
      </c>
      <c r="H2636" s="2" t="s">
        <v>3464</v>
      </c>
      <c r="I2636" s="1" t="s">
        <v>3707</v>
      </c>
      <c r="J2636" s="1" t="s">
        <v>52</v>
      </c>
      <c r="K2636" s="2" t="s">
        <v>3464</v>
      </c>
      <c r="L2636" s="5" t="s">
        <v>69</v>
      </c>
      <c r="M2636" s="5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5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5" t="s">
        <v>3751</v>
      </c>
      <c r="C2637" s="1" t="s">
        <v>3752</v>
      </c>
      <c r="D2637" s="1" t="s">
        <v>14</v>
      </c>
      <c r="E2637" s="1" t="s">
        <v>3668</v>
      </c>
      <c r="F2637" s="1" t="s">
        <v>3380</v>
      </c>
      <c r="G2637" s="1" t="s">
        <v>3668</v>
      </c>
      <c r="H2637" s="2" t="s">
        <v>3466</v>
      </c>
      <c r="I2637" s="1" t="s">
        <v>3708</v>
      </c>
      <c r="J2637" s="1" t="s">
        <v>52</v>
      </c>
      <c r="K2637" s="2" t="s">
        <v>3466</v>
      </c>
      <c r="L2637" s="5" t="s">
        <v>69</v>
      </c>
      <c r="M2637" s="5" t="s">
        <v>69</v>
      </c>
      <c r="N2637" s="1" t="s">
        <v>3468</v>
      </c>
      <c r="O2637" s="1" t="s">
        <v>46</v>
      </c>
      <c r="P2637" s="1" t="s">
        <v>46</v>
      </c>
      <c r="Q2637" s="1" t="s">
        <v>46</v>
      </c>
      <c r="R2637" s="5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5" t="s">
        <v>3751</v>
      </c>
      <c r="C2638" s="1" t="s">
        <v>3752</v>
      </c>
      <c r="D2638" s="1" t="s">
        <v>14</v>
      </c>
      <c r="E2638" s="1" t="s">
        <v>3668</v>
      </c>
      <c r="F2638" s="1" t="s">
        <v>3380</v>
      </c>
      <c r="G2638" s="1" t="s">
        <v>3668</v>
      </c>
      <c r="H2638" s="2" t="s">
        <v>3469</v>
      </c>
      <c r="I2638" s="1" t="s">
        <v>3709</v>
      </c>
      <c r="J2638" s="1" t="s">
        <v>52</v>
      </c>
      <c r="K2638" s="2" t="s">
        <v>3469</v>
      </c>
      <c r="L2638" s="5" t="s">
        <v>69</v>
      </c>
      <c r="M2638" s="5" t="s">
        <v>69</v>
      </c>
      <c r="N2638" s="1" t="s">
        <v>3468</v>
      </c>
      <c r="O2638" s="1" t="s">
        <v>46</v>
      </c>
      <c r="P2638" s="1" t="s">
        <v>46</v>
      </c>
      <c r="Q2638" s="1" t="s">
        <v>46</v>
      </c>
      <c r="R2638" s="5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5" t="s">
        <v>3751</v>
      </c>
      <c r="C2639" s="1" t="s">
        <v>3752</v>
      </c>
      <c r="D2639" s="1" t="s">
        <v>14</v>
      </c>
      <c r="E2639" s="1" t="s">
        <v>3668</v>
      </c>
      <c r="F2639" s="1" t="s">
        <v>3380</v>
      </c>
      <c r="G2639" s="1" t="s">
        <v>3668</v>
      </c>
      <c r="H2639" s="2" t="s">
        <v>3471</v>
      </c>
      <c r="I2639" s="1" t="s">
        <v>3710</v>
      </c>
      <c r="J2639" s="1" t="s">
        <v>52</v>
      </c>
      <c r="K2639" s="2" t="s">
        <v>3471</v>
      </c>
      <c r="L2639" s="5" t="s">
        <v>69</v>
      </c>
      <c r="M2639" s="5" t="s">
        <v>69</v>
      </c>
      <c r="N2639" s="1" t="s">
        <v>3468</v>
      </c>
      <c r="O2639" s="1" t="s">
        <v>46</v>
      </c>
      <c r="P2639" s="1" t="s">
        <v>46</v>
      </c>
      <c r="Q2639" s="1" t="s">
        <v>46</v>
      </c>
      <c r="R2639" s="5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5" t="s">
        <v>3751</v>
      </c>
      <c r="C2640" s="1" t="s">
        <v>3752</v>
      </c>
      <c r="D2640" s="1" t="s">
        <v>14</v>
      </c>
      <c r="E2640" s="1" t="s">
        <v>3668</v>
      </c>
      <c r="F2640" s="1" t="s">
        <v>3380</v>
      </c>
      <c r="G2640" s="1" t="s">
        <v>3668</v>
      </c>
      <c r="H2640" s="2" t="s">
        <v>3473</v>
      </c>
      <c r="I2640" s="1" t="s">
        <v>3711</v>
      </c>
      <c r="J2640" s="1" t="s">
        <v>52</v>
      </c>
      <c r="K2640" s="2" t="s">
        <v>3473</v>
      </c>
      <c r="L2640" s="5" t="s">
        <v>69</v>
      </c>
      <c r="M2640" s="5" t="s">
        <v>69</v>
      </c>
      <c r="N2640" s="1" t="s">
        <v>3468</v>
      </c>
      <c r="O2640" s="1" t="s">
        <v>46</v>
      </c>
      <c r="P2640" s="1" t="s">
        <v>46</v>
      </c>
      <c r="Q2640" s="1" t="s">
        <v>46</v>
      </c>
      <c r="R2640" s="5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5" t="s">
        <v>3751</v>
      </c>
      <c r="C2641" s="1" t="s">
        <v>3752</v>
      </c>
      <c r="D2641" s="1" t="s">
        <v>14</v>
      </c>
      <c r="E2641" s="1" t="s">
        <v>3668</v>
      </c>
      <c r="F2641" s="1" t="s">
        <v>3380</v>
      </c>
      <c r="G2641" s="1" t="s">
        <v>3668</v>
      </c>
      <c r="H2641" s="2" t="s">
        <v>3475</v>
      </c>
      <c r="I2641" s="1" t="s">
        <v>3712</v>
      </c>
      <c r="J2641" s="1" t="s">
        <v>52</v>
      </c>
      <c r="K2641" s="2" t="s">
        <v>3475</v>
      </c>
      <c r="L2641" s="5" t="s">
        <v>69</v>
      </c>
      <c r="M2641" s="5" t="s">
        <v>69</v>
      </c>
      <c r="N2641" s="1" t="s">
        <v>3468</v>
      </c>
      <c r="O2641" s="1" t="s">
        <v>46</v>
      </c>
      <c r="P2641" s="1" t="s">
        <v>46</v>
      </c>
      <c r="Q2641" s="1" t="s">
        <v>46</v>
      </c>
      <c r="R2641" s="5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5" t="s">
        <v>3751</v>
      </c>
      <c r="C2642" s="1" t="s">
        <v>3752</v>
      </c>
      <c r="D2642" s="1" t="s">
        <v>14</v>
      </c>
      <c r="E2642" s="1" t="s">
        <v>3668</v>
      </c>
      <c r="F2642" s="1" t="s">
        <v>3380</v>
      </c>
      <c r="G2642" s="1" t="s">
        <v>3668</v>
      </c>
      <c r="H2642" s="2" t="s">
        <v>3477</v>
      </c>
      <c r="I2642" s="1" t="s">
        <v>3713</v>
      </c>
      <c r="J2642" s="1" t="s">
        <v>52</v>
      </c>
      <c r="K2642" s="2" t="s">
        <v>3477</v>
      </c>
      <c r="L2642" s="5" t="s">
        <v>69</v>
      </c>
      <c r="M2642" s="5" t="s">
        <v>69</v>
      </c>
      <c r="N2642" s="1" t="s">
        <v>3468</v>
      </c>
      <c r="O2642" s="1" t="s">
        <v>46</v>
      </c>
      <c r="P2642" s="1" t="s">
        <v>46</v>
      </c>
      <c r="Q2642" s="1" t="s">
        <v>46</v>
      </c>
      <c r="R2642" s="5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5" t="s">
        <v>3751</v>
      </c>
      <c r="C2643" s="1" t="s">
        <v>3752</v>
      </c>
      <c r="D2643" s="1" t="s">
        <v>14</v>
      </c>
      <c r="E2643" s="1" t="s">
        <v>3668</v>
      </c>
      <c r="F2643" s="1" t="s">
        <v>3380</v>
      </c>
      <c r="G2643" s="1" t="s">
        <v>3668</v>
      </c>
      <c r="H2643" s="2" t="s">
        <v>3479</v>
      </c>
      <c r="I2643" s="1" t="s">
        <v>3714</v>
      </c>
      <c r="J2643" s="1" t="s">
        <v>52</v>
      </c>
      <c r="K2643" s="2" t="s">
        <v>3479</v>
      </c>
      <c r="L2643" s="5" t="s">
        <v>69</v>
      </c>
      <c r="M2643" s="5" t="s">
        <v>69</v>
      </c>
      <c r="N2643" s="1" t="s">
        <v>3468</v>
      </c>
      <c r="O2643" s="1" t="s">
        <v>46</v>
      </c>
      <c r="P2643" s="1" t="s">
        <v>46</v>
      </c>
      <c r="Q2643" s="1" t="s">
        <v>46</v>
      </c>
      <c r="R2643" s="5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5" t="s">
        <v>3751</v>
      </c>
      <c r="C2644" s="1" t="s">
        <v>3752</v>
      </c>
      <c r="D2644" s="1" t="s">
        <v>14</v>
      </c>
      <c r="E2644" s="1" t="s">
        <v>3668</v>
      </c>
      <c r="F2644" s="1" t="s">
        <v>3380</v>
      </c>
      <c r="G2644" s="1" t="s">
        <v>3668</v>
      </c>
      <c r="H2644" s="2" t="s">
        <v>3481</v>
      </c>
      <c r="I2644" s="1" t="s">
        <v>3715</v>
      </c>
      <c r="J2644" s="1" t="s">
        <v>52</v>
      </c>
      <c r="K2644" s="2" t="s">
        <v>3481</v>
      </c>
      <c r="L2644" s="5" t="s">
        <v>69</v>
      </c>
      <c r="M2644" s="5" t="s">
        <v>69</v>
      </c>
      <c r="N2644" s="1" t="s">
        <v>3468</v>
      </c>
      <c r="O2644" s="1" t="s">
        <v>46</v>
      </c>
      <c r="P2644" s="1" t="s">
        <v>46</v>
      </c>
      <c r="Q2644" s="1" t="s">
        <v>46</v>
      </c>
      <c r="R2644" s="5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5" t="s">
        <v>3751</v>
      </c>
      <c r="C2645" s="1" t="s">
        <v>3752</v>
      </c>
      <c r="D2645" s="1" t="s">
        <v>14</v>
      </c>
      <c r="E2645" s="1" t="s">
        <v>3668</v>
      </c>
      <c r="F2645" s="1" t="s">
        <v>3380</v>
      </c>
      <c r="G2645" s="1" t="s">
        <v>3668</v>
      </c>
      <c r="H2645" s="2" t="s">
        <v>3483</v>
      </c>
      <c r="I2645" s="1" t="s">
        <v>3716</v>
      </c>
      <c r="J2645" s="1" t="s">
        <v>52</v>
      </c>
      <c r="K2645" s="2" t="s">
        <v>3483</v>
      </c>
      <c r="L2645" s="5" t="s">
        <v>69</v>
      </c>
      <c r="M2645" s="5" t="s">
        <v>69</v>
      </c>
      <c r="N2645" s="1" t="s">
        <v>3468</v>
      </c>
      <c r="O2645" s="1" t="s">
        <v>46</v>
      </c>
      <c r="P2645" s="1" t="s">
        <v>46</v>
      </c>
      <c r="Q2645" s="1" t="s">
        <v>46</v>
      </c>
      <c r="R2645" s="5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5" t="s">
        <v>3751</v>
      </c>
      <c r="C2646" s="1" t="s">
        <v>3752</v>
      </c>
      <c r="D2646" s="1" t="s">
        <v>14</v>
      </c>
      <c r="E2646" s="1" t="s">
        <v>3668</v>
      </c>
      <c r="F2646" s="1" t="s">
        <v>3380</v>
      </c>
      <c r="G2646" s="1" t="s">
        <v>3668</v>
      </c>
      <c r="H2646" s="2" t="s">
        <v>3485</v>
      </c>
      <c r="I2646" s="1" t="s">
        <v>3717</v>
      </c>
      <c r="J2646" s="1" t="s">
        <v>52</v>
      </c>
      <c r="K2646" s="2" t="s">
        <v>3485</v>
      </c>
      <c r="L2646" s="5" t="s">
        <v>69</v>
      </c>
      <c r="M2646" s="5" t="s">
        <v>69</v>
      </c>
      <c r="N2646" s="1" t="s">
        <v>3468</v>
      </c>
      <c r="O2646" s="1" t="s">
        <v>46</v>
      </c>
      <c r="P2646" s="1" t="s">
        <v>46</v>
      </c>
      <c r="Q2646" s="1" t="s">
        <v>46</v>
      </c>
      <c r="R2646" s="5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5" t="s">
        <v>3751</v>
      </c>
      <c r="C2647" s="1" t="s">
        <v>3752</v>
      </c>
      <c r="D2647" s="1" t="s">
        <v>14</v>
      </c>
      <c r="E2647" s="1" t="s">
        <v>3668</v>
      </c>
      <c r="F2647" s="1" t="s">
        <v>3380</v>
      </c>
      <c r="G2647" s="1" t="s">
        <v>3668</v>
      </c>
      <c r="H2647" s="2" t="s">
        <v>3487</v>
      </c>
      <c r="I2647" s="1" t="s">
        <v>3718</v>
      </c>
      <c r="J2647" s="1" t="s">
        <v>52</v>
      </c>
      <c r="K2647" s="2" t="s">
        <v>3487</v>
      </c>
      <c r="L2647" s="5" t="s">
        <v>69</v>
      </c>
      <c r="M2647" s="5" t="s">
        <v>69</v>
      </c>
      <c r="N2647" s="1" t="s">
        <v>3468</v>
      </c>
      <c r="O2647" s="1" t="s">
        <v>46</v>
      </c>
      <c r="P2647" s="1" t="s">
        <v>46</v>
      </c>
      <c r="Q2647" s="1" t="s">
        <v>46</v>
      </c>
      <c r="R2647" s="5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5" t="s">
        <v>3751</v>
      </c>
      <c r="C2648" s="1" t="s">
        <v>3752</v>
      </c>
      <c r="D2648" s="1" t="s">
        <v>14</v>
      </c>
      <c r="E2648" s="1" t="s">
        <v>3668</v>
      </c>
      <c r="F2648" s="1" t="s">
        <v>3380</v>
      </c>
      <c r="G2648" s="1" t="s">
        <v>3668</v>
      </c>
      <c r="H2648" s="2" t="s">
        <v>3489</v>
      </c>
      <c r="I2648" s="1" t="s">
        <v>3719</v>
      </c>
      <c r="J2648" s="1" t="s">
        <v>52</v>
      </c>
      <c r="K2648" s="2" t="s">
        <v>3489</v>
      </c>
      <c r="L2648" s="5" t="s">
        <v>69</v>
      </c>
      <c r="M2648" s="5" t="s">
        <v>69</v>
      </c>
      <c r="N2648" s="1" t="s">
        <v>3468</v>
      </c>
      <c r="O2648" s="1" t="s">
        <v>46</v>
      </c>
      <c r="P2648" s="1" t="s">
        <v>46</v>
      </c>
      <c r="Q2648" s="1" t="s">
        <v>46</v>
      </c>
      <c r="R2648" s="5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5" t="s">
        <v>3751</v>
      </c>
      <c r="C2649" s="1" t="s">
        <v>3752</v>
      </c>
      <c r="D2649" s="1" t="s">
        <v>14</v>
      </c>
      <c r="E2649" s="1" t="s">
        <v>3668</v>
      </c>
      <c r="F2649" s="1" t="s">
        <v>3380</v>
      </c>
      <c r="G2649" s="1" t="s">
        <v>3668</v>
      </c>
      <c r="H2649" s="2" t="s">
        <v>3491</v>
      </c>
      <c r="I2649" s="1" t="s">
        <v>3720</v>
      </c>
      <c r="J2649" s="1" t="s">
        <v>52</v>
      </c>
      <c r="K2649" s="2" t="s">
        <v>3491</v>
      </c>
      <c r="L2649" s="5" t="s">
        <v>69</v>
      </c>
      <c r="M2649" s="5" t="s">
        <v>69</v>
      </c>
      <c r="N2649" s="1" t="s">
        <v>3468</v>
      </c>
      <c r="O2649" s="1" t="s">
        <v>46</v>
      </c>
      <c r="P2649" s="1" t="s">
        <v>46</v>
      </c>
      <c r="Q2649" s="1" t="s">
        <v>46</v>
      </c>
      <c r="R2649" s="5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5" t="s">
        <v>3751</v>
      </c>
      <c r="C2650" s="1" t="s">
        <v>3752</v>
      </c>
      <c r="D2650" s="1" t="s">
        <v>14</v>
      </c>
      <c r="E2650" s="1" t="s">
        <v>3668</v>
      </c>
      <c r="F2650" s="1" t="s">
        <v>3380</v>
      </c>
      <c r="G2650" s="1" t="s">
        <v>3668</v>
      </c>
      <c r="H2650" s="2" t="s">
        <v>3493</v>
      </c>
      <c r="I2650" s="1" t="s">
        <v>3721</v>
      </c>
      <c r="J2650" s="1" t="s">
        <v>52</v>
      </c>
      <c r="K2650" s="2" t="s">
        <v>3493</v>
      </c>
      <c r="L2650" s="5" t="s">
        <v>69</v>
      </c>
      <c r="M2650" s="5" t="s">
        <v>69</v>
      </c>
      <c r="N2650" s="1" t="s">
        <v>3468</v>
      </c>
      <c r="O2650" s="1" t="s">
        <v>46</v>
      </c>
      <c r="P2650" s="1" t="s">
        <v>46</v>
      </c>
      <c r="Q2650" s="1" t="s">
        <v>46</v>
      </c>
      <c r="R2650" s="5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5" t="s">
        <v>3751</v>
      </c>
      <c r="C2651" s="1" t="s">
        <v>3752</v>
      </c>
      <c r="D2651" s="1" t="s">
        <v>14</v>
      </c>
      <c r="E2651" s="1" t="s">
        <v>3668</v>
      </c>
      <c r="F2651" s="1" t="s">
        <v>3380</v>
      </c>
      <c r="G2651" s="1" t="s">
        <v>3668</v>
      </c>
      <c r="H2651" s="2" t="s">
        <v>3495</v>
      </c>
      <c r="I2651" s="1" t="s">
        <v>3722</v>
      </c>
      <c r="J2651" s="1" t="s">
        <v>52</v>
      </c>
      <c r="K2651" s="2" t="s">
        <v>3495</v>
      </c>
      <c r="L2651" s="5" t="s">
        <v>69</v>
      </c>
      <c r="M2651" s="5" t="s">
        <v>69</v>
      </c>
      <c r="N2651" s="1" t="s">
        <v>3468</v>
      </c>
      <c r="O2651" s="1" t="s">
        <v>46</v>
      </c>
      <c r="P2651" s="1" t="s">
        <v>46</v>
      </c>
      <c r="Q2651" s="1" t="s">
        <v>46</v>
      </c>
      <c r="R2651" s="5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5" t="s">
        <v>3778</v>
      </c>
      <c r="C2652" s="1" t="s">
        <v>3779</v>
      </c>
      <c r="D2652" s="1" t="s">
        <v>14</v>
      </c>
      <c r="E2652" s="1" t="s">
        <v>3379</v>
      </c>
      <c r="F2652" s="1" t="s">
        <v>3380</v>
      </c>
      <c r="G2652" s="1" t="s">
        <v>3379</v>
      </c>
      <c r="H2652" s="2" t="s">
        <v>3381</v>
      </c>
      <c r="I2652" s="1" t="s">
        <v>3382</v>
      </c>
      <c r="J2652" s="1" t="s">
        <v>52</v>
      </c>
      <c r="K2652" s="2" t="s">
        <v>3381</v>
      </c>
      <c r="L2652" s="5" t="s">
        <v>69</v>
      </c>
      <c r="M2652" s="5" t="s">
        <v>69</v>
      </c>
      <c r="N2652" s="1" t="s">
        <v>3383</v>
      </c>
      <c r="O2652" s="1" t="s">
        <v>3780</v>
      </c>
      <c r="P2652" s="1" t="s">
        <v>3385</v>
      </c>
      <c r="Q2652" s="1" t="s">
        <v>3385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1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5" t="s">
        <v>3778</v>
      </c>
      <c r="C2653" s="1" t="s">
        <v>3779</v>
      </c>
      <c r="D2653" s="1" t="s">
        <v>14</v>
      </c>
      <c r="E2653" s="1" t="s">
        <v>3379</v>
      </c>
      <c r="F2653" s="1" t="s">
        <v>3380</v>
      </c>
      <c r="G2653" s="1" t="s">
        <v>3379</v>
      </c>
      <c r="H2653" s="2" t="s">
        <v>3386</v>
      </c>
      <c r="I2653" s="1" t="s">
        <v>3387</v>
      </c>
      <c r="J2653" s="1" t="s">
        <v>52</v>
      </c>
      <c r="K2653" s="2" t="s">
        <v>3386</v>
      </c>
      <c r="L2653" s="5" t="s">
        <v>69</v>
      </c>
      <c r="M2653" s="5" t="s">
        <v>69</v>
      </c>
      <c r="N2653" s="1" t="s">
        <v>3383</v>
      </c>
      <c r="O2653" s="1" t="s">
        <v>3780</v>
      </c>
      <c r="P2653" s="1" t="s">
        <v>3385</v>
      </c>
      <c r="Q2653" s="1" t="s">
        <v>3385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2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5" t="s">
        <v>3778</v>
      </c>
      <c r="C2654" s="1" t="s">
        <v>3779</v>
      </c>
      <c r="D2654" s="1" t="s">
        <v>14</v>
      </c>
      <c r="E2654" s="1" t="s">
        <v>3379</v>
      </c>
      <c r="F2654" s="1" t="s">
        <v>3380</v>
      </c>
      <c r="G2654" s="1" t="s">
        <v>3379</v>
      </c>
      <c r="H2654" s="2" t="s">
        <v>3388</v>
      </c>
      <c r="I2654" s="1" t="s">
        <v>3389</v>
      </c>
      <c r="J2654" s="1" t="s">
        <v>52</v>
      </c>
      <c r="K2654" s="2" t="s">
        <v>3388</v>
      </c>
      <c r="L2654" s="5" t="s">
        <v>69</v>
      </c>
      <c r="M2654" s="5" t="s">
        <v>69</v>
      </c>
      <c r="N2654" s="1" t="s">
        <v>3383</v>
      </c>
      <c r="O2654" s="1" t="s">
        <v>3780</v>
      </c>
      <c r="P2654" s="1" t="s">
        <v>3385</v>
      </c>
      <c r="Q2654" s="1" t="s">
        <v>3385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3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5" t="s">
        <v>3778</v>
      </c>
      <c r="C2655" s="1" t="s">
        <v>3779</v>
      </c>
      <c r="D2655" s="1" t="s">
        <v>14</v>
      </c>
      <c r="E2655" s="1" t="s">
        <v>3379</v>
      </c>
      <c r="F2655" s="1" t="s">
        <v>3380</v>
      </c>
      <c r="G2655" s="1" t="s">
        <v>3379</v>
      </c>
      <c r="H2655" s="2" t="s">
        <v>3390</v>
      </c>
      <c r="I2655" s="1" t="s">
        <v>3391</v>
      </c>
      <c r="J2655" s="1" t="s">
        <v>52</v>
      </c>
      <c r="K2655" s="2" t="s">
        <v>3390</v>
      </c>
      <c r="L2655" s="5" t="s">
        <v>69</v>
      </c>
      <c r="M2655" s="5" t="s">
        <v>69</v>
      </c>
      <c r="N2655" s="1" t="s">
        <v>3383</v>
      </c>
      <c r="O2655" s="1" t="s">
        <v>3780</v>
      </c>
      <c r="P2655" s="1" t="s">
        <v>3385</v>
      </c>
      <c r="Q2655" s="1" t="s">
        <v>3385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4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5" t="s">
        <v>3778</v>
      </c>
      <c r="C2656" s="1" t="s">
        <v>3779</v>
      </c>
      <c r="D2656" s="1" t="s">
        <v>14</v>
      </c>
      <c r="E2656" s="1" t="s">
        <v>3379</v>
      </c>
      <c r="F2656" s="1" t="s">
        <v>3380</v>
      </c>
      <c r="G2656" s="1" t="s">
        <v>3379</v>
      </c>
      <c r="H2656" s="2" t="s">
        <v>3392</v>
      </c>
      <c r="I2656" s="1" t="s">
        <v>3393</v>
      </c>
      <c r="J2656" s="1" t="s">
        <v>52</v>
      </c>
      <c r="K2656" s="2" t="s">
        <v>3392</v>
      </c>
      <c r="L2656" s="5" t="s">
        <v>69</v>
      </c>
      <c r="M2656" s="5" t="s">
        <v>69</v>
      </c>
      <c r="N2656" s="1" t="s">
        <v>3383</v>
      </c>
      <c r="O2656" s="1" t="s">
        <v>3780</v>
      </c>
      <c r="P2656" s="1" t="s">
        <v>3385</v>
      </c>
      <c r="Q2656" s="1" t="s">
        <v>3385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5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5" t="s">
        <v>3778</v>
      </c>
      <c r="C2657" s="1" t="s">
        <v>3779</v>
      </c>
      <c r="D2657" s="1" t="s">
        <v>14</v>
      </c>
      <c r="E2657" s="1" t="s">
        <v>3379</v>
      </c>
      <c r="F2657" s="1" t="s">
        <v>3380</v>
      </c>
      <c r="G2657" s="1" t="s">
        <v>3379</v>
      </c>
      <c r="H2657" s="2" t="s">
        <v>3394</v>
      </c>
      <c r="I2657" s="1" t="s">
        <v>3395</v>
      </c>
      <c r="J2657" s="1" t="s">
        <v>52</v>
      </c>
      <c r="K2657" s="2" t="s">
        <v>3394</v>
      </c>
      <c r="L2657" s="5" t="s">
        <v>69</v>
      </c>
      <c r="M2657" s="5" t="s">
        <v>69</v>
      </c>
      <c r="N2657" s="1" t="s">
        <v>3383</v>
      </c>
      <c r="O2657" s="1" t="s">
        <v>3780</v>
      </c>
      <c r="P2657" s="1" t="s">
        <v>3385</v>
      </c>
      <c r="Q2657" s="1" t="s">
        <v>3385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1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5" t="s">
        <v>3778</v>
      </c>
      <c r="C2658" s="1" t="s">
        <v>3779</v>
      </c>
      <c r="D2658" s="1" t="s">
        <v>14</v>
      </c>
      <c r="E2658" s="1" t="s">
        <v>3379</v>
      </c>
      <c r="F2658" s="1" t="s">
        <v>3380</v>
      </c>
      <c r="G2658" s="1" t="s">
        <v>3379</v>
      </c>
      <c r="H2658" s="2" t="s">
        <v>3397</v>
      </c>
      <c r="I2658" s="1" t="s">
        <v>3398</v>
      </c>
      <c r="J2658" s="1" t="s">
        <v>52</v>
      </c>
      <c r="K2658" s="2" t="s">
        <v>3397</v>
      </c>
      <c r="L2658" s="5" t="s">
        <v>69</v>
      </c>
      <c r="M2658" s="5" t="s">
        <v>69</v>
      </c>
      <c r="N2658" s="1" t="s">
        <v>3383</v>
      </c>
      <c r="O2658" s="1" t="s">
        <v>3780</v>
      </c>
      <c r="P2658" s="1" t="s">
        <v>3385</v>
      </c>
      <c r="Q2658" s="1" t="s">
        <v>3385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2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5" t="s">
        <v>3778</v>
      </c>
      <c r="C2659" s="1" t="s">
        <v>3779</v>
      </c>
      <c r="D2659" s="1" t="s">
        <v>14</v>
      </c>
      <c r="E2659" s="1" t="s">
        <v>3379</v>
      </c>
      <c r="F2659" s="1" t="s">
        <v>3380</v>
      </c>
      <c r="G2659" s="1" t="s">
        <v>3379</v>
      </c>
      <c r="H2659" s="2" t="s">
        <v>3399</v>
      </c>
      <c r="I2659" s="1" t="s">
        <v>3400</v>
      </c>
      <c r="J2659" s="1" t="s">
        <v>52</v>
      </c>
      <c r="K2659" s="2" t="s">
        <v>3399</v>
      </c>
      <c r="L2659" s="5" t="s">
        <v>69</v>
      </c>
      <c r="M2659" s="5" t="s">
        <v>69</v>
      </c>
      <c r="N2659" s="1" t="s">
        <v>3383</v>
      </c>
      <c r="O2659" s="1" t="s">
        <v>3780</v>
      </c>
      <c r="P2659" s="1" t="s">
        <v>3385</v>
      </c>
      <c r="Q2659" s="1" t="s">
        <v>3385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3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5" t="s">
        <v>3778</v>
      </c>
      <c r="C2660" s="1" t="s">
        <v>3779</v>
      </c>
      <c r="D2660" s="1" t="s">
        <v>14</v>
      </c>
      <c r="E2660" s="1" t="s">
        <v>3379</v>
      </c>
      <c r="F2660" s="1" t="s">
        <v>3380</v>
      </c>
      <c r="G2660" s="1" t="s">
        <v>3379</v>
      </c>
      <c r="H2660" s="2" t="s">
        <v>3401</v>
      </c>
      <c r="I2660" s="1" t="s">
        <v>3402</v>
      </c>
      <c r="J2660" s="1" t="s">
        <v>52</v>
      </c>
      <c r="K2660" s="2" t="s">
        <v>3401</v>
      </c>
      <c r="L2660" s="5" t="s">
        <v>69</v>
      </c>
      <c r="M2660" s="5" t="s">
        <v>69</v>
      </c>
      <c r="N2660" s="1" t="s">
        <v>3383</v>
      </c>
      <c r="O2660" s="1" t="s">
        <v>3780</v>
      </c>
      <c r="P2660" s="1" t="s">
        <v>3385</v>
      </c>
      <c r="Q2660" s="1" t="s">
        <v>3385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4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5" t="s">
        <v>3778</v>
      </c>
      <c r="C2661" s="1" t="s">
        <v>3779</v>
      </c>
      <c r="D2661" s="1" t="s">
        <v>14</v>
      </c>
      <c r="E2661" s="1" t="s">
        <v>3379</v>
      </c>
      <c r="F2661" s="1" t="s">
        <v>3380</v>
      </c>
      <c r="G2661" s="1" t="s">
        <v>3379</v>
      </c>
      <c r="H2661" s="2" t="s">
        <v>3403</v>
      </c>
      <c r="I2661" s="1" t="s">
        <v>3404</v>
      </c>
      <c r="J2661" s="1" t="s">
        <v>52</v>
      </c>
      <c r="K2661" s="2" t="s">
        <v>3403</v>
      </c>
      <c r="L2661" s="5" t="s">
        <v>69</v>
      </c>
      <c r="M2661" s="5" t="s">
        <v>69</v>
      </c>
      <c r="N2661" s="1" t="s">
        <v>3383</v>
      </c>
      <c r="O2661" s="1" t="s">
        <v>3780</v>
      </c>
      <c r="P2661" s="1" t="s">
        <v>3385</v>
      </c>
      <c r="Q2661" s="1" t="s">
        <v>3385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1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5" t="s">
        <v>3778</v>
      </c>
      <c r="C2662" s="1" t="s">
        <v>3779</v>
      </c>
      <c r="D2662" s="1" t="s">
        <v>14</v>
      </c>
      <c r="E2662" s="1" t="s">
        <v>3379</v>
      </c>
      <c r="F2662" s="1" t="s">
        <v>3380</v>
      </c>
      <c r="G2662" s="1" t="s">
        <v>3379</v>
      </c>
      <c r="H2662" s="2" t="s">
        <v>3405</v>
      </c>
      <c r="I2662" s="1" t="s">
        <v>3406</v>
      </c>
      <c r="J2662" s="1" t="s">
        <v>52</v>
      </c>
      <c r="K2662" s="2" t="s">
        <v>3405</v>
      </c>
      <c r="L2662" s="5" t="s">
        <v>69</v>
      </c>
      <c r="M2662" s="5" t="s">
        <v>69</v>
      </c>
      <c r="N2662" s="1" t="s">
        <v>3383</v>
      </c>
      <c r="O2662" s="1" t="s">
        <v>3780</v>
      </c>
      <c r="P2662" s="1" t="s">
        <v>3385</v>
      </c>
      <c r="Q2662" s="1" t="s">
        <v>3385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2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5" t="s">
        <v>3778</v>
      </c>
      <c r="C2663" s="1" t="s">
        <v>3779</v>
      </c>
      <c r="D2663" s="1" t="s">
        <v>14</v>
      </c>
      <c r="E2663" s="1" t="s">
        <v>3379</v>
      </c>
      <c r="F2663" s="1" t="s">
        <v>3380</v>
      </c>
      <c r="G2663" s="1" t="s">
        <v>3379</v>
      </c>
      <c r="H2663" s="2" t="s">
        <v>3408</v>
      </c>
      <c r="I2663" s="1" t="s">
        <v>3409</v>
      </c>
      <c r="J2663" s="1" t="s">
        <v>52</v>
      </c>
      <c r="K2663" s="2" t="s">
        <v>3408</v>
      </c>
      <c r="L2663" s="5" t="s">
        <v>69</v>
      </c>
      <c r="M2663" s="5" t="s">
        <v>69</v>
      </c>
      <c r="N2663" s="1" t="s">
        <v>3383</v>
      </c>
      <c r="O2663" s="1" t="s">
        <v>3780</v>
      </c>
      <c r="P2663" s="1" t="s">
        <v>3385</v>
      </c>
      <c r="Q2663" s="1" t="s">
        <v>3385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3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5" t="s">
        <v>3778</v>
      </c>
      <c r="C2664" s="1" t="s">
        <v>3779</v>
      </c>
      <c r="D2664" s="1" t="s">
        <v>14</v>
      </c>
      <c r="E2664" s="1" t="s">
        <v>3379</v>
      </c>
      <c r="F2664" s="1" t="s">
        <v>3380</v>
      </c>
      <c r="G2664" s="1" t="s">
        <v>3379</v>
      </c>
      <c r="H2664" s="2" t="s">
        <v>3410</v>
      </c>
      <c r="I2664" s="1" t="s">
        <v>3411</v>
      </c>
      <c r="J2664" s="1" t="s">
        <v>52</v>
      </c>
      <c r="K2664" s="2" t="s">
        <v>3410</v>
      </c>
      <c r="L2664" s="5" t="s">
        <v>69</v>
      </c>
      <c r="M2664" s="5" t="s">
        <v>69</v>
      </c>
      <c r="N2664" s="1" t="s">
        <v>3383</v>
      </c>
      <c r="O2664" s="1" t="s">
        <v>3780</v>
      </c>
      <c r="P2664" s="1" t="s">
        <v>3385</v>
      </c>
      <c r="Q2664" s="1" t="s">
        <v>3385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4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5" t="s">
        <v>3778</v>
      </c>
      <c r="C2665" s="1" t="s">
        <v>3779</v>
      </c>
      <c r="D2665" s="1" t="s">
        <v>14</v>
      </c>
      <c r="E2665" s="1" t="s">
        <v>3379</v>
      </c>
      <c r="F2665" s="1" t="s">
        <v>3380</v>
      </c>
      <c r="G2665" s="1" t="s">
        <v>3379</v>
      </c>
      <c r="H2665" s="2" t="s">
        <v>3412</v>
      </c>
      <c r="I2665" s="1" t="s">
        <v>3413</v>
      </c>
      <c r="J2665" s="1" t="s">
        <v>52</v>
      </c>
      <c r="K2665" s="2" t="s">
        <v>3412</v>
      </c>
      <c r="L2665" s="5" t="s">
        <v>69</v>
      </c>
      <c r="M2665" s="5" t="s">
        <v>69</v>
      </c>
      <c r="N2665" s="1" t="s">
        <v>3383</v>
      </c>
      <c r="O2665" s="1" t="s">
        <v>3780</v>
      </c>
      <c r="P2665" s="1" t="s">
        <v>3385</v>
      </c>
      <c r="Q2665" s="1" t="s">
        <v>3385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5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5" t="s">
        <v>3778</v>
      </c>
      <c r="C2666" s="1" t="s">
        <v>3779</v>
      </c>
      <c r="D2666" s="1" t="s">
        <v>14</v>
      </c>
      <c r="E2666" s="1" t="s">
        <v>3379</v>
      </c>
      <c r="F2666" s="1" t="s">
        <v>3380</v>
      </c>
      <c r="G2666" s="1" t="s">
        <v>3379</v>
      </c>
      <c r="H2666" s="2" t="s">
        <v>3414</v>
      </c>
      <c r="I2666" s="1" t="s">
        <v>3415</v>
      </c>
      <c r="J2666" s="1" t="s">
        <v>52</v>
      </c>
      <c r="K2666" s="2" t="s">
        <v>3414</v>
      </c>
      <c r="L2666" s="5" t="s">
        <v>69</v>
      </c>
      <c r="M2666" s="5" t="s">
        <v>69</v>
      </c>
      <c r="N2666" s="1" t="s">
        <v>3383</v>
      </c>
      <c r="O2666" s="1" t="s">
        <v>3780</v>
      </c>
      <c r="P2666" s="1" t="s">
        <v>3385</v>
      </c>
      <c r="Q2666" s="1" t="s">
        <v>3385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1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5" t="s">
        <v>3778</v>
      </c>
      <c r="C2667" s="1" t="s">
        <v>3779</v>
      </c>
      <c r="D2667" s="1" t="s">
        <v>14</v>
      </c>
      <c r="E2667" s="1" t="s">
        <v>3379</v>
      </c>
      <c r="F2667" s="1" t="s">
        <v>3380</v>
      </c>
      <c r="G2667" s="1" t="s">
        <v>3379</v>
      </c>
      <c r="H2667" s="2" t="s">
        <v>3417</v>
      </c>
      <c r="I2667" s="1" t="s">
        <v>3418</v>
      </c>
      <c r="J2667" s="1" t="s">
        <v>52</v>
      </c>
      <c r="K2667" s="2" t="s">
        <v>3417</v>
      </c>
      <c r="L2667" s="5" t="s">
        <v>69</v>
      </c>
      <c r="M2667" s="5" t="s">
        <v>69</v>
      </c>
      <c r="N2667" s="1" t="s">
        <v>3383</v>
      </c>
      <c r="O2667" s="1" t="s">
        <v>3780</v>
      </c>
      <c r="P2667" s="1" t="s">
        <v>3385</v>
      </c>
      <c r="Q2667" s="1" t="s">
        <v>3385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2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5" t="s">
        <v>3778</v>
      </c>
      <c r="C2668" s="1" t="s">
        <v>3779</v>
      </c>
      <c r="D2668" s="1" t="s">
        <v>14</v>
      </c>
      <c r="E2668" s="1" t="s">
        <v>3379</v>
      </c>
      <c r="F2668" s="1" t="s">
        <v>3380</v>
      </c>
      <c r="G2668" s="1" t="s">
        <v>3379</v>
      </c>
      <c r="H2668" s="2" t="s">
        <v>3419</v>
      </c>
      <c r="I2668" s="1" t="s">
        <v>3420</v>
      </c>
      <c r="J2668" s="1" t="s">
        <v>52</v>
      </c>
      <c r="K2668" s="2" t="s">
        <v>3419</v>
      </c>
      <c r="L2668" s="5" t="s">
        <v>69</v>
      </c>
      <c r="M2668" s="5" t="s">
        <v>69</v>
      </c>
      <c r="N2668" s="1" t="s">
        <v>3383</v>
      </c>
      <c r="O2668" s="1" t="s">
        <v>3780</v>
      </c>
      <c r="P2668" s="1" t="s">
        <v>3385</v>
      </c>
      <c r="Q2668" s="1" t="s">
        <v>3385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3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5" t="s">
        <v>3778</v>
      </c>
      <c r="C2669" s="1" t="s">
        <v>3779</v>
      </c>
      <c r="D2669" s="1" t="s">
        <v>14</v>
      </c>
      <c r="E2669" s="1" t="s">
        <v>3379</v>
      </c>
      <c r="F2669" s="1" t="s">
        <v>3380</v>
      </c>
      <c r="G2669" s="1" t="s">
        <v>3379</v>
      </c>
      <c r="H2669" s="2" t="s">
        <v>3421</v>
      </c>
      <c r="I2669" s="1" t="s">
        <v>3422</v>
      </c>
      <c r="J2669" s="1" t="s">
        <v>52</v>
      </c>
      <c r="K2669" s="2" t="s">
        <v>3421</v>
      </c>
      <c r="L2669" s="5" t="s">
        <v>69</v>
      </c>
      <c r="M2669" s="5" t="s">
        <v>69</v>
      </c>
      <c r="N2669" s="1" t="s">
        <v>3383</v>
      </c>
      <c r="O2669" s="1" t="s">
        <v>3780</v>
      </c>
      <c r="P2669" s="1" t="s">
        <v>3385</v>
      </c>
      <c r="Q2669" s="1" t="s">
        <v>3385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4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5" t="s">
        <v>3778</v>
      </c>
      <c r="C2670" s="1" t="s">
        <v>3779</v>
      </c>
      <c r="D2670" s="1" t="s">
        <v>14</v>
      </c>
      <c r="E2670" s="1" t="s">
        <v>3379</v>
      </c>
      <c r="F2670" s="1" t="s">
        <v>3380</v>
      </c>
      <c r="G2670" s="1" t="s">
        <v>3379</v>
      </c>
      <c r="H2670" s="2" t="s">
        <v>3423</v>
      </c>
      <c r="I2670" s="1" t="s">
        <v>3424</v>
      </c>
      <c r="J2670" s="1" t="s">
        <v>52</v>
      </c>
      <c r="K2670" s="2" t="s">
        <v>3423</v>
      </c>
      <c r="L2670" s="5" t="s">
        <v>69</v>
      </c>
      <c r="M2670" s="5" t="s">
        <v>69</v>
      </c>
      <c r="N2670" s="1" t="s">
        <v>3383</v>
      </c>
      <c r="O2670" s="1" t="s">
        <v>3780</v>
      </c>
      <c r="P2670" s="1" t="s">
        <v>3385</v>
      </c>
      <c r="Q2670" s="1" t="s">
        <v>3385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5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5" t="s">
        <v>3778</v>
      </c>
      <c r="C2671" s="1" t="s">
        <v>3779</v>
      </c>
      <c r="D2671" s="1" t="s">
        <v>14</v>
      </c>
      <c r="E2671" s="1" t="s">
        <v>3379</v>
      </c>
      <c r="F2671" s="1" t="s">
        <v>3380</v>
      </c>
      <c r="G2671" s="1" t="s">
        <v>3379</v>
      </c>
      <c r="H2671" s="2" t="s">
        <v>3425</v>
      </c>
      <c r="I2671" s="1" t="s">
        <v>3426</v>
      </c>
      <c r="J2671" s="1" t="s">
        <v>52</v>
      </c>
      <c r="K2671" s="2" t="s">
        <v>3425</v>
      </c>
      <c r="L2671" s="5" t="s">
        <v>69</v>
      </c>
      <c r="M2671" s="5" t="s">
        <v>69</v>
      </c>
      <c r="N2671" s="1" t="s">
        <v>3383</v>
      </c>
      <c r="O2671" s="1" t="s">
        <v>3780</v>
      </c>
      <c r="P2671" s="1" t="s">
        <v>3385</v>
      </c>
      <c r="Q2671" s="1" t="s">
        <v>3385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1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5" t="s">
        <v>3778</v>
      </c>
      <c r="C2672" s="1" t="s">
        <v>3779</v>
      </c>
      <c r="D2672" s="1" t="s">
        <v>14</v>
      </c>
      <c r="E2672" s="1" t="s">
        <v>3379</v>
      </c>
      <c r="F2672" s="1" t="s">
        <v>3380</v>
      </c>
      <c r="G2672" s="1" t="s">
        <v>3379</v>
      </c>
      <c r="H2672" s="2" t="s">
        <v>3428</v>
      </c>
      <c r="I2672" s="1" t="s">
        <v>3429</v>
      </c>
      <c r="J2672" s="1" t="s">
        <v>52</v>
      </c>
      <c r="K2672" s="2" t="s">
        <v>3428</v>
      </c>
      <c r="L2672" s="5" t="s">
        <v>69</v>
      </c>
      <c r="M2672" s="5" t="s">
        <v>69</v>
      </c>
      <c r="N2672" s="1" t="s">
        <v>3383</v>
      </c>
      <c r="O2672" s="1" t="s">
        <v>3780</v>
      </c>
      <c r="P2672" s="1" t="s">
        <v>3385</v>
      </c>
      <c r="Q2672" s="1" t="s">
        <v>3385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2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5" t="s">
        <v>3778</v>
      </c>
      <c r="C2673" s="1" t="s">
        <v>3779</v>
      </c>
      <c r="D2673" s="1" t="s">
        <v>14</v>
      </c>
      <c r="E2673" s="1" t="s">
        <v>3379</v>
      </c>
      <c r="F2673" s="1" t="s">
        <v>3380</v>
      </c>
      <c r="G2673" s="1" t="s">
        <v>3379</v>
      </c>
      <c r="H2673" s="2" t="s">
        <v>3430</v>
      </c>
      <c r="I2673" s="1" t="s">
        <v>3431</v>
      </c>
      <c r="J2673" s="1" t="s">
        <v>52</v>
      </c>
      <c r="K2673" s="2" t="s">
        <v>3430</v>
      </c>
      <c r="L2673" s="5" t="s">
        <v>69</v>
      </c>
      <c r="M2673" s="5" t="s">
        <v>69</v>
      </c>
      <c r="N2673" s="1" t="s">
        <v>3383</v>
      </c>
      <c r="O2673" s="1" t="s">
        <v>3780</v>
      </c>
      <c r="P2673" s="1" t="s">
        <v>3385</v>
      </c>
      <c r="Q2673" s="1" t="s">
        <v>3385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3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5" t="s">
        <v>3778</v>
      </c>
      <c r="C2674" s="1" t="s">
        <v>3779</v>
      </c>
      <c r="D2674" s="1" t="s">
        <v>14</v>
      </c>
      <c r="E2674" s="1" t="s">
        <v>3379</v>
      </c>
      <c r="F2674" s="1" t="s">
        <v>3380</v>
      </c>
      <c r="G2674" s="1" t="s">
        <v>3379</v>
      </c>
      <c r="H2674" s="2" t="s">
        <v>3432</v>
      </c>
      <c r="I2674" s="1" t="s">
        <v>3433</v>
      </c>
      <c r="J2674" s="1" t="s">
        <v>52</v>
      </c>
      <c r="K2674" s="2" t="s">
        <v>3432</v>
      </c>
      <c r="L2674" s="5" t="s">
        <v>69</v>
      </c>
      <c r="M2674" s="5" t="s">
        <v>69</v>
      </c>
      <c r="N2674" s="1" t="s">
        <v>3383</v>
      </c>
      <c r="O2674" s="1" t="s">
        <v>3780</v>
      </c>
      <c r="P2674" s="1" t="s">
        <v>3385</v>
      </c>
      <c r="Q2674" s="1" t="s">
        <v>3385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4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5" t="s">
        <v>3778</v>
      </c>
      <c r="C2675" s="1" t="s">
        <v>3779</v>
      </c>
      <c r="D2675" s="1" t="s">
        <v>14</v>
      </c>
      <c r="E2675" s="1" t="s">
        <v>3379</v>
      </c>
      <c r="F2675" s="1" t="s">
        <v>3380</v>
      </c>
      <c r="G2675" s="1" t="s">
        <v>3379</v>
      </c>
      <c r="H2675" s="2" t="s">
        <v>3434</v>
      </c>
      <c r="I2675" s="1" t="s">
        <v>3435</v>
      </c>
      <c r="J2675" s="1" t="s">
        <v>52</v>
      </c>
      <c r="K2675" s="2" t="s">
        <v>3434</v>
      </c>
      <c r="L2675" s="5" t="s">
        <v>69</v>
      </c>
      <c r="M2675" s="5" t="s">
        <v>69</v>
      </c>
      <c r="N2675" s="1" t="s">
        <v>3383</v>
      </c>
      <c r="O2675" s="1" t="s">
        <v>3780</v>
      </c>
      <c r="P2675" s="1" t="s">
        <v>3385</v>
      </c>
      <c r="Q2675" s="1" t="s">
        <v>3385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5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5" t="s">
        <v>3778</v>
      </c>
      <c r="C2676" s="1" t="s">
        <v>3779</v>
      </c>
      <c r="D2676" s="1" t="s">
        <v>14</v>
      </c>
      <c r="E2676" s="1" t="s">
        <v>3379</v>
      </c>
      <c r="F2676" s="1" t="s">
        <v>3380</v>
      </c>
      <c r="G2676" s="1" t="s">
        <v>3379</v>
      </c>
      <c r="H2676" s="1" t="s">
        <v>3499</v>
      </c>
      <c r="I2676" s="1" t="s">
        <v>3500</v>
      </c>
      <c r="J2676" s="1" t="s">
        <v>52</v>
      </c>
      <c r="K2676" s="1" t="s">
        <v>3499</v>
      </c>
      <c r="L2676" s="36" t="s">
        <v>69</v>
      </c>
      <c r="M2676" s="1" t="s">
        <v>69</v>
      </c>
      <c r="N2676" s="1" t="s">
        <v>3383</v>
      </c>
      <c r="O2676" s="1" t="s">
        <v>3781</v>
      </c>
      <c r="P2676" s="1" t="s">
        <v>3385</v>
      </c>
      <c r="Q2676" s="1" t="s">
        <v>3385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1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5" t="s">
        <v>3778</v>
      </c>
      <c r="C2677" s="1" t="s">
        <v>3779</v>
      </c>
      <c r="D2677" s="1" t="s">
        <v>14</v>
      </c>
      <c r="E2677" s="1" t="s">
        <v>3379</v>
      </c>
      <c r="F2677" s="1" t="s">
        <v>3380</v>
      </c>
      <c r="G2677" s="1" t="s">
        <v>3379</v>
      </c>
      <c r="H2677" s="1" t="s">
        <v>3502</v>
      </c>
      <c r="I2677" s="1" t="s">
        <v>3503</v>
      </c>
      <c r="J2677" s="1" t="s">
        <v>52</v>
      </c>
      <c r="K2677" s="1" t="s">
        <v>3502</v>
      </c>
      <c r="L2677" s="36" t="s">
        <v>69</v>
      </c>
      <c r="M2677" s="1" t="s">
        <v>69</v>
      </c>
      <c r="N2677" s="1" t="s">
        <v>3383</v>
      </c>
      <c r="O2677" s="1" t="s">
        <v>3781</v>
      </c>
      <c r="P2677" s="1" t="s">
        <v>3385</v>
      </c>
      <c r="Q2677" s="1" t="s">
        <v>3385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2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5" t="s">
        <v>3778</v>
      </c>
      <c r="C2678" s="1" t="s">
        <v>3779</v>
      </c>
      <c r="D2678" s="1" t="s">
        <v>14</v>
      </c>
      <c r="E2678" s="1" t="s">
        <v>3379</v>
      </c>
      <c r="F2678" s="1" t="s">
        <v>3380</v>
      </c>
      <c r="G2678" s="1" t="s">
        <v>3379</v>
      </c>
      <c r="H2678" s="1" t="s">
        <v>3504</v>
      </c>
      <c r="I2678" s="1" t="s">
        <v>3505</v>
      </c>
      <c r="J2678" s="1" t="s">
        <v>52</v>
      </c>
      <c r="K2678" s="1" t="s">
        <v>3504</v>
      </c>
      <c r="L2678" s="36" t="s">
        <v>69</v>
      </c>
      <c r="M2678" s="1" t="s">
        <v>69</v>
      </c>
      <c r="N2678" s="1" t="s">
        <v>3383</v>
      </c>
      <c r="O2678" s="1" t="s">
        <v>3781</v>
      </c>
      <c r="P2678" s="1" t="s">
        <v>3385</v>
      </c>
      <c r="Q2678" s="1" t="s">
        <v>3385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3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5" t="s">
        <v>3778</v>
      </c>
      <c r="C2679" s="1" t="s">
        <v>3779</v>
      </c>
      <c r="D2679" s="1" t="s">
        <v>14</v>
      </c>
      <c r="E2679" s="1" t="s">
        <v>3379</v>
      </c>
      <c r="F2679" s="1" t="s">
        <v>3380</v>
      </c>
      <c r="G2679" s="1" t="s">
        <v>3379</v>
      </c>
      <c r="H2679" s="1" t="s">
        <v>3506</v>
      </c>
      <c r="I2679" s="1" t="s">
        <v>3507</v>
      </c>
      <c r="J2679" s="1" t="s">
        <v>52</v>
      </c>
      <c r="K2679" s="1" t="s">
        <v>3506</v>
      </c>
      <c r="L2679" s="36" t="s">
        <v>69</v>
      </c>
      <c r="M2679" s="1" t="s">
        <v>69</v>
      </c>
      <c r="N2679" s="1" t="s">
        <v>3383</v>
      </c>
      <c r="O2679" s="1" t="s">
        <v>3781</v>
      </c>
      <c r="P2679" s="1" t="s">
        <v>3385</v>
      </c>
      <c r="Q2679" s="1" t="s">
        <v>3385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4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5" t="s">
        <v>3778</v>
      </c>
      <c r="C2680" s="1" t="s">
        <v>3779</v>
      </c>
      <c r="D2680" s="1" t="s">
        <v>14</v>
      </c>
      <c r="E2680" s="1" t="s">
        <v>3379</v>
      </c>
      <c r="F2680" s="1" t="s">
        <v>3380</v>
      </c>
      <c r="G2680" s="1" t="s">
        <v>3379</v>
      </c>
      <c r="H2680" s="1" t="s">
        <v>3508</v>
      </c>
      <c r="I2680" s="1" t="s">
        <v>3509</v>
      </c>
      <c r="J2680" s="1" t="s">
        <v>52</v>
      </c>
      <c r="K2680" s="1" t="s">
        <v>3508</v>
      </c>
      <c r="L2680" s="36" t="s">
        <v>69</v>
      </c>
      <c r="M2680" s="1" t="s">
        <v>69</v>
      </c>
      <c r="N2680" s="1" t="s">
        <v>3383</v>
      </c>
      <c r="O2680" s="1" t="s">
        <v>3781</v>
      </c>
      <c r="P2680" s="1" t="s">
        <v>3385</v>
      </c>
      <c r="Q2680" s="1" t="s">
        <v>3385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5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5" t="s">
        <v>3778</v>
      </c>
      <c r="C2681" s="1" t="s">
        <v>3779</v>
      </c>
      <c r="D2681" s="1" t="s">
        <v>14</v>
      </c>
      <c r="E2681" s="1" t="s">
        <v>3379</v>
      </c>
      <c r="F2681" s="1" t="s">
        <v>3380</v>
      </c>
      <c r="G2681" s="1" t="s">
        <v>3379</v>
      </c>
      <c r="H2681" s="1" t="s">
        <v>3510</v>
      </c>
      <c r="I2681" s="1" t="s">
        <v>3511</v>
      </c>
      <c r="J2681" s="1" t="s">
        <v>52</v>
      </c>
      <c r="K2681" s="1" t="s">
        <v>3510</v>
      </c>
      <c r="L2681" s="36" t="s">
        <v>69</v>
      </c>
      <c r="M2681" s="1" t="s">
        <v>69</v>
      </c>
      <c r="N2681" s="1" t="s">
        <v>3383</v>
      </c>
      <c r="O2681" s="1" t="s">
        <v>3781</v>
      </c>
      <c r="P2681" s="1" t="s">
        <v>3385</v>
      </c>
      <c r="Q2681" s="1" t="s">
        <v>3385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1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5" t="s">
        <v>3778</v>
      </c>
      <c r="C2682" s="1" t="s">
        <v>3779</v>
      </c>
      <c r="D2682" s="1" t="s">
        <v>14</v>
      </c>
      <c r="E2682" s="1" t="s">
        <v>3379</v>
      </c>
      <c r="F2682" s="1" t="s">
        <v>3380</v>
      </c>
      <c r="G2682" s="1" t="s">
        <v>3379</v>
      </c>
      <c r="H2682" s="2" t="s">
        <v>3513</v>
      </c>
      <c r="I2682" s="1" t="s">
        <v>3514</v>
      </c>
      <c r="J2682" s="1" t="s">
        <v>52</v>
      </c>
      <c r="K2682" s="1" t="s">
        <v>3513</v>
      </c>
      <c r="L2682" s="36" t="s">
        <v>69</v>
      </c>
      <c r="M2682" s="1" t="s">
        <v>69</v>
      </c>
      <c r="N2682" s="1" t="s">
        <v>3383</v>
      </c>
      <c r="O2682" s="1" t="s">
        <v>3781</v>
      </c>
      <c r="P2682" s="1" t="s">
        <v>3385</v>
      </c>
      <c r="Q2682" s="1" t="s">
        <v>3385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2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5" t="s">
        <v>3778</v>
      </c>
      <c r="C2683" s="1" t="s">
        <v>3779</v>
      </c>
      <c r="D2683" s="1" t="s">
        <v>14</v>
      </c>
      <c r="E2683" s="1" t="s">
        <v>3379</v>
      </c>
      <c r="F2683" s="1" t="s">
        <v>3380</v>
      </c>
      <c r="G2683" s="1" t="s">
        <v>3379</v>
      </c>
      <c r="H2683" s="2" t="s">
        <v>3515</v>
      </c>
      <c r="I2683" s="1" t="s">
        <v>3516</v>
      </c>
      <c r="J2683" s="1" t="s">
        <v>52</v>
      </c>
      <c r="K2683" s="1" t="s">
        <v>3515</v>
      </c>
      <c r="L2683" s="36" t="s">
        <v>69</v>
      </c>
      <c r="M2683" s="1" t="s">
        <v>69</v>
      </c>
      <c r="N2683" s="1" t="s">
        <v>3383</v>
      </c>
      <c r="O2683" s="1" t="s">
        <v>3781</v>
      </c>
      <c r="P2683" s="1" t="s">
        <v>3385</v>
      </c>
      <c r="Q2683" s="1" t="s">
        <v>3385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3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5" t="s">
        <v>3778</v>
      </c>
      <c r="C2684" s="1" t="s">
        <v>3779</v>
      </c>
      <c r="D2684" s="1" t="s">
        <v>14</v>
      </c>
      <c r="E2684" s="1" t="s">
        <v>3379</v>
      </c>
      <c r="F2684" s="1" t="s">
        <v>3380</v>
      </c>
      <c r="G2684" s="1" t="s">
        <v>3379</v>
      </c>
      <c r="H2684" s="2" t="s">
        <v>3517</v>
      </c>
      <c r="I2684" s="1" t="s">
        <v>3518</v>
      </c>
      <c r="J2684" s="1" t="s">
        <v>52</v>
      </c>
      <c r="K2684" s="1" t="s">
        <v>3517</v>
      </c>
      <c r="L2684" s="36" t="s">
        <v>69</v>
      </c>
      <c r="M2684" s="1" t="s">
        <v>69</v>
      </c>
      <c r="N2684" s="1" t="s">
        <v>3383</v>
      </c>
      <c r="O2684" s="1" t="s">
        <v>3781</v>
      </c>
      <c r="P2684" s="1" t="s">
        <v>3385</v>
      </c>
      <c r="Q2684" s="1" t="s">
        <v>3385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4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5" t="s">
        <v>3778</v>
      </c>
      <c r="C2685" s="1" t="s">
        <v>3779</v>
      </c>
      <c r="D2685" s="1" t="s">
        <v>14</v>
      </c>
      <c r="E2685" s="1" t="s">
        <v>3379</v>
      </c>
      <c r="F2685" s="1" t="s">
        <v>3380</v>
      </c>
      <c r="G2685" s="1" t="s">
        <v>3379</v>
      </c>
      <c r="H2685" s="2" t="s">
        <v>3519</v>
      </c>
      <c r="I2685" s="1" t="s">
        <v>3520</v>
      </c>
      <c r="J2685" s="1" t="s">
        <v>52</v>
      </c>
      <c r="K2685" s="1" t="s">
        <v>3519</v>
      </c>
      <c r="L2685" s="36" t="s">
        <v>69</v>
      </c>
      <c r="M2685" s="1" t="s">
        <v>69</v>
      </c>
      <c r="N2685" s="1" t="s">
        <v>3383</v>
      </c>
      <c r="O2685" s="1" t="s">
        <v>3781</v>
      </c>
      <c r="P2685" s="1" t="s">
        <v>3385</v>
      </c>
      <c r="Q2685" s="1" t="s">
        <v>3385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5" t="s">
        <v>3778</v>
      </c>
      <c r="C2686" s="1" t="s">
        <v>3779</v>
      </c>
      <c r="D2686" s="1" t="s">
        <v>14</v>
      </c>
      <c r="E2686" s="1" t="s">
        <v>3379</v>
      </c>
      <c r="F2686" s="1" t="s">
        <v>3380</v>
      </c>
      <c r="G2686" s="1" t="s">
        <v>3379</v>
      </c>
      <c r="H2686" s="2" t="s">
        <v>3522</v>
      </c>
      <c r="I2686" s="1" t="s">
        <v>3523</v>
      </c>
      <c r="J2686" s="1" t="s">
        <v>52</v>
      </c>
      <c r="K2686" s="1" t="s">
        <v>3522</v>
      </c>
      <c r="L2686" s="36" t="s">
        <v>69</v>
      </c>
      <c r="M2686" s="1" t="s">
        <v>69</v>
      </c>
      <c r="N2686" s="1" t="s">
        <v>3383</v>
      </c>
      <c r="O2686" s="1" t="s">
        <v>3781</v>
      </c>
      <c r="P2686" s="1" t="s">
        <v>3385</v>
      </c>
      <c r="Q2686" s="1" t="s">
        <v>3385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5" t="s">
        <v>3778</v>
      </c>
      <c r="C2687" s="1" t="s">
        <v>3779</v>
      </c>
      <c r="D2687" s="1" t="s">
        <v>14</v>
      </c>
      <c r="E2687" s="1" t="s">
        <v>3379</v>
      </c>
      <c r="F2687" s="1" t="s">
        <v>3380</v>
      </c>
      <c r="G2687" s="1" t="s">
        <v>3379</v>
      </c>
      <c r="H2687" s="2" t="s">
        <v>3524</v>
      </c>
      <c r="I2687" s="1" t="s">
        <v>3525</v>
      </c>
      <c r="J2687" s="1" t="s">
        <v>52</v>
      </c>
      <c r="K2687" s="1" t="s">
        <v>3524</v>
      </c>
      <c r="L2687" s="36" t="s">
        <v>69</v>
      </c>
      <c r="M2687" s="1" t="s">
        <v>69</v>
      </c>
      <c r="N2687" s="1" t="s">
        <v>3383</v>
      </c>
      <c r="O2687" s="1" t="s">
        <v>3781</v>
      </c>
      <c r="P2687" s="1" t="s">
        <v>3385</v>
      </c>
      <c r="Q2687" s="1" t="s">
        <v>3385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5" t="s">
        <v>3778</v>
      </c>
      <c r="C2688" s="1" t="s">
        <v>3779</v>
      </c>
      <c r="D2688" s="1" t="s">
        <v>14</v>
      </c>
      <c r="E2688" s="1" t="s">
        <v>3379</v>
      </c>
      <c r="F2688" s="1" t="s">
        <v>3380</v>
      </c>
      <c r="G2688" s="1" t="s">
        <v>3379</v>
      </c>
      <c r="H2688" s="2" t="s">
        <v>3526</v>
      </c>
      <c r="I2688" s="1" t="s">
        <v>3527</v>
      </c>
      <c r="J2688" s="1" t="s">
        <v>52</v>
      </c>
      <c r="K2688" s="1" t="s">
        <v>3526</v>
      </c>
      <c r="L2688" s="36" t="s">
        <v>69</v>
      </c>
      <c r="M2688" s="1" t="s">
        <v>69</v>
      </c>
      <c r="N2688" s="1" t="s">
        <v>3383</v>
      </c>
      <c r="O2688" s="1" t="s">
        <v>3781</v>
      </c>
      <c r="P2688" s="1" t="s">
        <v>3385</v>
      </c>
      <c r="Q2688" s="1" t="s">
        <v>3385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5" t="s">
        <v>3778</v>
      </c>
      <c r="C2689" s="1" t="s">
        <v>3779</v>
      </c>
      <c r="D2689" s="1" t="s">
        <v>14</v>
      </c>
      <c r="E2689" s="1" t="s">
        <v>3379</v>
      </c>
      <c r="F2689" s="1" t="s">
        <v>3380</v>
      </c>
      <c r="G2689" s="1" t="s">
        <v>3379</v>
      </c>
      <c r="H2689" s="2" t="s">
        <v>3528</v>
      </c>
      <c r="I2689" s="1" t="s">
        <v>3529</v>
      </c>
      <c r="J2689" s="1" t="s">
        <v>52</v>
      </c>
      <c r="K2689" s="1" t="s">
        <v>3528</v>
      </c>
      <c r="L2689" s="36" t="s">
        <v>69</v>
      </c>
      <c r="M2689" s="1" t="s">
        <v>69</v>
      </c>
      <c r="N2689" s="1" t="s">
        <v>3383</v>
      </c>
      <c r="O2689" s="1" t="s">
        <v>3781</v>
      </c>
      <c r="P2689" s="1" t="s">
        <v>3385</v>
      </c>
      <c r="Q2689" s="1" t="s">
        <v>3385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5" t="s">
        <v>3778</v>
      </c>
      <c r="C2690" s="1" t="s">
        <v>3779</v>
      </c>
      <c r="D2690" s="1" t="s">
        <v>14</v>
      </c>
      <c r="E2690" s="1" t="s">
        <v>3379</v>
      </c>
      <c r="F2690" s="1" t="s">
        <v>3380</v>
      </c>
      <c r="G2690" s="1" t="s">
        <v>3379</v>
      </c>
      <c r="H2690" s="2" t="s">
        <v>3530</v>
      </c>
      <c r="I2690" s="1" t="s">
        <v>3531</v>
      </c>
      <c r="J2690" s="1" t="s">
        <v>52</v>
      </c>
      <c r="K2690" s="1" t="s">
        <v>3530</v>
      </c>
      <c r="L2690" s="36" t="s">
        <v>69</v>
      </c>
      <c r="M2690" s="1" t="s">
        <v>69</v>
      </c>
      <c r="N2690" s="1" t="s">
        <v>3383</v>
      </c>
      <c r="O2690" s="1" t="s">
        <v>3781</v>
      </c>
      <c r="P2690" s="1" t="s">
        <v>3385</v>
      </c>
      <c r="Q2690" s="1" t="s">
        <v>3385</v>
      </c>
      <c r="R2690" s="1" t="s">
        <v>46</v>
      </c>
      <c r="S2690" s="1" t="s">
        <v>69</v>
      </c>
      <c r="T2690" s="1" t="s">
        <v>69</v>
      </c>
      <c r="U2690" s="1" t="s">
        <v>46</v>
      </c>
      <c r="V2690" s="1" t="n">
        <v>1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5" t="s">
        <v>3778</v>
      </c>
      <c r="C2691" s="1" t="s">
        <v>3779</v>
      </c>
      <c r="D2691" s="1" t="s">
        <v>14</v>
      </c>
      <c r="E2691" s="1" t="s">
        <v>3379</v>
      </c>
      <c r="F2691" s="1" t="s">
        <v>3380</v>
      </c>
      <c r="G2691" s="1" t="s">
        <v>3379</v>
      </c>
      <c r="H2691" s="2" t="s">
        <v>3533</v>
      </c>
      <c r="I2691" s="1" t="s">
        <v>3534</v>
      </c>
      <c r="J2691" s="1" t="s">
        <v>52</v>
      </c>
      <c r="K2691" s="1" t="s">
        <v>3533</v>
      </c>
      <c r="L2691" s="36" t="s">
        <v>69</v>
      </c>
      <c r="M2691" s="1" t="s">
        <v>69</v>
      </c>
      <c r="N2691" s="1" t="s">
        <v>3383</v>
      </c>
      <c r="O2691" s="1" t="s">
        <v>3781</v>
      </c>
      <c r="P2691" s="1" t="s">
        <v>3385</v>
      </c>
      <c r="Q2691" s="1" t="s">
        <v>3385</v>
      </c>
      <c r="R2691" s="1" t="s">
        <v>46</v>
      </c>
      <c r="S2691" s="1" t="s">
        <v>69</v>
      </c>
      <c r="T2691" s="1" t="s">
        <v>69</v>
      </c>
      <c r="U2691" s="1" t="s">
        <v>46</v>
      </c>
      <c r="V2691" s="1" t="n">
        <v>2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5" t="s">
        <v>3778</v>
      </c>
      <c r="C2692" s="1" t="s">
        <v>3779</v>
      </c>
      <c r="D2692" s="1" t="s">
        <v>14</v>
      </c>
      <c r="E2692" s="1" t="s">
        <v>3379</v>
      </c>
      <c r="F2692" s="1" t="s">
        <v>3380</v>
      </c>
      <c r="G2692" s="1" t="s">
        <v>3379</v>
      </c>
      <c r="H2692" s="2" t="s">
        <v>3535</v>
      </c>
      <c r="I2692" s="1" t="s">
        <v>3536</v>
      </c>
      <c r="J2692" s="1" t="s">
        <v>52</v>
      </c>
      <c r="K2692" s="1" t="s">
        <v>3535</v>
      </c>
      <c r="L2692" s="36" t="s">
        <v>69</v>
      </c>
      <c r="M2692" s="1" t="s">
        <v>69</v>
      </c>
      <c r="N2692" s="1" t="s">
        <v>3383</v>
      </c>
      <c r="O2692" s="1" t="s">
        <v>3781</v>
      </c>
      <c r="P2692" s="1" t="s">
        <v>3385</v>
      </c>
      <c r="Q2692" s="1" t="s">
        <v>3385</v>
      </c>
      <c r="R2692" s="1" t="s">
        <v>46</v>
      </c>
      <c r="S2692" s="1" t="s">
        <v>69</v>
      </c>
      <c r="T2692" s="1" t="s">
        <v>69</v>
      </c>
      <c r="U2692" s="1" t="s">
        <v>46</v>
      </c>
      <c r="V2692" s="1" t="n">
        <v>3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5" t="s">
        <v>3778</v>
      </c>
      <c r="C2693" s="1" t="s">
        <v>3779</v>
      </c>
      <c r="D2693" s="1" t="s">
        <v>14</v>
      </c>
      <c r="E2693" s="1" t="s">
        <v>3379</v>
      </c>
      <c r="F2693" s="1" t="s">
        <v>3380</v>
      </c>
      <c r="G2693" s="1" t="s">
        <v>3379</v>
      </c>
      <c r="H2693" s="2" t="s">
        <v>3537</v>
      </c>
      <c r="I2693" s="1" t="s">
        <v>3538</v>
      </c>
      <c r="J2693" s="1" t="s">
        <v>52</v>
      </c>
      <c r="K2693" s="1" t="s">
        <v>3537</v>
      </c>
      <c r="L2693" s="36" t="s">
        <v>69</v>
      </c>
      <c r="M2693" s="1" t="s">
        <v>69</v>
      </c>
      <c r="N2693" s="1" t="s">
        <v>3383</v>
      </c>
      <c r="O2693" s="1" t="s">
        <v>3781</v>
      </c>
      <c r="P2693" s="1" t="s">
        <v>3385</v>
      </c>
      <c r="Q2693" s="1" t="s">
        <v>3385</v>
      </c>
      <c r="R2693" s="1" t="s">
        <v>46</v>
      </c>
      <c r="S2693" s="1" t="s">
        <v>69</v>
      </c>
      <c r="T2693" s="1" t="s">
        <v>69</v>
      </c>
      <c r="U2693" s="1" t="s">
        <v>46</v>
      </c>
      <c r="V2693" s="1" t="n">
        <v>4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5" t="s">
        <v>3778</v>
      </c>
      <c r="C2694" s="1" t="s">
        <v>3779</v>
      </c>
      <c r="D2694" s="1" t="s">
        <v>14</v>
      </c>
      <c r="E2694" s="1" t="s">
        <v>3379</v>
      </c>
      <c r="F2694" s="1" t="s">
        <v>3380</v>
      </c>
      <c r="G2694" s="1" t="s">
        <v>3379</v>
      </c>
      <c r="H2694" s="2" t="s">
        <v>3539</v>
      </c>
      <c r="I2694" s="1" t="s">
        <v>3540</v>
      </c>
      <c r="J2694" s="1" t="s">
        <v>52</v>
      </c>
      <c r="K2694" s="1" t="s">
        <v>3539</v>
      </c>
      <c r="L2694" s="36" t="s">
        <v>69</v>
      </c>
      <c r="M2694" s="1" t="s">
        <v>69</v>
      </c>
      <c r="N2694" s="1" t="s">
        <v>3383</v>
      </c>
      <c r="O2694" s="1" t="s">
        <v>3781</v>
      </c>
      <c r="P2694" s="1" t="s">
        <v>3385</v>
      </c>
      <c r="Q2694" s="1" t="s">
        <v>3385</v>
      </c>
      <c r="R2694" s="1" t="s">
        <v>46</v>
      </c>
      <c r="S2694" s="1" t="s">
        <v>69</v>
      </c>
      <c r="T2694" s="1" t="s">
        <v>69</v>
      </c>
      <c r="U2694" s="1" t="s">
        <v>46</v>
      </c>
      <c r="V2694" s="1" t="n">
        <v>5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5" t="s">
        <v>3778</v>
      </c>
      <c r="C2695" s="1" t="s">
        <v>3779</v>
      </c>
      <c r="D2695" s="1" t="s">
        <v>14</v>
      </c>
      <c r="E2695" s="1" t="s">
        <v>3379</v>
      </c>
      <c r="F2695" s="1" t="s">
        <v>3380</v>
      </c>
      <c r="G2695" s="1" t="s">
        <v>3379</v>
      </c>
      <c r="H2695" s="2" t="s">
        <v>3541</v>
      </c>
      <c r="I2695" s="1" t="s">
        <v>3542</v>
      </c>
      <c r="J2695" s="1" t="s">
        <v>52</v>
      </c>
      <c r="K2695" s="1" t="s">
        <v>3541</v>
      </c>
      <c r="L2695" s="36" t="s">
        <v>69</v>
      </c>
      <c r="M2695" s="1" t="s">
        <v>69</v>
      </c>
      <c r="N2695" s="1" t="s">
        <v>3383</v>
      </c>
      <c r="O2695" s="1" t="s">
        <v>3781</v>
      </c>
      <c r="P2695" s="1" t="s">
        <v>3385</v>
      </c>
      <c r="Q2695" s="1" t="s">
        <v>3385</v>
      </c>
      <c r="R2695" s="1" t="s">
        <v>46</v>
      </c>
      <c r="S2695" s="1" t="s">
        <v>69</v>
      </c>
      <c r="T2695" s="1" t="s">
        <v>69</v>
      </c>
      <c r="U2695" s="1" t="s">
        <v>46</v>
      </c>
      <c r="V2695" s="1" t="n">
        <v>1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5" t="s">
        <v>3778</v>
      </c>
      <c r="C2696" s="1" t="s">
        <v>3779</v>
      </c>
      <c r="D2696" s="1" t="s">
        <v>14</v>
      </c>
      <c r="E2696" s="1" t="s">
        <v>3379</v>
      </c>
      <c r="F2696" s="1" t="s">
        <v>3380</v>
      </c>
      <c r="G2696" s="1" t="s">
        <v>3379</v>
      </c>
      <c r="H2696" s="2" t="s">
        <v>3544</v>
      </c>
      <c r="I2696" s="1" t="s">
        <v>3545</v>
      </c>
      <c r="J2696" s="1" t="s">
        <v>52</v>
      </c>
      <c r="K2696" s="1" t="s">
        <v>3544</v>
      </c>
      <c r="L2696" s="36" t="s">
        <v>69</v>
      </c>
      <c r="M2696" s="1" t="s">
        <v>69</v>
      </c>
      <c r="N2696" s="1" t="s">
        <v>3383</v>
      </c>
      <c r="O2696" s="1" t="s">
        <v>3781</v>
      </c>
      <c r="P2696" s="1" t="s">
        <v>3385</v>
      </c>
      <c r="Q2696" s="1" t="s">
        <v>3385</v>
      </c>
      <c r="R2696" s="1" t="s">
        <v>46</v>
      </c>
      <c r="S2696" s="1" t="s">
        <v>69</v>
      </c>
      <c r="T2696" s="1" t="s">
        <v>69</v>
      </c>
      <c r="U2696" s="1" t="s">
        <v>46</v>
      </c>
      <c r="V2696" s="1" t="n">
        <v>2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5" t="s">
        <v>3778</v>
      </c>
      <c r="C2697" s="1" t="s">
        <v>3779</v>
      </c>
      <c r="D2697" s="1" t="s">
        <v>14</v>
      </c>
      <c r="E2697" s="1" t="s">
        <v>3379</v>
      </c>
      <c r="F2697" s="1" t="s">
        <v>3380</v>
      </c>
      <c r="G2697" s="1" t="s">
        <v>3379</v>
      </c>
      <c r="H2697" s="2" t="s">
        <v>3546</v>
      </c>
      <c r="I2697" s="1" t="s">
        <v>3547</v>
      </c>
      <c r="J2697" s="1" t="s">
        <v>52</v>
      </c>
      <c r="K2697" s="1" t="s">
        <v>3546</v>
      </c>
      <c r="L2697" s="36" t="s">
        <v>69</v>
      </c>
      <c r="M2697" s="1" t="s">
        <v>69</v>
      </c>
      <c r="N2697" s="1" t="s">
        <v>3383</v>
      </c>
      <c r="O2697" s="1" t="s">
        <v>3781</v>
      </c>
      <c r="P2697" s="1" t="s">
        <v>3385</v>
      </c>
      <c r="Q2697" s="1" t="s">
        <v>3385</v>
      </c>
      <c r="R2697" s="1" t="s">
        <v>46</v>
      </c>
      <c r="S2697" s="1" t="s">
        <v>69</v>
      </c>
      <c r="T2697" s="1" t="s">
        <v>69</v>
      </c>
      <c r="U2697" s="1" t="s">
        <v>46</v>
      </c>
      <c r="V2697" s="1" t="n">
        <v>3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5" t="s">
        <v>3778</v>
      </c>
      <c r="C2698" s="1" t="s">
        <v>3779</v>
      </c>
      <c r="D2698" s="1" t="s">
        <v>14</v>
      </c>
      <c r="E2698" s="1" t="s">
        <v>3379</v>
      </c>
      <c r="F2698" s="1" t="s">
        <v>3380</v>
      </c>
      <c r="G2698" s="1" t="s">
        <v>3379</v>
      </c>
      <c r="H2698" s="2" t="s">
        <v>3548</v>
      </c>
      <c r="I2698" s="1" t="s">
        <v>3549</v>
      </c>
      <c r="J2698" s="1" t="s">
        <v>52</v>
      </c>
      <c r="K2698" s="1" t="s">
        <v>3548</v>
      </c>
      <c r="L2698" s="36" t="s">
        <v>69</v>
      </c>
      <c r="M2698" s="1" t="s">
        <v>69</v>
      </c>
      <c r="N2698" s="1" t="s">
        <v>3383</v>
      </c>
      <c r="O2698" s="1" t="s">
        <v>3781</v>
      </c>
      <c r="P2698" s="1" t="s">
        <v>3385</v>
      </c>
      <c r="Q2698" s="1" t="s">
        <v>3385</v>
      </c>
      <c r="R2698" s="1" t="s">
        <v>46</v>
      </c>
      <c r="S2698" s="1" t="s">
        <v>69</v>
      </c>
      <c r="T2698" s="1" t="s">
        <v>69</v>
      </c>
      <c r="U2698" s="1" t="s">
        <v>46</v>
      </c>
      <c r="V2698" s="1" t="n">
        <v>4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5" t="s">
        <v>3778</v>
      </c>
      <c r="C2699" s="1" t="s">
        <v>3779</v>
      </c>
      <c r="D2699" s="1" t="s">
        <v>14</v>
      </c>
      <c r="E2699" s="1" t="s">
        <v>3379</v>
      </c>
      <c r="F2699" s="1" t="s">
        <v>3380</v>
      </c>
      <c r="G2699" s="1" t="s">
        <v>3379</v>
      </c>
      <c r="H2699" s="2" t="s">
        <v>3550</v>
      </c>
      <c r="I2699" s="1" t="s">
        <v>3551</v>
      </c>
      <c r="J2699" s="1" t="s">
        <v>52</v>
      </c>
      <c r="K2699" s="1" t="s">
        <v>3550</v>
      </c>
      <c r="L2699" s="36" t="s">
        <v>69</v>
      </c>
      <c r="M2699" s="1" t="s">
        <v>69</v>
      </c>
      <c r="N2699" s="1" t="s">
        <v>3383</v>
      </c>
      <c r="O2699" s="1" t="s">
        <v>3781</v>
      </c>
      <c r="P2699" s="1" t="s">
        <v>3385</v>
      </c>
      <c r="Q2699" s="1" t="s">
        <v>3385</v>
      </c>
      <c r="R2699" s="1" t="s">
        <v>46</v>
      </c>
      <c r="S2699" s="1" t="s">
        <v>69</v>
      </c>
      <c r="T2699" s="1" t="s">
        <v>69</v>
      </c>
      <c r="U2699" s="1" t="s">
        <v>46</v>
      </c>
      <c r="V2699" s="1" t="n">
        <v>5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5" t="s">
        <v>3778</v>
      </c>
      <c r="C2700" s="1" t="s">
        <v>3779</v>
      </c>
      <c r="D2700" s="1" t="s">
        <v>14</v>
      </c>
      <c r="E2700" s="1" t="s">
        <v>3379</v>
      </c>
      <c r="F2700" s="1" t="s">
        <v>3380</v>
      </c>
      <c r="G2700" s="1" t="s">
        <v>3379</v>
      </c>
      <c r="H2700" s="2" t="s">
        <v>3436</v>
      </c>
      <c r="I2700" s="1" t="s">
        <v>3437</v>
      </c>
      <c r="J2700" s="1" t="s">
        <v>52</v>
      </c>
      <c r="K2700" s="2" t="s">
        <v>3436</v>
      </c>
      <c r="L2700" s="5" t="s">
        <v>69</v>
      </c>
      <c r="M2700" s="5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5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5" t="s">
        <v>3778</v>
      </c>
      <c r="C2701" s="1" t="s">
        <v>3779</v>
      </c>
      <c r="D2701" s="1" t="s">
        <v>14</v>
      </c>
      <c r="E2701" s="1" t="s">
        <v>3379</v>
      </c>
      <c r="F2701" s="1" t="s">
        <v>3380</v>
      </c>
      <c r="G2701" s="1" t="s">
        <v>3379</v>
      </c>
      <c r="H2701" s="2" t="s">
        <v>3438</v>
      </c>
      <c r="I2701" s="1" t="s">
        <v>3439</v>
      </c>
      <c r="J2701" s="1" t="s">
        <v>52</v>
      </c>
      <c r="K2701" s="2" t="s">
        <v>3438</v>
      </c>
      <c r="L2701" s="5" t="s">
        <v>69</v>
      </c>
      <c r="M2701" s="5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5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5" t="s">
        <v>3778</v>
      </c>
      <c r="C2702" s="1" t="s">
        <v>3779</v>
      </c>
      <c r="D2702" s="1" t="s">
        <v>14</v>
      </c>
      <c r="E2702" s="1" t="s">
        <v>3379</v>
      </c>
      <c r="F2702" s="1" t="s">
        <v>3380</v>
      </c>
      <c r="G2702" s="1" t="s">
        <v>3379</v>
      </c>
      <c r="H2702" s="2" t="s">
        <v>3440</v>
      </c>
      <c r="I2702" s="1" t="s">
        <v>3441</v>
      </c>
      <c r="J2702" s="1" t="s">
        <v>52</v>
      </c>
      <c r="K2702" s="2" t="s">
        <v>3440</v>
      </c>
      <c r="L2702" s="5" t="s">
        <v>69</v>
      </c>
      <c r="M2702" s="5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5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5" t="s">
        <v>3778</v>
      </c>
      <c r="C2703" s="1" t="s">
        <v>3779</v>
      </c>
      <c r="D2703" s="1" t="s">
        <v>14</v>
      </c>
      <c r="E2703" s="1" t="s">
        <v>3379</v>
      </c>
      <c r="F2703" s="1" t="s">
        <v>3380</v>
      </c>
      <c r="G2703" s="1" t="s">
        <v>3379</v>
      </c>
      <c r="H2703" s="2" t="s">
        <v>3442</v>
      </c>
      <c r="I2703" s="1" t="s">
        <v>3443</v>
      </c>
      <c r="J2703" s="1" t="s">
        <v>52</v>
      </c>
      <c r="K2703" s="2" t="s">
        <v>3442</v>
      </c>
      <c r="L2703" s="5" t="s">
        <v>69</v>
      </c>
      <c r="M2703" s="5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5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5" t="s">
        <v>3778</v>
      </c>
      <c r="C2704" s="1" t="s">
        <v>3779</v>
      </c>
      <c r="D2704" s="1" t="s">
        <v>14</v>
      </c>
      <c r="E2704" s="1" t="s">
        <v>3379</v>
      </c>
      <c r="F2704" s="1" t="s">
        <v>3380</v>
      </c>
      <c r="G2704" s="1" t="s">
        <v>3379</v>
      </c>
      <c r="H2704" s="2" t="s">
        <v>3444</v>
      </c>
      <c r="I2704" s="1" t="s">
        <v>3445</v>
      </c>
      <c r="J2704" s="1" t="s">
        <v>52</v>
      </c>
      <c r="K2704" s="2" t="s">
        <v>3444</v>
      </c>
      <c r="L2704" s="5" t="s">
        <v>69</v>
      </c>
      <c r="M2704" s="5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5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5" t="s">
        <v>3778</v>
      </c>
      <c r="C2705" s="1" t="s">
        <v>3779</v>
      </c>
      <c r="D2705" s="1" t="s">
        <v>14</v>
      </c>
      <c r="E2705" s="1" t="s">
        <v>3379</v>
      </c>
      <c r="F2705" s="1" t="s">
        <v>3380</v>
      </c>
      <c r="G2705" s="1" t="s">
        <v>3379</v>
      </c>
      <c r="H2705" s="2" t="s">
        <v>3446</v>
      </c>
      <c r="I2705" s="1" t="s">
        <v>3447</v>
      </c>
      <c r="J2705" s="1" t="s">
        <v>52</v>
      </c>
      <c r="K2705" s="2" t="s">
        <v>3446</v>
      </c>
      <c r="L2705" s="5" t="s">
        <v>69</v>
      </c>
      <c r="M2705" s="5" t="s">
        <v>69</v>
      </c>
      <c r="N2705" s="1" t="s">
        <v>1935</v>
      </c>
      <c r="O2705" s="1" t="s">
        <v>46</v>
      </c>
      <c r="P2705" s="1" t="s">
        <v>46</v>
      </c>
      <c r="Q2705" s="1" t="s">
        <v>46</v>
      </c>
      <c r="R2705" s="5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5" t="s">
        <v>3778</v>
      </c>
      <c r="C2706" s="1" t="s">
        <v>3779</v>
      </c>
      <c r="D2706" s="1" t="s">
        <v>14</v>
      </c>
      <c r="E2706" s="1" t="s">
        <v>3379</v>
      </c>
      <c r="F2706" s="1" t="s">
        <v>3380</v>
      </c>
      <c r="G2706" s="1" t="s">
        <v>3379</v>
      </c>
      <c r="H2706" s="2" t="s">
        <v>3448</v>
      </c>
      <c r="I2706" s="1" t="s">
        <v>3449</v>
      </c>
      <c r="J2706" s="1" t="s">
        <v>52</v>
      </c>
      <c r="K2706" s="2" t="s">
        <v>3448</v>
      </c>
      <c r="L2706" s="5" t="s">
        <v>69</v>
      </c>
      <c r="M2706" s="5" t="s">
        <v>69</v>
      </c>
      <c r="N2706" s="1" t="s">
        <v>1935</v>
      </c>
      <c r="O2706" s="1" t="s">
        <v>46</v>
      </c>
      <c r="P2706" s="1" t="s">
        <v>46</v>
      </c>
      <c r="Q2706" s="1" t="s">
        <v>46</v>
      </c>
      <c r="R2706" s="5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5" t="s">
        <v>3778</v>
      </c>
      <c r="C2707" s="1" t="s">
        <v>3779</v>
      </c>
      <c r="D2707" s="1" t="s">
        <v>14</v>
      </c>
      <c r="E2707" s="1" t="s">
        <v>3379</v>
      </c>
      <c r="F2707" s="1" t="s">
        <v>3380</v>
      </c>
      <c r="G2707" s="1" t="s">
        <v>3379</v>
      </c>
      <c r="H2707" s="2" t="s">
        <v>3450</v>
      </c>
      <c r="I2707" s="1" t="s">
        <v>3451</v>
      </c>
      <c r="J2707" s="1" t="s">
        <v>52</v>
      </c>
      <c r="K2707" s="2" t="s">
        <v>3450</v>
      </c>
      <c r="L2707" s="5" t="s">
        <v>69</v>
      </c>
      <c r="M2707" s="5" t="s">
        <v>69</v>
      </c>
      <c r="N2707" s="1" t="s">
        <v>1935</v>
      </c>
      <c r="O2707" s="1" t="s">
        <v>46</v>
      </c>
      <c r="P2707" s="1" t="s">
        <v>46</v>
      </c>
      <c r="Q2707" s="1" t="s">
        <v>46</v>
      </c>
      <c r="R2707" s="5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5" t="s">
        <v>3778</v>
      </c>
      <c r="C2708" s="1" t="s">
        <v>3779</v>
      </c>
      <c r="D2708" s="1" t="s">
        <v>14</v>
      </c>
      <c r="E2708" s="1" t="s">
        <v>3379</v>
      </c>
      <c r="F2708" s="1" t="s">
        <v>3380</v>
      </c>
      <c r="G2708" s="1" t="s">
        <v>3379</v>
      </c>
      <c r="H2708" s="2" t="s">
        <v>3452</v>
      </c>
      <c r="I2708" s="1" t="s">
        <v>3453</v>
      </c>
      <c r="J2708" s="1" t="s">
        <v>52</v>
      </c>
      <c r="K2708" s="2" t="s">
        <v>3452</v>
      </c>
      <c r="L2708" s="5" t="s">
        <v>69</v>
      </c>
      <c r="M2708" s="5" t="s">
        <v>69</v>
      </c>
      <c r="N2708" s="1" t="s">
        <v>1935</v>
      </c>
      <c r="O2708" s="1" t="s">
        <v>46</v>
      </c>
      <c r="P2708" s="1" t="s">
        <v>46</v>
      </c>
      <c r="Q2708" s="1" t="s">
        <v>46</v>
      </c>
      <c r="R2708" s="5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5" t="s">
        <v>3778</v>
      </c>
      <c r="C2709" s="1" t="s">
        <v>3779</v>
      </c>
      <c r="D2709" s="1" t="s">
        <v>14</v>
      </c>
      <c r="E2709" s="1" t="s">
        <v>3379</v>
      </c>
      <c r="F2709" s="1" t="s">
        <v>3380</v>
      </c>
      <c r="G2709" s="1" t="s">
        <v>3379</v>
      </c>
      <c r="H2709" s="2" t="s">
        <v>3454</v>
      </c>
      <c r="I2709" s="1" t="s">
        <v>3455</v>
      </c>
      <c r="J2709" s="1" t="s">
        <v>52</v>
      </c>
      <c r="K2709" s="2" t="s">
        <v>3454</v>
      </c>
      <c r="L2709" s="5" t="s">
        <v>69</v>
      </c>
      <c r="M2709" s="5" t="s">
        <v>69</v>
      </c>
      <c r="N2709" s="1" t="s">
        <v>1935</v>
      </c>
      <c r="O2709" s="1" t="s">
        <v>46</v>
      </c>
      <c r="P2709" s="1" t="s">
        <v>46</v>
      </c>
      <c r="Q2709" s="1" t="s">
        <v>46</v>
      </c>
      <c r="R2709" s="5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5" t="s">
        <v>3778</v>
      </c>
      <c r="C2710" s="1" t="s">
        <v>3779</v>
      </c>
      <c r="D2710" s="1" t="s">
        <v>14</v>
      </c>
      <c r="E2710" s="1" t="s">
        <v>3379</v>
      </c>
      <c r="F2710" s="1" t="s">
        <v>3380</v>
      </c>
      <c r="G2710" s="1" t="s">
        <v>3379</v>
      </c>
      <c r="H2710" s="2" t="s">
        <v>3456</v>
      </c>
      <c r="I2710" s="1" t="s">
        <v>3457</v>
      </c>
      <c r="J2710" s="1" t="s">
        <v>52</v>
      </c>
      <c r="K2710" s="2" t="s">
        <v>3456</v>
      </c>
      <c r="L2710" s="5" t="s">
        <v>69</v>
      </c>
      <c r="M2710" s="5" t="s">
        <v>69</v>
      </c>
      <c r="N2710" s="1" t="s">
        <v>1935</v>
      </c>
      <c r="O2710" s="1" t="s">
        <v>46</v>
      </c>
      <c r="P2710" s="1" t="s">
        <v>46</v>
      </c>
      <c r="Q2710" s="1" t="s">
        <v>46</v>
      </c>
      <c r="R2710" s="5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5" t="s">
        <v>3778</v>
      </c>
      <c r="C2711" s="1" t="s">
        <v>3779</v>
      </c>
      <c r="D2711" s="1" t="s">
        <v>14</v>
      </c>
      <c r="E2711" s="1" t="s">
        <v>3379</v>
      </c>
      <c r="F2711" s="1" t="s">
        <v>3380</v>
      </c>
      <c r="G2711" s="1" t="s">
        <v>3379</v>
      </c>
      <c r="H2711" s="2" t="s">
        <v>3458</v>
      </c>
      <c r="I2711" s="1" t="s">
        <v>3459</v>
      </c>
      <c r="J2711" s="1" t="s">
        <v>52</v>
      </c>
      <c r="K2711" s="2" t="s">
        <v>3458</v>
      </c>
      <c r="L2711" s="5" t="s">
        <v>69</v>
      </c>
      <c r="M2711" s="5" t="s">
        <v>69</v>
      </c>
      <c r="N2711" s="1" t="s">
        <v>1935</v>
      </c>
      <c r="O2711" s="1" t="s">
        <v>46</v>
      </c>
      <c r="P2711" s="1" t="s">
        <v>46</v>
      </c>
      <c r="Q2711" s="1" t="s">
        <v>46</v>
      </c>
      <c r="R2711" s="5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5" t="s">
        <v>3778</v>
      </c>
      <c r="C2712" s="1" t="s">
        <v>3779</v>
      </c>
      <c r="D2712" s="1" t="s">
        <v>14</v>
      </c>
      <c r="E2712" s="1" t="s">
        <v>3379</v>
      </c>
      <c r="F2712" s="1" t="s">
        <v>3380</v>
      </c>
      <c r="G2712" s="1" t="s">
        <v>3379</v>
      </c>
      <c r="H2712" s="2" t="s">
        <v>3460</v>
      </c>
      <c r="I2712" s="1" t="s">
        <v>3461</v>
      </c>
      <c r="J2712" s="1" t="s">
        <v>52</v>
      </c>
      <c r="K2712" s="2" t="s">
        <v>3460</v>
      </c>
      <c r="L2712" s="5" t="s">
        <v>69</v>
      </c>
      <c r="M2712" s="5" t="s">
        <v>69</v>
      </c>
      <c r="N2712" s="1" t="s">
        <v>1935</v>
      </c>
      <c r="O2712" s="1" t="s">
        <v>46</v>
      </c>
      <c r="P2712" s="1" t="s">
        <v>46</v>
      </c>
      <c r="Q2712" s="1" t="s">
        <v>46</v>
      </c>
      <c r="R2712" s="5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5" t="s">
        <v>3778</v>
      </c>
      <c r="C2713" s="1" t="s">
        <v>3779</v>
      </c>
      <c r="D2713" s="1" t="s">
        <v>14</v>
      </c>
      <c r="E2713" s="1" t="s">
        <v>3379</v>
      </c>
      <c r="F2713" s="1" t="s">
        <v>3380</v>
      </c>
      <c r="G2713" s="1" t="s">
        <v>3379</v>
      </c>
      <c r="H2713" s="2" t="s">
        <v>3462</v>
      </c>
      <c r="I2713" s="1" t="s">
        <v>3463</v>
      </c>
      <c r="J2713" s="1" t="s">
        <v>52</v>
      </c>
      <c r="K2713" s="2" t="s">
        <v>3462</v>
      </c>
      <c r="L2713" s="5" t="s">
        <v>69</v>
      </c>
      <c r="M2713" s="5" t="s">
        <v>69</v>
      </c>
      <c r="N2713" s="1" t="s">
        <v>1935</v>
      </c>
      <c r="O2713" s="1" t="s">
        <v>46</v>
      </c>
      <c r="P2713" s="1" t="s">
        <v>46</v>
      </c>
      <c r="Q2713" s="1" t="s">
        <v>46</v>
      </c>
      <c r="R2713" s="5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5" t="s">
        <v>3778</v>
      </c>
      <c r="C2714" s="1" t="s">
        <v>3779</v>
      </c>
      <c r="D2714" s="1" t="s">
        <v>14</v>
      </c>
      <c r="E2714" s="1" t="s">
        <v>3379</v>
      </c>
      <c r="F2714" s="1" t="s">
        <v>3380</v>
      </c>
      <c r="G2714" s="1" t="s">
        <v>3379</v>
      </c>
      <c r="H2714" s="2" t="s">
        <v>3464</v>
      </c>
      <c r="I2714" s="1" t="s">
        <v>3465</v>
      </c>
      <c r="J2714" s="1" t="s">
        <v>52</v>
      </c>
      <c r="K2714" s="2" t="s">
        <v>3464</v>
      </c>
      <c r="L2714" s="5" t="s">
        <v>69</v>
      </c>
      <c r="M2714" s="5" t="s">
        <v>69</v>
      </c>
      <c r="N2714" s="1" t="s">
        <v>1935</v>
      </c>
      <c r="O2714" s="1" t="s">
        <v>46</v>
      </c>
      <c r="P2714" s="1" t="s">
        <v>46</v>
      </c>
      <c r="Q2714" s="1" t="s">
        <v>46</v>
      </c>
      <c r="R2714" s="5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5" t="s">
        <v>3778</v>
      </c>
      <c r="C2715" s="1" t="s">
        <v>3779</v>
      </c>
      <c r="D2715" s="1" t="s">
        <v>14</v>
      </c>
      <c r="E2715" s="1" t="s">
        <v>3379</v>
      </c>
      <c r="F2715" s="1" t="s">
        <v>3380</v>
      </c>
      <c r="G2715" s="1" t="s">
        <v>3379</v>
      </c>
      <c r="H2715" s="2" t="s">
        <v>3466</v>
      </c>
      <c r="I2715" s="1" t="s">
        <v>3467</v>
      </c>
      <c r="J2715" s="1" t="s">
        <v>52</v>
      </c>
      <c r="K2715" s="2" t="s">
        <v>3466</v>
      </c>
      <c r="L2715" s="5" t="s">
        <v>69</v>
      </c>
      <c r="M2715" s="5" t="s">
        <v>69</v>
      </c>
      <c r="N2715" s="1" t="s">
        <v>3468</v>
      </c>
      <c r="O2715" s="1" t="s">
        <v>46</v>
      </c>
      <c r="P2715" s="1" t="s">
        <v>46</v>
      </c>
      <c r="Q2715" s="1" t="s">
        <v>46</v>
      </c>
      <c r="R2715" s="5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5" t="s">
        <v>3778</v>
      </c>
      <c r="C2716" s="1" t="s">
        <v>3779</v>
      </c>
      <c r="D2716" s="1" t="s">
        <v>14</v>
      </c>
      <c r="E2716" s="1" t="s">
        <v>3379</v>
      </c>
      <c r="F2716" s="1" t="s">
        <v>3380</v>
      </c>
      <c r="G2716" s="1" t="s">
        <v>3379</v>
      </c>
      <c r="H2716" s="2" t="s">
        <v>3469</v>
      </c>
      <c r="I2716" s="1" t="s">
        <v>3470</v>
      </c>
      <c r="J2716" s="1" t="s">
        <v>52</v>
      </c>
      <c r="K2716" s="2" t="s">
        <v>3469</v>
      </c>
      <c r="L2716" s="5" t="s">
        <v>69</v>
      </c>
      <c r="M2716" s="5" t="s">
        <v>69</v>
      </c>
      <c r="N2716" s="1" t="s">
        <v>3468</v>
      </c>
      <c r="O2716" s="1" t="s">
        <v>46</v>
      </c>
      <c r="P2716" s="1" t="s">
        <v>46</v>
      </c>
      <c r="Q2716" s="1" t="s">
        <v>46</v>
      </c>
      <c r="R2716" s="5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5" t="s">
        <v>3778</v>
      </c>
      <c r="C2717" s="1" t="s">
        <v>3779</v>
      </c>
      <c r="D2717" s="1" t="s">
        <v>14</v>
      </c>
      <c r="E2717" s="1" t="s">
        <v>3379</v>
      </c>
      <c r="F2717" s="1" t="s">
        <v>3380</v>
      </c>
      <c r="G2717" s="1" t="s">
        <v>3379</v>
      </c>
      <c r="H2717" s="2" t="s">
        <v>3471</v>
      </c>
      <c r="I2717" s="1" t="s">
        <v>3472</v>
      </c>
      <c r="J2717" s="1" t="s">
        <v>52</v>
      </c>
      <c r="K2717" s="2" t="s">
        <v>3471</v>
      </c>
      <c r="L2717" s="5" t="s">
        <v>69</v>
      </c>
      <c r="M2717" s="5" t="s">
        <v>69</v>
      </c>
      <c r="N2717" s="1" t="s">
        <v>3468</v>
      </c>
      <c r="O2717" s="1" t="s">
        <v>46</v>
      </c>
      <c r="P2717" s="1" t="s">
        <v>46</v>
      </c>
      <c r="Q2717" s="1" t="s">
        <v>46</v>
      </c>
      <c r="R2717" s="5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5" t="s">
        <v>3778</v>
      </c>
      <c r="C2718" s="1" t="s">
        <v>3779</v>
      </c>
      <c r="D2718" s="1" t="s">
        <v>14</v>
      </c>
      <c r="E2718" s="1" t="s">
        <v>3379</v>
      </c>
      <c r="F2718" s="1" t="s">
        <v>3380</v>
      </c>
      <c r="G2718" s="1" t="s">
        <v>3379</v>
      </c>
      <c r="H2718" s="2" t="s">
        <v>3473</v>
      </c>
      <c r="I2718" s="1" t="s">
        <v>3474</v>
      </c>
      <c r="J2718" s="1" t="s">
        <v>52</v>
      </c>
      <c r="K2718" s="2" t="s">
        <v>3473</v>
      </c>
      <c r="L2718" s="5" t="s">
        <v>69</v>
      </c>
      <c r="M2718" s="5" t="s">
        <v>69</v>
      </c>
      <c r="N2718" s="1" t="s">
        <v>3468</v>
      </c>
      <c r="O2718" s="1" t="s">
        <v>46</v>
      </c>
      <c r="P2718" s="1" t="s">
        <v>46</v>
      </c>
      <c r="Q2718" s="1" t="s">
        <v>46</v>
      </c>
      <c r="R2718" s="5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5" t="s">
        <v>3778</v>
      </c>
      <c r="C2719" s="1" t="s">
        <v>3779</v>
      </c>
      <c r="D2719" s="1" t="s">
        <v>14</v>
      </c>
      <c r="E2719" s="1" t="s">
        <v>3379</v>
      </c>
      <c r="F2719" s="1" t="s">
        <v>3380</v>
      </c>
      <c r="G2719" s="1" t="s">
        <v>3379</v>
      </c>
      <c r="H2719" s="2" t="s">
        <v>3475</v>
      </c>
      <c r="I2719" s="1" t="s">
        <v>3476</v>
      </c>
      <c r="J2719" s="1" t="s">
        <v>52</v>
      </c>
      <c r="K2719" s="2" t="s">
        <v>3475</v>
      </c>
      <c r="L2719" s="5" t="s">
        <v>69</v>
      </c>
      <c r="M2719" s="5" t="s">
        <v>69</v>
      </c>
      <c r="N2719" s="1" t="s">
        <v>3468</v>
      </c>
      <c r="O2719" s="1" t="s">
        <v>46</v>
      </c>
      <c r="P2719" s="1" t="s">
        <v>46</v>
      </c>
      <c r="Q2719" s="1" t="s">
        <v>46</v>
      </c>
      <c r="R2719" s="5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5" t="s">
        <v>3778</v>
      </c>
      <c r="C2720" s="1" t="s">
        <v>3779</v>
      </c>
      <c r="D2720" s="1" t="s">
        <v>14</v>
      </c>
      <c r="E2720" s="1" t="s">
        <v>3379</v>
      </c>
      <c r="F2720" s="1" t="s">
        <v>3380</v>
      </c>
      <c r="G2720" s="1" t="s">
        <v>3379</v>
      </c>
      <c r="H2720" s="2" t="s">
        <v>3477</v>
      </c>
      <c r="I2720" s="1" t="s">
        <v>3478</v>
      </c>
      <c r="J2720" s="1" t="s">
        <v>52</v>
      </c>
      <c r="K2720" s="2" t="s">
        <v>3477</v>
      </c>
      <c r="L2720" s="5" t="s">
        <v>69</v>
      </c>
      <c r="M2720" s="5" t="s">
        <v>69</v>
      </c>
      <c r="N2720" s="1" t="s">
        <v>3468</v>
      </c>
      <c r="O2720" s="1" t="s">
        <v>46</v>
      </c>
      <c r="P2720" s="1" t="s">
        <v>46</v>
      </c>
      <c r="Q2720" s="1" t="s">
        <v>46</v>
      </c>
      <c r="R2720" s="5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5" t="s">
        <v>3778</v>
      </c>
      <c r="C2721" s="1" t="s">
        <v>3779</v>
      </c>
      <c r="D2721" s="1" t="s">
        <v>14</v>
      </c>
      <c r="E2721" s="1" t="s">
        <v>3379</v>
      </c>
      <c r="F2721" s="1" t="s">
        <v>3380</v>
      </c>
      <c r="G2721" s="1" t="s">
        <v>3379</v>
      </c>
      <c r="H2721" s="2" t="s">
        <v>3479</v>
      </c>
      <c r="I2721" s="1" t="s">
        <v>3480</v>
      </c>
      <c r="J2721" s="1" t="s">
        <v>52</v>
      </c>
      <c r="K2721" s="2" t="s">
        <v>3479</v>
      </c>
      <c r="L2721" s="5" t="s">
        <v>69</v>
      </c>
      <c r="M2721" s="5" t="s">
        <v>69</v>
      </c>
      <c r="N2721" s="1" t="s">
        <v>3468</v>
      </c>
      <c r="O2721" s="1" t="s">
        <v>46</v>
      </c>
      <c r="P2721" s="1" t="s">
        <v>46</v>
      </c>
      <c r="Q2721" s="1" t="s">
        <v>46</v>
      </c>
      <c r="R2721" s="5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5" t="s">
        <v>3778</v>
      </c>
      <c r="C2722" s="1" t="s">
        <v>3779</v>
      </c>
      <c r="D2722" s="1" t="s">
        <v>14</v>
      </c>
      <c r="E2722" s="1" t="s">
        <v>3379</v>
      </c>
      <c r="F2722" s="1" t="s">
        <v>3380</v>
      </c>
      <c r="G2722" s="1" t="s">
        <v>3379</v>
      </c>
      <c r="H2722" s="2" t="s">
        <v>3481</v>
      </c>
      <c r="I2722" s="1" t="s">
        <v>3482</v>
      </c>
      <c r="J2722" s="1" t="s">
        <v>52</v>
      </c>
      <c r="K2722" s="2" t="s">
        <v>3481</v>
      </c>
      <c r="L2722" s="5" t="s">
        <v>69</v>
      </c>
      <c r="M2722" s="5" t="s">
        <v>69</v>
      </c>
      <c r="N2722" s="1" t="s">
        <v>3468</v>
      </c>
      <c r="O2722" s="1" t="s">
        <v>46</v>
      </c>
      <c r="P2722" s="1" t="s">
        <v>46</v>
      </c>
      <c r="Q2722" s="1" t="s">
        <v>46</v>
      </c>
      <c r="R2722" s="5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5" t="s">
        <v>3778</v>
      </c>
      <c r="C2723" s="1" t="s">
        <v>3779</v>
      </c>
      <c r="D2723" s="1" t="s">
        <v>14</v>
      </c>
      <c r="E2723" s="1" t="s">
        <v>3379</v>
      </c>
      <c r="F2723" s="1" t="s">
        <v>3380</v>
      </c>
      <c r="G2723" s="1" t="s">
        <v>3379</v>
      </c>
      <c r="H2723" s="2" t="s">
        <v>3483</v>
      </c>
      <c r="I2723" s="1" t="s">
        <v>3484</v>
      </c>
      <c r="J2723" s="1" t="s">
        <v>52</v>
      </c>
      <c r="K2723" s="2" t="s">
        <v>3483</v>
      </c>
      <c r="L2723" s="5" t="s">
        <v>69</v>
      </c>
      <c r="M2723" s="5" t="s">
        <v>69</v>
      </c>
      <c r="N2723" s="1" t="s">
        <v>3468</v>
      </c>
      <c r="O2723" s="1" t="s">
        <v>46</v>
      </c>
      <c r="P2723" s="1" t="s">
        <v>46</v>
      </c>
      <c r="Q2723" s="1" t="s">
        <v>46</v>
      </c>
      <c r="R2723" s="5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5" t="s">
        <v>3778</v>
      </c>
      <c r="C2724" s="1" t="s">
        <v>3779</v>
      </c>
      <c r="D2724" s="1" t="s">
        <v>14</v>
      </c>
      <c r="E2724" s="1" t="s">
        <v>3379</v>
      </c>
      <c r="F2724" s="1" t="s">
        <v>3380</v>
      </c>
      <c r="G2724" s="1" t="s">
        <v>3379</v>
      </c>
      <c r="H2724" s="2" t="s">
        <v>3485</v>
      </c>
      <c r="I2724" s="1" t="s">
        <v>3486</v>
      </c>
      <c r="J2724" s="1" t="s">
        <v>52</v>
      </c>
      <c r="K2724" s="2" t="s">
        <v>3485</v>
      </c>
      <c r="L2724" s="5" t="s">
        <v>69</v>
      </c>
      <c r="M2724" s="5" t="s">
        <v>69</v>
      </c>
      <c r="N2724" s="1" t="s">
        <v>3468</v>
      </c>
      <c r="O2724" s="1" t="s">
        <v>46</v>
      </c>
      <c r="P2724" s="1" t="s">
        <v>46</v>
      </c>
      <c r="Q2724" s="1" t="s">
        <v>46</v>
      </c>
      <c r="R2724" s="5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5" t="s">
        <v>3778</v>
      </c>
      <c r="C2725" s="1" t="s">
        <v>3779</v>
      </c>
      <c r="D2725" s="1" t="s">
        <v>14</v>
      </c>
      <c r="E2725" s="1" t="s">
        <v>3379</v>
      </c>
      <c r="F2725" s="1" t="s">
        <v>3380</v>
      </c>
      <c r="G2725" s="1" t="s">
        <v>3379</v>
      </c>
      <c r="H2725" s="2" t="s">
        <v>3487</v>
      </c>
      <c r="I2725" s="1" t="s">
        <v>3488</v>
      </c>
      <c r="J2725" s="1" t="s">
        <v>52</v>
      </c>
      <c r="K2725" s="2" t="s">
        <v>3487</v>
      </c>
      <c r="L2725" s="5" t="s">
        <v>69</v>
      </c>
      <c r="M2725" s="5" t="s">
        <v>69</v>
      </c>
      <c r="N2725" s="1" t="s">
        <v>3468</v>
      </c>
      <c r="O2725" s="1" t="s">
        <v>46</v>
      </c>
      <c r="P2725" s="1" t="s">
        <v>46</v>
      </c>
      <c r="Q2725" s="1" t="s">
        <v>46</v>
      </c>
      <c r="R2725" s="5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5" t="s">
        <v>3778</v>
      </c>
      <c r="C2726" s="1" t="s">
        <v>3779</v>
      </c>
      <c r="D2726" s="1" t="s">
        <v>14</v>
      </c>
      <c r="E2726" s="1" t="s">
        <v>3379</v>
      </c>
      <c r="F2726" s="1" t="s">
        <v>3380</v>
      </c>
      <c r="G2726" s="1" t="s">
        <v>3379</v>
      </c>
      <c r="H2726" s="2" t="s">
        <v>3489</v>
      </c>
      <c r="I2726" s="1" t="s">
        <v>3490</v>
      </c>
      <c r="J2726" s="1" t="s">
        <v>52</v>
      </c>
      <c r="K2726" s="2" t="s">
        <v>3489</v>
      </c>
      <c r="L2726" s="5" t="s">
        <v>69</v>
      </c>
      <c r="M2726" s="5" t="s">
        <v>69</v>
      </c>
      <c r="N2726" s="1" t="s">
        <v>3468</v>
      </c>
      <c r="O2726" s="1" t="s">
        <v>46</v>
      </c>
      <c r="P2726" s="1" t="s">
        <v>46</v>
      </c>
      <c r="Q2726" s="1" t="s">
        <v>46</v>
      </c>
      <c r="R2726" s="5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5" t="s">
        <v>3778</v>
      </c>
      <c r="C2727" s="1" t="s">
        <v>3779</v>
      </c>
      <c r="D2727" s="1" t="s">
        <v>14</v>
      </c>
      <c r="E2727" s="1" t="s">
        <v>3379</v>
      </c>
      <c r="F2727" s="1" t="s">
        <v>3380</v>
      </c>
      <c r="G2727" s="1" t="s">
        <v>3379</v>
      </c>
      <c r="H2727" s="2" t="s">
        <v>3491</v>
      </c>
      <c r="I2727" s="1" t="s">
        <v>3492</v>
      </c>
      <c r="J2727" s="1" t="s">
        <v>52</v>
      </c>
      <c r="K2727" s="2" t="s">
        <v>3491</v>
      </c>
      <c r="L2727" s="5" t="s">
        <v>69</v>
      </c>
      <c r="M2727" s="5" t="s">
        <v>69</v>
      </c>
      <c r="N2727" s="1" t="s">
        <v>3468</v>
      </c>
      <c r="O2727" s="1" t="s">
        <v>46</v>
      </c>
      <c r="P2727" s="1" t="s">
        <v>46</v>
      </c>
      <c r="Q2727" s="1" t="s">
        <v>46</v>
      </c>
      <c r="R2727" s="5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5" t="s">
        <v>3778</v>
      </c>
      <c r="C2728" s="1" t="s">
        <v>3779</v>
      </c>
      <c r="D2728" s="1" t="s">
        <v>14</v>
      </c>
      <c r="E2728" s="1" t="s">
        <v>3379</v>
      </c>
      <c r="F2728" s="1" t="s">
        <v>3380</v>
      </c>
      <c r="G2728" s="1" t="s">
        <v>3379</v>
      </c>
      <c r="H2728" s="2" t="s">
        <v>3493</v>
      </c>
      <c r="I2728" s="1" t="s">
        <v>3494</v>
      </c>
      <c r="J2728" s="1" t="s">
        <v>52</v>
      </c>
      <c r="K2728" s="2" t="s">
        <v>3493</v>
      </c>
      <c r="L2728" s="5" t="s">
        <v>69</v>
      </c>
      <c r="M2728" s="5" t="s">
        <v>69</v>
      </c>
      <c r="N2728" s="1" t="s">
        <v>3468</v>
      </c>
      <c r="O2728" s="1" t="s">
        <v>46</v>
      </c>
      <c r="P2728" s="1" t="s">
        <v>46</v>
      </c>
      <c r="Q2728" s="1" t="s">
        <v>46</v>
      </c>
      <c r="R2728" s="5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5" t="s">
        <v>3778</v>
      </c>
      <c r="C2729" s="1" t="s">
        <v>3779</v>
      </c>
      <c r="D2729" s="1" t="s">
        <v>14</v>
      </c>
      <c r="E2729" s="1" t="s">
        <v>3379</v>
      </c>
      <c r="F2729" s="1" t="s">
        <v>3380</v>
      </c>
      <c r="G2729" s="1" t="s">
        <v>3379</v>
      </c>
      <c r="H2729" s="2" t="s">
        <v>3495</v>
      </c>
      <c r="I2729" s="1" t="s">
        <v>3496</v>
      </c>
      <c r="J2729" s="1" t="s">
        <v>52</v>
      </c>
      <c r="K2729" s="2" t="s">
        <v>3495</v>
      </c>
      <c r="L2729" s="5" t="s">
        <v>69</v>
      </c>
      <c r="M2729" s="5" t="s">
        <v>69</v>
      </c>
      <c r="N2729" s="1" t="s">
        <v>3468</v>
      </c>
      <c r="O2729" s="1" t="s">
        <v>46</v>
      </c>
      <c r="P2729" s="1" t="s">
        <v>46</v>
      </c>
      <c r="Q2729" s="1" t="s">
        <v>46</v>
      </c>
      <c r="R2729" s="5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5" t="s">
        <v>3782</v>
      </c>
      <c r="C2730" s="1" t="s">
        <v>3783</v>
      </c>
      <c r="D2730" s="1" t="s">
        <v>14</v>
      </c>
      <c r="E2730" s="1" t="s">
        <v>3379</v>
      </c>
      <c r="F2730" s="1" t="s">
        <v>3380</v>
      </c>
      <c r="G2730" s="1" t="s">
        <v>3379</v>
      </c>
      <c r="H2730" s="2" t="s">
        <v>3554</v>
      </c>
      <c r="I2730" s="1" t="s">
        <v>3555</v>
      </c>
      <c r="J2730" s="1" t="s">
        <v>52</v>
      </c>
      <c r="K2730" s="2" t="s">
        <v>3554</v>
      </c>
      <c r="L2730" s="5" t="s">
        <v>69</v>
      </c>
      <c r="M2730" s="5" t="s">
        <v>69</v>
      </c>
      <c r="N2730" s="1" t="s">
        <v>3383</v>
      </c>
      <c r="O2730" s="1" t="s">
        <v>3784</v>
      </c>
      <c r="P2730" s="1" t="s">
        <v>3385</v>
      </c>
      <c r="Q2730" s="1" t="s">
        <v>3385</v>
      </c>
      <c r="R2730" s="1" t="s">
        <v>46</v>
      </c>
      <c r="S2730" s="1" t="s">
        <v>69</v>
      </c>
      <c r="T2730" s="1" t="s">
        <v>69</v>
      </c>
      <c r="U2730" s="1" t="s">
        <v>46</v>
      </c>
      <c r="V2730" s="1" t="n">
        <v>1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5" t="s">
        <v>3782</v>
      </c>
      <c r="C2731" s="1" t="s">
        <v>3783</v>
      </c>
      <c r="D2731" s="1" t="s">
        <v>14</v>
      </c>
      <c r="E2731" s="1" t="s">
        <v>3379</v>
      </c>
      <c r="F2731" s="1" t="s">
        <v>3380</v>
      </c>
      <c r="G2731" s="1" t="s">
        <v>3379</v>
      </c>
      <c r="H2731" s="2" t="s">
        <v>3557</v>
      </c>
      <c r="I2731" s="1" t="s">
        <v>3558</v>
      </c>
      <c r="J2731" s="1" t="s">
        <v>52</v>
      </c>
      <c r="K2731" s="2" t="s">
        <v>3557</v>
      </c>
      <c r="L2731" s="5" t="s">
        <v>69</v>
      </c>
      <c r="M2731" s="5" t="s">
        <v>69</v>
      </c>
      <c r="N2731" s="1" t="s">
        <v>3383</v>
      </c>
      <c r="O2731" s="1" t="s">
        <v>3784</v>
      </c>
      <c r="P2731" s="1" t="s">
        <v>3385</v>
      </c>
      <c r="Q2731" s="1" t="s">
        <v>3385</v>
      </c>
      <c r="R2731" s="1" t="s">
        <v>46</v>
      </c>
      <c r="S2731" s="1" t="s">
        <v>69</v>
      </c>
      <c r="T2731" s="1" t="s">
        <v>69</v>
      </c>
      <c r="U2731" s="1" t="s">
        <v>46</v>
      </c>
      <c r="V2731" s="1" t="n">
        <v>2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5" t="s">
        <v>3782</v>
      </c>
      <c r="C2732" s="1" t="s">
        <v>3783</v>
      </c>
      <c r="D2732" s="1" t="s">
        <v>14</v>
      </c>
      <c r="E2732" s="1" t="s">
        <v>3379</v>
      </c>
      <c r="F2732" s="1" t="s">
        <v>3380</v>
      </c>
      <c r="G2732" s="1" t="s">
        <v>3379</v>
      </c>
      <c r="H2732" s="2" t="s">
        <v>3559</v>
      </c>
      <c r="I2732" s="1" t="s">
        <v>3560</v>
      </c>
      <c r="J2732" s="1" t="s">
        <v>52</v>
      </c>
      <c r="K2732" s="2" t="s">
        <v>3559</v>
      </c>
      <c r="L2732" s="5" t="s">
        <v>69</v>
      </c>
      <c r="M2732" s="5" t="s">
        <v>69</v>
      </c>
      <c r="N2732" s="1" t="s">
        <v>3383</v>
      </c>
      <c r="O2732" s="1" t="s">
        <v>3784</v>
      </c>
      <c r="P2732" s="1" t="s">
        <v>3385</v>
      </c>
      <c r="Q2732" s="1" t="s">
        <v>3385</v>
      </c>
      <c r="R2732" s="1" t="s">
        <v>46</v>
      </c>
      <c r="S2732" s="1" t="s">
        <v>69</v>
      </c>
      <c r="T2732" s="1" t="s">
        <v>69</v>
      </c>
      <c r="U2732" s="1" t="s">
        <v>46</v>
      </c>
      <c r="V2732" s="1" t="n">
        <v>3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5" t="s">
        <v>3782</v>
      </c>
      <c r="C2733" s="1" t="s">
        <v>3783</v>
      </c>
      <c r="D2733" s="1" t="s">
        <v>14</v>
      </c>
      <c r="E2733" s="1" t="s">
        <v>3379</v>
      </c>
      <c r="F2733" s="1" t="s">
        <v>3380</v>
      </c>
      <c r="G2733" s="1" t="s">
        <v>3379</v>
      </c>
      <c r="H2733" s="2" t="s">
        <v>3561</v>
      </c>
      <c r="I2733" s="1" t="s">
        <v>3562</v>
      </c>
      <c r="J2733" s="1" t="s">
        <v>52</v>
      </c>
      <c r="K2733" s="2" t="s">
        <v>3561</v>
      </c>
      <c r="L2733" s="5" t="s">
        <v>69</v>
      </c>
      <c r="M2733" s="5" t="s">
        <v>69</v>
      </c>
      <c r="N2733" s="1" t="s">
        <v>3383</v>
      </c>
      <c r="O2733" s="1" t="s">
        <v>3784</v>
      </c>
      <c r="P2733" s="1" t="s">
        <v>3385</v>
      </c>
      <c r="Q2733" s="1" t="s">
        <v>3385</v>
      </c>
      <c r="R2733" s="1" t="s">
        <v>46</v>
      </c>
      <c r="S2733" s="1" t="s">
        <v>69</v>
      </c>
      <c r="T2733" s="1" t="s">
        <v>69</v>
      </c>
      <c r="U2733" s="1" t="s">
        <v>46</v>
      </c>
      <c r="V2733" s="1" t="n">
        <v>4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5" t="s">
        <v>3782</v>
      </c>
      <c r="C2734" s="1" t="s">
        <v>3783</v>
      </c>
      <c r="D2734" s="1" t="s">
        <v>14</v>
      </c>
      <c r="E2734" s="1" t="s">
        <v>3379</v>
      </c>
      <c r="F2734" s="1" t="s">
        <v>3380</v>
      </c>
      <c r="G2734" s="1" t="s">
        <v>3379</v>
      </c>
      <c r="H2734" s="2" t="s">
        <v>3563</v>
      </c>
      <c r="I2734" s="1" t="s">
        <v>3564</v>
      </c>
      <c r="J2734" s="1" t="s">
        <v>52</v>
      </c>
      <c r="K2734" s="2" t="s">
        <v>3563</v>
      </c>
      <c r="L2734" s="5" t="s">
        <v>69</v>
      </c>
      <c r="M2734" s="5" t="s">
        <v>69</v>
      </c>
      <c r="N2734" s="1" t="s">
        <v>3383</v>
      </c>
      <c r="O2734" s="1" t="s">
        <v>3784</v>
      </c>
      <c r="P2734" s="1" t="s">
        <v>3385</v>
      </c>
      <c r="Q2734" s="1" t="s">
        <v>3385</v>
      </c>
      <c r="R2734" s="1" t="s">
        <v>46</v>
      </c>
      <c r="S2734" s="1" t="s">
        <v>69</v>
      </c>
      <c r="T2734" s="1" t="s">
        <v>69</v>
      </c>
      <c r="U2734" s="1" t="s">
        <v>46</v>
      </c>
      <c r="V2734" s="1" t="n">
        <v>5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5" t="s">
        <v>3782</v>
      </c>
      <c r="C2735" s="1" t="s">
        <v>3783</v>
      </c>
      <c r="D2735" s="1" t="s">
        <v>14</v>
      </c>
      <c r="E2735" s="1" t="s">
        <v>3379</v>
      </c>
      <c r="F2735" s="1" t="s">
        <v>3380</v>
      </c>
      <c r="G2735" s="1" t="s">
        <v>3379</v>
      </c>
      <c r="H2735" s="2" t="s">
        <v>3565</v>
      </c>
      <c r="I2735" s="1" t="s">
        <v>3566</v>
      </c>
      <c r="J2735" s="1" t="s">
        <v>52</v>
      </c>
      <c r="K2735" s="2" t="s">
        <v>3565</v>
      </c>
      <c r="L2735" s="5" t="s">
        <v>69</v>
      </c>
      <c r="M2735" s="5" t="s">
        <v>69</v>
      </c>
      <c r="N2735" s="1" t="s">
        <v>3383</v>
      </c>
      <c r="O2735" s="1" t="s">
        <v>3784</v>
      </c>
      <c r="P2735" s="1" t="s">
        <v>3385</v>
      </c>
      <c r="Q2735" s="1" t="s">
        <v>3385</v>
      </c>
      <c r="R2735" s="1" t="s">
        <v>46</v>
      </c>
      <c r="S2735" s="1" t="s">
        <v>69</v>
      </c>
      <c r="T2735" s="1" t="s">
        <v>69</v>
      </c>
      <c r="U2735" s="1" t="s">
        <v>46</v>
      </c>
      <c r="V2735" s="1" t="n">
        <v>1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5" t="s">
        <v>3782</v>
      </c>
      <c r="C2736" s="1" t="s">
        <v>3783</v>
      </c>
      <c r="D2736" s="1" t="s">
        <v>14</v>
      </c>
      <c r="E2736" s="1" t="s">
        <v>3379</v>
      </c>
      <c r="F2736" s="1" t="s">
        <v>3380</v>
      </c>
      <c r="G2736" s="1" t="s">
        <v>3379</v>
      </c>
      <c r="H2736" s="2" t="s">
        <v>3568</v>
      </c>
      <c r="I2736" s="1" t="s">
        <v>3569</v>
      </c>
      <c r="J2736" s="1" t="s">
        <v>52</v>
      </c>
      <c r="K2736" s="2" t="s">
        <v>3568</v>
      </c>
      <c r="L2736" s="5" t="s">
        <v>69</v>
      </c>
      <c r="M2736" s="5" t="s">
        <v>69</v>
      </c>
      <c r="N2736" s="1" t="s">
        <v>3383</v>
      </c>
      <c r="O2736" s="1" t="s">
        <v>3784</v>
      </c>
      <c r="P2736" s="1" t="s">
        <v>3385</v>
      </c>
      <c r="Q2736" s="1" t="s">
        <v>3385</v>
      </c>
      <c r="R2736" s="1" t="s">
        <v>46</v>
      </c>
      <c r="S2736" s="1" t="s">
        <v>69</v>
      </c>
      <c r="T2736" s="1" t="s">
        <v>69</v>
      </c>
      <c r="U2736" s="1" t="s">
        <v>46</v>
      </c>
      <c r="V2736" s="1" t="n">
        <v>2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5" t="s">
        <v>3782</v>
      </c>
      <c r="C2737" s="1" t="s">
        <v>3783</v>
      </c>
      <c r="D2737" s="1" t="s">
        <v>14</v>
      </c>
      <c r="E2737" s="1" t="s">
        <v>3379</v>
      </c>
      <c r="F2737" s="1" t="s">
        <v>3380</v>
      </c>
      <c r="G2737" s="1" t="s">
        <v>3379</v>
      </c>
      <c r="H2737" s="2" t="s">
        <v>3570</v>
      </c>
      <c r="I2737" s="1" t="s">
        <v>3571</v>
      </c>
      <c r="J2737" s="1" t="s">
        <v>52</v>
      </c>
      <c r="K2737" s="2" t="s">
        <v>3570</v>
      </c>
      <c r="L2737" s="5" t="s">
        <v>69</v>
      </c>
      <c r="M2737" s="5" t="s">
        <v>69</v>
      </c>
      <c r="N2737" s="1" t="s">
        <v>3383</v>
      </c>
      <c r="O2737" s="1" t="s">
        <v>3784</v>
      </c>
      <c r="P2737" s="1" t="s">
        <v>3385</v>
      </c>
      <c r="Q2737" s="1" t="s">
        <v>3385</v>
      </c>
      <c r="R2737" s="1" t="s">
        <v>46</v>
      </c>
      <c r="S2737" s="1" t="s">
        <v>69</v>
      </c>
      <c r="T2737" s="1" t="s">
        <v>69</v>
      </c>
      <c r="U2737" s="1" t="s">
        <v>46</v>
      </c>
      <c r="V2737" s="1" t="n">
        <v>3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5" t="s">
        <v>3782</v>
      </c>
      <c r="C2738" s="1" t="s">
        <v>3783</v>
      </c>
      <c r="D2738" s="1" t="s">
        <v>14</v>
      </c>
      <c r="E2738" s="1" t="s">
        <v>3379</v>
      </c>
      <c r="F2738" s="1" t="s">
        <v>3380</v>
      </c>
      <c r="G2738" s="1" t="s">
        <v>3379</v>
      </c>
      <c r="H2738" s="2" t="s">
        <v>3572</v>
      </c>
      <c r="I2738" s="1" t="s">
        <v>3573</v>
      </c>
      <c r="J2738" s="1" t="s">
        <v>52</v>
      </c>
      <c r="K2738" s="2" t="s">
        <v>3572</v>
      </c>
      <c r="L2738" s="5" t="s">
        <v>69</v>
      </c>
      <c r="M2738" s="5" t="s">
        <v>69</v>
      </c>
      <c r="N2738" s="1" t="s">
        <v>3383</v>
      </c>
      <c r="O2738" s="1" t="s">
        <v>3784</v>
      </c>
      <c r="P2738" s="1" t="s">
        <v>3385</v>
      </c>
      <c r="Q2738" s="1" t="s">
        <v>3385</v>
      </c>
      <c r="R2738" s="1" t="s">
        <v>46</v>
      </c>
      <c r="S2738" s="1" t="s">
        <v>69</v>
      </c>
      <c r="T2738" s="1" t="s">
        <v>69</v>
      </c>
      <c r="U2738" s="1" t="s">
        <v>46</v>
      </c>
      <c r="V2738" s="1" t="n">
        <v>4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5" t="s">
        <v>3782</v>
      </c>
      <c r="C2739" s="1" t="s">
        <v>3783</v>
      </c>
      <c r="D2739" s="1" t="s">
        <v>14</v>
      </c>
      <c r="E2739" s="1" t="s">
        <v>3379</v>
      </c>
      <c r="F2739" s="1" t="s">
        <v>3380</v>
      </c>
      <c r="G2739" s="1" t="s">
        <v>3379</v>
      </c>
      <c r="H2739" s="2" t="s">
        <v>3574</v>
      </c>
      <c r="I2739" s="1" t="s">
        <v>3575</v>
      </c>
      <c r="J2739" s="1" t="s">
        <v>52</v>
      </c>
      <c r="K2739" s="2" t="s">
        <v>3574</v>
      </c>
      <c r="L2739" s="5" t="s">
        <v>69</v>
      </c>
      <c r="M2739" s="5" t="s">
        <v>69</v>
      </c>
      <c r="N2739" s="1" t="s">
        <v>3383</v>
      </c>
      <c r="O2739" s="1" t="s">
        <v>3784</v>
      </c>
      <c r="P2739" s="1" t="s">
        <v>3385</v>
      </c>
      <c r="Q2739" s="1" t="s">
        <v>3385</v>
      </c>
      <c r="R2739" s="1" t="s">
        <v>46</v>
      </c>
      <c r="S2739" s="1" t="s">
        <v>69</v>
      </c>
      <c r="T2739" s="1" t="s">
        <v>69</v>
      </c>
      <c r="U2739" s="1" t="s">
        <v>46</v>
      </c>
      <c r="V2739" s="1" t="n">
        <v>5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5" t="s">
        <v>3782</v>
      </c>
      <c r="C2740" s="1" t="s">
        <v>3783</v>
      </c>
      <c r="D2740" s="1" t="s">
        <v>14</v>
      </c>
      <c r="E2740" s="1" t="s">
        <v>3379</v>
      </c>
      <c r="F2740" s="1" t="s">
        <v>3380</v>
      </c>
      <c r="G2740" s="1" t="s">
        <v>3379</v>
      </c>
      <c r="H2740" s="2" t="s">
        <v>3576</v>
      </c>
      <c r="I2740" s="1" t="s">
        <v>3577</v>
      </c>
      <c r="J2740" s="1" t="s">
        <v>52</v>
      </c>
      <c r="K2740" s="2" t="s">
        <v>3576</v>
      </c>
      <c r="L2740" s="5" t="s">
        <v>69</v>
      </c>
      <c r="M2740" s="5" t="s">
        <v>69</v>
      </c>
      <c r="N2740" s="1" t="s">
        <v>3383</v>
      </c>
      <c r="O2740" s="1" t="s">
        <v>3784</v>
      </c>
      <c r="P2740" s="1" t="s">
        <v>3385</v>
      </c>
      <c r="Q2740" s="1" t="s">
        <v>3385</v>
      </c>
      <c r="R2740" s="1" t="s">
        <v>46</v>
      </c>
      <c r="S2740" s="1" t="s">
        <v>69</v>
      </c>
      <c r="T2740" s="1" t="s">
        <v>69</v>
      </c>
      <c r="U2740" s="1" t="s">
        <v>46</v>
      </c>
      <c r="V2740" s="1" t="n">
        <v>1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5" t="s">
        <v>3782</v>
      </c>
      <c r="C2741" s="1" t="s">
        <v>3783</v>
      </c>
      <c r="D2741" s="1" t="s">
        <v>14</v>
      </c>
      <c r="E2741" s="1" t="s">
        <v>3379</v>
      </c>
      <c r="F2741" s="1" t="s">
        <v>3380</v>
      </c>
      <c r="G2741" s="1" t="s">
        <v>3379</v>
      </c>
      <c r="H2741" s="2" t="s">
        <v>3579</v>
      </c>
      <c r="I2741" s="1" t="s">
        <v>3580</v>
      </c>
      <c r="J2741" s="1" t="s">
        <v>52</v>
      </c>
      <c r="K2741" s="2" t="s">
        <v>3579</v>
      </c>
      <c r="L2741" s="5" t="s">
        <v>69</v>
      </c>
      <c r="M2741" s="5" t="s">
        <v>69</v>
      </c>
      <c r="N2741" s="1" t="s">
        <v>3383</v>
      </c>
      <c r="O2741" s="1" t="s">
        <v>3784</v>
      </c>
      <c r="P2741" s="1" t="s">
        <v>3385</v>
      </c>
      <c r="Q2741" s="1" t="s">
        <v>3385</v>
      </c>
      <c r="R2741" s="1" t="s">
        <v>46</v>
      </c>
      <c r="S2741" s="1" t="s">
        <v>69</v>
      </c>
      <c r="T2741" s="1" t="s">
        <v>69</v>
      </c>
      <c r="U2741" s="1" t="s">
        <v>46</v>
      </c>
      <c r="V2741" s="1" t="n">
        <v>2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5" t="s">
        <v>3782</v>
      </c>
      <c r="C2742" s="1" t="s">
        <v>3783</v>
      </c>
      <c r="D2742" s="1" t="s">
        <v>14</v>
      </c>
      <c r="E2742" s="1" t="s">
        <v>3379</v>
      </c>
      <c r="F2742" s="1" t="s">
        <v>3380</v>
      </c>
      <c r="G2742" s="1" t="s">
        <v>3379</v>
      </c>
      <c r="H2742" s="2" t="s">
        <v>3581</v>
      </c>
      <c r="I2742" s="1" t="s">
        <v>3582</v>
      </c>
      <c r="J2742" s="1" t="s">
        <v>52</v>
      </c>
      <c r="K2742" s="2" t="s">
        <v>3581</v>
      </c>
      <c r="L2742" s="5" t="s">
        <v>69</v>
      </c>
      <c r="M2742" s="5" t="s">
        <v>69</v>
      </c>
      <c r="N2742" s="1" t="s">
        <v>3383</v>
      </c>
      <c r="O2742" s="1" t="s">
        <v>3784</v>
      </c>
      <c r="P2742" s="1" t="s">
        <v>3385</v>
      </c>
      <c r="Q2742" s="1" t="s">
        <v>3385</v>
      </c>
      <c r="R2742" s="1" t="s">
        <v>46</v>
      </c>
      <c r="S2742" s="1" t="s">
        <v>69</v>
      </c>
      <c r="T2742" s="1" t="s">
        <v>69</v>
      </c>
      <c r="U2742" s="1" t="s">
        <v>46</v>
      </c>
      <c r="V2742" s="1" t="n">
        <v>3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5" t="s">
        <v>3782</v>
      </c>
      <c r="C2743" s="1" t="s">
        <v>3783</v>
      </c>
      <c r="D2743" s="1" t="s">
        <v>14</v>
      </c>
      <c r="E2743" s="1" t="s">
        <v>3379</v>
      </c>
      <c r="F2743" s="1" t="s">
        <v>3380</v>
      </c>
      <c r="G2743" s="1" t="s">
        <v>3379</v>
      </c>
      <c r="H2743" s="2" t="s">
        <v>3583</v>
      </c>
      <c r="I2743" s="1" t="s">
        <v>3584</v>
      </c>
      <c r="J2743" s="1" t="s">
        <v>52</v>
      </c>
      <c r="K2743" s="2" t="s">
        <v>3583</v>
      </c>
      <c r="L2743" s="5" t="s">
        <v>69</v>
      </c>
      <c r="M2743" s="5" t="s">
        <v>69</v>
      </c>
      <c r="N2743" s="1" t="s">
        <v>3383</v>
      </c>
      <c r="O2743" s="1" t="s">
        <v>3784</v>
      </c>
      <c r="P2743" s="1" t="s">
        <v>3385</v>
      </c>
      <c r="Q2743" s="1" t="s">
        <v>3385</v>
      </c>
      <c r="R2743" s="1" t="s">
        <v>46</v>
      </c>
      <c r="S2743" s="1" t="s">
        <v>69</v>
      </c>
      <c r="T2743" s="1" t="s">
        <v>69</v>
      </c>
      <c r="U2743" s="1" t="s">
        <v>46</v>
      </c>
      <c r="V2743" s="1" t="n">
        <v>4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5" t="s">
        <v>3782</v>
      </c>
      <c r="C2744" s="1" t="s">
        <v>3783</v>
      </c>
      <c r="D2744" s="1" t="s">
        <v>14</v>
      </c>
      <c r="E2744" s="1" t="s">
        <v>3379</v>
      </c>
      <c r="F2744" s="1" t="s">
        <v>3380</v>
      </c>
      <c r="G2744" s="1" t="s">
        <v>3379</v>
      </c>
      <c r="H2744" s="2" t="s">
        <v>3585</v>
      </c>
      <c r="I2744" s="1" t="s">
        <v>3586</v>
      </c>
      <c r="J2744" s="1" t="s">
        <v>52</v>
      </c>
      <c r="K2744" s="2" t="s">
        <v>3585</v>
      </c>
      <c r="L2744" s="5" t="s">
        <v>69</v>
      </c>
      <c r="M2744" s="5" t="s">
        <v>69</v>
      </c>
      <c r="N2744" s="1" t="s">
        <v>3383</v>
      </c>
      <c r="O2744" s="1" t="s">
        <v>3784</v>
      </c>
      <c r="P2744" s="1" t="s">
        <v>3385</v>
      </c>
      <c r="Q2744" s="1" t="s">
        <v>3385</v>
      </c>
      <c r="R2744" s="1" t="s">
        <v>46</v>
      </c>
      <c r="S2744" s="1" t="s">
        <v>69</v>
      </c>
      <c r="T2744" s="1" t="s">
        <v>69</v>
      </c>
      <c r="U2744" s="1" t="s">
        <v>46</v>
      </c>
      <c r="V2744" s="1" t="n">
        <v>5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5" t="s">
        <v>3782</v>
      </c>
      <c r="C2745" s="1" t="s">
        <v>3783</v>
      </c>
      <c r="D2745" s="1" t="s">
        <v>14</v>
      </c>
      <c r="E2745" s="1" t="s">
        <v>3379</v>
      </c>
      <c r="F2745" s="1" t="s">
        <v>3380</v>
      </c>
      <c r="G2745" s="1" t="s">
        <v>3379</v>
      </c>
      <c r="H2745" s="2" t="s">
        <v>3587</v>
      </c>
      <c r="I2745" s="1" t="s">
        <v>3588</v>
      </c>
      <c r="J2745" s="1" t="s">
        <v>52</v>
      </c>
      <c r="K2745" s="2" t="s">
        <v>3587</v>
      </c>
      <c r="L2745" s="5" t="s">
        <v>69</v>
      </c>
      <c r="M2745" s="5" t="s">
        <v>69</v>
      </c>
      <c r="N2745" s="1" t="s">
        <v>3383</v>
      </c>
      <c r="O2745" s="1" t="s">
        <v>3784</v>
      </c>
      <c r="P2745" s="1" t="s">
        <v>3385</v>
      </c>
      <c r="Q2745" s="1" t="s">
        <v>3385</v>
      </c>
      <c r="R2745" s="1" t="s">
        <v>46</v>
      </c>
      <c r="S2745" s="1" t="s">
        <v>69</v>
      </c>
      <c r="T2745" s="1" t="s">
        <v>69</v>
      </c>
      <c r="U2745" s="1" t="s">
        <v>46</v>
      </c>
      <c r="V2745" s="1" t="n">
        <v>1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5" t="s">
        <v>3782</v>
      </c>
      <c r="C2746" s="1" t="s">
        <v>3783</v>
      </c>
      <c r="D2746" s="1" t="s">
        <v>14</v>
      </c>
      <c r="E2746" s="1" t="s">
        <v>3379</v>
      </c>
      <c r="F2746" s="1" t="s">
        <v>3380</v>
      </c>
      <c r="G2746" s="1" t="s">
        <v>3379</v>
      </c>
      <c r="H2746" s="2" t="s">
        <v>3590</v>
      </c>
      <c r="I2746" s="1" t="s">
        <v>3591</v>
      </c>
      <c r="J2746" s="1" t="s">
        <v>52</v>
      </c>
      <c r="K2746" s="2" t="s">
        <v>3590</v>
      </c>
      <c r="L2746" s="5" t="s">
        <v>69</v>
      </c>
      <c r="M2746" s="5" t="s">
        <v>69</v>
      </c>
      <c r="N2746" s="1" t="s">
        <v>3383</v>
      </c>
      <c r="O2746" s="1" t="s">
        <v>3784</v>
      </c>
      <c r="P2746" s="1" t="s">
        <v>3385</v>
      </c>
      <c r="Q2746" s="1" t="s">
        <v>3385</v>
      </c>
      <c r="R2746" s="1" t="s">
        <v>46</v>
      </c>
      <c r="S2746" s="1" t="s">
        <v>69</v>
      </c>
      <c r="T2746" s="1" t="s">
        <v>69</v>
      </c>
      <c r="U2746" s="1" t="s">
        <v>46</v>
      </c>
      <c r="V2746" s="1" t="n">
        <v>2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5" t="s">
        <v>3782</v>
      </c>
      <c r="C2747" s="1" t="s">
        <v>3783</v>
      </c>
      <c r="D2747" s="1" t="s">
        <v>14</v>
      </c>
      <c r="E2747" s="1" t="s">
        <v>3379</v>
      </c>
      <c r="F2747" s="1" t="s">
        <v>3380</v>
      </c>
      <c r="G2747" s="1" t="s">
        <v>3379</v>
      </c>
      <c r="H2747" s="2" t="s">
        <v>3592</v>
      </c>
      <c r="I2747" s="1" t="s">
        <v>3593</v>
      </c>
      <c r="J2747" s="1" t="s">
        <v>52</v>
      </c>
      <c r="K2747" s="2" t="s">
        <v>3592</v>
      </c>
      <c r="L2747" s="5" t="s">
        <v>69</v>
      </c>
      <c r="M2747" s="5" t="s">
        <v>69</v>
      </c>
      <c r="N2747" s="1" t="s">
        <v>3383</v>
      </c>
      <c r="O2747" s="1" t="s">
        <v>3784</v>
      </c>
      <c r="P2747" s="1" t="s">
        <v>3385</v>
      </c>
      <c r="Q2747" s="1" t="s">
        <v>3385</v>
      </c>
      <c r="R2747" s="1" t="s">
        <v>46</v>
      </c>
      <c r="S2747" s="1" t="s">
        <v>69</v>
      </c>
      <c r="T2747" s="1" t="s">
        <v>69</v>
      </c>
      <c r="U2747" s="1" t="s">
        <v>46</v>
      </c>
      <c r="V2747" s="1" t="n">
        <v>3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5" t="s">
        <v>3782</v>
      </c>
      <c r="C2748" s="1" t="s">
        <v>3783</v>
      </c>
      <c r="D2748" s="1" t="s">
        <v>14</v>
      </c>
      <c r="E2748" s="1" t="s">
        <v>3379</v>
      </c>
      <c r="F2748" s="1" t="s">
        <v>3380</v>
      </c>
      <c r="G2748" s="1" t="s">
        <v>3379</v>
      </c>
      <c r="H2748" s="2" t="s">
        <v>3594</v>
      </c>
      <c r="I2748" s="1" t="s">
        <v>3595</v>
      </c>
      <c r="J2748" s="1" t="s">
        <v>52</v>
      </c>
      <c r="K2748" s="2" t="s">
        <v>3594</v>
      </c>
      <c r="L2748" s="5" t="s">
        <v>69</v>
      </c>
      <c r="M2748" s="5" t="s">
        <v>69</v>
      </c>
      <c r="N2748" s="1" t="s">
        <v>3383</v>
      </c>
      <c r="O2748" s="1" t="s">
        <v>3784</v>
      </c>
      <c r="P2748" s="1" t="s">
        <v>3385</v>
      </c>
      <c r="Q2748" s="1" t="s">
        <v>3385</v>
      </c>
      <c r="R2748" s="1" t="s">
        <v>46</v>
      </c>
      <c r="S2748" s="1" t="s">
        <v>69</v>
      </c>
      <c r="T2748" s="1" t="s">
        <v>69</v>
      </c>
      <c r="U2748" s="1" t="s">
        <v>46</v>
      </c>
      <c r="V2748" s="1" t="n">
        <v>4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5" t="s">
        <v>3782</v>
      </c>
      <c r="C2749" s="1" t="s">
        <v>3783</v>
      </c>
      <c r="D2749" s="1" t="s">
        <v>14</v>
      </c>
      <c r="E2749" s="1" t="s">
        <v>3379</v>
      </c>
      <c r="F2749" s="1" t="s">
        <v>3380</v>
      </c>
      <c r="G2749" s="1" t="s">
        <v>3379</v>
      </c>
      <c r="H2749" s="2" t="s">
        <v>3596</v>
      </c>
      <c r="I2749" s="1" t="s">
        <v>3597</v>
      </c>
      <c r="J2749" s="1" t="s">
        <v>52</v>
      </c>
      <c r="K2749" s="2" t="s">
        <v>3596</v>
      </c>
      <c r="L2749" s="5" t="s">
        <v>69</v>
      </c>
      <c r="M2749" s="5" t="s">
        <v>69</v>
      </c>
      <c r="N2749" s="1" t="s">
        <v>3383</v>
      </c>
      <c r="O2749" s="1" t="s">
        <v>3784</v>
      </c>
      <c r="P2749" s="1" t="s">
        <v>3385</v>
      </c>
      <c r="Q2749" s="1" t="s">
        <v>3385</v>
      </c>
      <c r="R2749" s="1" t="s">
        <v>46</v>
      </c>
      <c r="S2749" s="1" t="s">
        <v>69</v>
      </c>
      <c r="T2749" s="1" t="s">
        <v>69</v>
      </c>
      <c r="U2749" s="1" t="s">
        <v>46</v>
      </c>
      <c r="V2749" s="1" t="n">
        <v>5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5" t="s">
        <v>3782</v>
      </c>
      <c r="C2750" s="1" t="s">
        <v>3783</v>
      </c>
      <c r="D2750" s="1" t="s">
        <v>14</v>
      </c>
      <c r="E2750" s="1" t="s">
        <v>3379</v>
      </c>
      <c r="F2750" s="1" t="s">
        <v>3380</v>
      </c>
      <c r="G2750" s="1" t="s">
        <v>3379</v>
      </c>
      <c r="H2750" s="2" t="s">
        <v>3598</v>
      </c>
      <c r="I2750" s="1" t="s">
        <v>3599</v>
      </c>
      <c r="J2750" s="1" t="s">
        <v>52</v>
      </c>
      <c r="K2750" s="2" t="s">
        <v>3598</v>
      </c>
      <c r="L2750" s="5" t="s">
        <v>69</v>
      </c>
      <c r="M2750" s="5" t="s">
        <v>69</v>
      </c>
      <c r="N2750" s="1" t="s">
        <v>3383</v>
      </c>
      <c r="O2750" s="1" t="s">
        <v>3784</v>
      </c>
      <c r="P2750" s="1" t="s">
        <v>3385</v>
      </c>
      <c r="Q2750" s="1" t="s">
        <v>3385</v>
      </c>
      <c r="R2750" s="1" t="s">
        <v>46</v>
      </c>
      <c r="S2750" s="1" t="s">
        <v>69</v>
      </c>
      <c r="T2750" s="1" t="s">
        <v>69</v>
      </c>
      <c r="U2750" s="1" t="s">
        <v>46</v>
      </c>
      <c r="V2750" s="1" t="n">
        <v>1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5" t="s">
        <v>3782</v>
      </c>
      <c r="C2751" s="1" t="s">
        <v>3783</v>
      </c>
      <c r="D2751" s="1" t="s">
        <v>14</v>
      </c>
      <c r="E2751" s="1" t="s">
        <v>3379</v>
      </c>
      <c r="F2751" s="1" t="s">
        <v>3380</v>
      </c>
      <c r="G2751" s="1" t="s">
        <v>3379</v>
      </c>
      <c r="H2751" s="2" t="s">
        <v>3601</v>
      </c>
      <c r="I2751" s="1" t="s">
        <v>3602</v>
      </c>
      <c r="J2751" s="1" t="s">
        <v>52</v>
      </c>
      <c r="K2751" s="2" t="s">
        <v>3601</v>
      </c>
      <c r="L2751" s="5" t="s">
        <v>69</v>
      </c>
      <c r="M2751" s="5" t="s">
        <v>69</v>
      </c>
      <c r="N2751" s="1" t="s">
        <v>3383</v>
      </c>
      <c r="O2751" s="1" t="s">
        <v>3784</v>
      </c>
      <c r="P2751" s="1" t="s">
        <v>3385</v>
      </c>
      <c r="Q2751" s="1" t="s">
        <v>3385</v>
      </c>
      <c r="R2751" s="1" t="s">
        <v>46</v>
      </c>
      <c r="S2751" s="1" t="s">
        <v>69</v>
      </c>
      <c r="T2751" s="1" t="s">
        <v>69</v>
      </c>
      <c r="U2751" s="1" t="s">
        <v>46</v>
      </c>
      <c r="V2751" s="1" t="n">
        <v>2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5" t="s">
        <v>3782</v>
      </c>
      <c r="C2752" s="1" t="s">
        <v>3783</v>
      </c>
      <c r="D2752" s="1" t="s">
        <v>14</v>
      </c>
      <c r="E2752" s="1" t="s">
        <v>3379</v>
      </c>
      <c r="F2752" s="1" t="s">
        <v>3380</v>
      </c>
      <c r="G2752" s="1" t="s">
        <v>3379</v>
      </c>
      <c r="H2752" s="2" t="s">
        <v>3603</v>
      </c>
      <c r="I2752" s="1" t="s">
        <v>3604</v>
      </c>
      <c r="J2752" s="1" t="s">
        <v>52</v>
      </c>
      <c r="K2752" s="2" t="s">
        <v>3603</v>
      </c>
      <c r="L2752" s="5" t="s">
        <v>69</v>
      </c>
      <c r="M2752" s="5" t="s">
        <v>69</v>
      </c>
      <c r="N2752" s="1" t="s">
        <v>3383</v>
      </c>
      <c r="O2752" s="1" t="s">
        <v>3784</v>
      </c>
      <c r="P2752" s="1" t="s">
        <v>3385</v>
      </c>
      <c r="Q2752" s="1" t="s">
        <v>3385</v>
      </c>
      <c r="R2752" s="1" t="s">
        <v>46</v>
      </c>
      <c r="S2752" s="1" t="s">
        <v>69</v>
      </c>
      <c r="T2752" s="1" t="s">
        <v>69</v>
      </c>
      <c r="U2752" s="1" t="s">
        <v>46</v>
      </c>
      <c r="V2752" s="1" t="n">
        <v>3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5" t="s">
        <v>3782</v>
      </c>
      <c r="C2753" s="1" t="s">
        <v>3783</v>
      </c>
      <c r="D2753" s="1" t="s">
        <v>14</v>
      </c>
      <c r="E2753" s="1" t="s">
        <v>3379</v>
      </c>
      <c r="F2753" s="1" t="s">
        <v>3380</v>
      </c>
      <c r="G2753" s="1" t="s">
        <v>3379</v>
      </c>
      <c r="H2753" s="2" t="s">
        <v>3605</v>
      </c>
      <c r="I2753" s="1" t="s">
        <v>3606</v>
      </c>
      <c r="J2753" s="1" t="s">
        <v>52</v>
      </c>
      <c r="K2753" s="2" t="s">
        <v>3605</v>
      </c>
      <c r="L2753" s="5" t="s">
        <v>69</v>
      </c>
      <c r="M2753" s="5" t="s">
        <v>69</v>
      </c>
      <c r="N2753" s="1" t="s">
        <v>3383</v>
      </c>
      <c r="O2753" s="1" t="s">
        <v>3784</v>
      </c>
      <c r="P2753" s="1" t="s">
        <v>3385</v>
      </c>
      <c r="Q2753" s="1" t="s">
        <v>3385</v>
      </c>
      <c r="R2753" s="1" t="s">
        <v>46</v>
      </c>
      <c r="S2753" s="1" t="s">
        <v>69</v>
      </c>
      <c r="T2753" s="1" t="s">
        <v>69</v>
      </c>
      <c r="U2753" s="1" t="s">
        <v>46</v>
      </c>
      <c r="V2753" s="1" t="n">
        <v>4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5" t="s">
        <v>3782</v>
      </c>
      <c r="C2754" s="1" t="s">
        <v>3783</v>
      </c>
      <c r="D2754" s="1" t="s">
        <v>14</v>
      </c>
      <c r="E2754" s="1" t="s">
        <v>3379</v>
      </c>
      <c r="F2754" s="1" t="s">
        <v>3380</v>
      </c>
      <c r="G2754" s="1" t="s">
        <v>3379</v>
      </c>
      <c r="H2754" s="2" t="s">
        <v>3607</v>
      </c>
      <c r="I2754" s="1" t="s">
        <v>3608</v>
      </c>
      <c r="J2754" s="1" t="s">
        <v>52</v>
      </c>
      <c r="K2754" s="2" t="s">
        <v>3607</v>
      </c>
      <c r="L2754" s="5" t="s">
        <v>69</v>
      </c>
      <c r="M2754" s="5" t="s">
        <v>69</v>
      </c>
      <c r="N2754" s="1" t="s">
        <v>3383</v>
      </c>
      <c r="O2754" s="1" t="s">
        <v>3784</v>
      </c>
      <c r="P2754" s="1" t="s">
        <v>3385</v>
      </c>
      <c r="Q2754" s="1" t="s">
        <v>3385</v>
      </c>
      <c r="R2754" s="1" t="s">
        <v>46</v>
      </c>
      <c r="S2754" s="1" t="s">
        <v>69</v>
      </c>
      <c r="T2754" s="1" t="s">
        <v>69</v>
      </c>
      <c r="U2754" s="1" t="s">
        <v>46</v>
      </c>
      <c r="V2754" s="1" t="n">
        <v>5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5" t="s">
        <v>3782</v>
      </c>
      <c r="C2755" s="1" t="s">
        <v>3783</v>
      </c>
      <c r="D2755" s="1" t="s">
        <v>14</v>
      </c>
      <c r="E2755" s="1" t="s">
        <v>3379</v>
      </c>
      <c r="F2755" s="1" t="s">
        <v>3380</v>
      </c>
      <c r="G2755" s="1" t="s">
        <v>3379</v>
      </c>
      <c r="H2755" s="2" t="s">
        <v>3611</v>
      </c>
      <c r="I2755" s="1" t="s">
        <v>3612</v>
      </c>
      <c r="J2755" s="1" t="s">
        <v>52</v>
      </c>
      <c r="K2755" s="2" t="s">
        <v>3611</v>
      </c>
      <c r="L2755" s="36" t="s">
        <v>69</v>
      </c>
      <c r="M2755" s="1" t="s">
        <v>69</v>
      </c>
      <c r="N2755" s="1" t="s">
        <v>3383</v>
      </c>
      <c r="O2755" s="1" t="s">
        <v>3785</v>
      </c>
      <c r="P2755" s="1" t="s">
        <v>3385</v>
      </c>
      <c r="Q2755" s="1" t="s">
        <v>3385</v>
      </c>
      <c r="R2755" s="1" t="s">
        <v>46</v>
      </c>
      <c r="S2755" s="1" t="s">
        <v>69</v>
      </c>
      <c r="T2755" s="1" t="s">
        <v>69</v>
      </c>
      <c r="U2755" s="1" t="s">
        <v>46</v>
      </c>
      <c r="V2755" s="1" t="n">
        <v>1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5" t="s">
        <v>3782</v>
      </c>
      <c r="C2756" s="1" t="s">
        <v>3783</v>
      </c>
      <c r="D2756" s="1" t="s">
        <v>14</v>
      </c>
      <c r="E2756" s="1" t="s">
        <v>3379</v>
      </c>
      <c r="F2756" s="1" t="s">
        <v>3380</v>
      </c>
      <c r="G2756" s="1" t="s">
        <v>3379</v>
      </c>
      <c r="H2756" s="2" t="s">
        <v>3614</v>
      </c>
      <c r="I2756" s="1" t="s">
        <v>3615</v>
      </c>
      <c r="J2756" s="1" t="s">
        <v>52</v>
      </c>
      <c r="K2756" s="2" t="s">
        <v>3614</v>
      </c>
      <c r="L2756" s="36" t="s">
        <v>69</v>
      </c>
      <c r="M2756" s="1" t="s">
        <v>69</v>
      </c>
      <c r="N2756" s="1" t="s">
        <v>3383</v>
      </c>
      <c r="O2756" s="1" t="s">
        <v>3785</v>
      </c>
      <c r="P2756" s="1" t="s">
        <v>3385</v>
      </c>
      <c r="Q2756" s="1" t="s">
        <v>3385</v>
      </c>
      <c r="R2756" s="1" t="s">
        <v>46</v>
      </c>
      <c r="S2756" s="1" t="s">
        <v>69</v>
      </c>
      <c r="T2756" s="1" t="s">
        <v>69</v>
      </c>
      <c r="U2756" s="1" t="s">
        <v>46</v>
      </c>
      <c r="V2756" s="1" t="n">
        <v>2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5" t="s">
        <v>3782</v>
      </c>
      <c r="C2757" s="1" t="s">
        <v>3783</v>
      </c>
      <c r="D2757" s="1" t="s">
        <v>14</v>
      </c>
      <c r="E2757" s="1" t="s">
        <v>3379</v>
      </c>
      <c r="F2757" s="1" t="s">
        <v>3380</v>
      </c>
      <c r="G2757" s="1" t="s">
        <v>3379</v>
      </c>
      <c r="H2757" s="2" t="s">
        <v>3616</v>
      </c>
      <c r="I2757" s="1" t="s">
        <v>3617</v>
      </c>
      <c r="J2757" s="1" t="s">
        <v>52</v>
      </c>
      <c r="K2757" s="2" t="s">
        <v>3616</v>
      </c>
      <c r="L2757" s="36" t="s">
        <v>69</v>
      </c>
      <c r="M2757" s="1" t="s">
        <v>69</v>
      </c>
      <c r="N2757" s="1" t="s">
        <v>3383</v>
      </c>
      <c r="O2757" s="1" t="s">
        <v>3785</v>
      </c>
      <c r="P2757" s="1" t="s">
        <v>3385</v>
      </c>
      <c r="Q2757" s="1" t="s">
        <v>3385</v>
      </c>
      <c r="R2757" s="1" t="s">
        <v>46</v>
      </c>
      <c r="S2757" s="1" t="s">
        <v>69</v>
      </c>
      <c r="T2757" s="1" t="s">
        <v>69</v>
      </c>
      <c r="U2757" s="1" t="s">
        <v>46</v>
      </c>
      <c r="V2757" s="1" t="n">
        <v>3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5" t="s">
        <v>3782</v>
      </c>
      <c r="C2758" s="1" t="s">
        <v>3783</v>
      </c>
      <c r="D2758" s="1" t="s">
        <v>14</v>
      </c>
      <c r="E2758" s="1" t="s">
        <v>3379</v>
      </c>
      <c r="F2758" s="1" t="s">
        <v>3380</v>
      </c>
      <c r="G2758" s="1" t="s">
        <v>3379</v>
      </c>
      <c r="H2758" s="2" t="s">
        <v>3618</v>
      </c>
      <c r="I2758" s="1" t="s">
        <v>3619</v>
      </c>
      <c r="J2758" s="1" t="s">
        <v>52</v>
      </c>
      <c r="K2758" s="2" t="s">
        <v>3618</v>
      </c>
      <c r="L2758" s="36" t="s">
        <v>69</v>
      </c>
      <c r="M2758" s="1" t="s">
        <v>69</v>
      </c>
      <c r="N2758" s="1" t="s">
        <v>3383</v>
      </c>
      <c r="O2758" s="1" t="s">
        <v>3785</v>
      </c>
      <c r="P2758" s="1" t="s">
        <v>3385</v>
      </c>
      <c r="Q2758" s="1" t="s">
        <v>3385</v>
      </c>
      <c r="R2758" s="1" t="s">
        <v>46</v>
      </c>
      <c r="S2758" s="1" t="s">
        <v>69</v>
      </c>
      <c r="T2758" s="1" t="s">
        <v>69</v>
      </c>
      <c r="U2758" s="1" t="s">
        <v>46</v>
      </c>
      <c r="V2758" s="1" t="n">
        <v>4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5" t="s">
        <v>3782</v>
      </c>
      <c r="C2759" s="1" t="s">
        <v>3783</v>
      </c>
      <c r="D2759" s="1" t="s">
        <v>14</v>
      </c>
      <c r="E2759" s="1" t="s">
        <v>3379</v>
      </c>
      <c r="F2759" s="1" t="s">
        <v>3380</v>
      </c>
      <c r="G2759" s="1" t="s">
        <v>3379</v>
      </c>
      <c r="H2759" s="2" t="s">
        <v>3620</v>
      </c>
      <c r="I2759" s="1" t="s">
        <v>3621</v>
      </c>
      <c r="J2759" s="1" t="s">
        <v>52</v>
      </c>
      <c r="K2759" s="2" t="s">
        <v>3620</v>
      </c>
      <c r="L2759" s="36" t="s">
        <v>69</v>
      </c>
      <c r="M2759" s="1" t="s">
        <v>69</v>
      </c>
      <c r="N2759" s="1" t="s">
        <v>3383</v>
      </c>
      <c r="O2759" s="1" t="s">
        <v>3785</v>
      </c>
      <c r="P2759" s="1" t="s">
        <v>3385</v>
      </c>
      <c r="Q2759" s="1" t="s">
        <v>3385</v>
      </c>
      <c r="R2759" s="1" t="s">
        <v>46</v>
      </c>
      <c r="S2759" s="1" t="s">
        <v>69</v>
      </c>
      <c r="T2759" s="1" t="s">
        <v>69</v>
      </c>
      <c r="U2759" s="1" t="s">
        <v>46</v>
      </c>
      <c r="V2759" s="1" t="n">
        <v>5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5" t="s">
        <v>3782</v>
      </c>
      <c r="C2760" s="1" t="s">
        <v>3783</v>
      </c>
      <c r="D2760" s="1" t="s">
        <v>14</v>
      </c>
      <c r="E2760" s="1" t="s">
        <v>3379</v>
      </c>
      <c r="F2760" s="1" t="s">
        <v>3380</v>
      </c>
      <c r="G2760" s="1" t="s">
        <v>3379</v>
      </c>
      <c r="H2760" s="2" t="s">
        <v>3622</v>
      </c>
      <c r="I2760" s="1" t="s">
        <v>3623</v>
      </c>
      <c r="J2760" s="1" t="s">
        <v>52</v>
      </c>
      <c r="K2760" s="2" t="s">
        <v>3622</v>
      </c>
      <c r="L2760" s="36" t="s">
        <v>69</v>
      </c>
      <c r="M2760" s="1" t="s">
        <v>69</v>
      </c>
      <c r="N2760" s="1" t="s">
        <v>3383</v>
      </c>
      <c r="O2760" s="1" t="s">
        <v>3785</v>
      </c>
      <c r="P2760" s="1" t="s">
        <v>3385</v>
      </c>
      <c r="Q2760" s="1" t="s">
        <v>3385</v>
      </c>
      <c r="R2760" s="1" t="s">
        <v>46</v>
      </c>
      <c r="S2760" s="1" t="s">
        <v>69</v>
      </c>
      <c r="T2760" s="1" t="s">
        <v>69</v>
      </c>
      <c r="U2760" s="1" t="s">
        <v>46</v>
      </c>
      <c r="V2760" s="1" t="n">
        <v>1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5" t="s">
        <v>3782</v>
      </c>
      <c r="C2761" s="1" t="s">
        <v>3783</v>
      </c>
      <c r="D2761" s="1" t="s">
        <v>14</v>
      </c>
      <c r="E2761" s="1" t="s">
        <v>3379</v>
      </c>
      <c r="F2761" s="1" t="s">
        <v>3380</v>
      </c>
      <c r="G2761" s="1" t="s">
        <v>3379</v>
      </c>
      <c r="H2761" s="2" t="s">
        <v>3625</v>
      </c>
      <c r="I2761" s="1" t="s">
        <v>3626</v>
      </c>
      <c r="J2761" s="1" t="s">
        <v>52</v>
      </c>
      <c r="K2761" s="2" t="s">
        <v>3625</v>
      </c>
      <c r="L2761" s="36" t="s">
        <v>69</v>
      </c>
      <c r="M2761" s="1" t="s">
        <v>69</v>
      </c>
      <c r="N2761" s="1" t="s">
        <v>3383</v>
      </c>
      <c r="O2761" s="1" t="s">
        <v>3785</v>
      </c>
      <c r="P2761" s="1" t="s">
        <v>3385</v>
      </c>
      <c r="Q2761" s="1" t="s">
        <v>3385</v>
      </c>
      <c r="R2761" s="1" t="s">
        <v>46</v>
      </c>
      <c r="S2761" s="1" t="s">
        <v>69</v>
      </c>
      <c r="T2761" s="1" t="s">
        <v>69</v>
      </c>
      <c r="U2761" s="1" t="s">
        <v>46</v>
      </c>
      <c r="V2761" s="1" t="n">
        <v>2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5" t="s">
        <v>3782</v>
      </c>
      <c r="C2762" s="1" t="s">
        <v>3783</v>
      </c>
      <c r="D2762" s="1" t="s">
        <v>14</v>
      </c>
      <c r="E2762" s="1" t="s">
        <v>3379</v>
      </c>
      <c r="F2762" s="1" t="s">
        <v>3380</v>
      </c>
      <c r="G2762" s="1" t="s">
        <v>3379</v>
      </c>
      <c r="H2762" s="2" t="s">
        <v>3627</v>
      </c>
      <c r="I2762" s="1" t="s">
        <v>3628</v>
      </c>
      <c r="J2762" s="1" t="s">
        <v>52</v>
      </c>
      <c r="K2762" s="2" t="s">
        <v>3627</v>
      </c>
      <c r="L2762" s="36" t="s">
        <v>69</v>
      </c>
      <c r="M2762" s="1" t="s">
        <v>69</v>
      </c>
      <c r="N2762" s="1" t="s">
        <v>3383</v>
      </c>
      <c r="O2762" s="1" t="s">
        <v>3785</v>
      </c>
      <c r="P2762" s="1" t="s">
        <v>3385</v>
      </c>
      <c r="Q2762" s="1" t="s">
        <v>3385</v>
      </c>
      <c r="R2762" s="1" t="s">
        <v>46</v>
      </c>
      <c r="S2762" s="1" t="s">
        <v>69</v>
      </c>
      <c r="T2762" s="1" t="s">
        <v>69</v>
      </c>
      <c r="U2762" s="1" t="s">
        <v>46</v>
      </c>
      <c r="V2762" s="1" t="n">
        <v>3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5" t="s">
        <v>3782</v>
      </c>
      <c r="C2763" s="1" t="s">
        <v>3783</v>
      </c>
      <c r="D2763" s="1" t="s">
        <v>14</v>
      </c>
      <c r="E2763" s="1" t="s">
        <v>3379</v>
      </c>
      <c r="F2763" s="1" t="s">
        <v>3380</v>
      </c>
      <c r="G2763" s="1" t="s">
        <v>3379</v>
      </c>
      <c r="H2763" s="2" t="s">
        <v>3629</v>
      </c>
      <c r="I2763" s="1" t="s">
        <v>3630</v>
      </c>
      <c r="J2763" s="1" t="s">
        <v>52</v>
      </c>
      <c r="K2763" s="2" t="s">
        <v>3629</v>
      </c>
      <c r="L2763" s="36" t="s">
        <v>69</v>
      </c>
      <c r="M2763" s="1" t="s">
        <v>69</v>
      </c>
      <c r="N2763" s="1" t="s">
        <v>3383</v>
      </c>
      <c r="O2763" s="1" t="s">
        <v>3785</v>
      </c>
      <c r="P2763" s="1" t="s">
        <v>3385</v>
      </c>
      <c r="Q2763" s="1" t="s">
        <v>3385</v>
      </c>
      <c r="R2763" s="1" t="s">
        <v>46</v>
      </c>
      <c r="S2763" s="1" t="s">
        <v>69</v>
      </c>
      <c r="T2763" s="1" t="s">
        <v>69</v>
      </c>
      <c r="U2763" s="1" t="s">
        <v>46</v>
      </c>
      <c r="V2763" s="1" t="n">
        <v>4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5" t="s">
        <v>3782</v>
      </c>
      <c r="C2764" s="1" t="s">
        <v>3783</v>
      </c>
      <c r="D2764" s="1" t="s">
        <v>14</v>
      </c>
      <c r="E2764" s="1" t="s">
        <v>3379</v>
      </c>
      <c r="F2764" s="1" t="s">
        <v>3380</v>
      </c>
      <c r="G2764" s="1" t="s">
        <v>3379</v>
      </c>
      <c r="H2764" s="2" t="s">
        <v>3631</v>
      </c>
      <c r="I2764" s="1" t="s">
        <v>3632</v>
      </c>
      <c r="J2764" s="1" t="s">
        <v>52</v>
      </c>
      <c r="K2764" s="2" t="s">
        <v>3631</v>
      </c>
      <c r="L2764" s="36" t="s">
        <v>69</v>
      </c>
      <c r="M2764" s="1" t="s">
        <v>69</v>
      </c>
      <c r="N2764" s="1" t="s">
        <v>3383</v>
      </c>
      <c r="O2764" s="1" t="s">
        <v>3785</v>
      </c>
      <c r="P2764" s="1" t="s">
        <v>3385</v>
      </c>
      <c r="Q2764" s="1" t="s">
        <v>3385</v>
      </c>
      <c r="R2764" s="1" t="s">
        <v>46</v>
      </c>
      <c r="S2764" s="1" t="s">
        <v>69</v>
      </c>
      <c r="T2764" s="1" t="s">
        <v>69</v>
      </c>
      <c r="U2764" s="1" t="s">
        <v>46</v>
      </c>
      <c r="V2764" s="1" t="n">
        <v>5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5" t="s">
        <v>3782</v>
      </c>
      <c r="C2765" s="1" t="s">
        <v>3783</v>
      </c>
      <c r="D2765" s="1" t="s">
        <v>14</v>
      </c>
      <c r="E2765" s="1" t="s">
        <v>3379</v>
      </c>
      <c r="F2765" s="1" t="s">
        <v>3380</v>
      </c>
      <c r="G2765" s="1" t="s">
        <v>3379</v>
      </c>
      <c r="H2765" s="2" t="s">
        <v>3633</v>
      </c>
      <c r="I2765" s="1" t="s">
        <v>3634</v>
      </c>
      <c r="J2765" s="1" t="s">
        <v>52</v>
      </c>
      <c r="K2765" s="1" t="s">
        <v>3633</v>
      </c>
      <c r="L2765" s="36" t="s">
        <v>69</v>
      </c>
      <c r="M2765" s="1" t="s">
        <v>69</v>
      </c>
      <c r="N2765" s="1" t="s">
        <v>3383</v>
      </c>
      <c r="O2765" s="1" t="s">
        <v>3785</v>
      </c>
      <c r="P2765" s="1" t="s">
        <v>3385</v>
      </c>
      <c r="Q2765" s="1" t="s">
        <v>3385</v>
      </c>
      <c r="R2765" s="1" t="s">
        <v>46</v>
      </c>
      <c r="S2765" s="1" t="s">
        <v>69</v>
      </c>
      <c r="T2765" s="1" t="s">
        <v>69</v>
      </c>
      <c r="U2765" s="1" t="s">
        <v>46</v>
      </c>
      <c r="V2765" s="1" t="n">
        <v>1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5" t="s">
        <v>3782</v>
      </c>
      <c r="C2766" s="1" t="s">
        <v>3783</v>
      </c>
      <c r="D2766" s="1" t="s">
        <v>14</v>
      </c>
      <c r="E2766" s="1" t="s">
        <v>3379</v>
      </c>
      <c r="F2766" s="1" t="s">
        <v>3380</v>
      </c>
      <c r="G2766" s="1" t="s">
        <v>3379</v>
      </c>
      <c r="H2766" s="2" t="s">
        <v>3636</v>
      </c>
      <c r="I2766" s="1" t="s">
        <v>3637</v>
      </c>
      <c r="J2766" s="1" t="s">
        <v>52</v>
      </c>
      <c r="K2766" s="1" t="s">
        <v>3636</v>
      </c>
      <c r="L2766" s="36" t="s">
        <v>69</v>
      </c>
      <c r="M2766" s="1" t="s">
        <v>69</v>
      </c>
      <c r="N2766" s="1" t="s">
        <v>3383</v>
      </c>
      <c r="O2766" s="1" t="s">
        <v>3785</v>
      </c>
      <c r="P2766" s="1" t="s">
        <v>3385</v>
      </c>
      <c r="Q2766" s="1" t="s">
        <v>3385</v>
      </c>
      <c r="R2766" s="1" t="s">
        <v>46</v>
      </c>
      <c r="S2766" s="1" t="s">
        <v>69</v>
      </c>
      <c r="T2766" s="1" t="s">
        <v>69</v>
      </c>
      <c r="U2766" s="1" t="s">
        <v>46</v>
      </c>
      <c r="V2766" s="1" t="n">
        <v>2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5" t="s">
        <v>3782</v>
      </c>
      <c r="C2767" s="1" t="s">
        <v>3783</v>
      </c>
      <c r="D2767" s="1" t="s">
        <v>14</v>
      </c>
      <c r="E2767" s="1" t="s">
        <v>3379</v>
      </c>
      <c r="F2767" s="1" t="s">
        <v>3380</v>
      </c>
      <c r="G2767" s="1" t="s">
        <v>3379</v>
      </c>
      <c r="H2767" s="2" t="s">
        <v>3638</v>
      </c>
      <c r="I2767" s="1" t="s">
        <v>3639</v>
      </c>
      <c r="J2767" s="1" t="s">
        <v>52</v>
      </c>
      <c r="K2767" s="1" t="s">
        <v>3638</v>
      </c>
      <c r="L2767" s="36" t="s">
        <v>69</v>
      </c>
      <c r="M2767" s="1" t="s">
        <v>69</v>
      </c>
      <c r="N2767" s="1" t="s">
        <v>3383</v>
      </c>
      <c r="O2767" s="1" t="s">
        <v>3785</v>
      </c>
      <c r="P2767" s="1" t="s">
        <v>3385</v>
      </c>
      <c r="Q2767" s="1" t="s">
        <v>3385</v>
      </c>
      <c r="R2767" s="1" t="s">
        <v>46</v>
      </c>
      <c r="S2767" s="1" t="s">
        <v>69</v>
      </c>
      <c r="T2767" s="1" t="s">
        <v>69</v>
      </c>
      <c r="U2767" s="1" t="s">
        <v>46</v>
      </c>
      <c r="V2767" s="1" t="n">
        <v>3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5" t="s">
        <v>3782</v>
      </c>
      <c r="C2768" s="1" t="s">
        <v>3783</v>
      </c>
      <c r="D2768" s="1" t="s">
        <v>14</v>
      </c>
      <c r="E2768" s="1" t="s">
        <v>3379</v>
      </c>
      <c r="F2768" s="1" t="s">
        <v>3380</v>
      </c>
      <c r="G2768" s="1" t="s">
        <v>3379</v>
      </c>
      <c r="H2768" s="2" t="s">
        <v>3640</v>
      </c>
      <c r="I2768" s="1" t="s">
        <v>3641</v>
      </c>
      <c r="J2768" s="1" t="s">
        <v>52</v>
      </c>
      <c r="K2768" s="1" t="s">
        <v>3640</v>
      </c>
      <c r="L2768" s="36" t="s">
        <v>69</v>
      </c>
      <c r="M2768" s="1" t="s">
        <v>69</v>
      </c>
      <c r="N2768" s="1" t="s">
        <v>3383</v>
      </c>
      <c r="O2768" s="1" t="s">
        <v>3785</v>
      </c>
      <c r="P2768" s="1" t="s">
        <v>3385</v>
      </c>
      <c r="Q2768" s="1" t="s">
        <v>3385</v>
      </c>
      <c r="R2768" s="1" t="s">
        <v>46</v>
      </c>
      <c r="S2768" s="1" t="s">
        <v>69</v>
      </c>
      <c r="T2768" s="1" t="s">
        <v>69</v>
      </c>
      <c r="U2768" s="1" t="s">
        <v>46</v>
      </c>
      <c r="V2768" s="1" t="n">
        <v>4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5" t="s">
        <v>3782</v>
      </c>
      <c r="C2769" s="1" t="s">
        <v>3783</v>
      </c>
      <c r="D2769" s="1" t="s">
        <v>14</v>
      </c>
      <c r="E2769" s="1" t="s">
        <v>3379</v>
      </c>
      <c r="F2769" s="1" t="s">
        <v>3380</v>
      </c>
      <c r="G2769" s="1" t="s">
        <v>3379</v>
      </c>
      <c r="H2769" s="2" t="s">
        <v>3642</v>
      </c>
      <c r="I2769" s="1" t="s">
        <v>3643</v>
      </c>
      <c r="J2769" s="1" t="s">
        <v>52</v>
      </c>
      <c r="K2769" s="1" t="s">
        <v>3642</v>
      </c>
      <c r="L2769" s="36" t="s">
        <v>69</v>
      </c>
      <c r="M2769" s="1" t="s">
        <v>69</v>
      </c>
      <c r="N2769" s="1" t="s">
        <v>3383</v>
      </c>
      <c r="O2769" s="1" t="s">
        <v>3785</v>
      </c>
      <c r="P2769" s="1" t="s">
        <v>3385</v>
      </c>
      <c r="Q2769" s="1" t="s">
        <v>3385</v>
      </c>
      <c r="R2769" s="1" t="s">
        <v>46</v>
      </c>
      <c r="S2769" s="1" t="s">
        <v>69</v>
      </c>
      <c r="T2769" s="1" t="s">
        <v>69</v>
      </c>
      <c r="U2769" s="1" t="s">
        <v>46</v>
      </c>
      <c r="V2769" s="1" t="n">
        <v>5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5" t="s">
        <v>3782</v>
      </c>
      <c r="C2770" s="1" t="s">
        <v>3783</v>
      </c>
      <c r="D2770" s="1" t="s">
        <v>14</v>
      </c>
      <c r="E2770" s="1" t="s">
        <v>3379</v>
      </c>
      <c r="F2770" s="1" t="s">
        <v>3380</v>
      </c>
      <c r="G2770" s="1" t="s">
        <v>3379</v>
      </c>
      <c r="H2770" s="2" t="s">
        <v>3644</v>
      </c>
      <c r="I2770" s="1" t="s">
        <v>3645</v>
      </c>
      <c r="J2770" s="1" t="s">
        <v>52</v>
      </c>
      <c r="K2770" s="1" t="s">
        <v>3644</v>
      </c>
      <c r="L2770" s="36" t="s">
        <v>69</v>
      </c>
      <c r="M2770" s="1" t="s">
        <v>69</v>
      </c>
      <c r="N2770" s="1" t="s">
        <v>3383</v>
      </c>
      <c r="O2770" s="1" t="s">
        <v>3785</v>
      </c>
      <c r="P2770" s="1" t="s">
        <v>3385</v>
      </c>
      <c r="Q2770" s="1" t="s">
        <v>3385</v>
      </c>
      <c r="R2770" s="1" t="s">
        <v>46</v>
      </c>
      <c r="S2770" s="1" t="s">
        <v>69</v>
      </c>
      <c r="T2770" s="1" t="s">
        <v>69</v>
      </c>
      <c r="U2770" s="1" t="s">
        <v>46</v>
      </c>
      <c r="V2770" s="1" t="n">
        <v>1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5" t="s">
        <v>3782</v>
      </c>
      <c r="C2771" s="1" t="s">
        <v>3783</v>
      </c>
      <c r="D2771" s="1" t="s">
        <v>14</v>
      </c>
      <c r="E2771" s="1" t="s">
        <v>3379</v>
      </c>
      <c r="F2771" s="1" t="s">
        <v>3380</v>
      </c>
      <c r="G2771" s="1" t="s">
        <v>3379</v>
      </c>
      <c r="H2771" s="2" t="s">
        <v>3647</v>
      </c>
      <c r="I2771" s="1" t="s">
        <v>3648</v>
      </c>
      <c r="J2771" s="1" t="s">
        <v>52</v>
      </c>
      <c r="K2771" s="1" t="s">
        <v>3647</v>
      </c>
      <c r="L2771" s="36" t="s">
        <v>69</v>
      </c>
      <c r="M2771" s="1" t="s">
        <v>69</v>
      </c>
      <c r="N2771" s="1" t="s">
        <v>3383</v>
      </c>
      <c r="O2771" s="1" t="s">
        <v>3785</v>
      </c>
      <c r="P2771" s="1" t="s">
        <v>3385</v>
      </c>
      <c r="Q2771" s="1" t="s">
        <v>3385</v>
      </c>
      <c r="R2771" s="1" t="s">
        <v>46</v>
      </c>
      <c r="S2771" s="1" t="s">
        <v>69</v>
      </c>
      <c r="T2771" s="1" t="s">
        <v>69</v>
      </c>
      <c r="U2771" s="1" t="s">
        <v>46</v>
      </c>
      <c r="V2771" s="1" t="n">
        <v>2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5" t="s">
        <v>3782</v>
      </c>
      <c r="C2772" s="1" t="s">
        <v>3783</v>
      </c>
      <c r="D2772" s="1" t="s">
        <v>14</v>
      </c>
      <c r="E2772" s="1" t="s">
        <v>3379</v>
      </c>
      <c r="F2772" s="1" t="s">
        <v>3380</v>
      </c>
      <c r="G2772" s="1" t="s">
        <v>3379</v>
      </c>
      <c r="H2772" s="2" t="s">
        <v>3649</v>
      </c>
      <c r="I2772" s="1" t="s">
        <v>3650</v>
      </c>
      <c r="J2772" s="1" t="s">
        <v>52</v>
      </c>
      <c r="K2772" s="1" t="s">
        <v>3649</v>
      </c>
      <c r="L2772" s="36" t="s">
        <v>69</v>
      </c>
      <c r="M2772" s="1" t="s">
        <v>69</v>
      </c>
      <c r="N2772" s="1" t="s">
        <v>3383</v>
      </c>
      <c r="O2772" s="1" t="s">
        <v>3785</v>
      </c>
      <c r="P2772" s="1" t="s">
        <v>3385</v>
      </c>
      <c r="Q2772" s="1" t="s">
        <v>3385</v>
      </c>
      <c r="R2772" s="1" t="s">
        <v>46</v>
      </c>
      <c r="S2772" s="1" t="s">
        <v>69</v>
      </c>
      <c r="T2772" s="1" t="s">
        <v>69</v>
      </c>
      <c r="U2772" s="1" t="s">
        <v>46</v>
      </c>
      <c r="V2772" s="1" t="n">
        <v>3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5" t="s">
        <v>3782</v>
      </c>
      <c r="C2773" s="1" t="s">
        <v>3783</v>
      </c>
      <c r="D2773" s="1" t="s">
        <v>14</v>
      </c>
      <c r="E2773" s="1" t="s">
        <v>3379</v>
      </c>
      <c r="F2773" s="1" t="s">
        <v>3380</v>
      </c>
      <c r="G2773" s="1" t="s">
        <v>3379</v>
      </c>
      <c r="H2773" s="2" t="s">
        <v>3651</v>
      </c>
      <c r="I2773" s="1" t="s">
        <v>3652</v>
      </c>
      <c r="J2773" s="1" t="s">
        <v>52</v>
      </c>
      <c r="K2773" s="1" t="s">
        <v>3651</v>
      </c>
      <c r="L2773" s="36" t="s">
        <v>69</v>
      </c>
      <c r="M2773" s="1" t="s">
        <v>69</v>
      </c>
      <c r="N2773" s="1" t="s">
        <v>3383</v>
      </c>
      <c r="O2773" s="1" t="s">
        <v>3785</v>
      </c>
      <c r="P2773" s="1" t="s">
        <v>3385</v>
      </c>
      <c r="Q2773" s="1" t="s">
        <v>3385</v>
      </c>
      <c r="R2773" s="1" t="s">
        <v>46</v>
      </c>
      <c r="S2773" s="1" t="s">
        <v>69</v>
      </c>
      <c r="T2773" s="1" t="s">
        <v>69</v>
      </c>
      <c r="U2773" s="1" t="s">
        <v>46</v>
      </c>
      <c r="V2773" s="1" t="n">
        <v>4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5" t="s">
        <v>3782</v>
      </c>
      <c r="C2774" s="1" t="s">
        <v>3783</v>
      </c>
      <c r="D2774" s="1" t="s">
        <v>14</v>
      </c>
      <c r="E2774" s="1" t="s">
        <v>3379</v>
      </c>
      <c r="F2774" s="1" t="s">
        <v>3380</v>
      </c>
      <c r="G2774" s="1" t="s">
        <v>3379</v>
      </c>
      <c r="H2774" s="2" t="s">
        <v>3653</v>
      </c>
      <c r="I2774" s="1" t="s">
        <v>3654</v>
      </c>
      <c r="J2774" s="1" t="s">
        <v>52</v>
      </c>
      <c r="K2774" s="1" t="s">
        <v>3653</v>
      </c>
      <c r="L2774" s="36" t="s">
        <v>69</v>
      </c>
      <c r="M2774" s="1" t="s">
        <v>69</v>
      </c>
      <c r="N2774" s="1" t="s">
        <v>3383</v>
      </c>
      <c r="O2774" s="1" t="s">
        <v>3785</v>
      </c>
      <c r="P2774" s="1" t="s">
        <v>3385</v>
      </c>
      <c r="Q2774" s="1" t="s">
        <v>3385</v>
      </c>
      <c r="R2774" s="1" t="s">
        <v>46</v>
      </c>
      <c r="S2774" s="1" t="s">
        <v>69</v>
      </c>
      <c r="T2774" s="1" t="s">
        <v>69</v>
      </c>
      <c r="U2774" s="1" t="s">
        <v>46</v>
      </c>
      <c r="V2774" s="1" t="n">
        <v>5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5" t="s">
        <v>3782</v>
      </c>
      <c r="C2775" s="1" t="s">
        <v>3783</v>
      </c>
      <c r="D2775" s="1" t="s">
        <v>14</v>
      </c>
      <c r="E2775" s="1" t="s">
        <v>3379</v>
      </c>
      <c r="F2775" s="1" t="s">
        <v>3380</v>
      </c>
      <c r="G2775" s="1" t="s">
        <v>3379</v>
      </c>
      <c r="H2775" s="2" t="s">
        <v>3655</v>
      </c>
      <c r="I2775" s="1" t="s">
        <v>3656</v>
      </c>
      <c r="J2775" s="1" t="s">
        <v>52</v>
      </c>
      <c r="K2775" s="1" t="s">
        <v>3655</v>
      </c>
      <c r="L2775" s="36" t="s">
        <v>69</v>
      </c>
      <c r="M2775" s="1" t="s">
        <v>69</v>
      </c>
      <c r="N2775" s="1" t="s">
        <v>3383</v>
      </c>
      <c r="O2775" s="1" t="s">
        <v>3785</v>
      </c>
      <c r="P2775" s="1" t="s">
        <v>3385</v>
      </c>
      <c r="Q2775" s="1" t="s">
        <v>3385</v>
      </c>
      <c r="R2775" s="1" t="s">
        <v>46</v>
      </c>
      <c r="S2775" s="1" t="s">
        <v>69</v>
      </c>
      <c r="T2775" s="1" t="s">
        <v>69</v>
      </c>
      <c r="U2775" s="1" t="s">
        <v>46</v>
      </c>
      <c r="V2775" s="1" t="n">
        <v>1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5" t="s">
        <v>3782</v>
      </c>
      <c r="C2776" s="1" t="s">
        <v>3783</v>
      </c>
      <c r="D2776" s="1" t="s">
        <v>14</v>
      </c>
      <c r="E2776" s="1" t="s">
        <v>3379</v>
      </c>
      <c r="F2776" s="1" t="s">
        <v>3380</v>
      </c>
      <c r="G2776" s="1" t="s">
        <v>3379</v>
      </c>
      <c r="H2776" s="2" t="s">
        <v>3658</v>
      </c>
      <c r="I2776" s="1" t="s">
        <v>3659</v>
      </c>
      <c r="J2776" s="1" t="s">
        <v>52</v>
      </c>
      <c r="K2776" s="1" t="s">
        <v>3658</v>
      </c>
      <c r="L2776" s="36" t="s">
        <v>69</v>
      </c>
      <c r="M2776" s="1" t="s">
        <v>69</v>
      </c>
      <c r="N2776" s="1" t="s">
        <v>3383</v>
      </c>
      <c r="O2776" s="1" t="s">
        <v>3785</v>
      </c>
      <c r="P2776" s="1" t="s">
        <v>3385</v>
      </c>
      <c r="Q2776" s="1" t="s">
        <v>3385</v>
      </c>
      <c r="R2776" s="1" t="s">
        <v>46</v>
      </c>
      <c r="S2776" s="1" t="s">
        <v>69</v>
      </c>
      <c r="T2776" s="1" t="s">
        <v>69</v>
      </c>
      <c r="U2776" s="1" t="s">
        <v>46</v>
      </c>
      <c r="V2776" s="1" t="n">
        <v>2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5" t="s">
        <v>3782</v>
      </c>
      <c r="C2777" s="1" t="s">
        <v>3783</v>
      </c>
      <c r="D2777" s="1" t="s">
        <v>14</v>
      </c>
      <c r="E2777" s="1" t="s">
        <v>3379</v>
      </c>
      <c r="F2777" s="1" t="s">
        <v>3380</v>
      </c>
      <c r="G2777" s="1" t="s">
        <v>3379</v>
      </c>
      <c r="H2777" s="2" t="s">
        <v>3660</v>
      </c>
      <c r="I2777" s="1" t="s">
        <v>3661</v>
      </c>
      <c r="J2777" s="1" t="s">
        <v>52</v>
      </c>
      <c r="K2777" s="1" t="s">
        <v>3660</v>
      </c>
      <c r="L2777" s="36" t="s">
        <v>69</v>
      </c>
      <c r="M2777" s="1" t="s">
        <v>69</v>
      </c>
      <c r="N2777" s="1" t="s">
        <v>3383</v>
      </c>
      <c r="O2777" s="1" t="s">
        <v>3785</v>
      </c>
      <c r="P2777" s="1" t="s">
        <v>3385</v>
      </c>
      <c r="Q2777" s="1" t="s">
        <v>3385</v>
      </c>
      <c r="R2777" s="1" t="s">
        <v>46</v>
      </c>
      <c r="S2777" s="1" t="s">
        <v>69</v>
      </c>
      <c r="T2777" s="1" t="s">
        <v>69</v>
      </c>
      <c r="U2777" s="1" t="s">
        <v>46</v>
      </c>
      <c r="V2777" s="1" t="n">
        <v>3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5" t="s">
        <v>3782</v>
      </c>
      <c r="C2778" s="1" t="s">
        <v>3783</v>
      </c>
      <c r="D2778" s="1" t="s">
        <v>14</v>
      </c>
      <c r="E2778" s="1" t="s">
        <v>3379</v>
      </c>
      <c r="F2778" s="1" t="s">
        <v>3380</v>
      </c>
      <c r="G2778" s="1" t="s">
        <v>3379</v>
      </c>
      <c r="H2778" s="2" t="s">
        <v>3662</v>
      </c>
      <c r="I2778" s="1" t="s">
        <v>3663</v>
      </c>
      <c r="J2778" s="1" t="s">
        <v>52</v>
      </c>
      <c r="K2778" s="1" t="s">
        <v>3662</v>
      </c>
      <c r="L2778" s="36" t="s">
        <v>69</v>
      </c>
      <c r="M2778" s="1" t="s">
        <v>69</v>
      </c>
      <c r="N2778" s="1" t="s">
        <v>3383</v>
      </c>
      <c r="O2778" s="1" t="s">
        <v>3785</v>
      </c>
      <c r="P2778" s="1" t="s">
        <v>3385</v>
      </c>
      <c r="Q2778" s="1" t="s">
        <v>3385</v>
      </c>
      <c r="R2778" s="1" t="s">
        <v>46</v>
      </c>
      <c r="S2778" s="1" t="s">
        <v>69</v>
      </c>
      <c r="T2778" s="1" t="s">
        <v>69</v>
      </c>
      <c r="U2778" s="1" t="s">
        <v>46</v>
      </c>
      <c r="V2778" s="1" t="n">
        <v>4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5" t="s">
        <v>3782</v>
      </c>
      <c r="C2779" s="1" t="s">
        <v>3783</v>
      </c>
      <c r="D2779" s="1" t="s">
        <v>14</v>
      </c>
      <c r="E2779" s="1" t="s">
        <v>3379</v>
      </c>
      <c r="F2779" s="1" t="s">
        <v>3380</v>
      </c>
      <c r="G2779" s="1" t="s">
        <v>3379</v>
      </c>
      <c r="H2779" s="2" t="s">
        <v>3664</v>
      </c>
      <c r="I2779" s="1" t="s">
        <v>3665</v>
      </c>
      <c r="J2779" s="1" t="s">
        <v>52</v>
      </c>
      <c r="K2779" s="1" t="s">
        <v>3664</v>
      </c>
      <c r="L2779" s="36" t="s">
        <v>69</v>
      </c>
      <c r="M2779" s="1" t="s">
        <v>69</v>
      </c>
      <c r="N2779" s="1" t="s">
        <v>3383</v>
      </c>
      <c r="O2779" s="1" t="s">
        <v>3785</v>
      </c>
      <c r="P2779" s="1" t="s">
        <v>3385</v>
      </c>
      <c r="Q2779" s="1" t="s">
        <v>3385</v>
      </c>
      <c r="R2779" s="1" t="s">
        <v>46</v>
      </c>
      <c r="S2779" s="1" t="s">
        <v>69</v>
      </c>
      <c r="T2779" s="1" t="s">
        <v>69</v>
      </c>
      <c r="U2779" s="1" t="s">
        <v>46</v>
      </c>
      <c r="V2779" s="1" t="n">
        <v>5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5" t="s">
        <v>3782</v>
      </c>
      <c r="C2780" s="1" t="s">
        <v>3783</v>
      </c>
      <c r="D2780" s="1" t="s">
        <v>14</v>
      </c>
      <c r="E2780" s="1" t="s">
        <v>3379</v>
      </c>
      <c r="F2780" s="1" t="s">
        <v>3380</v>
      </c>
      <c r="G2780" s="1" t="s">
        <v>3379</v>
      </c>
      <c r="H2780" s="2" t="s">
        <v>3436</v>
      </c>
      <c r="I2780" s="1" t="s">
        <v>3437</v>
      </c>
      <c r="J2780" s="1" t="s">
        <v>52</v>
      </c>
      <c r="K2780" s="2" t="s">
        <v>3436</v>
      </c>
      <c r="L2780" s="5" t="s">
        <v>69</v>
      </c>
      <c r="M2780" s="5" t="s">
        <v>69</v>
      </c>
      <c r="N2780" s="1" t="s">
        <v>1935</v>
      </c>
      <c r="O2780" s="1" t="s">
        <v>46</v>
      </c>
      <c r="P2780" s="1" t="s">
        <v>46</v>
      </c>
      <c r="Q2780" s="1" t="s">
        <v>46</v>
      </c>
      <c r="R2780" s="5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5" t="s">
        <v>3782</v>
      </c>
      <c r="C2781" s="1" t="s">
        <v>3783</v>
      </c>
      <c r="D2781" s="1" t="s">
        <v>14</v>
      </c>
      <c r="E2781" s="1" t="s">
        <v>3379</v>
      </c>
      <c r="F2781" s="1" t="s">
        <v>3380</v>
      </c>
      <c r="G2781" s="1" t="s">
        <v>3379</v>
      </c>
      <c r="H2781" s="2" t="s">
        <v>3438</v>
      </c>
      <c r="I2781" s="1" t="s">
        <v>3439</v>
      </c>
      <c r="J2781" s="1" t="s">
        <v>52</v>
      </c>
      <c r="K2781" s="2" t="s">
        <v>3438</v>
      </c>
      <c r="L2781" s="5" t="s">
        <v>69</v>
      </c>
      <c r="M2781" s="5" t="s">
        <v>69</v>
      </c>
      <c r="N2781" s="1" t="s">
        <v>1935</v>
      </c>
      <c r="O2781" s="1" t="s">
        <v>46</v>
      </c>
      <c r="P2781" s="1" t="s">
        <v>46</v>
      </c>
      <c r="Q2781" s="1" t="s">
        <v>46</v>
      </c>
      <c r="R2781" s="5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5" t="s">
        <v>3782</v>
      </c>
      <c r="C2782" s="1" t="s">
        <v>3783</v>
      </c>
      <c r="D2782" s="1" t="s">
        <v>14</v>
      </c>
      <c r="E2782" s="1" t="s">
        <v>3379</v>
      </c>
      <c r="F2782" s="1" t="s">
        <v>3380</v>
      </c>
      <c r="G2782" s="1" t="s">
        <v>3379</v>
      </c>
      <c r="H2782" s="2" t="s">
        <v>3440</v>
      </c>
      <c r="I2782" s="1" t="s">
        <v>3441</v>
      </c>
      <c r="J2782" s="1" t="s">
        <v>52</v>
      </c>
      <c r="K2782" s="2" t="s">
        <v>3440</v>
      </c>
      <c r="L2782" s="5" t="s">
        <v>69</v>
      </c>
      <c r="M2782" s="5" t="s">
        <v>69</v>
      </c>
      <c r="N2782" s="1" t="s">
        <v>1935</v>
      </c>
      <c r="O2782" s="1" t="s">
        <v>46</v>
      </c>
      <c r="P2782" s="1" t="s">
        <v>46</v>
      </c>
      <c r="Q2782" s="1" t="s">
        <v>46</v>
      </c>
      <c r="R2782" s="5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5" t="s">
        <v>3782</v>
      </c>
      <c r="C2783" s="1" t="s">
        <v>3783</v>
      </c>
      <c r="D2783" s="1" t="s">
        <v>14</v>
      </c>
      <c r="E2783" s="1" t="s">
        <v>3379</v>
      </c>
      <c r="F2783" s="1" t="s">
        <v>3380</v>
      </c>
      <c r="G2783" s="1" t="s">
        <v>3379</v>
      </c>
      <c r="H2783" s="2" t="s">
        <v>3442</v>
      </c>
      <c r="I2783" s="1" t="s">
        <v>3443</v>
      </c>
      <c r="J2783" s="1" t="s">
        <v>52</v>
      </c>
      <c r="K2783" s="2" t="s">
        <v>3442</v>
      </c>
      <c r="L2783" s="5" t="s">
        <v>69</v>
      </c>
      <c r="M2783" s="5" t="s">
        <v>69</v>
      </c>
      <c r="N2783" s="1" t="s">
        <v>1935</v>
      </c>
      <c r="O2783" s="1" t="s">
        <v>46</v>
      </c>
      <c r="P2783" s="1" t="s">
        <v>46</v>
      </c>
      <c r="Q2783" s="1" t="s">
        <v>46</v>
      </c>
      <c r="R2783" s="5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5" t="s">
        <v>3782</v>
      </c>
      <c r="C2784" s="1" t="s">
        <v>3783</v>
      </c>
      <c r="D2784" s="1" t="s">
        <v>14</v>
      </c>
      <c r="E2784" s="1" t="s">
        <v>3379</v>
      </c>
      <c r="F2784" s="1" t="s">
        <v>3380</v>
      </c>
      <c r="G2784" s="1" t="s">
        <v>3379</v>
      </c>
      <c r="H2784" s="2" t="s">
        <v>3444</v>
      </c>
      <c r="I2784" s="1" t="s">
        <v>3445</v>
      </c>
      <c r="J2784" s="1" t="s">
        <v>52</v>
      </c>
      <c r="K2784" s="2" t="s">
        <v>3444</v>
      </c>
      <c r="L2784" s="5" t="s">
        <v>69</v>
      </c>
      <c r="M2784" s="5" t="s">
        <v>69</v>
      </c>
      <c r="N2784" s="1" t="s">
        <v>1935</v>
      </c>
      <c r="O2784" s="1" t="s">
        <v>46</v>
      </c>
      <c r="P2784" s="1" t="s">
        <v>46</v>
      </c>
      <c r="Q2784" s="1" t="s">
        <v>46</v>
      </c>
      <c r="R2784" s="5" t="s">
        <v>46</v>
      </c>
      <c r="S2784" s="1" t="s">
        <v>46</v>
      </c>
      <c r="T2784" s="1" t="s">
        <v>46</v>
      </c>
      <c r="U2784" s="1" t="s">
        <v>46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5" t="s">
        <v>3782</v>
      </c>
      <c r="C2785" s="1" t="s">
        <v>3783</v>
      </c>
      <c r="D2785" s="1" t="s">
        <v>14</v>
      </c>
      <c r="E2785" s="1" t="s">
        <v>3379</v>
      </c>
      <c r="F2785" s="1" t="s">
        <v>3380</v>
      </c>
      <c r="G2785" s="1" t="s">
        <v>3379</v>
      </c>
      <c r="H2785" s="2" t="s">
        <v>3446</v>
      </c>
      <c r="I2785" s="1" t="s">
        <v>3447</v>
      </c>
      <c r="J2785" s="1" t="s">
        <v>52</v>
      </c>
      <c r="K2785" s="2" t="s">
        <v>3446</v>
      </c>
      <c r="L2785" s="5" t="s">
        <v>69</v>
      </c>
      <c r="M2785" s="5" t="s">
        <v>69</v>
      </c>
      <c r="N2785" s="1" t="s">
        <v>1935</v>
      </c>
      <c r="O2785" s="1" t="s">
        <v>46</v>
      </c>
      <c r="P2785" s="1" t="s">
        <v>46</v>
      </c>
      <c r="Q2785" s="1" t="s">
        <v>46</v>
      </c>
      <c r="R2785" s="5" t="s">
        <v>46</v>
      </c>
      <c r="S2785" s="1" t="s">
        <v>46</v>
      </c>
      <c r="T2785" s="1" t="s">
        <v>46</v>
      </c>
      <c r="U2785" s="1" t="s">
        <v>46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5" t="s">
        <v>3782</v>
      </c>
      <c r="C2786" s="1" t="s">
        <v>3783</v>
      </c>
      <c r="D2786" s="1" t="s">
        <v>14</v>
      </c>
      <c r="E2786" s="1" t="s">
        <v>3379</v>
      </c>
      <c r="F2786" s="1" t="s">
        <v>3380</v>
      </c>
      <c r="G2786" s="1" t="s">
        <v>3379</v>
      </c>
      <c r="H2786" s="2" t="s">
        <v>3448</v>
      </c>
      <c r="I2786" s="1" t="s">
        <v>3449</v>
      </c>
      <c r="J2786" s="1" t="s">
        <v>52</v>
      </c>
      <c r="K2786" s="2" t="s">
        <v>3448</v>
      </c>
      <c r="L2786" s="5" t="s">
        <v>69</v>
      </c>
      <c r="M2786" s="5" t="s">
        <v>69</v>
      </c>
      <c r="N2786" s="1" t="s">
        <v>1935</v>
      </c>
      <c r="O2786" s="1" t="s">
        <v>46</v>
      </c>
      <c r="P2786" s="1" t="s">
        <v>46</v>
      </c>
      <c r="Q2786" s="1" t="s">
        <v>46</v>
      </c>
      <c r="R2786" s="5" t="s">
        <v>46</v>
      </c>
      <c r="S2786" s="1" t="s">
        <v>46</v>
      </c>
      <c r="T2786" s="1" t="s">
        <v>46</v>
      </c>
      <c r="U2786" s="1" t="s">
        <v>46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5" t="s">
        <v>3782</v>
      </c>
      <c r="C2787" s="1" t="s">
        <v>3783</v>
      </c>
      <c r="D2787" s="1" t="s">
        <v>14</v>
      </c>
      <c r="E2787" s="1" t="s">
        <v>3379</v>
      </c>
      <c r="F2787" s="1" t="s">
        <v>3380</v>
      </c>
      <c r="G2787" s="1" t="s">
        <v>3379</v>
      </c>
      <c r="H2787" s="2" t="s">
        <v>3450</v>
      </c>
      <c r="I2787" s="1" t="s">
        <v>3451</v>
      </c>
      <c r="J2787" s="1" t="s">
        <v>52</v>
      </c>
      <c r="K2787" s="2" t="s">
        <v>3450</v>
      </c>
      <c r="L2787" s="5" t="s">
        <v>69</v>
      </c>
      <c r="M2787" s="5" t="s">
        <v>69</v>
      </c>
      <c r="N2787" s="1" t="s">
        <v>1935</v>
      </c>
      <c r="O2787" s="1" t="s">
        <v>46</v>
      </c>
      <c r="P2787" s="1" t="s">
        <v>46</v>
      </c>
      <c r="Q2787" s="1" t="s">
        <v>46</v>
      </c>
      <c r="R2787" s="5" t="s">
        <v>46</v>
      </c>
      <c r="S2787" s="1" t="s">
        <v>46</v>
      </c>
      <c r="T2787" s="1" t="s">
        <v>46</v>
      </c>
      <c r="U2787" s="1" t="s">
        <v>46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5" t="s">
        <v>3782</v>
      </c>
      <c r="C2788" s="1" t="s">
        <v>3783</v>
      </c>
      <c r="D2788" s="1" t="s">
        <v>14</v>
      </c>
      <c r="E2788" s="1" t="s">
        <v>3379</v>
      </c>
      <c r="F2788" s="1" t="s">
        <v>3380</v>
      </c>
      <c r="G2788" s="1" t="s">
        <v>3379</v>
      </c>
      <c r="H2788" s="2" t="s">
        <v>3452</v>
      </c>
      <c r="I2788" s="1" t="s">
        <v>3453</v>
      </c>
      <c r="J2788" s="1" t="s">
        <v>52</v>
      </c>
      <c r="K2788" s="2" t="s">
        <v>3452</v>
      </c>
      <c r="L2788" s="5" t="s">
        <v>69</v>
      </c>
      <c r="M2788" s="5" t="s">
        <v>69</v>
      </c>
      <c r="N2788" s="1" t="s">
        <v>1935</v>
      </c>
      <c r="O2788" s="1" t="s">
        <v>46</v>
      </c>
      <c r="P2788" s="1" t="s">
        <v>46</v>
      </c>
      <c r="Q2788" s="1" t="s">
        <v>46</v>
      </c>
      <c r="R2788" s="5" t="s">
        <v>46</v>
      </c>
      <c r="S2788" s="1" t="s">
        <v>46</v>
      </c>
      <c r="T2788" s="1" t="s">
        <v>46</v>
      </c>
      <c r="U2788" s="1" t="s">
        <v>46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5" t="s">
        <v>3782</v>
      </c>
      <c r="C2789" s="1" t="s">
        <v>3783</v>
      </c>
      <c r="D2789" s="1" t="s">
        <v>14</v>
      </c>
      <c r="E2789" s="1" t="s">
        <v>3379</v>
      </c>
      <c r="F2789" s="1" t="s">
        <v>3380</v>
      </c>
      <c r="G2789" s="1" t="s">
        <v>3379</v>
      </c>
      <c r="H2789" s="2" t="s">
        <v>3454</v>
      </c>
      <c r="I2789" s="1" t="s">
        <v>3455</v>
      </c>
      <c r="J2789" s="1" t="s">
        <v>52</v>
      </c>
      <c r="K2789" s="2" t="s">
        <v>3454</v>
      </c>
      <c r="L2789" s="5" t="s">
        <v>69</v>
      </c>
      <c r="M2789" s="5" t="s">
        <v>69</v>
      </c>
      <c r="N2789" s="1" t="s">
        <v>1935</v>
      </c>
      <c r="O2789" s="1" t="s">
        <v>46</v>
      </c>
      <c r="P2789" s="1" t="s">
        <v>46</v>
      </c>
      <c r="Q2789" s="1" t="s">
        <v>46</v>
      </c>
      <c r="R2789" s="5" t="s">
        <v>46</v>
      </c>
      <c r="S2789" s="1" t="s">
        <v>46</v>
      </c>
      <c r="T2789" s="1" t="s">
        <v>46</v>
      </c>
      <c r="U2789" s="1" t="s">
        <v>46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5" t="s">
        <v>3782</v>
      </c>
      <c r="C2790" s="1" t="s">
        <v>3783</v>
      </c>
      <c r="D2790" s="1" t="s">
        <v>14</v>
      </c>
      <c r="E2790" s="1" t="s">
        <v>3379</v>
      </c>
      <c r="F2790" s="1" t="s">
        <v>3380</v>
      </c>
      <c r="G2790" s="1" t="s">
        <v>3379</v>
      </c>
      <c r="H2790" s="2" t="s">
        <v>3456</v>
      </c>
      <c r="I2790" s="1" t="s">
        <v>3457</v>
      </c>
      <c r="J2790" s="1" t="s">
        <v>52</v>
      </c>
      <c r="K2790" s="2" t="s">
        <v>3456</v>
      </c>
      <c r="L2790" s="5" t="s">
        <v>69</v>
      </c>
      <c r="M2790" s="5" t="s">
        <v>69</v>
      </c>
      <c r="N2790" s="1" t="s">
        <v>1935</v>
      </c>
      <c r="O2790" s="1" t="s">
        <v>46</v>
      </c>
      <c r="P2790" s="1" t="s">
        <v>46</v>
      </c>
      <c r="Q2790" s="1" t="s">
        <v>46</v>
      </c>
      <c r="R2790" s="5" t="s">
        <v>46</v>
      </c>
      <c r="S2790" s="1" t="s">
        <v>46</v>
      </c>
      <c r="T2790" s="1" t="s">
        <v>46</v>
      </c>
      <c r="U2790" s="1" t="s">
        <v>46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5" t="s">
        <v>3782</v>
      </c>
      <c r="C2791" s="1" t="s">
        <v>3783</v>
      </c>
      <c r="D2791" s="1" t="s">
        <v>14</v>
      </c>
      <c r="E2791" s="1" t="s">
        <v>3379</v>
      </c>
      <c r="F2791" s="1" t="s">
        <v>3380</v>
      </c>
      <c r="G2791" s="1" t="s">
        <v>3379</v>
      </c>
      <c r="H2791" s="2" t="s">
        <v>3458</v>
      </c>
      <c r="I2791" s="1" t="s">
        <v>3459</v>
      </c>
      <c r="J2791" s="1" t="s">
        <v>52</v>
      </c>
      <c r="K2791" s="2" t="s">
        <v>3458</v>
      </c>
      <c r="L2791" s="5" t="s">
        <v>69</v>
      </c>
      <c r="M2791" s="5" t="s">
        <v>69</v>
      </c>
      <c r="N2791" s="1" t="s">
        <v>1935</v>
      </c>
      <c r="O2791" s="1" t="s">
        <v>46</v>
      </c>
      <c r="P2791" s="1" t="s">
        <v>46</v>
      </c>
      <c r="Q2791" s="1" t="s">
        <v>46</v>
      </c>
      <c r="R2791" s="5" t="s">
        <v>46</v>
      </c>
      <c r="S2791" s="1" t="s">
        <v>46</v>
      </c>
      <c r="T2791" s="1" t="s">
        <v>46</v>
      </c>
      <c r="U2791" s="1" t="s">
        <v>46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5" t="s">
        <v>3782</v>
      </c>
      <c r="C2792" s="1" t="s">
        <v>3783</v>
      </c>
      <c r="D2792" s="1" t="s">
        <v>14</v>
      </c>
      <c r="E2792" s="1" t="s">
        <v>3379</v>
      </c>
      <c r="F2792" s="1" t="s">
        <v>3380</v>
      </c>
      <c r="G2792" s="1" t="s">
        <v>3379</v>
      </c>
      <c r="H2792" s="2" t="s">
        <v>3460</v>
      </c>
      <c r="I2792" s="1" t="s">
        <v>3461</v>
      </c>
      <c r="J2792" s="1" t="s">
        <v>52</v>
      </c>
      <c r="K2792" s="2" t="s">
        <v>3460</v>
      </c>
      <c r="L2792" s="5" t="s">
        <v>69</v>
      </c>
      <c r="M2792" s="5" t="s">
        <v>69</v>
      </c>
      <c r="N2792" s="1" t="s">
        <v>1935</v>
      </c>
      <c r="O2792" s="1" t="s">
        <v>46</v>
      </c>
      <c r="P2792" s="1" t="s">
        <v>46</v>
      </c>
      <c r="Q2792" s="1" t="s">
        <v>46</v>
      </c>
      <c r="R2792" s="5" t="s">
        <v>46</v>
      </c>
      <c r="S2792" s="1" t="s">
        <v>46</v>
      </c>
      <c r="T2792" s="1" t="s">
        <v>46</v>
      </c>
      <c r="U2792" s="1" t="s">
        <v>46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5" t="s">
        <v>3782</v>
      </c>
      <c r="C2793" s="1" t="s">
        <v>3783</v>
      </c>
      <c r="D2793" s="1" t="s">
        <v>14</v>
      </c>
      <c r="E2793" s="1" t="s">
        <v>3379</v>
      </c>
      <c r="F2793" s="1" t="s">
        <v>3380</v>
      </c>
      <c r="G2793" s="1" t="s">
        <v>3379</v>
      </c>
      <c r="H2793" s="2" t="s">
        <v>3462</v>
      </c>
      <c r="I2793" s="1" t="s">
        <v>3463</v>
      </c>
      <c r="J2793" s="1" t="s">
        <v>52</v>
      </c>
      <c r="K2793" s="2" t="s">
        <v>3462</v>
      </c>
      <c r="L2793" s="5" t="s">
        <v>69</v>
      </c>
      <c r="M2793" s="5" t="s">
        <v>69</v>
      </c>
      <c r="N2793" s="1" t="s">
        <v>1935</v>
      </c>
      <c r="O2793" s="1" t="s">
        <v>46</v>
      </c>
      <c r="P2793" s="1" t="s">
        <v>46</v>
      </c>
      <c r="Q2793" s="1" t="s">
        <v>46</v>
      </c>
      <c r="R2793" s="5" t="s">
        <v>46</v>
      </c>
      <c r="S2793" s="1" t="s">
        <v>46</v>
      </c>
      <c r="T2793" s="1" t="s">
        <v>46</v>
      </c>
      <c r="U2793" s="1" t="s">
        <v>46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5" t="s">
        <v>3782</v>
      </c>
      <c r="C2794" s="1" t="s">
        <v>3783</v>
      </c>
      <c r="D2794" s="1" t="s">
        <v>14</v>
      </c>
      <c r="E2794" s="1" t="s">
        <v>3379</v>
      </c>
      <c r="F2794" s="1" t="s">
        <v>3380</v>
      </c>
      <c r="G2794" s="1" t="s">
        <v>3379</v>
      </c>
      <c r="H2794" s="2" t="s">
        <v>3464</v>
      </c>
      <c r="I2794" s="1" t="s">
        <v>3465</v>
      </c>
      <c r="J2794" s="1" t="s">
        <v>52</v>
      </c>
      <c r="K2794" s="2" t="s">
        <v>3464</v>
      </c>
      <c r="L2794" s="5" t="s">
        <v>69</v>
      </c>
      <c r="M2794" s="5" t="s">
        <v>69</v>
      </c>
      <c r="N2794" s="1" t="s">
        <v>1935</v>
      </c>
      <c r="O2794" s="1" t="s">
        <v>46</v>
      </c>
      <c r="P2794" s="1" t="s">
        <v>46</v>
      </c>
      <c r="Q2794" s="1" t="s">
        <v>46</v>
      </c>
      <c r="R2794" s="5" t="s">
        <v>46</v>
      </c>
      <c r="S2794" s="1" t="s">
        <v>46</v>
      </c>
      <c r="T2794" s="1" t="s">
        <v>46</v>
      </c>
      <c r="U2794" s="1" t="s">
        <v>46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5" t="s">
        <v>3782</v>
      </c>
      <c r="C2795" s="1" t="s">
        <v>3783</v>
      </c>
      <c r="D2795" s="1" t="s">
        <v>14</v>
      </c>
      <c r="E2795" s="1" t="s">
        <v>3379</v>
      </c>
      <c r="F2795" s="1" t="s">
        <v>3380</v>
      </c>
      <c r="G2795" s="1" t="s">
        <v>3379</v>
      </c>
      <c r="H2795" s="2" t="s">
        <v>3466</v>
      </c>
      <c r="I2795" s="1" t="s">
        <v>3467</v>
      </c>
      <c r="J2795" s="1" t="s">
        <v>52</v>
      </c>
      <c r="K2795" s="2" t="s">
        <v>3466</v>
      </c>
      <c r="L2795" s="5" t="s">
        <v>69</v>
      </c>
      <c r="M2795" s="5" t="s">
        <v>69</v>
      </c>
      <c r="N2795" s="1" t="s">
        <v>3468</v>
      </c>
      <c r="O2795" s="1" t="s">
        <v>46</v>
      </c>
      <c r="P2795" s="1" t="s">
        <v>46</v>
      </c>
      <c r="Q2795" s="1" t="s">
        <v>46</v>
      </c>
      <c r="R2795" s="5" t="s">
        <v>46</v>
      </c>
      <c r="S2795" s="1" t="s">
        <v>46</v>
      </c>
      <c r="T2795" s="1" t="s">
        <v>46</v>
      </c>
      <c r="U2795" s="1" t="s">
        <v>46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5" t="s">
        <v>3782</v>
      </c>
      <c r="C2796" s="1" t="s">
        <v>3783</v>
      </c>
      <c r="D2796" s="1" t="s">
        <v>14</v>
      </c>
      <c r="E2796" s="1" t="s">
        <v>3379</v>
      </c>
      <c r="F2796" s="1" t="s">
        <v>3380</v>
      </c>
      <c r="G2796" s="1" t="s">
        <v>3379</v>
      </c>
      <c r="H2796" s="2" t="s">
        <v>3469</v>
      </c>
      <c r="I2796" s="1" t="s">
        <v>3470</v>
      </c>
      <c r="J2796" s="1" t="s">
        <v>52</v>
      </c>
      <c r="K2796" s="2" t="s">
        <v>3469</v>
      </c>
      <c r="L2796" s="5" t="s">
        <v>69</v>
      </c>
      <c r="M2796" s="5" t="s">
        <v>69</v>
      </c>
      <c r="N2796" s="1" t="s">
        <v>3468</v>
      </c>
      <c r="O2796" s="1" t="s">
        <v>46</v>
      </c>
      <c r="P2796" s="1" t="s">
        <v>46</v>
      </c>
      <c r="Q2796" s="1" t="s">
        <v>46</v>
      </c>
      <c r="R2796" s="5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5" t="s">
        <v>3782</v>
      </c>
      <c r="C2797" s="1" t="s">
        <v>3783</v>
      </c>
      <c r="D2797" s="1" t="s">
        <v>14</v>
      </c>
      <c r="E2797" s="1" t="s">
        <v>3379</v>
      </c>
      <c r="F2797" s="1" t="s">
        <v>3380</v>
      </c>
      <c r="G2797" s="1" t="s">
        <v>3379</v>
      </c>
      <c r="H2797" s="2" t="s">
        <v>3471</v>
      </c>
      <c r="I2797" s="1" t="s">
        <v>3472</v>
      </c>
      <c r="J2797" s="1" t="s">
        <v>52</v>
      </c>
      <c r="K2797" s="2" t="s">
        <v>3471</v>
      </c>
      <c r="L2797" s="5" t="s">
        <v>69</v>
      </c>
      <c r="M2797" s="5" t="s">
        <v>69</v>
      </c>
      <c r="N2797" s="1" t="s">
        <v>3468</v>
      </c>
      <c r="O2797" s="1" t="s">
        <v>46</v>
      </c>
      <c r="P2797" s="1" t="s">
        <v>46</v>
      </c>
      <c r="Q2797" s="1" t="s">
        <v>46</v>
      </c>
      <c r="R2797" s="5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5" t="s">
        <v>3782</v>
      </c>
      <c r="C2798" s="1" t="s">
        <v>3783</v>
      </c>
      <c r="D2798" s="1" t="s">
        <v>14</v>
      </c>
      <c r="E2798" s="1" t="s">
        <v>3379</v>
      </c>
      <c r="F2798" s="1" t="s">
        <v>3380</v>
      </c>
      <c r="G2798" s="1" t="s">
        <v>3379</v>
      </c>
      <c r="H2798" s="2" t="s">
        <v>3473</v>
      </c>
      <c r="I2798" s="1" t="s">
        <v>3474</v>
      </c>
      <c r="J2798" s="1" t="s">
        <v>52</v>
      </c>
      <c r="K2798" s="2" t="s">
        <v>3473</v>
      </c>
      <c r="L2798" s="5" t="s">
        <v>69</v>
      </c>
      <c r="M2798" s="5" t="s">
        <v>69</v>
      </c>
      <c r="N2798" s="1" t="s">
        <v>3468</v>
      </c>
      <c r="O2798" s="1" t="s">
        <v>46</v>
      </c>
      <c r="P2798" s="1" t="s">
        <v>46</v>
      </c>
      <c r="Q2798" s="1" t="s">
        <v>46</v>
      </c>
      <c r="R2798" s="5" t="s">
        <v>46</v>
      </c>
      <c r="S2798" s="1" t="s">
        <v>46</v>
      </c>
      <c r="T2798" s="1" t="s">
        <v>46</v>
      </c>
      <c r="U2798" s="1" t="s">
        <v>46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5" t="s">
        <v>3782</v>
      </c>
      <c r="C2799" s="1" t="s">
        <v>3783</v>
      </c>
      <c r="D2799" s="1" t="s">
        <v>14</v>
      </c>
      <c r="E2799" s="1" t="s">
        <v>3379</v>
      </c>
      <c r="F2799" s="1" t="s">
        <v>3380</v>
      </c>
      <c r="G2799" s="1" t="s">
        <v>3379</v>
      </c>
      <c r="H2799" s="2" t="s">
        <v>3475</v>
      </c>
      <c r="I2799" s="1" t="s">
        <v>3476</v>
      </c>
      <c r="J2799" s="1" t="s">
        <v>52</v>
      </c>
      <c r="K2799" s="2" t="s">
        <v>3475</v>
      </c>
      <c r="L2799" s="5" t="s">
        <v>69</v>
      </c>
      <c r="M2799" s="5" t="s">
        <v>69</v>
      </c>
      <c r="N2799" s="1" t="s">
        <v>3468</v>
      </c>
      <c r="O2799" s="1" t="s">
        <v>46</v>
      </c>
      <c r="P2799" s="1" t="s">
        <v>46</v>
      </c>
      <c r="Q2799" s="1" t="s">
        <v>46</v>
      </c>
      <c r="R2799" s="5" t="s">
        <v>46</v>
      </c>
      <c r="S2799" s="1" t="s">
        <v>46</v>
      </c>
      <c r="T2799" s="1" t="s">
        <v>46</v>
      </c>
      <c r="U2799" s="1" t="s">
        <v>46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5" t="s">
        <v>3782</v>
      </c>
      <c r="C2800" s="1" t="s">
        <v>3783</v>
      </c>
      <c r="D2800" s="1" t="s">
        <v>14</v>
      </c>
      <c r="E2800" s="1" t="s">
        <v>3379</v>
      </c>
      <c r="F2800" s="1" t="s">
        <v>3380</v>
      </c>
      <c r="G2800" s="1" t="s">
        <v>3379</v>
      </c>
      <c r="H2800" s="2" t="s">
        <v>3477</v>
      </c>
      <c r="I2800" s="1" t="s">
        <v>3478</v>
      </c>
      <c r="J2800" s="1" t="s">
        <v>52</v>
      </c>
      <c r="K2800" s="2" t="s">
        <v>3477</v>
      </c>
      <c r="L2800" s="5" t="s">
        <v>69</v>
      </c>
      <c r="M2800" s="5" t="s">
        <v>69</v>
      </c>
      <c r="N2800" s="1" t="s">
        <v>3468</v>
      </c>
      <c r="O2800" s="1" t="s">
        <v>46</v>
      </c>
      <c r="P2800" s="1" t="s">
        <v>46</v>
      </c>
      <c r="Q2800" s="1" t="s">
        <v>46</v>
      </c>
      <c r="R2800" s="5" t="s">
        <v>46</v>
      </c>
      <c r="S2800" s="1" t="s">
        <v>46</v>
      </c>
      <c r="T2800" s="1" t="s">
        <v>46</v>
      </c>
      <c r="U2800" s="1" t="s">
        <v>46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5" t="s">
        <v>3782</v>
      </c>
      <c r="C2801" s="1" t="s">
        <v>3783</v>
      </c>
      <c r="D2801" s="1" t="s">
        <v>14</v>
      </c>
      <c r="E2801" s="1" t="s">
        <v>3379</v>
      </c>
      <c r="F2801" s="1" t="s">
        <v>3380</v>
      </c>
      <c r="G2801" s="1" t="s">
        <v>3379</v>
      </c>
      <c r="H2801" s="2" t="s">
        <v>3479</v>
      </c>
      <c r="I2801" s="1" t="s">
        <v>3480</v>
      </c>
      <c r="J2801" s="1" t="s">
        <v>52</v>
      </c>
      <c r="K2801" s="2" t="s">
        <v>3479</v>
      </c>
      <c r="L2801" s="5" t="s">
        <v>69</v>
      </c>
      <c r="M2801" s="5" t="s">
        <v>69</v>
      </c>
      <c r="N2801" s="1" t="s">
        <v>3468</v>
      </c>
      <c r="O2801" s="1" t="s">
        <v>46</v>
      </c>
      <c r="P2801" s="1" t="s">
        <v>46</v>
      </c>
      <c r="Q2801" s="1" t="s">
        <v>46</v>
      </c>
      <c r="R2801" s="5" t="s">
        <v>46</v>
      </c>
      <c r="S2801" s="1" t="s">
        <v>46</v>
      </c>
      <c r="T2801" s="1" t="s">
        <v>46</v>
      </c>
      <c r="U2801" s="1" t="s">
        <v>46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5" t="s">
        <v>3782</v>
      </c>
      <c r="C2802" s="1" t="s">
        <v>3783</v>
      </c>
      <c r="D2802" s="1" t="s">
        <v>14</v>
      </c>
      <c r="E2802" s="1" t="s">
        <v>3379</v>
      </c>
      <c r="F2802" s="1" t="s">
        <v>3380</v>
      </c>
      <c r="G2802" s="1" t="s">
        <v>3379</v>
      </c>
      <c r="H2802" s="2" t="s">
        <v>3481</v>
      </c>
      <c r="I2802" s="1" t="s">
        <v>3482</v>
      </c>
      <c r="J2802" s="1" t="s">
        <v>52</v>
      </c>
      <c r="K2802" s="2" t="s">
        <v>3481</v>
      </c>
      <c r="L2802" s="5" t="s">
        <v>69</v>
      </c>
      <c r="M2802" s="5" t="s">
        <v>69</v>
      </c>
      <c r="N2802" s="1" t="s">
        <v>3468</v>
      </c>
      <c r="O2802" s="1" t="s">
        <v>46</v>
      </c>
      <c r="P2802" s="1" t="s">
        <v>46</v>
      </c>
      <c r="Q2802" s="1" t="s">
        <v>46</v>
      </c>
      <c r="R2802" s="5" t="s">
        <v>46</v>
      </c>
      <c r="S2802" s="1" t="s">
        <v>46</v>
      </c>
      <c r="T2802" s="1" t="s">
        <v>46</v>
      </c>
      <c r="U2802" s="1" t="s">
        <v>46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5" t="s">
        <v>3782</v>
      </c>
      <c r="C2803" s="1" t="s">
        <v>3783</v>
      </c>
      <c r="D2803" s="1" t="s">
        <v>14</v>
      </c>
      <c r="E2803" s="1" t="s">
        <v>3379</v>
      </c>
      <c r="F2803" s="1" t="s">
        <v>3380</v>
      </c>
      <c r="G2803" s="1" t="s">
        <v>3379</v>
      </c>
      <c r="H2803" s="2" t="s">
        <v>3483</v>
      </c>
      <c r="I2803" s="1" t="s">
        <v>3484</v>
      </c>
      <c r="J2803" s="1" t="s">
        <v>52</v>
      </c>
      <c r="K2803" s="2" t="s">
        <v>3483</v>
      </c>
      <c r="L2803" s="5" t="s">
        <v>69</v>
      </c>
      <c r="M2803" s="5" t="s">
        <v>69</v>
      </c>
      <c r="N2803" s="1" t="s">
        <v>3468</v>
      </c>
      <c r="O2803" s="1" t="s">
        <v>46</v>
      </c>
      <c r="P2803" s="1" t="s">
        <v>46</v>
      </c>
      <c r="Q2803" s="1" t="s">
        <v>46</v>
      </c>
      <c r="R2803" s="5" t="s">
        <v>46</v>
      </c>
      <c r="S2803" s="1" t="s">
        <v>46</v>
      </c>
      <c r="T2803" s="1" t="s">
        <v>46</v>
      </c>
      <c r="U2803" s="1" t="s">
        <v>46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5" t="s">
        <v>3782</v>
      </c>
      <c r="C2804" s="1" t="s">
        <v>3783</v>
      </c>
      <c r="D2804" s="1" t="s">
        <v>14</v>
      </c>
      <c r="E2804" s="1" t="s">
        <v>3379</v>
      </c>
      <c r="F2804" s="1" t="s">
        <v>3380</v>
      </c>
      <c r="G2804" s="1" t="s">
        <v>3379</v>
      </c>
      <c r="H2804" s="2" t="s">
        <v>3485</v>
      </c>
      <c r="I2804" s="1" t="s">
        <v>3486</v>
      </c>
      <c r="J2804" s="1" t="s">
        <v>52</v>
      </c>
      <c r="K2804" s="2" t="s">
        <v>3485</v>
      </c>
      <c r="L2804" s="5" t="s">
        <v>69</v>
      </c>
      <c r="M2804" s="5" t="s">
        <v>69</v>
      </c>
      <c r="N2804" s="1" t="s">
        <v>3468</v>
      </c>
      <c r="O2804" s="1" t="s">
        <v>46</v>
      </c>
      <c r="P2804" s="1" t="s">
        <v>46</v>
      </c>
      <c r="Q2804" s="1" t="s">
        <v>46</v>
      </c>
      <c r="R2804" s="5" t="s">
        <v>46</v>
      </c>
      <c r="S2804" s="1" t="s">
        <v>46</v>
      </c>
      <c r="T2804" s="1" t="s">
        <v>46</v>
      </c>
      <c r="U2804" s="1" t="s">
        <v>46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5" t="s">
        <v>3782</v>
      </c>
      <c r="C2805" s="1" t="s">
        <v>3783</v>
      </c>
      <c r="D2805" s="1" t="s">
        <v>14</v>
      </c>
      <c r="E2805" s="1" t="s">
        <v>3379</v>
      </c>
      <c r="F2805" s="1" t="s">
        <v>3380</v>
      </c>
      <c r="G2805" s="1" t="s">
        <v>3379</v>
      </c>
      <c r="H2805" s="2" t="s">
        <v>3487</v>
      </c>
      <c r="I2805" s="1" t="s">
        <v>3488</v>
      </c>
      <c r="J2805" s="1" t="s">
        <v>52</v>
      </c>
      <c r="K2805" s="2" t="s">
        <v>3487</v>
      </c>
      <c r="L2805" s="5" t="s">
        <v>69</v>
      </c>
      <c r="M2805" s="5" t="s">
        <v>69</v>
      </c>
      <c r="N2805" s="1" t="s">
        <v>3468</v>
      </c>
      <c r="O2805" s="1" t="s">
        <v>46</v>
      </c>
      <c r="P2805" s="1" t="s">
        <v>46</v>
      </c>
      <c r="Q2805" s="1" t="s">
        <v>46</v>
      </c>
      <c r="R2805" s="5" t="s">
        <v>46</v>
      </c>
      <c r="S2805" s="1" t="s">
        <v>46</v>
      </c>
      <c r="T2805" s="1" t="s">
        <v>46</v>
      </c>
      <c r="U2805" s="1" t="s">
        <v>46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5" t="s">
        <v>3782</v>
      </c>
      <c r="C2806" s="1" t="s">
        <v>3783</v>
      </c>
      <c r="D2806" s="1" t="s">
        <v>14</v>
      </c>
      <c r="E2806" s="1" t="s">
        <v>3379</v>
      </c>
      <c r="F2806" s="1" t="s">
        <v>3380</v>
      </c>
      <c r="G2806" s="1" t="s">
        <v>3379</v>
      </c>
      <c r="H2806" s="2" t="s">
        <v>3489</v>
      </c>
      <c r="I2806" s="1" t="s">
        <v>3490</v>
      </c>
      <c r="J2806" s="1" t="s">
        <v>52</v>
      </c>
      <c r="K2806" s="2" t="s">
        <v>3489</v>
      </c>
      <c r="L2806" s="5" t="s">
        <v>69</v>
      </c>
      <c r="M2806" s="5" t="s">
        <v>69</v>
      </c>
      <c r="N2806" s="1" t="s">
        <v>3468</v>
      </c>
      <c r="O2806" s="1" t="s">
        <v>46</v>
      </c>
      <c r="P2806" s="1" t="s">
        <v>46</v>
      </c>
      <c r="Q2806" s="1" t="s">
        <v>46</v>
      </c>
      <c r="R2806" s="5" t="s">
        <v>46</v>
      </c>
      <c r="S2806" s="1" t="s">
        <v>46</v>
      </c>
      <c r="T2806" s="1" t="s">
        <v>46</v>
      </c>
      <c r="U2806" s="1" t="s">
        <v>46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5" t="s">
        <v>3782</v>
      </c>
      <c r="C2807" s="1" t="s">
        <v>3783</v>
      </c>
      <c r="D2807" s="1" t="s">
        <v>14</v>
      </c>
      <c r="E2807" s="1" t="s">
        <v>3379</v>
      </c>
      <c r="F2807" s="1" t="s">
        <v>3380</v>
      </c>
      <c r="G2807" s="1" t="s">
        <v>3379</v>
      </c>
      <c r="H2807" s="2" t="s">
        <v>3491</v>
      </c>
      <c r="I2807" s="1" t="s">
        <v>3492</v>
      </c>
      <c r="J2807" s="1" t="s">
        <v>52</v>
      </c>
      <c r="K2807" s="2" t="s">
        <v>3491</v>
      </c>
      <c r="L2807" s="5" t="s">
        <v>69</v>
      </c>
      <c r="M2807" s="5" t="s">
        <v>69</v>
      </c>
      <c r="N2807" s="1" t="s">
        <v>3468</v>
      </c>
      <c r="O2807" s="1" t="s">
        <v>46</v>
      </c>
      <c r="P2807" s="1" t="s">
        <v>46</v>
      </c>
      <c r="Q2807" s="1" t="s">
        <v>46</v>
      </c>
      <c r="R2807" s="5" t="s">
        <v>46</v>
      </c>
      <c r="S2807" s="1" t="s">
        <v>46</v>
      </c>
      <c r="T2807" s="1" t="s">
        <v>46</v>
      </c>
      <c r="U2807" s="1" t="s">
        <v>46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5" t="s">
        <v>3782</v>
      </c>
      <c r="C2808" s="1" t="s">
        <v>3783</v>
      </c>
      <c r="D2808" s="1" t="s">
        <v>14</v>
      </c>
      <c r="E2808" s="1" t="s">
        <v>3379</v>
      </c>
      <c r="F2808" s="1" t="s">
        <v>3380</v>
      </c>
      <c r="G2808" s="1" t="s">
        <v>3379</v>
      </c>
      <c r="H2808" s="2" t="s">
        <v>3493</v>
      </c>
      <c r="I2808" s="1" t="s">
        <v>3494</v>
      </c>
      <c r="J2808" s="1" t="s">
        <v>52</v>
      </c>
      <c r="K2808" s="2" t="s">
        <v>3493</v>
      </c>
      <c r="L2808" s="5" t="s">
        <v>69</v>
      </c>
      <c r="M2808" s="5" t="s">
        <v>69</v>
      </c>
      <c r="N2808" s="1" t="s">
        <v>3468</v>
      </c>
      <c r="O2808" s="1" t="s">
        <v>46</v>
      </c>
      <c r="P2808" s="1" t="s">
        <v>46</v>
      </c>
      <c r="Q2808" s="1" t="s">
        <v>46</v>
      </c>
      <c r="R2808" s="5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5" t="s">
        <v>3782</v>
      </c>
      <c r="C2809" s="1" t="s">
        <v>3783</v>
      </c>
      <c r="D2809" s="1" t="s">
        <v>14</v>
      </c>
      <c r="E2809" s="1" t="s">
        <v>3379</v>
      </c>
      <c r="F2809" s="1" t="s">
        <v>3380</v>
      </c>
      <c r="G2809" s="1" t="s">
        <v>3379</v>
      </c>
      <c r="H2809" s="2" t="s">
        <v>3495</v>
      </c>
      <c r="I2809" s="1" t="s">
        <v>3496</v>
      </c>
      <c r="J2809" s="1" t="s">
        <v>52</v>
      </c>
      <c r="K2809" s="2" t="s">
        <v>3495</v>
      </c>
      <c r="L2809" s="5" t="s">
        <v>69</v>
      </c>
      <c r="M2809" s="5" t="s">
        <v>69</v>
      </c>
      <c r="N2809" s="1" t="s">
        <v>3468</v>
      </c>
      <c r="O2809" s="1" t="s">
        <v>46</v>
      </c>
      <c r="P2809" s="1" t="s">
        <v>46</v>
      </c>
      <c r="Q2809" s="1" t="s">
        <v>46</v>
      </c>
      <c r="R2809" s="5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5" t="s">
        <v>3786</v>
      </c>
      <c r="C2810" s="1" t="s">
        <v>3787</v>
      </c>
      <c r="D2810" s="1" t="s">
        <v>14</v>
      </c>
      <c r="E2810" s="1" t="s">
        <v>3668</v>
      </c>
      <c r="F2810" s="1" t="s">
        <v>3380</v>
      </c>
      <c r="G2810" s="1" t="s">
        <v>3668</v>
      </c>
      <c r="H2810" s="2" t="s">
        <v>3381</v>
      </c>
      <c r="I2810" s="1" t="s">
        <v>3688</v>
      </c>
      <c r="J2810" s="1" t="s">
        <v>52</v>
      </c>
      <c r="K2810" s="2" t="s">
        <v>3381</v>
      </c>
      <c r="L2810" s="5" t="s">
        <v>69</v>
      </c>
      <c r="M2810" s="5" t="s">
        <v>69</v>
      </c>
      <c r="N2810" s="1" t="s">
        <v>3383</v>
      </c>
      <c r="O2810" s="1" t="s">
        <v>3780</v>
      </c>
      <c r="P2810" s="1" t="s">
        <v>3385</v>
      </c>
      <c r="Q2810" s="1" t="s">
        <v>3385</v>
      </c>
      <c r="R2810" s="1" t="s">
        <v>46</v>
      </c>
      <c r="S2810" s="1" t="s">
        <v>69</v>
      </c>
      <c r="T2810" s="1" t="s">
        <v>69</v>
      </c>
      <c r="U2810" s="1" t="s">
        <v>46</v>
      </c>
      <c r="V2810" s="1" t="n">
        <v>1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5" t="s">
        <v>3786</v>
      </c>
      <c r="C2811" s="1" t="s">
        <v>3787</v>
      </c>
      <c r="D2811" s="1" t="s">
        <v>14</v>
      </c>
      <c r="E2811" s="1" t="s">
        <v>3668</v>
      </c>
      <c r="F2811" s="1" t="s">
        <v>3380</v>
      </c>
      <c r="G2811" s="1" t="s">
        <v>3668</v>
      </c>
      <c r="H2811" s="2" t="s">
        <v>3386</v>
      </c>
      <c r="I2811" s="1" t="s">
        <v>3689</v>
      </c>
      <c r="J2811" s="1" t="s">
        <v>52</v>
      </c>
      <c r="K2811" s="2" t="s">
        <v>3386</v>
      </c>
      <c r="L2811" s="5" t="s">
        <v>69</v>
      </c>
      <c r="M2811" s="5" t="s">
        <v>69</v>
      </c>
      <c r="N2811" s="1" t="s">
        <v>3383</v>
      </c>
      <c r="O2811" s="1" t="s">
        <v>3780</v>
      </c>
      <c r="P2811" s="1" t="s">
        <v>3385</v>
      </c>
      <c r="Q2811" s="1" t="s">
        <v>3385</v>
      </c>
      <c r="R2811" s="1" t="s">
        <v>46</v>
      </c>
      <c r="S2811" s="1" t="s">
        <v>69</v>
      </c>
      <c r="T2811" s="1" t="s">
        <v>69</v>
      </c>
      <c r="U2811" s="1" t="s">
        <v>46</v>
      </c>
      <c r="V2811" s="1" t="n">
        <v>2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5" t="s">
        <v>3786</v>
      </c>
      <c r="C2812" s="1" t="s">
        <v>3787</v>
      </c>
      <c r="D2812" s="1" t="s">
        <v>14</v>
      </c>
      <c r="E2812" s="1" t="s">
        <v>3668</v>
      </c>
      <c r="F2812" s="1" t="s">
        <v>3380</v>
      </c>
      <c r="G2812" s="1" t="s">
        <v>3668</v>
      </c>
      <c r="H2812" s="2" t="s">
        <v>3388</v>
      </c>
      <c r="I2812" s="1" t="s">
        <v>3690</v>
      </c>
      <c r="J2812" s="1" t="s">
        <v>52</v>
      </c>
      <c r="K2812" s="2" t="s">
        <v>3388</v>
      </c>
      <c r="L2812" s="5" t="s">
        <v>69</v>
      </c>
      <c r="M2812" s="5" t="s">
        <v>69</v>
      </c>
      <c r="N2812" s="1" t="s">
        <v>3383</v>
      </c>
      <c r="O2812" s="1" t="s">
        <v>3780</v>
      </c>
      <c r="P2812" s="1" t="s">
        <v>3385</v>
      </c>
      <c r="Q2812" s="1" t="s">
        <v>3385</v>
      </c>
      <c r="R2812" s="1" t="s">
        <v>46</v>
      </c>
      <c r="S2812" s="1" t="s">
        <v>69</v>
      </c>
      <c r="T2812" s="1" t="s">
        <v>69</v>
      </c>
      <c r="U2812" s="1" t="s">
        <v>46</v>
      </c>
      <c r="V2812" s="1" t="n">
        <v>3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5" t="s">
        <v>3786</v>
      </c>
      <c r="C2813" s="1" t="s">
        <v>3787</v>
      </c>
      <c r="D2813" s="1" t="s">
        <v>14</v>
      </c>
      <c r="E2813" s="1" t="s">
        <v>3668</v>
      </c>
      <c r="F2813" s="1" t="s">
        <v>3380</v>
      </c>
      <c r="G2813" s="1" t="s">
        <v>3668</v>
      </c>
      <c r="H2813" s="2" t="s">
        <v>3390</v>
      </c>
      <c r="I2813" s="1" t="s">
        <v>3691</v>
      </c>
      <c r="J2813" s="1" t="s">
        <v>52</v>
      </c>
      <c r="K2813" s="2" t="s">
        <v>3390</v>
      </c>
      <c r="L2813" s="5" t="s">
        <v>69</v>
      </c>
      <c r="M2813" s="5" t="s">
        <v>69</v>
      </c>
      <c r="N2813" s="1" t="s">
        <v>3383</v>
      </c>
      <c r="O2813" s="1" t="s">
        <v>3780</v>
      </c>
      <c r="P2813" s="1" t="s">
        <v>3385</v>
      </c>
      <c r="Q2813" s="1" t="s">
        <v>3385</v>
      </c>
      <c r="R2813" s="1" t="s">
        <v>46</v>
      </c>
      <c r="S2813" s="1" t="s">
        <v>69</v>
      </c>
      <c r="T2813" s="1" t="s">
        <v>69</v>
      </c>
      <c r="U2813" s="1" t="s">
        <v>46</v>
      </c>
      <c r="V2813" s="1" t="n">
        <v>4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5" t="s">
        <v>3786</v>
      </c>
      <c r="C2814" s="1" t="s">
        <v>3787</v>
      </c>
      <c r="D2814" s="1" t="s">
        <v>14</v>
      </c>
      <c r="E2814" s="1" t="s">
        <v>3668</v>
      </c>
      <c r="F2814" s="1" t="s">
        <v>3380</v>
      </c>
      <c r="G2814" s="1" t="s">
        <v>3668</v>
      </c>
      <c r="H2814" s="2" t="s">
        <v>3392</v>
      </c>
      <c r="I2814" s="1" t="s">
        <v>3692</v>
      </c>
      <c r="J2814" s="1" t="s">
        <v>52</v>
      </c>
      <c r="K2814" s="2" t="s">
        <v>3392</v>
      </c>
      <c r="L2814" s="5" t="s">
        <v>69</v>
      </c>
      <c r="M2814" s="5" t="s">
        <v>69</v>
      </c>
      <c r="N2814" s="1" t="s">
        <v>3383</v>
      </c>
      <c r="O2814" s="1" t="s">
        <v>3780</v>
      </c>
      <c r="P2814" s="1" t="s">
        <v>3385</v>
      </c>
      <c r="Q2814" s="1" t="s">
        <v>3385</v>
      </c>
      <c r="R2814" s="1" t="s">
        <v>46</v>
      </c>
      <c r="S2814" s="1" t="s">
        <v>69</v>
      </c>
      <c r="T2814" s="1" t="s">
        <v>69</v>
      </c>
      <c r="U2814" s="1" t="s">
        <v>46</v>
      </c>
      <c r="V2814" s="1" t="n">
        <v>5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5" t="s">
        <v>3786</v>
      </c>
      <c r="C2815" s="1" t="s">
        <v>3787</v>
      </c>
      <c r="D2815" s="1" t="s">
        <v>14</v>
      </c>
      <c r="E2815" s="1" t="s">
        <v>3668</v>
      </c>
      <c r="F2815" s="1" t="s">
        <v>3380</v>
      </c>
      <c r="G2815" s="1" t="s">
        <v>3668</v>
      </c>
      <c r="H2815" s="2" t="s">
        <v>3394</v>
      </c>
      <c r="I2815" s="1" t="s">
        <v>3669</v>
      </c>
      <c r="J2815" s="1" t="s">
        <v>52</v>
      </c>
      <c r="K2815" s="2" t="s">
        <v>3394</v>
      </c>
      <c r="L2815" s="5" t="s">
        <v>69</v>
      </c>
      <c r="M2815" s="5" t="s">
        <v>69</v>
      </c>
      <c r="N2815" s="1" t="s">
        <v>3383</v>
      </c>
      <c r="O2815" s="1" t="s">
        <v>3780</v>
      </c>
      <c r="P2815" s="1" t="s">
        <v>3385</v>
      </c>
      <c r="Q2815" s="1" t="s">
        <v>3385</v>
      </c>
      <c r="R2815" s="1" t="s">
        <v>46</v>
      </c>
      <c r="S2815" s="1" t="s">
        <v>69</v>
      </c>
      <c r="T2815" s="1" t="s">
        <v>69</v>
      </c>
      <c r="U2815" s="1" t="s">
        <v>46</v>
      </c>
      <c r="V2815" s="1" t="n">
        <v>1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5" t="s">
        <v>3786</v>
      </c>
      <c r="C2816" s="1" t="s">
        <v>3787</v>
      </c>
      <c r="D2816" s="1" t="s">
        <v>14</v>
      </c>
      <c r="E2816" s="1" t="s">
        <v>3668</v>
      </c>
      <c r="F2816" s="1" t="s">
        <v>3380</v>
      </c>
      <c r="G2816" s="1" t="s">
        <v>3668</v>
      </c>
      <c r="H2816" s="2" t="s">
        <v>3397</v>
      </c>
      <c r="I2816" s="1" t="s">
        <v>3670</v>
      </c>
      <c r="J2816" s="1" t="s">
        <v>52</v>
      </c>
      <c r="K2816" s="2" t="s">
        <v>3397</v>
      </c>
      <c r="L2816" s="5" t="s">
        <v>69</v>
      </c>
      <c r="M2816" s="5" t="s">
        <v>69</v>
      </c>
      <c r="N2816" s="1" t="s">
        <v>3383</v>
      </c>
      <c r="O2816" s="1" t="s">
        <v>3780</v>
      </c>
      <c r="P2816" s="1" t="s">
        <v>3385</v>
      </c>
      <c r="Q2816" s="1" t="s">
        <v>3385</v>
      </c>
      <c r="R2816" s="1" t="s">
        <v>46</v>
      </c>
      <c r="S2816" s="1" t="s">
        <v>69</v>
      </c>
      <c r="T2816" s="1" t="s">
        <v>69</v>
      </c>
      <c r="U2816" s="1" t="s">
        <v>46</v>
      </c>
      <c r="V2816" s="1" t="n">
        <v>2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5" t="s">
        <v>3786</v>
      </c>
      <c r="C2817" s="1" t="s">
        <v>3787</v>
      </c>
      <c r="D2817" s="1" t="s">
        <v>14</v>
      </c>
      <c r="E2817" s="1" t="s">
        <v>3668</v>
      </c>
      <c r="F2817" s="1" t="s">
        <v>3380</v>
      </c>
      <c r="G2817" s="1" t="s">
        <v>3668</v>
      </c>
      <c r="H2817" s="2" t="s">
        <v>3399</v>
      </c>
      <c r="I2817" s="1" t="s">
        <v>3671</v>
      </c>
      <c r="J2817" s="1" t="s">
        <v>52</v>
      </c>
      <c r="K2817" s="2" t="s">
        <v>3399</v>
      </c>
      <c r="L2817" s="5" t="s">
        <v>69</v>
      </c>
      <c r="M2817" s="5" t="s">
        <v>69</v>
      </c>
      <c r="N2817" s="1" t="s">
        <v>3383</v>
      </c>
      <c r="O2817" s="1" t="s">
        <v>3780</v>
      </c>
      <c r="P2817" s="1" t="s">
        <v>3385</v>
      </c>
      <c r="Q2817" s="1" t="s">
        <v>3385</v>
      </c>
      <c r="R2817" s="1" t="s">
        <v>46</v>
      </c>
      <c r="S2817" s="1" t="s">
        <v>69</v>
      </c>
      <c r="T2817" s="1" t="s">
        <v>69</v>
      </c>
      <c r="U2817" s="1" t="s">
        <v>46</v>
      </c>
      <c r="V2817" s="1" t="n">
        <v>3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5" t="s">
        <v>3786</v>
      </c>
      <c r="C2818" s="1" t="s">
        <v>3787</v>
      </c>
      <c r="D2818" s="1" t="s">
        <v>14</v>
      </c>
      <c r="E2818" s="1" t="s">
        <v>3668</v>
      </c>
      <c r="F2818" s="1" t="s">
        <v>3380</v>
      </c>
      <c r="G2818" s="1" t="s">
        <v>3668</v>
      </c>
      <c r="H2818" s="2" t="s">
        <v>3401</v>
      </c>
      <c r="I2818" s="1" t="s">
        <v>3672</v>
      </c>
      <c r="J2818" s="1" t="s">
        <v>52</v>
      </c>
      <c r="K2818" s="2" t="s">
        <v>3401</v>
      </c>
      <c r="L2818" s="5" t="s">
        <v>69</v>
      </c>
      <c r="M2818" s="5" t="s">
        <v>69</v>
      </c>
      <c r="N2818" s="1" t="s">
        <v>3383</v>
      </c>
      <c r="O2818" s="1" t="s">
        <v>3780</v>
      </c>
      <c r="P2818" s="1" t="s">
        <v>3385</v>
      </c>
      <c r="Q2818" s="1" t="s">
        <v>3385</v>
      </c>
      <c r="R2818" s="1" t="s">
        <v>46</v>
      </c>
      <c r="S2818" s="1" t="s">
        <v>69</v>
      </c>
      <c r="T2818" s="1" t="s">
        <v>69</v>
      </c>
      <c r="U2818" s="1" t="s">
        <v>46</v>
      </c>
      <c r="V2818" s="1" t="n">
        <v>4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5" t="s">
        <v>3786</v>
      </c>
      <c r="C2819" s="1" t="s">
        <v>3787</v>
      </c>
      <c r="D2819" s="1" t="s">
        <v>14</v>
      </c>
      <c r="E2819" s="1" t="s">
        <v>3668</v>
      </c>
      <c r="F2819" s="1" t="s">
        <v>3380</v>
      </c>
      <c r="G2819" s="1" t="s">
        <v>3668</v>
      </c>
      <c r="H2819" s="2" t="s">
        <v>3403</v>
      </c>
      <c r="I2819" s="1" t="s">
        <v>3673</v>
      </c>
      <c r="J2819" s="1" t="s">
        <v>52</v>
      </c>
      <c r="K2819" s="2" t="s">
        <v>3403</v>
      </c>
      <c r="L2819" s="5" t="s">
        <v>69</v>
      </c>
      <c r="M2819" s="5" t="s">
        <v>69</v>
      </c>
      <c r="N2819" s="1" t="s">
        <v>3383</v>
      </c>
      <c r="O2819" s="1" t="s">
        <v>3780</v>
      </c>
      <c r="P2819" s="1" t="s">
        <v>3385</v>
      </c>
      <c r="Q2819" s="1" t="s">
        <v>3385</v>
      </c>
      <c r="R2819" s="1" t="s">
        <v>46</v>
      </c>
      <c r="S2819" s="1" t="s">
        <v>69</v>
      </c>
      <c r="T2819" s="1" t="s">
        <v>69</v>
      </c>
      <c r="U2819" s="1" t="s">
        <v>46</v>
      </c>
      <c r="V2819" s="1" t="n">
        <v>1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5" t="s">
        <v>3786</v>
      </c>
      <c r="C2820" s="1" t="s">
        <v>3787</v>
      </c>
      <c r="D2820" s="1" t="s">
        <v>14</v>
      </c>
      <c r="E2820" s="1" t="s">
        <v>3668</v>
      </c>
      <c r="F2820" s="1" t="s">
        <v>3380</v>
      </c>
      <c r="G2820" s="1" t="s">
        <v>3668</v>
      </c>
      <c r="H2820" s="2" t="s">
        <v>3405</v>
      </c>
      <c r="I2820" s="1" t="s">
        <v>3674</v>
      </c>
      <c r="J2820" s="1" t="s">
        <v>52</v>
      </c>
      <c r="K2820" s="2" t="s">
        <v>3405</v>
      </c>
      <c r="L2820" s="5" t="s">
        <v>69</v>
      </c>
      <c r="M2820" s="5" t="s">
        <v>69</v>
      </c>
      <c r="N2820" s="1" t="s">
        <v>3383</v>
      </c>
      <c r="O2820" s="1" t="s">
        <v>3780</v>
      </c>
      <c r="P2820" s="1" t="s">
        <v>3385</v>
      </c>
      <c r="Q2820" s="1" t="s">
        <v>3385</v>
      </c>
      <c r="R2820" s="1" t="s">
        <v>46</v>
      </c>
      <c r="S2820" s="1" t="s">
        <v>69</v>
      </c>
      <c r="T2820" s="1" t="s">
        <v>69</v>
      </c>
      <c r="U2820" s="1" t="s">
        <v>46</v>
      </c>
      <c r="V2820" s="1" t="n">
        <v>2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5" t="s">
        <v>3786</v>
      </c>
      <c r="C2821" s="1" t="s">
        <v>3787</v>
      </c>
      <c r="D2821" s="1" t="s">
        <v>14</v>
      </c>
      <c r="E2821" s="1" t="s">
        <v>3668</v>
      </c>
      <c r="F2821" s="1" t="s">
        <v>3380</v>
      </c>
      <c r="G2821" s="1" t="s">
        <v>3668</v>
      </c>
      <c r="H2821" s="2" t="s">
        <v>3408</v>
      </c>
      <c r="I2821" s="1" t="s">
        <v>3675</v>
      </c>
      <c r="J2821" s="1" t="s">
        <v>52</v>
      </c>
      <c r="K2821" s="2" t="s">
        <v>3408</v>
      </c>
      <c r="L2821" s="5" t="s">
        <v>69</v>
      </c>
      <c r="M2821" s="5" t="s">
        <v>69</v>
      </c>
      <c r="N2821" s="1" t="s">
        <v>3383</v>
      </c>
      <c r="O2821" s="1" t="s">
        <v>3780</v>
      </c>
      <c r="P2821" s="1" t="s">
        <v>3385</v>
      </c>
      <c r="Q2821" s="1" t="s">
        <v>3385</v>
      </c>
      <c r="R2821" s="1" t="s">
        <v>46</v>
      </c>
      <c r="S2821" s="1" t="s">
        <v>69</v>
      </c>
      <c r="T2821" s="1" t="s">
        <v>69</v>
      </c>
      <c r="U2821" s="1" t="s">
        <v>46</v>
      </c>
      <c r="V2821" s="1" t="n">
        <v>3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5" t="s">
        <v>3786</v>
      </c>
      <c r="C2822" s="1" t="s">
        <v>3787</v>
      </c>
      <c r="D2822" s="1" t="s">
        <v>14</v>
      </c>
      <c r="E2822" s="1" t="s">
        <v>3668</v>
      </c>
      <c r="F2822" s="1" t="s">
        <v>3380</v>
      </c>
      <c r="G2822" s="1" t="s">
        <v>3668</v>
      </c>
      <c r="H2822" s="2" t="s">
        <v>3410</v>
      </c>
      <c r="I2822" s="1" t="s">
        <v>3676</v>
      </c>
      <c r="J2822" s="1" t="s">
        <v>52</v>
      </c>
      <c r="K2822" s="2" t="s">
        <v>3410</v>
      </c>
      <c r="L2822" s="5" t="s">
        <v>69</v>
      </c>
      <c r="M2822" s="5" t="s">
        <v>69</v>
      </c>
      <c r="N2822" s="1" t="s">
        <v>3383</v>
      </c>
      <c r="O2822" s="1" t="s">
        <v>3780</v>
      </c>
      <c r="P2822" s="1" t="s">
        <v>3385</v>
      </c>
      <c r="Q2822" s="1" t="s">
        <v>3385</v>
      </c>
      <c r="R2822" s="1" t="s">
        <v>46</v>
      </c>
      <c r="S2822" s="1" t="s">
        <v>69</v>
      </c>
      <c r="T2822" s="1" t="s">
        <v>69</v>
      </c>
      <c r="U2822" s="1" t="s">
        <v>46</v>
      </c>
      <c r="V2822" s="1" t="n">
        <v>4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5" t="s">
        <v>3786</v>
      </c>
      <c r="C2823" s="1" t="s">
        <v>3787</v>
      </c>
      <c r="D2823" s="1" t="s">
        <v>14</v>
      </c>
      <c r="E2823" s="1" t="s">
        <v>3668</v>
      </c>
      <c r="F2823" s="1" t="s">
        <v>3380</v>
      </c>
      <c r="G2823" s="1" t="s">
        <v>3668</v>
      </c>
      <c r="H2823" s="2" t="s">
        <v>3412</v>
      </c>
      <c r="I2823" s="1" t="s">
        <v>3677</v>
      </c>
      <c r="J2823" s="1" t="s">
        <v>52</v>
      </c>
      <c r="K2823" s="2" t="s">
        <v>3412</v>
      </c>
      <c r="L2823" s="5" t="s">
        <v>69</v>
      </c>
      <c r="M2823" s="5" t="s">
        <v>69</v>
      </c>
      <c r="N2823" s="1" t="s">
        <v>3383</v>
      </c>
      <c r="O2823" s="1" t="s">
        <v>3780</v>
      </c>
      <c r="P2823" s="1" t="s">
        <v>3385</v>
      </c>
      <c r="Q2823" s="1" t="s">
        <v>3385</v>
      </c>
      <c r="R2823" s="1" t="s">
        <v>46</v>
      </c>
      <c r="S2823" s="1" t="s">
        <v>69</v>
      </c>
      <c r="T2823" s="1" t="s">
        <v>69</v>
      </c>
      <c r="U2823" s="1" t="s">
        <v>46</v>
      </c>
      <c r="V2823" s="1" t="n">
        <v>5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5" t="s">
        <v>3786</v>
      </c>
      <c r="C2824" s="1" t="s">
        <v>3787</v>
      </c>
      <c r="D2824" s="1" t="s">
        <v>14</v>
      </c>
      <c r="E2824" s="1" t="s">
        <v>3668</v>
      </c>
      <c r="F2824" s="1" t="s">
        <v>3380</v>
      </c>
      <c r="G2824" s="1" t="s">
        <v>3668</v>
      </c>
      <c r="H2824" s="2" t="s">
        <v>3414</v>
      </c>
      <c r="I2824" s="1" t="s">
        <v>3678</v>
      </c>
      <c r="J2824" s="1" t="s">
        <v>52</v>
      </c>
      <c r="K2824" s="2" t="s">
        <v>3414</v>
      </c>
      <c r="L2824" s="5" t="s">
        <v>69</v>
      </c>
      <c r="M2824" s="5" t="s">
        <v>69</v>
      </c>
      <c r="N2824" s="1" t="s">
        <v>3383</v>
      </c>
      <c r="O2824" s="1" t="s">
        <v>3780</v>
      </c>
      <c r="P2824" s="1" t="s">
        <v>3385</v>
      </c>
      <c r="Q2824" s="1" t="s">
        <v>3385</v>
      </c>
      <c r="R2824" s="1" t="s">
        <v>46</v>
      </c>
      <c r="S2824" s="1" t="s">
        <v>69</v>
      </c>
      <c r="T2824" s="1" t="s">
        <v>69</v>
      </c>
      <c r="U2824" s="1" t="s">
        <v>46</v>
      </c>
      <c r="V2824" s="1" t="n">
        <v>1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5" t="s">
        <v>3786</v>
      </c>
      <c r="C2825" s="1" t="s">
        <v>3787</v>
      </c>
      <c r="D2825" s="1" t="s">
        <v>14</v>
      </c>
      <c r="E2825" s="1" t="s">
        <v>3668</v>
      </c>
      <c r="F2825" s="1" t="s">
        <v>3380</v>
      </c>
      <c r="G2825" s="1" t="s">
        <v>3668</v>
      </c>
      <c r="H2825" s="2" t="s">
        <v>3417</v>
      </c>
      <c r="I2825" s="1" t="s">
        <v>3679</v>
      </c>
      <c r="J2825" s="1" t="s">
        <v>52</v>
      </c>
      <c r="K2825" s="2" t="s">
        <v>3417</v>
      </c>
      <c r="L2825" s="5" t="s">
        <v>69</v>
      </c>
      <c r="M2825" s="5" t="s">
        <v>69</v>
      </c>
      <c r="N2825" s="1" t="s">
        <v>3383</v>
      </c>
      <c r="O2825" s="1" t="s">
        <v>3780</v>
      </c>
      <c r="P2825" s="1" t="s">
        <v>3385</v>
      </c>
      <c r="Q2825" s="1" t="s">
        <v>3385</v>
      </c>
      <c r="R2825" s="1" t="s">
        <v>46</v>
      </c>
      <c r="S2825" s="1" t="s">
        <v>69</v>
      </c>
      <c r="T2825" s="1" t="s">
        <v>69</v>
      </c>
      <c r="U2825" s="1" t="s">
        <v>46</v>
      </c>
      <c r="V2825" s="1" t="n">
        <v>2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5" t="s">
        <v>3786</v>
      </c>
      <c r="C2826" s="1" t="s">
        <v>3787</v>
      </c>
      <c r="D2826" s="1" t="s">
        <v>14</v>
      </c>
      <c r="E2826" s="1" t="s">
        <v>3668</v>
      </c>
      <c r="F2826" s="1" t="s">
        <v>3380</v>
      </c>
      <c r="G2826" s="1" t="s">
        <v>3668</v>
      </c>
      <c r="H2826" s="2" t="s">
        <v>3419</v>
      </c>
      <c r="I2826" s="1" t="s">
        <v>3680</v>
      </c>
      <c r="J2826" s="1" t="s">
        <v>52</v>
      </c>
      <c r="K2826" s="2" t="s">
        <v>3419</v>
      </c>
      <c r="L2826" s="5" t="s">
        <v>69</v>
      </c>
      <c r="M2826" s="5" t="s">
        <v>69</v>
      </c>
      <c r="N2826" s="1" t="s">
        <v>3383</v>
      </c>
      <c r="O2826" s="1" t="s">
        <v>3780</v>
      </c>
      <c r="P2826" s="1" t="s">
        <v>3385</v>
      </c>
      <c r="Q2826" s="1" t="s">
        <v>3385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3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5" t="s">
        <v>3786</v>
      </c>
      <c r="C2827" s="1" t="s">
        <v>3787</v>
      </c>
      <c r="D2827" s="1" t="s">
        <v>14</v>
      </c>
      <c r="E2827" s="1" t="s">
        <v>3668</v>
      </c>
      <c r="F2827" s="1" t="s">
        <v>3380</v>
      </c>
      <c r="G2827" s="1" t="s">
        <v>3668</v>
      </c>
      <c r="H2827" s="2" t="s">
        <v>3421</v>
      </c>
      <c r="I2827" s="1" t="s">
        <v>3681</v>
      </c>
      <c r="J2827" s="1" t="s">
        <v>52</v>
      </c>
      <c r="K2827" s="2" t="s">
        <v>3421</v>
      </c>
      <c r="L2827" s="5" t="s">
        <v>69</v>
      </c>
      <c r="M2827" s="5" t="s">
        <v>69</v>
      </c>
      <c r="N2827" s="1" t="s">
        <v>3383</v>
      </c>
      <c r="O2827" s="1" t="s">
        <v>3780</v>
      </c>
      <c r="P2827" s="1" t="s">
        <v>3385</v>
      </c>
      <c r="Q2827" s="1" t="s">
        <v>3385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4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5" t="s">
        <v>3786</v>
      </c>
      <c r="C2828" s="1" t="s">
        <v>3787</v>
      </c>
      <c r="D2828" s="1" t="s">
        <v>14</v>
      </c>
      <c r="E2828" s="1" t="s">
        <v>3668</v>
      </c>
      <c r="F2828" s="1" t="s">
        <v>3380</v>
      </c>
      <c r="G2828" s="1" t="s">
        <v>3668</v>
      </c>
      <c r="H2828" s="2" t="s">
        <v>3423</v>
      </c>
      <c r="I2828" s="1" t="s">
        <v>3682</v>
      </c>
      <c r="J2828" s="1" t="s">
        <v>52</v>
      </c>
      <c r="K2828" s="2" t="s">
        <v>3423</v>
      </c>
      <c r="L2828" s="5" t="s">
        <v>69</v>
      </c>
      <c r="M2828" s="5" t="s">
        <v>69</v>
      </c>
      <c r="N2828" s="1" t="s">
        <v>3383</v>
      </c>
      <c r="O2828" s="1" t="s">
        <v>3780</v>
      </c>
      <c r="P2828" s="1" t="s">
        <v>3385</v>
      </c>
      <c r="Q2828" s="1" t="s">
        <v>3385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5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5" t="s">
        <v>3786</v>
      </c>
      <c r="C2829" s="1" t="s">
        <v>3787</v>
      </c>
      <c r="D2829" s="1" t="s">
        <v>14</v>
      </c>
      <c r="E2829" s="1" t="s">
        <v>3668</v>
      </c>
      <c r="F2829" s="1" t="s">
        <v>3380</v>
      </c>
      <c r="G2829" s="1" t="s">
        <v>3668</v>
      </c>
      <c r="H2829" s="2" t="s">
        <v>3425</v>
      </c>
      <c r="I2829" s="1" t="s">
        <v>3683</v>
      </c>
      <c r="J2829" s="1" t="s">
        <v>52</v>
      </c>
      <c r="K2829" s="2" t="s">
        <v>3425</v>
      </c>
      <c r="L2829" s="5" t="s">
        <v>69</v>
      </c>
      <c r="M2829" s="5" t="s">
        <v>69</v>
      </c>
      <c r="N2829" s="1" t="s">
        <v>3383</v>
      </c>
      <c r="O2829" s="1" t="s">
        <v>3780</v>
      </c>
      <c r="P2829" s="1" t="s">
        <v>3385</v>
      </c>
      <c r="Q2829" s="1" t="s">
        <v>3385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1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5" t="s">
        <v>3786</v>
      </c>
      <c r="C2830" s="1" t="s">
        <v>3787</v>
      </c>
      <c r="D2830" s="1" t="s">
        <v>14</v>
      </c>
      <c r="E2830" s="1" t="s">
        <v>3668</v>
      </c>
      <c r="F2830" s="1" t="s">
        <v>3380</v>
      </c>
      <c r="G2830" s="1" t="s">
        <v>3668</v>
      </c>
      <c r="H2830" s="2" t="s">
        <v>3428</v>
      </c>
      <c r="I2830" s="1" t="s">
        <v>3684</v>
      </c>
      <c r="J2830" s="1" t="s">
        <v>52</v>
      </c>
      <c r="K2830" s="2" t="s">
        <v>3428</v>
      </c>
      <c r="L2830" s="5" t="s">
        <v>69</v>
      </c>
      <c r="M2830" s="5" t="s">
        <v>69</v>
      </c>
      <c r="N2830" s="1" t="s">
        <v>3383</v>
      </c>
      <c r="O2830" s="1" t="s">
        <v>3780</v>
      </c>
      <c r="P2830" s="1" t="s">
        <v>3385</v>
      </c>
      <c r="Q2830" s="1" t="s">
        <v>3385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2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5" t="s">
        <v>3786</v>
      </c>
      <c r="C2831" s="1" t="s">
        <v>3787</v>
      </c>
      <c r="D2831" s="1" t="s">
        <v>14</v>
      </c>
      <c r="E2831" s="1" t="s">
        <v>3668</v>
      </c>
      <c r="F2831" s="1" t="s">
        <v>3380</v>
      </c>
      <c r="G2831" s="1" t="s">
        <v>3668</v>
      </c>
      <c r="H2831" s="2" t="s">
        <v>3430</v>
      </c>
      <c r="I2831" s="1" t="s">
        <v>3685</v>
      </c>
      <c r="J2831" s="1" t="s">
        <v>52</v>
      </c>
      <c r="K2831" s="2" t="s">
        <v>3430</v>
      </c>
      <c r="L2831" s="5" t="s">
        <v>69</v>
      </c>
      <c r="M2831" s="5" t="s">
        <v>69</v>
      </c>
      <c r="N2831" s="1" t="s">
        <v>3383</v>
      </c>
      <c r="O2831" s="1" t="s">
        <v>3780</v>
      </c>
      <c r="P2831" s="1" t="s">
        <v>3385</v>
      </c>
      <c r="Q2831" s="1" t="s">
        <v>3385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3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5" t="s">
        <v>3786</v>
      </c>
      <c r="C2832" s="1" t="s">
        <v>3787</v>
      </c>
      <c r="D2832" s="1" t="s">
        <v>14</v>
      </c>
      <c r="E2832" s="1" t="s">
        <v>3668</v>
      </c>
      <c r="F2832" s="1" t="s">
        <v>3380</v>
      </c>
      <c r="G2832" s="1" t="s">
        <v>3668</v>
      </c>
      <c r="H2832" s="2" t="s">
        <v>3432</v>
      </c>
      <c r="I2832" s="1" t="s">
        <v>3686</v>
      </c>
      <c r="J2832" s="1" t="s">
        <v>52</v>
      </c>
      <c r="K2832" s="2" t="s">
        <v>3432</v>
      </c>
      <c r="L2832" s="5" t="s">
        <v>69</v>
      </c>
      <c r="M2832" s="5" t="s">
        <v>69</v>
      </c>
      <c r="N2832" s="1" t="s">
        <v>3383</v>
      </c>
      <c r="O2832" s="1" t="s">
        <v>3780</v>
      </c>
      <c r="P2832" s="1" t="s">
        <v>3385</v>
      </c>
      <c r="Q2832" s="1" t="s">
        <v>3385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4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5" t="s">
        <v>3786</v>
      </c>
      <c r="C2833" s="1" t="s">
        <v>3787</v>
      </c>
      <c r="D2833" s="1" t="s">
        <v>14</v>
      </c>
      <c r="E2833" s="1" t="s">
        <v>3668</v>
      </c>
      <c r="F2833" s="1" t="s">
        <v>3380</v>
      </c>
      <c r="G2833" s="1" t="s">
        <v>3668</v>
      </c>
      <c r="H2833" s="2" t="s">
        <v>3434</v>
      </c>
      <c r="I2833" s="1" t="s">
        <v>3687</v>
      </c>
      <c r="J2833" s="1" t="s">
        <v>52</v>
      </c>
      <c r="K2833" s="2" t="s">
        <v>3434</v>
      </c>
      <c r="L2833" s="5" t="s">
        <v>69</v>
      </c>
      <c r="M2833" s="5" t="s">
        <v>69</v>
      </c>
      <c r="N2833" s="1" t="s">
        <v>3383</v>
      </c>
      <c r="O2833" s="1" t="s">
        <v>3780</v>
      </c>
      <c r="P2833" s="1" t="s">
        <v>3385</v>
      </c>
      <c r="Q2833" s="1" t="s">
        <v>3385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5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5" t="s">
        <v>3786</v>
      </c>
      <c r="C2834" s="1" t="s">
        <v>3787</v>
      </c>
      <c r="D2834" s="1" t="s">
        <v>14</v>
      </c>
      <c r="E2834" s="1" t="s">
        <v>3668</v>
      </c>
      <c r="F2834" s="1" t="s">
        <v>3380</v>
      </c>
      <c r="G2834" s="1" t="s">
        <v>3668</v>
      </c>
      <c r="H2834" s="1" t="s">
        <v>3499</v>
      </c>
      <c r="I2834" s="1" t="s">
        <v>3725</v>
      </c>
      <c r="J2834" s="1" t="s">
        <v>52</v>
      </c>
      <c r="K2834" s="1" t="s">
        <v>3499</v>
      </c>
      <c r="L2834" s="36" t="s">
        <v>69</v>
      </c>
      <c r="M2834" s="1" t="s">
        <v>69</v>
      </c>
      <c r="N2834" s="1" t="s">
        <v>3383</v>
      </c>
      <c r="O2834" s="1" t="s">
        <v>3781</v>
      </c>
      <c r="P2834" s="1" t="s">
        <v>3385</v>
      </c>
      <c r="Q2834" s="1" t="s">
        <v>3385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1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5" t="s">
        <v>3786</v>
      </c>
      <c r="C2835" s="1" t="s">
        <v>3787</v>
      </c>
      <c r="D2835" s="1" t="s">
        <v>14</v>
      </c>
      <c r="E2835" s="1" t="s">
        <v>3668</v>
      </c>
      <c r="F2835" s="1" t="s">
        <v>3380</v>
      </c>
      <c r="G2835" s="1" t="s">
        <v>3668</v>
      </c>
      <c r="H2835" s="1" t="s">
        <v>3502</v>
      </c>
      <c r="I2835" s="1" t="s">
        <v>3726</v>
      </c>
      <c r="J2835" s="1" t="s">
        <v>52</v>
      </c>
      <c r="K2835" s="1" t="s">
        <v>3502</v>
      </c>
      <c r="L2835" s="36" t="s">
        <v>69</v>
      </c>
      <c r="M2835" s="1" t="s">
        <v>69</v>
      </c>
      <c r="N2835" s="1" t="s">
        <v>3383</v>
      </c>
      <c r="O2835" s="1" t="s">
        <v>3781</v>
      </c>
      <c r="P2835" s="1" t="s">
        <v>3385</v>
      </c>
      <c r="Q2835" s="1" t="s">
        <v>3385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2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5" t="s">
        <v>3786</v>
      </c>
      <c r="C2836" s="1" t="s">
        <v>3787</v>
      </c>
      <c r="D2836" s="1" t="s">
        <v>14</v>
      </c>
      <c r="E2836" s="1" t="s">
        <v>3668</v>
      </c>
      <c r="F2836" s="1" t="s">
        <v>3380</v>
      </c>
      <c r="G2836" s="1" t="s">
        <v>3668</v>
      </c>
      <c r="H2836" s="1" t="s">
        <v>3504</v>
      </c>
      <c r="I2836" s="1" t="s">
        <v>3727</v>
      </c>
      <c r="J2836" s="1" t="s">
        <v>52</v>
      </c>
      <c r="K2836" s="1" t="s">
        <v>3504</v>
      </c>
      <c r="L2836" s="36" t="s">
        <v>69</v>
      </c>
      <c r="M2836" s="1" t="s">
        <v>69</v>
      </c>
      <c r="N2836" s="1" t="s">
        <v>3383</v>
      </c>
      <c r="O2836" s="1" t="s">
        <v>3781</v>
      </c>
      <c r="P2836" s="1" t="s">
        <v>3385</v>
      </c>
      <c r="Q2836" s="1" t="s">
        <v>3385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3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5" t="s">
        <v>3786</v>
      </c>
      <c r="C2837" s="1" t="s">
        <v>3787</v>
      </c>
      <c r="D2837" s="1" t="s">
        <v>14</v>
      </c>
      <c r="E2837" s="1" t="s">
        <v>3668</v>
      </c>
      <c r="F2837" s="1" t="s">
        <v>3380</v>
      </c>
      <c r="G2837" s="1" t="s">
        <v>3668</v>
      </c>
      <c r="H2837" s="1" t="s">
        <v>3506</v>
      </c>
      <c r="I2837" s="1" t="s">
        <v>3728</v>
      </c>
      <c r="J2837" s="1" t="s">
        <v>52</v>
      </c>
      <c r="K2837" s="1" t="s">
        <v>3506</v>
      </c>
      <c r="L2837" s="36" t="s">
        <v>69</v>
      </c>
      <c r="M2837" s="1" t="s">
        <v>69</v>
      </c>
      <c r="N2837" s="1" t="s">
        <v>3383</v>
      </c>
      <c r="O2837" s="1" t="s">
        <v>3781</v>
      </c>
      <c r="P2837" s="1" t="s">
        <v>3385</v>
      </c>
      <c r="Q2837" s="1" t="s">
        <v>3385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4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5" t="s">
        <v>3786</v>
      </c>
      <c r="C2838" s="1" t="s">
        <v>3787</v>
      </c>
      <c r="D2838" s="1" t="s">
        <v>14</v>
      </c>
      <c r="E2838" s="1" t="s">
        <v>3668</v>
      </c>
      <c r="F2838" s="1" t="s">
        <v>3380</v>
      </c>
      <c r="G2838" s="1" t="s">
        <v>3668</v>
      </c>
      <c r="H2838" s="1" t="s">
        <v>3508</v>
      </c>
      <c r="I2838" s="1" t="s">
        <v>3729</v>
      </c>
      <c r="J2838" s="1" t="s">
        <v>52</v>
      </c>
      <c r="K2838" s="1" t="s">
        <v>3508</v>
      </c>
      <c r="L2838" s="36" t="s">
        <v>69</v>
      </c>
      <c r="M2838" s="1" t="s">
        <v>69</v>
      </c>
      <c r="N2838" s="1" t="s">
        <v>3383</v>
      </c>
      <c r="O2838" s="1" t="s">
        <v>3781</v>
      </c>
      <c r="P2838" s="1" t="s">
        <v>3385</v>
      </c>
      <c r="Q2838" s="1" t="s">
        <v>3385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5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5" t="s">
        <v>3786</v>
      </c>
      <c r="C2839" s="1" t="s">
        <v>3787</v>
      </c>
      <c r="D2839" s="1" t="s">
        <v>14</v>
      </c>
      <c r="E2839" s="1" t="s">
        <v>3668</v>
      </c>
      <c r="F2839" s="1" t="s">
        <v>3380</v>
      </c>
      <c r="G2839" s="1" t="s">
        <v>3668</v>
      </c>
      <c r="H2839" s="1" t="s">
        <v>3510</v>
      </c>
      <c r="I2839" s="1" t="s">
        <v>3730</v>
      </c>
      <c r="J2839" s="1" t="s">
        <v>52</v>
      </c>
      <c r="K2839" s="1" t="s">
        <v>3510</v>
      </c>
      <c r="L2839" s="36" t="s">
        <v>69</v>
      </c>
      <c r="M2839" s="1" t="s">
        <v>69</v>
      </c>
      <c r="N2839" s="1" t="s">
        <v>3383</v>
      </c>
      <c r="O2839" s="1" t="s">
        <v>3781</v>
      </c>
      <c r="P2839" s="1" t="s">
        <v>3385</v>
      </c>
      <c r="Q2839" s="1" t="s">
        <v>3385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1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5" t="s">
        <v>3786</v>
      </c>
      <c r="C2840" s="1" t="s">
        <v>3787</v>
      </c>
      <c r="D2840" s="1" t="s">
        <v>14</v>
      </c>
      <c r="E2840" s="1" t="s">
        <v>3668</v>
      </c>
      <c r="F2840" s="1" t="s">
        <v>3380</v>
      </c>
      <c r="G2840" s="1" t="s">
        <v>3668</v>
      </c>
      <c r="H2840" s="2" t="s">
        <v>3513</v>
      </c>
      <c r="I2840" s="1" t="s">
        <v>3731</v>
      </c>
      <c r="J2840" s="1" t="s">
        <v>52</v>
      </c>
      <c r="K2840" s="1" t="s">
        <v>3513</v>
      </c>
      <c r="L2840" s="36" t="s">
        <v>69</v>
      </c>
      <c r="M2840" s="1" t="s">
        <v>69</v>
      </c>
      <c r="N2840" s="1" t="s">
        <v>3383</v>
      </c>
      <c r="O2840" s="1" t="s">
        <v>3781</v>
      </c>
      <c r="P2840" s="1" t="s">
        <v>3385</v>
      </c>
      <c r="Q2840" s="1" t="s">
        <v>3385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2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5" t="s">
        <v>3786</v>
      </c>
      <c r="C2841" s="1" t="s">
        <v>3787</v>
      </c>
      <c r="D2841" s="1" t="s">
        <v>14</v>
      </c>
      <c r="E2841" s="1" t="s">
        <v>3668</v>
      </c>
      <c r="F2841" s="1" t="s">
        <v>3380</v>
      </c>
      <c r="G2841" s="1" t="s">
        <v>3668</v>
      </c>
      <c r="H2841" s="2" t="s">
        <v>3515</v>
      </c>
      <c r="I2841" s="1" t="s">
        <v>3732</v>
      </c>
      <c r="J2841" s="1" t="s">
        <v>52</v>
      </c>
      <c r="K2841" s="1" t="s">
        <v>3515</v>
      </c>
      <c r="L2841" s="36" t="s">
        <v>69</v>
      </c>
      <c r="M2841" s="1" t="s">
        <v>69</v>
      </c>
      <c r="N2841" s="1" t="s">
        <v>3383</v>
      </c>
      <c r="O2841" s="1" t="s">
        <v>3781</v>
      </c>
      <c r="P2841" s="1" t="s">
        <v>3385</v>
      </c>
      <c r="Q2841" s="1" t="s">
        <v>3385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3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5" t="s">
        <v>3786</v>
      </c>
      <c r="C2842" s="1" t="s">
        <v>3787</v>
      </c>
      <c r="D2842" s="1" t="s">
        <v>14</v>
      </c>
      <c r="E2842" s="1" t="s">
        <v>3668</v>
      </c>
      <c r="F2842" s="1" t="s">
        <v>3380</v>
      </c>
      <c r="G2842" s="1" t="s">
        <v>3668</v>
      </c>
      <c r="H2842" s="2" t="s">
        <v>3517</v>
      </c>
      <c r="I2842" s="1" t="s">
        <v>3733</v>
      </c>
      <c r="J2842" s="1" t="s">
        <v>52</v>
      </c>
      <c r="K2842" s="1" t="s">
        <v>3517</v>
      </c>
      <c r="L2842" s="36" t="s">
        <v>69</v>
      </c>
      <c r="M2842" s="1" t="s">
        <v>69</v>
      </c>
      <c r="N2842" s="1" t="s">
        <v>3383</v>
      </c>
      <c r="O2842" s="1" t="s">
        <v>3781</v>
      </c>
      <c r="P2842" s="1" t="s">
        <v>3385</v>
      </c>
      <c r="Q2842" s="1" t="s">
        <v>3385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4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5" t="s">
        <v>3786</v>
      </c>
      <c r="C2843" s="1" t="s">
        <v>3787</v>
      </c>
      <c r="D2843" s="1" t="s">
        <v>14</v>
      </c>
      <c r="E2843" s="1" t="s">
        <v>3668</v>
      </c>
      <c r="F2843" s="1" t="s">
        <v>3380</v>
      </c>
      <c r="G2843" s="1" t="s">
        <v>3668</v>
      </c>
      <c r="H2843" s="2" t="s">
        <v>3519</v>
      </c>
      <c r="I2843" s="1" t="s">
        <v>3734</v>
      </c>
      <c r="J2843" s="1" t="s">
        <v>52</v>
      </c>
      <c r="K2843" s="1" t="s">
        <v>3519</v>
      </c>
      <c r="L2843" s="36" t="s">
        <v>69</v>
      </c>
      <c r="M2843" s="1" t="s">
        <v>69</v>
      </c>
      <c r="N2843" s="1" t="s">
        <v>3383</v>
      </c>
      <c r="O2843" s="1" t="s">
        <v>3781</v>
      </c>
      <c r="P2843" s="1" t="s">
        <v>3385</v>
      </c>
      <c r="Q2843" s="1" t="s">
        <v>3385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1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5" t="s">
        <v>3786</v>
      </c>
      <c r="C2844" s="1" t="s">
        <v>3787</v>
      </c>
      <c r="D2844" s="1" t="s">
        <v>14</v>
      </c>
      <c r="E2844" s="1" t="s">
        <v>3668</v>
      </c>
      <c r="F2844" s="1" t="s">
        <v>3380</v>
      </c>
      <c r="G2844" s="1" t="s">
        <v>3668</v>
      </c>
      <c r="H2844" s="2" t="s">
        <v>3522</v>
      </c>
      <c r="I2844" s="1" t="s">
        <v>3735</v>
      </c>
      <c r="J2844" s="1" t="s">
        <v>52</v>
      </c>
      <c r="K2844" s="1" t="s">
        <v>3522</v>
      </c>
      <c r="L2844" s="36" t="s">
        <v>69</v>
      </c>
      <c r="M2844" s="1" t="s">
        <v>69</v>
      </c>
      <c r="N2844" s="1" t="s">
        <v>3383</v>
      </c>
      <c r="O2844" s="1" t="s">
        <v>3781</v>
      </c>
      <c r="P2844" s="1" t="s">
        <v>3385</v>
      </c>
      <c r="Q2844" s="1" t="s">
        <v>3385</v>
      </c>
      <c r="R2844" s="1" t="s">
        <v>46</v>
      </c>
      <c r="S2844" s="1" t="s">
        <v>69</v>
      </c>
      <c r="T2844" s="1" t="s">
        <v>69</v>
      </c>
      <c r="U2844" s="1" t="s">
        <v>46</v>
      </c>
      <c r="V2844" s="1" t="n">
        <v>2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5" t="s">
        <v>3786</v>
      </c>
      <c r="C2845" s="1" t="s">
        <v>3787</v>
      </c>
      <c r="D2845" s="1" t="s">
        <v>14</v>
      </c>
      <c r="E2845" s="1" t="s">
        <v>3668</v>
      </c>
      <c r="F2845" s="1" t="s">
        <v>3380</v>
      </c>
      <c r="G2845" s="1" t="s">
        <v>3668</v>
      </c>
      <c r="H2845" s="2" t="s">
        <v>3524</v>
      </c>
      <c r="I2845" s="1" t="s">
        <v>3736</v>
      </c>
      <c r="J2845" s="1" t="s">
        <v>52</v>
      </c>
      <c r="K2845" s="1" t="s">
        <v>3524</v>
      </c>
      <c r="L2845" s="36" t="s">
        <v>69</v>
      </c>
      <c r="M2845" s="1" t="s">
        <v>69</v>
      </c>
      <c r="N2845" s="1" t="s">
        <v>3383</v>
      </c>
      <c r="O2845" s="1" t="s">
        <v>3781</v>
      </c>
      <c r="P2845" s="1" t="s">
        <v>3385</v>
      </c>
      <c r="Q2845" s="1" t="s">
        <v>3385</v>
      </c>
      <c r="R2845" s="1" t="s">
        <v>46</v>
      </c>
      <c r="S2845" s="1" t="s">
        <v>69</v>
      </c>
      <c r="T2845" s="1" t="s">
        <v>69</v>
      </c>
      <c r="U2845" s="1" t="s">
        <v>46</v>
      </c>
      <c r="V2845" s="1" t="n">
        <v>3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5" t="s">
        <v>3786</v>
      </c>
      <c r="C2846" s="1" t="s">
        <v>3787</v>
      </c>
      <c r="D2846" s="1" t="s">
        <v>14</v>
      </c>
      <c r="E2846" s="1" t="s">
        <v>3668</v>
      </c>
      <c r="F2846" s="1" t="s">
        <v>3380</v>
      </c>
      <c r="G2846" s="1" t="s">
        <v>3668</v>
      </c>
      <c r="H2846" s="2" t="s">
        <v>3526</v>
      </c>
      <c r="I2846" s="1" t="s">
        <v>3737</v>
      </c>
      <c r="J2846" s="1" t="s">
        <v>52</v>
      </c>
      <c r="K2846" s="1" t="s">
        <v>3526</v>
      </c>
      <c r="L2846" s="36" t="s">
        <v>69</v>
      </c>
      <c r="M2846" s="1" t="s">
        <v>69</v>
      </c>
      <c r="N2846" s="1" t="s">
        <v>3383</v>
      </c>
      <c r="O2846" s="1" t="s">
        <v>3781</v>
      </c>
      <c r="P2846" s="1" t="s">
        <v>3385</v>
      </c>
      <c r="Q2846" s="1" t="s">
        <v>3385</v>
      </c>
      <c r="R2846" s="1" t="s">
        <v>46</v>
      </c>
      <c r="S2846" s="1" t="s">
        <v>69</v>
      </c>
      <c r="T2846" s="1" t="s">
        <v>69</v>
      </c>
      <c r="U2846" s="1" t="s">
        <v>46</v>
      </c>
      <c r="V2846" s="1" t="n">
        <v>4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5" t="s">
        <v>3786</v>
      </c>
      <c r="C2847" s="1" t="s">
        <v>3787</v>
      </c>
      <c r="D2847" s="1" t="s">
        <v>14</v>
      </c>
      <c r="E2847" s="1" t="s">
        <v>3668</v>
      </c>
      <c r="F2847" s="1" t="s">
        <v>3380</v>
      </c>
      <c r="G2847" s="1" t="s">
        <v>3668</v>
      </c>
      <c r="H2847" s="2" t="s">
        <v>3528</v>
      </c>
      <c r="I2847" s="1" t="s">
        <v>3738</v>
      </c>
      <c r="J2847" s="1" t="s">
        <v>52</v>
      </c>
      <c r="K2847" s="1" t="s">
        <v>3528</v>
      </c>
      <c r="L2847" s="36" t="s">
        <v>69</v>
      </c>
      <c r="M2847" s="1" t="s">
        <v>69</v>
      </c>
      <c r="N2847" s="1" t="s">
        <v>3383</v>
      </c>
      <c r="O2847" s="1" t="s">
        <v>3781</v>
      </c>
      <c r="P2847" s="1" t="s">
        <v>3385</v>
      </c>
      <c r="Q2847" s="1" t="s">
        <v>3385</v>
      </c>
      <c r="R2847" s="1" t="s">
        <v>46</v>
      </c>
      <c r="S2847" s="1" t="s">
        <v>69</v>
      </c>
      <c r="T2847" s="1" t="s">
        <v>69</v>
      </c>
      <c r="U2847" s="1" t="s">
        <v>46</v>
      </c>
      <c r="V2847" s="1" t="n">
        <v>5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5" t="s">
        <v>3786</v>
      </c>
      <c r="C2848" s="1" t="s">
        <v>3787</v>
      </c>
      <c r="D2848" s="1" t="s">
        <v>14</v>
      </c>
      <c r="E2848" s="1" t="s">
        <v>3668</v>
      </c>
      <c r="F2848" s="1" t="s">
        <v>3380</v>
      </c>
      <c r="G2848" s="1" t="s">
        <v>3668</v>
      </c>
      <c r="H2848" s="2" t="s">
        <v>3530</v>
      </c>
      <c r="I2848" s="1" t="s">
        <v>3739</v>
      </c>
      <c r="J2848" s="1" t="s">
        <v>52</v>
      </c>
      <c r="K2848" s="1" t="s">
        <v>3530</v>
      </c>
      <c r="L2848" s="36" t="s">
        <v>69</v>
      </c>
      <c r="M2848" s="1" t="s">
        <v>69</v>
      </c>
      <c r="N2848" s="1" t="s">
        <v>3383</v>
      </c>
      <c r="O2848" s="1" t="s">
        <v>3781</v>
      </c>
      <c r="P2848" s="1" t="s">
        <v>3385</v>
      </c>
      <c r="Q2848" s="1" t="s">
        <v>3385</v>
      </c>
      <c r="R2848" s="1" t="s">
        <v>46</v>
      </c>
      <c r="S2848" s="1" t="s">
        <v>69</v>
      </c>
      <c r="T2848" s="1" t="s">
        <v>69</v>
      </c>
      <c r="U2848" s="1" t="s">
        <v>46</v>
      </c>
      <c r="V2848" s="1" t="n">
        <v>1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5" t="s">
        <v>3786</v>
      </c>
      <c r="C2849" s="1" t="s">
        <v>3787</v>
      </c>
      <c r="D2849" s="1" t="s">
        <v>14</v>
      </c>
      <c r="E2849" s="1" t="s">
        <v>3668</v>
      </c>
      <c r="F2849" s="1" t="s">
        <v>3380</v>
      </c>
      <c r="G2849" s="1" t="s">
        <v>3668</v>
      </c>
      <c r="H2849" s="2" t="s">
        <v>3533</v>
      </c>
      <c r="I2849" s="1" t="s">
        <v>3740</v>
      </c>
      <c r="J2849" s="1" t="s">
        <v>52</v>
      </c>
      <c r="K2849" s="1" t="s">
        <v>3533</v>
      </c>
      <c r="L2849" s="36" t="s">
        <v>69</v>
      </c>
      <c r="M2849" s="1" t="s">
        <v>69</v>
      </c>
      <c r="N2849" s="1" t="s">
        <v>3383</v>
      </c>
      <c r="O2849" s="1" t="s">
        <v>3781</v>
      </c>
      <c r="P2849" s="1" t="s">
        <v>3385</v>
      </c>
      <c r="Q2849" s="1" t="s">
        <v>3385</v>
      </c>
      <c r="R2849" s="1" t="s">
        <v>46</v>
      </c>
      <c r="S2849" s="1" t="s">
        <v>69</v>
      </c>
      <c r="T2849" s="1" t="s">
        <v>69</v>
      </c>
      <c r="U2849" s="1" t="s">
        <v>46</v>
      </c>
      <c r="V2849" s="1" t="n">
        <v>2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5" t="s">
        <v>3786</v>
      </c>
      <c r="C2850" s="1" t="s">
        <v>3787</v>
      </c>
      <c r="D2850" s="1" t="s">
        <v>14</v>
      </c>
      <c r="E2850" s="1" t="s">
        <v>3668</v>
      </c>
      <c r="F2850" s="1" t="s">
        <v>3380</v>
      </c>
      <c r="G2850" s="1" t="s">
        <v>3668</v>
      </c>
      <c r="H2850" s="2" t="s">
        <v>3535</v>
      </c>
      <c r="I2850" s="1" t="s">
        <v>3741</v>
      </c>
      <c r="J2850" s="1" t="s">
        <v>52</v>
      </c>
      <c r="K2850" s="1" t="s">
        <v>3535</v>
      </c>
      <c r="L2850" s="36" t="s">
        <v>69</v>
      </c>
      <c r="M2850" s="1" t="s">
        <v>69</v>
      </c>
      <c r="N2850" s="1" t="s">
        <v>3383</v>
      </c>
      <c r="O2850" s="1" t="s">
        <v>3781</v>
      </c>
      <c r="P2850" s="1" t="s">
        <v>3385</v>
      </c>
      <c r="Q2850" s="1" t="s">
        <v>3385</v>
      </c>
      <c r="R2850" s="1" t="s">
        <v>46</v>
      </c>
      <c r="S2850" s="1" t="s">
        <v>69</v>
      </c>
      <c r="T2850" s="1" t="s">
        <v>69</v>
      </c>
      <c r="U2850" s="1" t="s">
        <v>46</v>
      </c>
      <c r="V2850" s="1" t="n">
        <v>3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5" t="s">
        <v>3786</v>
      </c>
      <c r="C2851" s="1" t="s">
        <v>3787</v>
      </c>
      <c r="D2851" s="1" t="s">
        <v>14</v>
      </c>
      <c r="E2851" s="1" t="s">
        <v>3668</v>
      </c>
      <c r="F2851" s="1" t="s">
        <v>3380</v>
      </c>
      <c r="G2851" s="1" t="s">
        <v>3668</v>
      </c>
      <c r="H2851" s="2" t="s">
        <v>3537</v>
      </c>
      <c r="I2851" s="1" t="s">
        <v>3742</v>
      </c>
      <c r="J2851" s="1" t="s">
        <v>52</v>
      </c>
      <c r="K2851" s="1" t="s">
        <v>3537</v>
      </c>
      <c r="L2851" s="36" t="s">
        <v>69</v>
      </c>
      <c r="M2851" s="1" t="s">
        <v>69</v>
      </c>
      <c r="N2851" s="1" t="s">
        <v>3383</v>
      </c>
      <c r="O2851" s="1" t="s">
        <v>3781</v>
      </c>
      <c r="P2851" s="1" t="s">
        <v>3385</v>
      </c>
      <c r="Q2851" s="1" t="s">
        <v>3385</v>
      </c>
      <c r="R2851" s="1" t="s">
        <v>46</v>
      </c>
      <c r="S2851" s="1" t="s">
        <v>69</v>
      </c>
      <c r="T2851" s="1" t="s">
        <v>69</v>
      </c>
      <c r="U2851" s="1" t="s">
        <v>46</v>
      </c>
      <c r="V2851" s="1" t="n">
        <v>4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5" t="s">
        <v>3786</v>
      </c>
      <c r="C2852" s="1" t="s">
        <v>3787</v>
      </c>
      <c r="D2852" s="1" t="s">
        <v>14</v>
      </c>
      <c r="E2852" s="1" t="s">
        <v>3668</v>
      </c>
      <c r="F2852" s="1" t="s">
        <v>3380</v>
      </c>
      <c r="G2852" s="1" t="s">
        <v>3668</v>
      </c>
      <c r="H2852" s="2" t="s">
        <v>3539</v>
      </c>
      <c r="I2852" s="1" t="s">
        <v>3743</v>
      </c>
      <c r="J2852" s="1" t="s">
        <v>52</v>
      </c>
      <c r="K2852" s="1" t="s">
        <v>3539</v>
      </c>
      <c r="L2852" s="36" t="s">
        <v>69</v>
      </c>
      <c r="M2852" s="1" t="s">
        <v>69</v>
      </c>
      <c r="N2852" s="1" t="s">
        <v>3383</v>
      </c>
      <c r="O2852" s="1" t="s">
        <v>3781</v>
      </c>
      <c r="P2852" s="1" t="s">
        <v>3385</v>
      </c>
      <c r="Q2852" s="1" t="s">
        <v>3385</v>
      </c>
      <c r="R2852" s="1" t="s">
        <v>46</v>
      </c>
      <c r="S2852" s="1" t="s">
        <v>69</v>
      </c>
      <c r="T2852" s="1" t="s">
        <v>69</v>
      </c>
      <c r="U2852" s="1" t="s">
        <v>46</v>
      </c>
      <c r="V2852" s="1" t="n">
        <v>5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5" t="s">
        <v>3786</v>
      </c>
      <c r="C2853" s="1" t="s">
        <v>3787</v>
      </c>
      <c r="D2853" s="1" t="s">
        <v>14</v>
      </c>
      <c r="E2853" s="1" t="s">
        <v>3668</v>
      </c>
      <c r="F2853" s="1" t="s">
        <v>3380</v>
      </c>
      <c r="G2853" s="1" t="s">
        <v>3668</v>
      </c>
      <c r="H2853" s="2" t="s">
        <v>3541</v>
      </c>
      <c r="I2853" s="1" t="s">
        <v>3744</v>
      </c>
      <c r="J2853" s="1" t="s">
        <v>52</v>
      </c>
      <c r="K2853" s="1" t="s">
        <v>3541</v>
      </c>
      <c r="L2853" s="36" t="s">
        <v>69</v>
      </c>
      <c r="M2853" s="1" t="s">
        <v>69</v>
      </c>
      <c r="N2853" s="1" t="s">
        <v>3383</v>
      </c>
      <c r="O2853" s="1" t="s">
        <v>3781</v>
      </c>
      <c r="P2853" s="1" t="s">
        <v>3385</v>
      </c>
      <c r="Q2853" s="1" t="s">
        <v>3385</v>
      </c>
      <c r="R2853" s="1" t="s">
        <v>46</v>
      </c>
      <c r="S2853" s="1" t="s">
        <v>69</v>
      </c>
      <c r="T2853" s="1" t="s">
        <v>69</v>
      </c>
      <c r="U2853" s="1" t="s">
        <v>46</v>
      </c>
      <c r="V2853" s="1" t="n">
        <v>1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5" t="s">
        <v>3786</v>
      </c>
      <c r="C2854" s="1" t="s">
        <v>3787</v>
      </c>
      <c r="D2854" s="1" t="s">
        <v>14</v>
      </c>
      <c r="E2854" s="1" t="s">
        <v>3668</v>
      </c>
      <c r="F2854" s="1" t="s">
        <v>3380</v>
      </c>
      <c r="G2854" s="1" t="s">
        <v>3668</v>
      </c>
      <c r="H2854" s="2" t="s">
        <v>3544</v>
      </c>
      <c r="I2854" s="1" t="s">
        <v>3745</v>
      </c>
      <c r="J2854" s="1" t="s">
        <v>52</v>
      </c>
      <c r="K2854" s="1" t="s">
        <v>3544</v>
      </c>
      <c r="L2854" s="36" t="s">
        <v>69</v>
      </c>
      <c r="M2854" s="1" t="s">
        <v>69</v>
      </c>
      <c r="N2854" s="1" t="s">
        <v>3383</v>
      </c>
      <c r="O2854" s="1" t="s">
        <v>3781</v>
      </c>
      <c r="P2854" s="1" t="s">
        <v>3385</v>
      </c>
      <c r="Q2854" s="1" t="s">
        <v>3385</v>
      </c>
      <c r="R2854" s="1" t="s">
        <v>46</v>
      </c>
      <c r="S2854" s="1" t="s">
        <v>69</v>
      </c>
      <c r="T2854" s="1" t="s">
        <v>69</v>
      </c>
      <c r="U2854" s="1" t="s">
        <v>46</v>
      </c>
      <c r="V2854" s="1" t="n">
        <v>2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5" t="s">
        <v>3786</v>
      </c>
      <c r="C2855" s="1" t="s">
        <v>3787</v>
      </c>
      <c r="D2855" s="1" t="s">
        <v>14</v>
      </c>
      <c r="E2855" s="1" t="s">
        <v>3668</v>
      </c>
      <c r="F2855" s="1" t="s">
        <v>3380</v>
      </c>
      <c r="G2855" s="1" t="s">
        <v>3668</v>
      </c>
      <c r="H2855" s="2" t="s">
        <v>3546</v>
      </c>
      <c r="I2855" s="1" t="s">
        <v>3746</v>
      </c>
      <c r="J2855" s="1" t="s">
        <v>52</v>
      </c>
      <c r="K2855" s="1" t="s">
        <v>3546</v>
      </c>
      <c r="L2855" s="36" t="s">
        <v>69</v>
      </c>
      <c r="M2855" s="1" t="s">
        <v>69</v>
      </c>
      <c r="N2855" s="1" t="s">
        <v>3383</v>
      </c>
      <c r="O2855" s="1" t="s">
        <v>3781</v>
      </c>
      <c r="P2855" s="1" t="s">
        <v>3385</v>
      </c>
      <c r="Q2855" s="1" t="s">
        <v>3385</v>
      </c>
      <c r="R2855" s="1" t="s">
        <v>46</v>
      </c>
      <c r="S2855" s="1" t="s">
        <v>69</v>
      </c>
      <c r="T2855" s="1" t="s">
        <v>69</v>
      </c>
      <c r="U2855" s="1" t="s">
        <v>46</v>
      </c>
      <c r="V2855" s="1" t="n">
        <v>3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5" t="s">
        <v>3786</v>
      </c>
      <c r="C2856" s="1" t="s">
        <v>3787</v>
      </c>
      <c r="D2856" s="1" t="s">
        <v>14</v>
      </c>
      <c r="E2856" s="1" t="s">
        <v>3668</v>
      </c>
      <c r="F2856" s="1" t="s">
        <v>3380</v>
      </c>
      <c r="G2856" s="1" t="s">
        <v>3668</v>
      </c>
      <c r="H2856" s="2" t="s">
        <v>3548</v>
      </c>
      <c r="I2856" s="1" t="s">
        <v>3747</v>
      </c>
      <c r="J2856" s="1" t="s">
        <v>52</v>
      </c>
      <c r="K2856" s="1" t="s">
        <v>3548</v>
      </c>
      <c r="L2856" s="36" t="s">
        <v>69</v>
      </c>
      <c r="M2856" s="1" t="s">
        <v>69</v>
      </c>
      <c r="N2856" s="1" t="s">
        <v>3383</v>
      </c>
      <c r="O2856" s="1" t="s">
        <v>3781</v>
      </c>
      <c r="P2856" s="1" t="s">
        <v>3385</v>
      </c>
      <c r="Q2856" s="1" t="s">
        <v>3385</v>
      </c>
      <c r="R2856" s="1" t="s">
        <v>46</v>
      </c>
      <c r="S2856" s="1" t="s">
        <v>69</v>
      </c>
      <c r="T2856" s="1" t="s">
        <v>69</v>
      </c>
      <c r="U2856" s="1" t="s">
        <v>46</v>
      </c>
      <c r="V2856" s="1" t="n">
        <v>4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5" t="s">
        <v>3786</v>
      </c>
      <c r="C2857" s="1" t="s">
        <v>3787</v>
      </c>
      <c r="D2857" s="1" t="s">
        <v>14</v>
      </c>
      <c r="E2857" s="1" t="s">
        <v>3668</v>
      </c>
      <c r="F2857" s="1" t="s">
        <v>3380</v>
      </c>
      <c r="G2857" s="1" t="s">
        <v>3668</v>
      </c>
      <c r="H2857" s="2" t="s">
        <v>3550</v>
      </c>
      <c r="I2857" s="1" t="s">
        <v>3748</v>
      </c>
      <c r="J2857" s="1" t="s">
        <v>52</v>
      </c>
      <c r="K2857" s="1" t="s">
        <v>3550</v>
      </c>
      <c r="L2857" s="36" t="s">
        <v>69</v>
      </c>
      <c r="M2857" s="1" t="s">
        <v>69</v>
      </c>
      <c r="N2857" s="1" t="s">
        <v>3383</v>
      </c>
      <c r="O2857" s="1" t="s">
        <v>3781</v>
      </c>
      <c r="P2857" s="1" t="s">
        <v>3385</v>
      </c>
      <c r="Q2857" s="1" t="s">
        <v>3385</v>
      </c>
      <c r="R2857" s="1" t="s">
        <v>46</v>
      </c>
      <c r="S2857" s="1" t="s">
        <v>69</v>
      </c>
      <c r="T2857" s="1" t="s">
        <v>69</v>
      </c>
      <c r="U2857" s="1" t="s">
        <v>46</v>
      </c>
      <c r="V2857" s="1" t="n">
        <v>5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5" t="s">
        <v>3786</v>
      </c>
      <c r="C2858" s="1" t="s">
        <v>3787</v>
      </c>
      <c r="D2858" s="1" t="s">
        <v>14</v>
      </c>
      <c r="E2858" s="1" t="s">
        <v>3668</v>
      </c>
      <c r="F2858" s="1" t="s">
        <v>3380</v>
      </c>
      <c r="G2858" s="1" t="s">
        <v>3668</v>
      </c>
      <c r="H2858" s="2" t="s">
        <v>3436</v>
      </c>
      <c r="I2858" s="1" t="s">
        <v>3693</v>
      </c>
      <c r="J2858" s="1" t="s">
        <v>52</v>
      </c>
      <c r="K2858" s="2" t="s">
        <v>3436</v>
      </c>
      <c r="L2858" s="5" t="s">
        <v>69</v>
      </c>
      <c r="M2858" s="5" t="s">
        <v>69</v>
      </c>
      <c r="N2858" s="1" t="s">
        <v>1935</v>
      </c>
      <c r="O2858" s="1" t="s">
        <v>46</v>
      </c>
      <c r="P2858" s="1" t="s">
        <v>46</v>
      </c>
      <c r="Q2858" s="1" t="s">
        <v>46</v>
      </c>
      <c r="R2858" s="5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5" t="s">
        <v>3786</v>
      </c>
      <c r="C2859" s="1" t="s">
        <v>3787</v>
      </c>
      <c r="D2859" s="1" t="s">
        <v>14</v>
      </c>
      <c r="E2859" s="1" t="s">
        <v>3668</v>
      </c>
      <c r="F2859" s="1" t="s">
        <v>3380</v>
      </c>
      <c r="G2859" s="1" t="s">
        <v>3668</v>
      </c>
      <c r="H2859" s="2" t="s">
        <v>3438</v>
      </c>
      <c r="I2859" s="1" t="s">
        <v>3694</v>
      </c>
      <c r="J2859" s="1" t="s">
        <v>52</v>
      </c>
      <c r="K2859" s="2" t="s">
        <v>3438</v>
      </c>
      <c r="L2859" s="5" t="s">
        <v>69</v>
      </c>
      <c r="M2859" s="5" t="s">
        <v>69</v>
      </c>
      <c r="N2859" s="1" t="s">
        <v>1935</v>
      </c>
      <c r="O2859" s="1" t="s">
        <v>46</v>
      </c>
      <c r="P2859" s="1" t="s">
        <v>46</v>
      </c>
      <c r="Q2859" s="1" t="s">
        <v>46</v>
      </c>
      <c r="R2859" s="5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5" t="s">
        <v>3786</v>
      </c>
      <c r="C2860" s="1" t="s">
        <v>3787</v>
      </c>
      <c r="D2860" s="1" t="s">
        <v>14</v>
      </c>
      <c r="E2860" s="1" t="s">
        <v>3668</v>
      </c>
      <c r="F2860" s="1" t="s">
        <v>3380</v>
      </c>
      <c r="G2860" s="1" t="s">
        <v>3668</v>
      </c>
      <c r="H2860" s="2" t="s">
        <v>3440</v>
      </c>
      <c r="I2860" s="1" t="s">
        <v>3695</v>
      </c>
      <c r="J2860" s="1" t="s">
        <v>52</v>
      </c>
      <c r="K2860" s="2" t="s">
        <v>3440</v>
      </c>
      <c r="L2860" s="5" t="s">
        <v>69</v>
      </c>
      <c r="M2860" s="5" t="s">
        <v>69</v>
      </c>
      <c r="N2860" s="1" t="s">
        <v>1935</v>
      </c>
      <c r="O2860" s="1" t="s">
        <v>46</v>
      </c>
      <c r="P2860" s="1" t="s">
        <v>46</v>
      </c>
      <c r="Q2860" s="1" t="s">
        <v>46</v>
      </c>
      <c r="R2860" s="5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5" t="s">
        <v>3786</v>
      </c>
      <c r="C2861" s="1" t="s">
        <v>3787</v>
      </c>
      <c r="D2861" s="1" t="s">
        <v>14</v>
      </c>
      <c r="E2861" s="1" t="s">
        <v>3668</v>
      </c>
      <c r="F2861" s="1" t="s">
        <v>3380</v>
      </c>
      <c r="G2861" s="1" t="s">
        <v>3668</v>
      </c>
      <c r="H2861" s="2" t="s">
        <v>3442</v>
      </c>
      <c r="I2861" s="1" t="s">
        <v>3696</v>
      </c>
      <c r="J2861" s="1" t="s">
        <v>52</v>
      </c>
      <c r="K2861" s="2" t="s">
        <v>3442</v>
      </c>
      <c r="L2861" s="5" t="s">
        <v>69</v>
      </c>
      <c r="M2861" s="5" t="s">
        <v>69</v>
      </c>
      <c r="N2861" s="1" t="s">
        <v>1935</v>
      </c>
      <c r="O2861" s="1" t="s">
        <v>46</v>
      </c>
      <c r="P2861" s="1" t="s">
        <v>46</v>
      </c>
      <c r="Q2861" s="1" t="s">
        <v>46</v>
      </c>
      <c r="R2861" s="5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5" t="s">
        <v>3786</v>
      </c>
      <c r="C2862" s="1" t="s">
        <v>3787</v>
      </c>
      <c r="D2862" s="1" t="s">
        <v>14</v>
      </c>
      <c r="E2862" s="1" t="s">
        <v>3668</v>
      </c>
      <c r="F2862" s="1" t="s">
        <v>3380</v>
      </c>
      <c r="G2862" s="1" t="s">
        <v>3668</v>
      </c>
      <c r="H2862" s="2" t="s">
        <v>3444</v>
      </c>
      <c r="I2862" s="1" t="s">
        <v>3697</v>
      </c>
      <c r="J2862" s="1" t="s">
        <v>52</v>
      </c>
      <c r="K2862" s="2" t="s">
        <v>3444</v>
      </c>
      <c r="L2862" s="5" t="s">
        <v>69</v>
      </c>
      <c r="M2862" s="5" t="s">
        <v>69</v>
      </c>
      <c r="N2862" s="1" t="s">
        <v>1935</v>
      </c>
      <c r="O2862" s="1" t="s">
        <v>46</v>
      </c>
      <c r="P2862" s="1" t="s">
        <v>46</v>
      </c>
      <c r="Q2862" s="1" t="s">
        <v>46</v>
      </c>
      <c r="R2862" s="5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5" t="s">
        <v>3786</v>
      </c>
      <c r="C2863" s="1" t="s">
        <v>3787</v>
      </c>
      <c r="D2863" s="1" t="s">
        <v>14</v>
      </c>
      <c r="E2863" s="1" t="s">
        <v>3668</v>
      </c>
      <c r="F2863" s="1" t="s">
        <v>3380</v>
      </c>
      <c r="G2863" s="1" t="s">
        <v>3668</v>
      </c>
      <c r="H2863" s="2" t="s">
        <v>3446</v>
      </c>
      <c r="I2863" s="1" t="s">
        <v>3698</v>
      </c>
      <c r="J2863" s="1" t="s">
        <v>52</v>
      </c>
      <c r="K2863" s="2" t="s">
        <v>3446</v>
      </c>
      <c r="L2863" s="5" t="s">
        <v>69</v>
      </c>
      <c r="M2863" s="5" t="s">
        <v>69</v>
      </c>
      <c r="N2863" s="1" t="s">
        <v>1935</v>
      </c>
      <c r="O2863" s="1" t="s">
        <v>46</v>
      </c>
      <c r="P2863" s="1" t="s">
        <v>46</v>
      </c>
      <c r="Q2863" s="1" t="s">
        <v>46</v>
      </c>
      <c r="R2863" s="5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5" t="s">
        <v>3786</v>
      </c>
      <c r="C2864" s="1" t="s">
        <v>3787</v>
      </c>
      <c r="D2864" s="1" t="s">
        <v>14</v>
      </c>
      <c r="E2864" s="1" t="s">
        <v>3668</v>
      </c>
      <c r="F2864" s="1" t="s">
        <v>3380</v>
      </c>
      <c r="G2864" s="1" t="s">
        <v>3668</v>
      </c>
      <c r="H2864" s="2" t="s">
        <v>3448</v>
      </c>
      <c r="I2864" s="1" t="s">
        <v>3699</v>
      </c>
      <c r="J2864" s="1" t="s">
        <v>52</v>
      </c>
      <c r="K2864" s="2" t="s">
        <v>3448</v>
      </c>
      <c r="L2864" s="5" t="s">
        <v>69</v>
      </c>
      <c r="M2864" s="5" t="s">
        <v>69</v>
      </c>
      <c r="N2864" s="1" t="s">
        <v>1935</v>
      </c>
      <c r="O2864" s="1" t="s">
        <v>46</v>
      </c>
      <c r="P2864" s="1" t="s">
        <v>46</v>
      </c>
      <c r="Q2864" s="1" t="s">
        <v>46</v>
      </c>
      <c r="R2864" s="5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5" t="s">
        <v>3786</v>
      </c>
      <c r="C2865" s="1" t="s">
        <v>3787</v>
      </c>
      <c r="D2865" s="1" t="s">
        <v>14</v>
      </c>
      <c r="E2865" s="1" t="s">
        <v>3668</v>
      </c>
      <c r="F2865" s="1" t="s">
        <v>3380</v>
      </c>
      <c r="G2865" s="1" t="s">
        <v>3668</v>
      </c>
      <c r="H2865" s="2" t="s">
        <v>3450</v>
      </c>
      <c r="I2865" s="1" t="s">
        <v>3700</v>
      </c>
      <c r="J2865" s="1" t="s">
        <v>52</v>
      </c>
      <c r="K2865" s="2" t="s">
        <v>3450</v>
      </c>
      <c r="L2865" s="5" t="s">
        <v>69</v>
      </c>
      <c r="M2865" s="5" t="s">
        <v>69</v>
      </c>
      <c r="N2865" s="1" t="s">
        <v>1935</v>
      </c>
      <c r="O2865" s="1" t="s">
        <v>46</v>
      </c>
      <c r="P2865" s="1" t="s">
        <v>46</v>
      </c>
      <c r="Q2865" s="1" t="s">
        <v>46</v>
      </c>
      <c r="R2865" s="5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5" t="s">
        <v>3786</v>
      </c>
      <c r="C2866" s="1" t="s">
        <v>3787</v>
      </c>
      <c r="D2866" s="1" t="s">
        <v>14</v>
      </c>
      <c r="E2866" s="1" t="s">
        <v>3668</v>
      </c>
      <c r="F2866" s="1" t="s">
        <v>3380</v>
      </c>
      <c r="G2866" s="1" t="s">
        <v>3668</v>
      </c>
      <c r="H2866" s="2" t="s">
        <v>3452</v>
      </c>
      <c r="I2866" s="1" t="s">
        <v>3701</v>
      </c>
      <c r="J2866" s="1" t="s">
        <v>52</v>
      </c>
      <c r="K2866" s="2" t="s">
        <v>3452</v>
      </c>
      <c r="L2866" s="5" t="s">
        <v>69</v>
      </c>
      <c r="M2866" s="5" t="s">
        <v>69</v>
      </c>
      <c r="N2866" s="1" t="s">
        <v>1935</v>
      </c>
      <c r="O2866" s="1" t="s">
        <v>46</v>
      </c>
      <c r="P2866" s="1" t="s">
        <v>46</v>
      </c>
      <c r="Q2866" s="1" t="s">
        <v>46</v>
      </c>
      <c r="R2866" s="5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5" t="s">
        <v>3786</v>
      </c>
      <c r="C2867" s="1" t="s">
        <v>3787</v>
      </c>
      <c r="D2867" s="1" t="s">
        <v>14</v>
      </c>
      <c r="E2867" s="1" t="s">
        <v>3668</v>
      </c>
      <c r="F2867" s="1" t="s">
        <v>3380</v>
      </c>
      <c r="G2867" s="1" t="s">
        <v>3668</v>
      </c>
      <c r="H2867" s="2" t="s">
        <v>3454</v>
      </c>
      <c r="I2867" s="1" t="s">
        <v>3702</v>
      </c>
      <c r="J2867" s="1" t="s">
        <v>52</v>
      </c>
      <c r="K2867" s="2" t="s">
        <v>3454</v>
      </c>
      <c r="L2867" s="5" t="s">
        <v>69</v>
      </c>
      <c r="M2867" s="5" t="s">
        <v>69</v>
      </c>
      <c r="N2867" s="1" t="s">
        <v>1935</v>
      </c>
      <c r="O2867" s="1" t="s">
        <v>46</v>
      </c>
      <c r="P2867" s="1" t="s">
        <v>46</v>
      </c>
      <c r="Q2867" s="1" t="s">
        <v>46</v>
      </c>
      <c r="R2867" s="5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5" t="s">
        <v>3786</v>
      </c>
      <c r="C2868" s="1" t="s">
        <v>3787</v>
      </c>
      <c r="D2868" s="1" t="s">
        <v>14</v>
      </c>
      <c r="E2868" s="1" t="s">
        <v>3668</v>
      </c>
      <c r="F2868" s="1" t="s">
        <v>3380</v>
      </c>
      <c r="G2868" s="1" t="s">
        <v>3668</v>
      </c>
      <c r="H2868" s="2" t="s">
        <v>3456</v>
      </c>
      <c r="I2868" s="1" t="s">
        <v>3703</v>
      </c>
      <c r="J2868" s="1" t="s">
        <v>52</v>
      </c>
      <c r="K2868" s="2" t="s">
        <v>3456</v>
      </c>
      <c r="L2868" s="5" t="s">
        <v>69</v>
      </c>
      <c r="M2868" s="5" t="s">
        <v>69</v>
      </c>
      <c r="N2868" s="1" t="s">
        <v>1935</v>
      </c>
      <c r="O2868" s="1" t="s">
        <v>46</v>
      </c>
      <c r="P2868" s="1" t="s">
        <v>46</v>
      </c>
      <c r="Q2868" s="1" t="s">
        <v>46</v>
      </c>
      <c r="R2868" s="5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5" t="s">
        <v>3786</v>
      </c>
      <c r="C2869" s="1" t="s">
        <v>3787</v>
      </c>
      <c r="D2869" s="1" t="s">
        <v>14</v>
      </c>
      <c r="E2869" s="1" t="s">
        <v>3668</v>
      </c>
      <c r="F2869" s="1" t="s">
        <v>3380</v>
      </c>
      <c r="G2869" s="1" t="s">
        <v>3668</v>
      </c>
      <c r="H2869" s="2" t="s">
        <v>3458</v>
      </c>
      <c r="I2869" s="1" t="s">
        <v>3704</v>
      </c>
      <c r="J2869" s="1" t="s">
        <v>52</v>
      </c>
      <c r="K2869" s="2" t="s">
        <v>3458</v>
      </c>
      <c r="L2869" s="5" t="s">
        <v>69</v>
      </c>
      <c r="M2869" s="5" t="s">
        <v>69</v>
      </c>
      <c r="N2869" s="1" t="s">
        <v>1935</v>
      </c>
      <c r="O2869" s="1" t="s">
        <v>46</v>
      </c>
      <c r="P2869" s="1" t="s">
        <v>46</v>
      </c>
      <c r="Q2869" s="1" t="s">
        <v>46</v>
      </c>
      <c r="R2869" s="5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5" t="s">
        <v>3786</v>
      </c>
      <c r="C2870" s="1" t="s">
        <v>3787</v>
      </c>
      <c r="D2870" s="1" t="s">
        <v>14</v>
      </c>
      <c r="E2870" s="1" t="s">
        <v>3668</v>
      </c>
      <c r="F2870" s="1" t="s">
        <v>3380</v>
      </c>
      <c r="G2870" s="1" t="s">
        <v>3668</v>
      </c>
      <c r="H2870" s="2" t="s">
        <v>3460</v>
      </c>
      <c r="I2870" s="1" t="s">
        <v>3705</v>
      </c>
      <c r="J2870" s="1" t="s">
        <v>52</v>
      </c>
      <c r="K2870" s="2" t="s">
        <v>3460</v>
      </c>
      <c r="L2870" s="5" t="s">
        <v>69</v>
      </c>
      <c r="M2870" s="5" t="s">
        <v>69</v>
      </c>
      <c r="N2870" s="1" t="s">
        <v>1935</v>
      </c>
      <c r="O2870" s="1" t="s">
        <v>46</v>
      </c>
      <c r="P2870" s="1" t="s">
        <v>46</v>
      </c>
      <c r="Q2870" s="1" t="s">
        <v>46</v>
      </c>
      <c r="R2870" s="5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5" t="s">
        <v>3786</v>
      </c>
      <c r="C2871" s="1" t="s">
        <v>3787</v>
      </c>
      <c r="D2871" s="1" t="s">
        <v>14</v>
      </c>
      <c r="E2871" s="1" t="s">
        <v>3668</v>
      </c>
      <c r="F2871" s="1" t="s">
        <v>3380</v>
      </c>
      <c r="G2871" s="1" t="s">
        <v>3668</v>
      </c>
      <c r="H2871" s="2" t="s">
        <v>3462</v>
      </c>
      <c r="I2871" s="1" t="s">
        <v>3706</v>
      </c>
      <c r="J2871" s="1" t="s">
        <v>52</v>
      </c>
      <c r="K2871" s="2" t="s">
        <v>3462</v>
      </c>
      <c r="L2871" s="5" t="s">
        <v>69</v>
      </c>
      <c r="M2871" s="5" t="s">
        <v>69</v>
      </c>
      <c r="N2871" s="1" t="s">
        <v>1935</v>
      </c>
      <c r="O2871" s="1" t="s">
        <v>46</v>
      </c>
      <c r="P2871" s="1" t="s">
        <v>46</v>
      </c>
      <c r="Q2871" s="1" t="s">
        <v>46</v>
      </c>
      <c r="R2871" s="5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5" t="s">
        <v>3786</v>
      </c>
      <c r="C2872" s="1" t="s">
        <v>3787</v>
      </c>
      <c r="D2872" s="1" t="s">
        <v>14</v>
      </c>
      <c r="E2872" s="1" t="s">
        <v>3668</v>
      </c>
      <c r="F2872" s="1" t="s">
        <v>3380</v>
      </c>
      <c r="G2872" s="1" t="s">
        <v>3668</v>
      </c>
      <c r="H2872" s="2" t="s">
        <v>3464</v>
      </c>
      <c r="I2872" s="1" t="s">
        <v>3707</v>
      </c>
      <c r="J2872" s="1" t="s">
        <v>52</v>
      </c>
      <c r="K2872" s="2" t="s">
        <v>3464</v>
      </c>
      <c r="L2872" s="5" t="s">
        <v>69</v>
      </c>
      <c r="M2872" s="5" t="s">
        <v>69</v>
      </c>
      <c r="N2872" s="1" t="s">
        <v>1935</v>
      </c>
      <c r="O2872" s="1" t="s">
        <v>46</v>
      </c>
      <c r="P2872" s="1" t="s">
        <v>46</v>
      </c>
      <c r="Q2872" s="1" t="s">
        <v>46</v>
      </c>
      <c r="R2872" s="5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5" t="s">
        <v>3786</v>
      </c>
      <c r="C2873" s="1" t="s">
        <v>3787</v>
      </c>
      <c r="D2873" s="1" t="s">
        <v>14</v>
      </c>
      <c r="E2873" s="1" t="s">
        <v>3668</v>
      </c>
      <c r="F2873" s="1" t="s">
        <v>3380</v>
      </c>
      <c r="G2873" s="1" t="s">
        <v>3668</v>
      </c>
      <c r="H2873" s="2" t="s">
        <v>3466</v>
      </c>
      <c r="I2873" s="1" t="s">
        <v>3708</v>
      </c>
      <c r="J2873" s="1" t="s">
        <v>52</v>
      </c>
      <c r="K2873" s="2" t="s">
        <v>3466</v>
      </c>
      <c r="L2873" s="5" t="s">
        <v>69</v>
      </c>
      <c r="M2873" s="5" t="s">
        <v>69</v>
      </c>
      <c r="N2873" s="1" t="s">
        <v>3468</v>
      </c>
      <c r="O2873" s="1" t="s">
        <v>46</v>
      </c>
      <c r="P2873" s="1" t="s">
        <v>46</v>
      </c>
      <c r="Q2873" s="1" t="s">
        <v>46</v>
      </c>
      <c r="R2873" s="5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5" t="s">
        <v>3786</v>
      </c>
      <c r="C2874" s="1" t="s">
        <v>3787</v>
      </c>
      <c r="D2874" s="1" t="s">
        <v>14</v>
      </c>
      <c r="E2874" s="1" t="s">
        <v>3668</v>
      </c>
      <c r="F2874" s="1" t="s">
        <v>3380</v>
      </c>
      <c r="G2874" s="1" t="s">
        <v>3668</v>
      </c>
      <c r="H2874" s="2" t="s">
        <v>3469</v>
      </c>
      <c r="I2874" s="1" t="s">
        <v>3709</v>
      </c>
      <c r="J2874" s="1" t="s">
        <v>52</v>
      </c>
      <c r="K2874" s="2" t="s">
        <v>3469</v>
      </c>
      <c r="L2874" s="5" t="s">
        <v>69</v>
      </c>
      <c r="M2874" s="5" t="s">
        <v>69</v>
      </c>
      <c r="N2874" s="1" t="s">
        <v>3468</v>
      </c>
      <c r="O2874" s="1" t="s">
        <v>46</v>
      </c>
      <c r="P2874" s="1" t="s">
        <v>46</v>
      </c>
      <c r="Q2874" s="1" t="s">
        <v>46</v>
      </c>
      <c r="R2874" s="5" t="s">
        <v>46</v>
      </c>
      <c r="S2874" s="1" t="s">
        <v>46</v>
      </c>
      <c r="T2874" s="1" t="s">
        <v>46</v>
      </c>
      <c r="U2874" s="1" t="s">
        <v>46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5" t="s">
        <v>3786</v>
      </c>
      <c r="C2875" s="1" t="s">
        <v>3787</v>
      </c>
      <c r="D2875" s="1" t="s">
        <v>14</v>
      </c>
      <c r="E2875" s="1" t="s">
        <v>3668</v>
      </c>
      <c r="F2875" s="1" t="s">
        <v>3380</v>
      </c>
      <c r="G2875" s="1" t="s">
        <v>3668</v>
      </c>
      <c r="H2875" s="2" t="s">
        <v>3471</v>
      </c>
      <c r="I2875" s="1" t="s">
        <v>3710</v>
      </c>
      <c r="J2875" s="1" t="s">
        <v>52</v>
      </c>
      <c r="K2875" s="2" t="s">
        <v>3471</v>
      </c>
      <c r="L2875" s="5" t="s">
        <v>69</v>
      </c>
      <c r="M2875" s="5" t="s">
        <v>69</v>
      </c>
      <c r="N2875" s="1" t="s">
        <v>3468</v>
      </c>
      <c r="O2875" s="1" t="s">
        <v>46</v>
      </c>
      <c r="P2875" s="1" t="s">
        <v>46</v>
      </c>
      <c r="Q2875" s="1" t="s">
        <v>46</v>
      </c>
      <c r="R2875" s="5" t="s">
        <v>46</v>
      </c>
      <c r="S2875" s="1" t="s">
        <v>46</v>
      </c>
      <c r="T2875" s="1" t="s">
        <v>46</v>
      </c>
      <c r="U2875" s="1" t="s">
        <v>46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5" t="s">
        <v>3786</v>
      </c>
      <c r="C2876" s="1" t="s">
        <v>3787</v>
      </c>
      <c r="D2876" s="1" t="s">
        <v>14</v>
      </c>
      <c r="E2876" s="1" t="s">
        <v>3668</v>
      </c>
      <c r="F2876" s="1" t="s">
        <v>3380</v>
      </c>
      <c r="G2876" s="1" t="s">
        <v>3668</v>
      </c>
      <c r="H2876" s="2" t="s">
        <v>3473</v>
      </c>
      <c r="I2876" s="1" t="s">
        <v>3711</v>
      </c>
      <c r="J2876" s="1" t="s">
        <v>52</v>
      </c>
      <c r="K2876" s="2" t="s">
        <v>3473</v>
      </c>
      <c r="L2876" s="5" t="s">
        <v>69</v>
      </c>
      <c r="M2876" s="5" t="s">
        <v>69</v>
      </c>
      <c r="N2876" s="1" t="s">
        <v>3468</v>
      </c>
      <c r="O2876" s="1" t="s">
        <v>46</v>
      </c>
      <c r="P2876" s="1" t="s">
        <v>46</v>
      </c>
      <c r="Q2876" s="1" t="s">
        <v>46</v>
      </c>
      <c r="R2876" s="5" t="s">
        <v>46</v>
      </c>
      <c r="S2876" s="1" t="s">
        <v>46</v>
      </c>
      <c r="T2876" s="1" t="s">
        <v>46</v>
      </c>
      <c r="U2876" s="1" t="s">
        <v>46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5" t="s">
        <v>3786</v>
      </c>
      <c r="C2877" s="1" t="s">
        <v>3787</v>
      </c>
      <c r="D2877" s="1" t="s">
        <v>14</v>
      </c>
      <c r="E2877" s="1" t="s">
        <v>3668</v>
      </c>
      <c r="F2877" s="1" t="s">
        <v>3380</v>
      </c>
      <c r="G2877" s="1" t="s">
        <v>3668</v>
      </c>
      <c r="H2877" s="2" t="s">
        <v>3475</v>
      </c>
      <c r="I2877" s="1" t="s">
        <v>3712</v>
      </c>
      <c r="J2877" s="1" t="s">
        <v>52</v>
      </c>
      <c r="K2877" s="2" t="s">
        <v>3475</v>
      </c>
      <c r="L2877" s="5" t="s">
        <v>69</v>
      </c>
      <c r="M2877" s="5" t="s">
        <v>69</v>
      </c>
      <c r="N2877" s="1" t="s">
        <v>3468</v>
      </c>
      <c r="O2877" s="1" t="s">
        <v>46</v>
      </c>
      <c r="P2877" s="1" t="s">
        <v>46</v>
      </c>
      <c r="Q2877" s="1" t="s">
        <v>46</v>
      </c>
      <c r="R2877" s="5" t="s">
        <v>46</v>
      </c>
      <c r="S2877" s="1" t="s">
        <v>46</v>
      </c>
      <c r="T2877" s="1" t="s">
        <v>46</v>
      </c>
      <c r="U2877" s="1" t="s">
        <v>46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5" t="s">
        <v>3786</v>
      </c>
      <c r="C2878" s="1" t="s">
        <v>3787</v>
      </c>
      <c r="D2878" s="1" t="s">
        <v>14</v>
      </c>
      <c r="E2878" s="1" t="s">
        <v>3668</v>
      </c>
      <c r="F2878" s="1" t="s">
        <v>3380</v>
      </c>
      <c r="G2878" s="1" t="s">
        <v>3668</v>
      </c>
      <c r="H2878" s="2" t="s">
        <v>3477</v>
      </c>
      <c r="I2878" s="1" t="s">
        <v>3713</v>
      </c>
      <c r="J2878" s="1" t="s">
        <v>52</v>
      </c>
      <c r="K2878" s="2" t="s">
        <v>3477</v>
      </c>
      <c r="L2878" s="5" t="s">
        <v>69</v>
      </c>
      <c r="M2878" s="5" t="s">
        <v>69</v>
      </c>
      <c r="N2878" s="1" t="s">
        <v>3468</v>
      </c>
      <c r="O2878" s="1" t="s">
        <v>46</v>
      </c>
      <c r="P2878" s="1" t="s">
        <v>46</v>
      </c>
      <c r="Q2878" s="1" t="s">
        <v>46</v>
      </c>
      <c r="R2878" s="5" t="s">
        <v>46</v>
      </c>
      <c r="S2878" s="1" t="s">
        <v>46</v>
      </c>
      <c r="T2878" s="1" t="s">
        <v>46</v>
      </c>
      <c r="U2878" s="1" t="s">
        <v>46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5" t="s">
        <v>3786</v>
      </c>
      <c r="C2879" s="1" t="s">
        <v>3787</v>
      </c>
      <c r="D2879" s="1" t="s">
        <v>14</v>
      </c>
      <c r="E2879" s="1" t="s">
        <v>3668</v>
      </c>
      <c r="F2879" s="1" t="s">
        <v>3380</v>
      </c>
      <c r="G2879" s="1" t="s">
        <v>3668</v>
      </c>
      <c r="H2879" s="2" t="s">
        <v>3479</v>
      </c>
      <c r="I2879" s="1" t="s">
        <v>3714</v>
      </c>
      <c r="J2879" s="1" t="s">
        <v>52</v>
      </c>
      <c r="K2879" s="2" t="s">
        <v>3479</v>
      </c>
      <c r="L2879" s="5" t="s">
        <v>69</v>
      </c>
      <c r="M2879" s="5" t="s">
        <v>69</v>
      </c>
      <c r="N2879" s="1" t="s">
        <v>3468</v>
      </c>
      <c r="O2879" s="1" t="s">
        <v>46</v>
      </c>
      <c r="P2879" s="1" t="s">
        <v>46</v>
      </c>
      <c r="Q2879" s="1" t="s">
        <v>46</v>
      </c>
      <c r="R2879" s="5" t="s">
        <v>46</v>
      </c>
      <c r="S2879" s="1" t="s">
        <v>46</v>
      </c>
      <c r="T2879" s="1" t="s">
        <v>46</v>
      </c>
      <c r="U2879" s="1" t="s">
        <v>46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5" t="s">
        <v>3786</v>
      </c>
      <c r="C2880" s="1" t="s">
        <v>3787</v>
      </c>
      <c r="D2880" s="1" t="s">
        <v>14</v>
      </c>
      <c r="E2880" s="1" t="s">
        <v>3668</v>
      </c>
      <c r="F2880" s="1" t="s">
        <v>3380</v>
      </c>
      <c r="G2880" s="1" t="s">
        <v>3668</v>
      </c>
      <c r="H2880" s="2" t="s">
        <v>3481</v>
      </c>
      <c r="I2880" s="1" t="s">
        <v>3715</v>
      </c>
      <c r="J2880" s="1" t="s">
        <v>52</v>
      </c>
      <c r="K2880" s="2" t="s">
        <v>3481</v>
      </c>
      <c r="L2880" s="5" t="s">
        <v>69</v>
      </c>
      <c r="M2880" s="5" t="s">
        <v>69</v>
      </c>
      <c r="N2880" s="1" t="s">
        <v>3468</v>
      </c>
      <c r="O2880" s="1" t="s">
        <v>46</v>
      </c>
      <c r="P2880" s="1" t="s">
        <v>46</v>
      </c>
      <c r="Q2880" s="1" t="s">
        <v>46</v>
      </c>
      <c r="R2880" s="5" t="s">
        <v>46</v>
      </c>
      <c r="S2880" s="1" t="s">
        <v>46</v>
      </c>
      <c r="T2880" s="1" t="s">
        <v>46</v>
      </c>
      <c r="U2880" s="1" t="s">
        <v>46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5" t="s">
        <v>3786</v>
      </c>
      <c r="C2881" s="1" t="s">
        <v>3787</v>
      </c>
      <c r="D2881" s="1" t="s">
        <v>14</v>
      </c>
      <c r="E2881" s="1" t="s">
        <v>3668</v>
      </c>
      <c r="F2881" s="1" t="s">
        <v>3380</v>
      </c>
      <c r="G2881" s="1" t="s">
        <v>3668</v>
      </c>
      <c r="H2881" s="2" t="s">
        <v>3483</v>
      </c>
      <c r="I2881" s="1" t="s">
        <v>3716</v>
      </c>
      <c r="J2881" s="1" t="s">
        <v>52</v>
      </c>
      <c r="K2881" s="2" t="s">
        <v>3483</v>
      </c>
      <c r="L2881" s="5" t="s">
        <v>69</v>
      </c>
      <c r="M2881" s="5" t="s">
        <v>69</v>
      </c>
      <c r="N2881" s="1" t="s">
        <v>3468</v>
      </c>
      <c r="O2881" s="1" t="s">
        <v>46</v>
      </c>
      <c r="P2881" s="1" t="s">
        <v>46</v>
      </c>
      <c r="Q2881" s="1" t="s">
        <v>46</v>
      </c>
      <c r="R2881" s="5" t="s">
        <v>46</v>
      </c>
      <c r="S2881" s="1" t="s">
        <v>46</v>
      </c>
      <c r="T2881" s="1" t="s">
        <v>46</v>
      </c>
      <c r="U2881" s="1" t="s">
        <v>46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5" t="s">
        <v>3786</v>
      </c>
      <c r="C2882" s="1" t="s">
        <v>3787</v>
      </c>
      <c r="D2882" s="1" t="s">
        <v>14</v>
      </c>
      <c r="E2882" s="1" t="s">
        <v>3668</v>
      </c>
      <c r="F2882" s="1" t="s">
        <v>3380</v>
      </c>
      <c r="G2882" s="1" t="s">
        <v>3668</v>
      </c>
      <c r="H2882" s="2" t="s">
        <v>3485</v>
      </c>
      <c r="I2882" s="1" t="s">
        <v>3717</v>
      </c>
      <c r="J2882" s="1" t="s">
        <v>52</v>
      </c>
      <c r="K2882" s="2" t="s">
        <v>3485</v>
      </c>
      <c r="L2882" s="5" t="s">
        <v>69</v>
      </c>
      <c r="M2882" s="5" t="s">
        <v>69</v>
      </c>
      <c r="N2882" s="1" t="s">
        <v>3468</v>
      </c>
      <c r="O2882" s="1" t="s">
        <v>46</v>
      </c>
      <c r="P2882" s="1" t="s">
        <v>46</v>
      </c>
      <c r="Q2882" s="1" t="s">
        <v>46</v>
      </c>
      <c r="R2882" s="5" t="s">
        <v>46</v>
      </c>
      <c r="S2882" s="1" t="s">
        <v>46</v>
      </c>
      <c r="T2882" s="1" t="s">
        <v>46</v>
      </c>
      <c r="U2882" s="1" t="s">
        <v>46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5" t="s">
        <v>3786</v>
      </c>
      <c r="C2883" s="1" t="s">
        <v>3787</v>
      </c>
      <c r="D2883" s="1" t="s">
        <v>14</v>
      </c>
      <c r="E2883" s="1" t="s">
        <v>3668</v>
      </c>
      <c r="F2883" s="1" t="s">
        <v>3380</v>
      </c>
      <c r="G2883" s="1" t="s">
        <v>3668</v>
      </c>
      <c r="H2883" s="2" t="s">
        <v>3487</v>
      </c>
      <c r="I2883" s="1" t="s">
        <v>3718</v>
      </c>
      <c r="J2883" s="1" t="s">
        <v>52</v>
      </c>
      <c r="K2883" s="2" t="s">
        <v>3487</v>
      </c>
      <c r="L2883" s="5" t="s">
        <v>69</v>
      </c>
      <c r="M2883" s="5" t="s">
        <v>69</v>
      </c>
      <c r="N2883" s="1" t="s">
        <v>3468</v>
      </c>
      <c r="O2883" s="1" t="s">
        <v>46</v>
      </c>
      <c r="P2883" s="1" t="s">
        <v>46</v>
      </c>
      <c r="Q2883" s="1" t="s">
        <v>46</v>
      </c>
      <c r="R2883" s="5" t="s">
        <v>46</v>
      </c>
      <c r="S2883" s="1" t="s">
        <v>46</v>
      </c>
      <c r="T2883" s="1" t="s">
        <v>46</v>
      </c>
      <c r="U2883" s="1" t="s">
        <v>46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5" t="s">
        <v>3786</v>
      </c>
      <c r="C2884" s="1" t="s">
        <v>3787</v>
      </c>
      <c r="D2884" s="1" t="s">
        <v>14</v>
      </c>
      <c r="E2884" s="1" t="s">
        <v>3668</v>
      </c>
      <c r="F2884" s="1" t="s">
        <v>3380</v>
      </c>
      <c r="G2884" s="1" t="s">
        <v>3668</v>
      </c>
      <c r="H2884" s="2" t="s">
        <v>3489</v>
      </c>
      <c r="I2884" s="1" t="s">
        <v>3719</v>
      </c>
      <c r="J2884" s="1" t="s">
        <v>52</v>
      </c>
      <c r="K2884" s="2" t="s">
        <v>3489</v>
      </c>
      <c r="L2884" s="5" t="s">
        <v>69</v>
      </c>
      <c r="M2884" s="5" t="s">
        <v>69</v>
      </c>
      <c r="N2884" s="1" t="s">
        <v>3468</v>
      </c>
      <c r="O2884" s="1" t="s">
        <v>46</v>
      </c>
      <c r="P2884" s="1" t="s">
        <v>46</v>
      </c>
      <c r="Q2884" s="1" t="s">
        <v>46</v>
      </c>
      <c r="R2884" s="5" t="s">
        <v>46</v>
      </c>
      <c r="S2884" s="1" t="s">
        <v>46</v>
      </c>
      <c r="T2884" s="1" t="s">
        <v>46</v>
      </c>
      <c r="U2884" s="1" t="s">
        <v>46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5" t="s">
        <v>3786</v>
      </c>
      <c r="C2885" s="1" t="s">
        <v>3787</v>
      </c>
      <c r="D2885" s="1" t="s">
        <v>14</v>
      </c>
      <c r="E2885" s="1" t="s">
        <v>3668</v>
      </c>
      <c r="F2885" s="1" t="s">
        <v>3380</v>
      </c>
      <c r="G2885" s="1" t="s">
        <v>3668</v>
      </c>
      <c r="H2885" s="2" t="s">
        <v>3491</v>
      </c>
      <c r="I2885" s="1" t="s">
        <v>3720</v>
      </c>
      <c r="J2885" s="1" t="s">
        <v>52</v>
      </c>
      <c r="K2885" s="2" t="s">
        <v>3491</v>
      </c>
      <c r="L2885" s="5" t="s">
        <v>69</v>
      </c>
      <c r="M2885" s="5" t="s">
        <v>69</v>
      </c>
      <c r="N2885" s="1" t="s">
        <v>3468</v>
      </c>
      <c r="O2885" s="1" t="s">
        <v>46</v>
      </c>
      <c r="P2885" s="1" t="s">
        <v>46</v>
      </c>
      <c r="Q2885" s="1" t="s">
        <v>46</v>
      </c>
      <c r="R2885" s="5" t="s">
        <v>46</v>
      </c>
      <c r="S2885" s="1" t="s">
        <v>46</v>
      </c>
      <c r="T2885" s="1" t="s">
        <v>46</v>
      </c>
      <c r="U2885" s="1" t="s">
        <v>46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5" t="s">
        <v>3786</v>
      </c>
      <c r="C2886" s="1" t="s">
        <v>3787</v>
      </c>
      <c r="D2886" s="1" t="s">
        <v>14</v>
      </c>
      <c r="E2886" s="1" t="s">
        <v>3668</v>
      </c>
      <c r="F2886" s="1" t="s">
        <v>3380</v>
      </c>
      <c r="G2886" s="1" t="s">
        <v>3668</v>
      </c>
      <c r="H2886" s="2" t="s">
        <v>3493</v>
      </c>
      <c r="I2886" s="1" t="s">
        <v>3721</v>
      </c>
      <c r="J2886" s="1" t="s">
        <v>52</v>
      </c>
      <c r="K2886" s="2" t="s">
        <v>3493</v>
      </c>
      <c r="L2886" s="5" t="s">
        <v>69</v>
      </c>
      <c r="M2886" s="5" t="s">
        <v>69</v>
      </c>
      <c r="N2886" s="1" t="s">
        <v>3468</v>
      </c>
      <c r="O2886" s="1" t="s">
        <v>46</v>
      </c>
      <c r="P2886" s="1" t="s">
        <v>46</v>
      </c>
      <c r="Q2886" s="1" t="s">
        <v>46</v>
      </c>
      <c r="R2886" s="5" t="s">
        <v>46</v>
      </c>
      <c r="S2886" s="1" t="s">
        <v>46</v>
      </c>
      <c r="T2886" s="1" t="s">
        <v>46</v>
      </c>
      <c r="U2886" s="1" t="s">
        <v>46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5" t="s">
        <v>3786</v>
      </c>
      <c r="C2887" s="1" t="s">
        <v>3787</v>
      </c>
      <c r="D2887" s="1" t="s">
        <v>14</v>
      </c>
      <c r="E2887" s="1" t="s">
        <v>3668</v>
      </c>
      <c r="F2887" s="1" t="s">
        <v>3380</v>
      </c>
      <c r="G2887" s="1" t="s">
        <v>3668</v>
      </c>
      <c r="H2887" s="2" t="s">
        <v>3495</v>
      </c>
      <c r="I2887" s="1" t="s">
        <v>3722</v>
      </c>
      <c r="J2887" s="1" t="s">
        <v>52</v>
      </c>
      <c r="K2887" s="2" t="s">
        <v>3495</v>
      </c>
      <c r="L2887" s="5" t="s">
        <v>69</v>
      </c>
      <c r="M2887" s="5" t="s">
        <v>69</v>
      </c>
      <c r="N2887" s="1" t="s">
        <v>3468</v>
      </c>
      <c r="O2887" s="1" t="s">
        <v>46</v>
      </c>
      <c r="P2887" s="1" t="s">
        <v>46</v>
      </c>
      <c r="Q2887" s="1" t="s">
        <v>46</v>
      </c>
      <c r="R2887" s="5" t="s">
        <v>46</v>
      </c>
      <c r="S2887" s="1" t="s">
        <v>46</v>
      </c>
      <c r="T2887" s="1" t="s">
        <v>46</v>
      </c>
      <c r="U2887" s="1" t="s">
        <v>46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5" t="s">
        <v>3788</v>
      </c>
      <c r="C2888" s="1" t="s">
        <v>3789</v>
      </c>
      <c r="D2888" s="1" t="s">
        <v>14</v>
      </c>
      <c r="E2888" s="1" t="s">
        <v>3668</v>
      </c>
      <c r="F2888" s="1" t="s">
        <v>3380</v>
      </c>
      <c r="G2888" s="1" t="s">
        <v>3668</v>
      </c>
      <c r="H2888" s="2" t="s">
        <v>3554</v>
      </c>
      <c r="I2888" s="1" t="s">
        <v>3790</v>
      </c>
      <c r="J2888" s="1" t="s">
        <v>52</v>
      </c>
      <c r="K2888" s="2" t="s">
        <v>3554</v>
      </c>
      <c r="L2888" s="5" t="s">
        <v>69</v>
      </c>
      <c r="M2888" s="5" t="s">
        <v>69</v>
      </c>
      <c r="N2888" s="1" t="s">
        <v>3383</v>
      </c>
      <c r="O2888" s="1" t="s">
        <v>3784</v>
      </c>
      <c r="P2888" s="1" t="s">
        <v>3385</v>
      </c>
      <c r="Q2888" s="1" t="s">
        <v>3385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1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5" t="s">
        <v>3788</v>
      </c>
      <c r="C2889" s="1" t="s">
        <v>3789</v>
      </c>
      <c r="D2889" s="1" t="s">
        <v>14</v>
      </c>
      <c r="E2889" s="1" t="s">
        <v>3668</v>
      </c>
      <c r="F2889" s="1" t="s">
        <v>3380</v>
      </c>
      <c r="G2889" s="1" t="s">
        <v>3668</v>
      </c>
      <c r="H2889" s="2" t="s">
        <v>3557</v>
      </c>
      <c r="I2889" s="1" t="s">
        <v>3791</v>
      </c>
      <c r="J2889" s="1" t="s">
        <v>52</v>
      </c>
      <c r="K2889" s="2" t="s">
        <v>3557</v>
      </c>
      <c r="L2889" s="5" t="s">
        <v>69</v>
      </c>
      <c r="M2889" s="5" t="s">
        <v>69</v>
      </c>
      <c r="N2889" s="1" t="s">
        <v>3383</v>
      </c>
      <c r="O2889" s="1" t="s">
        <v>3784</v>
      </c>
      <c r="P2889" s="1" t="s">
        <v>3385</v>
      </c>
      <c r="Q2889" s="1" t="s">
        <v>3385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2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5" t="s">
        <v>3788</v>
      </c>
      <c r="C2890" s="1" t="s">
        <v>3789</v>
      </c>
      <c r="D2890" s="1" t="s">
        <v>14</v>
      </c>
      <c r="E2890" s="1" t="s">
        <v>3668</v>
      </c>
      <c r="F2890" s="1" t="s">
        <v>3380</v>
      </c>
      <c r="G2890" s="1" t="s">
        <v>3668</v>
      </c>
      <c r="H2890" s="2" t="s">
        <v>3559</v>
      </c>
      <c r="I2890" s="1" t="s">
        <v>3792</v>
      </c>
      <c r="J2890" s="1" t="s">
        <v>52</v>
      </c>
      <c r="K2890" s="2" t="s">
        <v>3559</v>
      </c>
      <c r="L2890" s="5" t="s">
        <v>69</v>
      </c>
      <c r="M2890" s="5" t="s">
        <v>69</v>
      </c>
      <c r="N2890" s="1" t="s">
        <v>3383</v>
      </c>
      <c r="O2890" s="1" t="s">
        <v>3784</v>
      </c>
      <c r="P2890" s="1" t="s">
        <v>3385</v>
      </c>
      <c r="Q2890" s="1" t="s">
        <v>3385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3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5" t="s">
        <v>3788</v>
      </c>
      <c r="C2891" s="1" t="s">
        <v>3789</v>
      </c>
      <c r="D2891" s="1" t="s">
        <v>14</v>
      </c>
      <c r="E2891" s="1" t="s">
        <v>3668</v>
      </c>
      <c r="F2891" s="1" t="s">
        <v>3380</v>
      </c>
      <c r="G2891" s="1" t="s">
        <v>3668</v>
      </c>
      <c r="H2891" s="2" t="s">
        <v>3561</v>
      </c>
      <c r="I2891" s="1" t="s">
        <v>3793</v>
      </c>
      <c r="J2891" s="1" t="s">
        <v>52</v>
      </c>
      <c r="K2891" s="2" t="s">
        <v>3561</v>
      </c>
      <c r="L2891" s="5" t="s">
        <v>69</v>
      </c>
      <c r="M2891" s="5" t="s">
        <v>69</v>
      </c>
      <c r="N2891" s="1" t="s">
        <v>3383</v>
      </c>
      <c r="O2891" s="1" t="s">
        <v>3784</v>
      </c>
      <c r="P2891" s="1" t="s">
        <v>3385</v>
      </c>
      <c r="Q2891" s="1" t="s">
        <v>3385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4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5" t="s">
        <v>3788</v>
      </c>
      <c r="C2892" s="1" t="s">
        <v>3789</v>
      </c>
      <c r="D2892" s="1" t="s">
        <v>14</v>
      </c>
      <c r="E2892" s="1" t="s">
        <v>3668</v>
      </c>
      <c r="F2892" s="1" t="s">
        <v>3380</v>
      </c>
      <c r="G2892" s="1" t="s">
        <v>3668</v>
      </c>
      <c r="H2892" s="2" t="s">
        <v>3563</v>
      </c>
      <c r="I2892" s="1" t="s">
        <v>3794</v>
      </c>
      <c r="J2892" s="1" t="s">
        <v>52</v>
      </c>
      <c r="K2892" s="2" t="s">
        <v>3563</v>
      </c>
      <c r="L2892" s="5" t="s">
        <v>69</v>
      </c>
      <c r="M2892" s="5" t="s">
        <v>69</v>
      </c>
      <c r="N2892" s="1" t="s">
        <v>3383</v>
      </c>
      <c r="O2892" s="1" t="s">
        <v>3784</v>
      </c>
      <c r="P2892" s="1" t="s">
        <v>3385</v>
      </c>
      <c r="Q2892" s="1" t="s">
        <v>3385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5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5" t="s">
        <v>3788</v>
      </c>
      <c r="C2893" s="1" t="s">
        <v>3789</v>
      </c>
      <c r="D2893" s="1" t="s">
        <v>14</v>
      </c>
      <c r="E2893" s="1" t="s">
        <v>3668</v>
      </c>
      <c r="F2893" s="1" t="s">
        <v>3380</v>
      </c>
      <c r="G2893" s="1" t="s">
        <v>3668</v>
      </c>
      <c r="H2893" s="2" t="s">
        <v>3565</v>
      </c>
      <c r="I2893" s="1" t="s">
        <v>3795</v>
      </c>
      <c r="J2893" s="1" t="s">
        <v>52</v>
      </c>
      <c r="K2893" s="2" t="s">
        <v>3565</v>
      </c>
      <c r="L2893" s="5" t="s">
        <v>69</v>
      </c>
      <c r="M2893" s="5" t="s">
        <v>69</v>
      </c>
      <c r="N2893" s="1" t="s">
        <v>3383</v>
      </c>
      <c r="O2893" s="1" t="s">
        <v>3784</v>
      </c>
      <c r="P2893" s="1" t="s">
        <v>3385</v>
      </c>
      <c r="Q2893" s="1" t="s">
        <v>3385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1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5" t="s">
        <v>3788</v>
      </c>
      <c r="C2894" s="1" t="s">
        <v>3789</v>
      </c>
      <c r="D2894" s="1" t="s">
        <v>14</v>
      </c>
      <c r="E2894" s="1" t="s">
        <v>3668</v>
      </c>
      <c r="F2894" s="1" t="s">
        <v>3380</v>
      </c>
      <c r="G2894" s="1" t="s">
        <v>3668</v>
      </c>
      <c r="H2894" s="2" t="s">
        <v>3568</v>
      </c>
      <c r="I2894" s="1" t="s">
        <v>3796</v>
      </c>
      <c r="J2894" s="1" t="s">
        <v>52</v>
      </c>
      <c r="K2894" s="2" t="s">
        <v>3568</v>
      </c>
      <c r="L2894" s="5" t="s">
        <v>69</v>
      </c>
      <c r="M2894" s="5" t="s">
        <v>69</v>
      </c>
      <c r="N2894" s="1" t="s">
        <v>3383</v>
      </c>
      <c r="O2894" s="1" t="s">
        <v>3784</v>
      </c>
      <c r="P2894" s="1" t="s">
        <v>3385</v>
      </c>
      <c r="Q2894" s="1" t="s">
        <v>3385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2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5" t="s">
        <v>3788</v>
      </c>
      <c r="C2895" s="1" t="s">
        <v>3789</v>
      </c>
      <c r="D2895" s="1" t="s">
        <v>14</v>
      </c>
      <c r="E2895" s="1" t="s">
        <v>3668</v>
      </c>
      <c r="F2895" s="1" t="s">
        <v>3380</v>
      </c>
      <c r="G2895" s="1" t="s">
        <v>3668</v>
      </c>
      <c r="H2895" s="2" t="s">
        <v>3570</v>
      </c>
      <c r="I2895" s="1" t="s">
        <v>3797</v>
      </c>
      <c r="J2895" s="1" t="s">
        <v>52</v>
      </c>
      <c r="K2895" s="2" t="s">
        <v>3570</v>
      </c>
      <c r="L2895" s="5" t="s">
        <v>69</v>
      </c>
      <c r="M2895" s="5" t="s">
        <v>69</v>
      </c>
      <c r="N2895" s="1" t="s">
        <v>3383</v>
      </c>
      <c r="O2895" s="1" t="s">
        <v>3784</v>
      </c>
      <c r="P2895" s="1" t="s">
        <v>3385</v>
      </c>
      <c r="Q2895" s="1" t="s">
        <v>3385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3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5" t="s">
        <v>3788</v>
      </c>
      <c r="C2896" s="1" t="s">
        <v>3789</v>
      </c>
      <c r="D2896" s="1" t="s">
        <v>14</v>
      </c>
      <c r="E2896" s="1" t="s">
        <v>3668</v>
      </c>
      <c r="F2896" s="1" t="s">
        <v>3380</v>
      </c>
      <c r="G2896" s="1" t="s">
        <v>3668</v>
      </c>
      <c r="H2896" s="2" t="s">
        <v>3572</v>
      </c>
      <c r="I2896" s="1" t="s">
        <v>3798</v>
      </c>
      <c r="J2896" s="1" t="s">
        <v>52</v>
      </c>
      <c r="K2896" s="2" t="s">
        <v>3572</v>
      </c>
      <c r="L2896" s="5" t="s">
        <v>69</v>
      </c>
      <c r="M2896" s="5" t="s">
        <v>69</v>
      </c>
      <c r="N2896" s="1" t="s">
        <v>3383</v>
      </c>
      <c r="O2896" s="1" t="s">
        <v>3784</v>
      </c>
      <c r="P2896" s="1" t="s">
        <v>3385</v>
      </c>
      <c r="Q2896" s="1" t="s">
        <v>3385</v>
      </c>
      <c r="R2896" s="1" t="s">
        <v>46</v>
      </c>
      <c r="S2896" s="1" t="s">
        <v>69</v>
      </c>
      <c r="T2896" s="1" t="s">
        <v>69</v>
      </c>
      <c r="U2896" s="1" t="s">
        <v>46</v>
      </c>
      <c r="V2896" s="1" t="n">
        <v>4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5" t="s">
        <v>3788</v>
      </c>
      <c r="C2897" s="1" t="s">
        <v>3789</v>
      </c>
      <c r="D2897" s="1" t="s">
        <v>14</v>
      </c>
      <c r="E2897" s="1" t="s">
        <v>3668</v>
      </c>
      <c r="F2897" s="1" t="s">
        <v>3380</v>
      </c>
      <c r="G2897" s="1" t="s">
        <v>3668</v>
      </c>
      <c r="H2897" s="2" t="s">
        <v>3574</v>
      </c>
      <c r="I2897" s="1" t="s">
        <v>3799</v>
      </c>
      <c r="J2897" s="1" t="s">
        <v>52</v>
      </c>
      <c r="K2897" s="2" t="s">
        <v>3574</v>
      </c>
      <c r="L2897" s="5" t="s">
        <v>69</v>
      </c>
      <c r="M2897" s="5" t="s">
        <v>69</v>
      </c>
      <c r="N2897" s="1" t="s">
        <v>3383</v>
      </c>
      <c r="O2897" s="1" t="s">
        <v>3784</v>
      </c>
      <c r="P2897" s="1" t="s">
        <v>3385</v>
      </c>
      <c r="Q2897" s="1" t="s">
        <v>3385</v>
      </c>
      <c r="R2897" s="1" t="s">
        <v>46</v>
      </c>
      <c r="S2897" s="1" t="s">
        <v>69</v>
      </c>
      <c r="T2897" s="1" t="s">
        <v>69</v>
      </c>
      <c r="U2897" s="1" t="s">
        <v>46</v>
      </c>
      <c r="V2897" s="1" t="n">
        <v>5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5" t="s">
        <v>3788</v>
      </c>
      <c r="C2898" s="1" t="s">
        <v>3789</v>
      </c>
      <c r="D2898" s="1" t="s">
        <v>14</v>
      </c>
      <c r="E2898" s="1" t="s">
        <v>3668</v>
      </c>
      <c r="F2898" s="1" t="s">
        <v>3380</v>
      </c>
      <c r="G2898" s="1" t="s">
        <v>3668</v>
      </c>
      <c r="H2898" s="2" t="s">
        <v>3576</v>
      </c>
      <c r="I2898" s="1" t="s">
        <v>3800</v>
      </c>
      <c r="J2898" s="1" t="s">
        <v>52</v>
      </c>
      <c r="K2898" s="2" t="s">
        <v>3576</v>
      </c>
      <c r="L2898" s="5" t="s">
        <v>69</v>
      </c>
      <c r="M2898" s="5" t="s">
        <v>69</v>
      </c>
      <c r="N2898" s="1" t="s">
        <v>3383</v>
      </c>
      <c r="O2898" s="1" t="s">
        <v>3784</v>
      </c>
      <c r="P2898" s="1" t="s">
        <v>3385</v>
      </c>
      <c r="Q2898" s="1" t="s">
        <v>3385</v>
      </c>
      <c r="R2898" s="1" t="s">
        <v>46</v>
      </c>
      <c r="S2898" s="1" t="s">
        <v>69</v>
      </c>
      <c r="T2898" s="1" t="s">
        <v>69</v>
      </c>
      <c r="U2898" s="1" t="s">
        <v>46</v>
      </c>
      <c r="V2898" s="1" t="n">
        <v>1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5" t="s">
        <v>3788</v>
      </c>
      <c r="C2899" s="1" t="s">
        <v>3789</v>
      </c>
      <c r="D2899" s="1" t="s">
        <v>14</v>
      </c>
      <c r="E2899" s="1" t="s">
        <v>3668</v>
      </c>
      <c r="F2899" s="1" t="s">
        <v>3380</v>
      </c>
      <c r="G2899" s="1" t="s">
        <v>3668</v>
      </c>
      <c r="H2899" s="2" t="s">
        <v>3579</v>
      </c>
      <c r="I2899" s="1" t="s">
        <v>3801</v>
      </c>
      <c r="J2899" s="1" t="s">
        <v>52</v>
      </c>
      <c r="K2899" s="2" t="s">
        <v>3579</v>
      </c>
      <c r="L2899" s="5" t="s">
        <v>69</v>
      </c>
      <c r="M2899" s="5" t="s">
        <v>69</v>
      </c>
      <c r="N2899" s="1" t="s">
        <v>3383</v>
      </c>
      <c r="O2899" s="1" t="s">
        <v>3784</v>
      </c>
      <c r="P2899" s="1" t="s">
        <v>3385</v>
      </c>
      <c r="Q2899" s="1" t="s">
        <v>3385</v>
      </c>
      <c r="R2899" s="1" t="s">
        <v>46</v>
      </c>
      <c r="S2899" s="1" t="s">
        <v>69</v>
      </c>
      <c r="T2899" s="1" t="s">
        <v>69</v>
      </c>
      <c r="U2899" s="1" t="s">
        <v>46</v>
      </c>
      <c r="V2899" s="1" t="n">
        <v>2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5" t="s">
        <v>3788</v>
      </c>
      <c r="C2900" s="1" t="s">
        <v>3789</v>
      </c>
      <c r="D2900" s="1" t="s">
        <v>14</v>
      </c>
      <c r="E2900" s="1" t="s">
        <v>3668</v>
      </c>
      <c r="F2900" s="1" t="s">
        <v>3380</v>
      </c>
      <c r="G2900" s="1" t="s">
        <v>3668</v>
      </c>
      <c r="H2900" s="2" t="s">
        <v>3581</v>
      </c>
      <c r="I2900" s="1" t="s">
        <v>3802</v>
      </c>
      <c r="J2900" s="1" t="s">
        <v>52</v>
      </c>
      <c r="K2900" s="2" t="s">
        <v>3581</v>
      </c>
      <c r="L2900" s="5" t="s">
        <v>69</v>
      </c>
      <c r="M2900" s="5" t="s">
        <v>69</v>
      </c>
      <c r="N2900" s="1" t="s">
        <v>3383</v>
      </c>
      <c r="O2900" s="1" t="s">
        <v>3784</v>
      </c>
      <c r="P2900" s="1" t="s">
        <v>3385</v>
      </c>
      <c r="Q2900" s="1" t="s">
        <v>3385</v>
      </c>
      <c r="R2900" s="1" t="s">
        <v>46</v>
      </c>
      <c r="S2900" s="1" t="s">
        <v>69</v>
      </c>
      <c r="T2900" s="1" t="s">
        <v>69</v>
      </c>
      <c r="U2900" s="1" t="s">
        <v>46</v>
      </c>
      <c r="V2900" s="1" t="n">
        <v>3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5" t="s">
        <v>3788</v>
      </c>
      <c r="C2901" s="1" t="s">
        <v>3789</v>
      </c>
      <c r="D2901" s="1" t="s">
        <v>14</v>
      </c>
      <c r="E2901" s="1" t="s">
        <v>3668</v>
      </c>
      <c r="F2901" s="1" t="s">
        <v>3380</v>
      </c>
      <c r="G2901" s="1" t="s">
        <v>3668</v>
      </c>
      <c r="H2901" s="2" t="s">
        <v>3583</v>
      </c>
      <c r="I2901" s="1" t="s">
        <v>3803</v>
      </c>
      <c r="J2901" s="1" t="s">
        <v>52</v>
      </c>
      <c r="K2901" s="2" t="s">
        <v>3583</v>
      </c>
      <c r="L2901" s="5" t="s">
        <v>69</v>
      </c>
      <c r="M2901" s="5" t="s">
        <v>69</v>
      </c>
      <c r="N2901" s="1" t="s">
        <v>3383</v>
      </c>
      <c r="O2901" s="1" t="s">
        <v>3784</v>
      </c>
      <c r="P2901" s="1" t="s">
        <v>3385</v>
      </c>
      <c r="Q2901" s="1" t="s">
        <v>3385</v>
      </c>
      <c r="R2901" s="1" t="s">
        <v>46</v>
      </c>
      <c r="S2901" s="1" t="s">
        <v>69</v>
      </c>
      <c r="T2901" s="1" t="s">
        <v>69</v>
      </c>
      <c r="U2901" s="1" t="s">
        <v>46</v>
      </c>
      <c r="V2901" s="1" t="n">
        <v>4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5" t="s">
        <v>3788</v>
      </c>
      <c r="C2902" s="1" t="s">
        <v>3789</v>
      </c>
      <c r="D2902" s="1" t="s">
        <v>14</v>
      </c>
      <c r="E2902" s="1" t="s">
        <v>3668</v>
      </c>
      <c r="F2902" s="1" t="s">
        <v>3380</v>
      </c>
      <c r="G2902" s="1" t="s">
        <v>3668</v>
      </c>
      <c r="H2902" s="2" t="s">
        <v>3585</v>
      </c>
      <c r="I2902" s="1" t="s">
        <v>3804</v>
      </c>
      <c r="J2902" s="1" t="s">
        <v>52</v>
      </c>
      <c r="K2902" s="2" t="s">
        <v>3585</v>
      </c>
      <c r="L2902" s="5" t="s">
        <v>69</v>
      </c>
      <c r="M2902" s="5" t="s">
        <v>69</v>
      </c>
      <c r="N2902" s="1" t="s">
        <v>3383</v>
      </c>
      <c r="O2902" s="1" t="s">
        <v>3784</v>
      </c>
      <c r="P2902" s="1" t="s">
        <v>3385</v>
      </c>
      <c r="Q2902" s="1" t="s">
        <v>3385</v>
      </c>
      <c r="R2902" s="1" t="s">
        <v>46</v>
      </c>
      <c r="S2902" s="1" t="s">
        <v>69</v>
      </c>
      <c r="T2902" s="1" t="s">
        <v>69</v>
      </c>
      <c r="U2902" s="1" t="s">
        <v>46</v>
      </c>
      <c r="V2902" s="1" t="n">
        <v>5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5" t="s">
        <v>3788</v>
      </c>
      <c r="C2903" s="1" t="s">
        <v>3789</v>
      </c>
      <c r="D2903" s="1" t="s">
        <v>14</v>
      </c>
      <c r="E2903" s="1" t="s">
        <v>3668</v>
      </c>
      <c r="F2903" s="1" t="s">
        <v>3380</v>
      </c>
      <c r="G2903" s="1" t="s">
        <v>3668</v>
      </c>
      <c r="H2903" s="2" t="s">
        <v>3587</v>
      </c>
      <c r="I2903" s="1" t="s">
        <v>3805</v>
      </c>
      <c r="J2903" s="1" t="s">
        <v>52</v>
      </c>
      <c r="K2903" s="2" t="s">
        <v>3587</v>
      </c>
      <c r="L2903" s="5" t="s">
        <v>69</v>
      </c>
      <c r="M2903" s="5" t="s">
        <v>69</v>
      </c>
      <c r="N2903" s="1" t="s">
        <v>3383</v>
      </c>
      <c r="O2903" s="1" t="s">
        <v>3784</v>
      </c>
      <c r="P2903" s="1" t="s">
        <v>3385</v>
      </c>
      <c r="Q2903" s="1" t="s">
        <v>3385</v>
      </c>
      <c r="R2903" s="1" t="s">
        <v>46</v>
      </c>
      <c r="S2903" s="1" t="s">
        <v>69</v>
      </c>
      <c r="T2903" s="1" t="s">
        <v>69</v>
      </c>
      <c r="U2903" s="1" t="s">
        <v>46</v>
      </c>
      <c r="V2903" s="1" t="n">
        <v>1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5" t="s">
        <v>3788</v>
      </c>
      <c r="C2904" s="1" t="s">
        <v>3789</v>
      </c>
      <c r="D2904" s="1" t="s">
        <v>14</v>
      </c>
      <c r="E2904" s="1" t="s">
        <v>3668</v>
      </c>
      <c r="F2904" s="1" t="s">
        <v>3380</v>
      </c>
      <c r="G2904" s="1" t="s">
        <v>3668</v>
      </c>
      <c r="H2904" s="2" t="s">
        <v>3590</v>
      </c>
      <c r="I2904" s="1" t="s">
        <v>3806</v>
      </c>
      <c r="J2904" s="1" t="s">
        <v>52</v>
      </c>
      <c r="K2904" s="2" t="s">
        <v>3590</v>
      </c>
      <c r="L2904" s="5" t="s">
        <v>69</v>
      </c>
      <c r="M2904" s="5" t="s">
        <v>69</v>
      </c>
      <c r="N2904" s="1" t="s">
        <v>3383</v>
      </c>
      <c r="O2904" s="1" t="s">
        <v>3784</v>
      </c>
      <c r="P2904" s="1" t="s">
        <v>3385</v>
      </c>
      <c r="Q2904" s="1" t="s">
        <v>3385</v>
      </c>
      <c r="R2904" s="1" t="s">
        <v>46</v>
      </c>
      <c r="S2904" s="1" t="s">
        <v>69</v>
      </c>
      <c r="T2904" s="1" t="s">
        <v>69</v>
      </c>
      <c r="U2904" s="1" t="s">
        <v>46</v>
      </c>
      <c r="V2904" s="1" t="n">
        <v>2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5" t="s">
        <v>3788</v>
      </c>
      <c r="C2905" s="1" t="s">
        <v>3789</v>
      </c>
      <c r="D2905" s="1" t="s">
        <v>14</v>
      </c>
      <c r="E2905" s="1" t="s">
        <v>3668</v>
      </c>
      <c r="F2905" s="1" t="s">
        <v>3380</v>
      </c>
      <c r="G2905" s="1" t="s">
        <v>3668</v>
      </c>
      <c r="H2905" s="2" t="s">
        <v>3592</v>
      </c>
      <c r="I2905" s="1" t="s">
        <v>3807</v>
      </c>
      <c r="J2905" s="1" t="s">
        <v>52</v>
      </c>
      <c r="K2905" s="2" t="s">
        <v>3592</v>
      </c>
      <c r="L2905" s="5" t="s">
        <v>69</v>
      </c>
      <c r="M2905" s="5" t="s">
        <v>69</v>
      </c>
      <c r="N2905" s="1" t="s">
        <v>3383</v>
      </c>
      <c r="O2905" s="1" t="s">
        <v>3784</v>
      </c>
      <c r="P2905" s="1" t="s">
        <v>3385</v>
      </c>
      <c r="Q2905" s="1" t="s">
        <v>3385</v>
      </c>
      <c r="R2905" s="1" t="s">
        <v>46</v>
      </c>
      <c r="S2905" s="1" t="s">
        <v>69</v>
      </c>
      <c r="T2905" s="1" t="s">
        <v>69</v>
      </c>
      <c r="U2905" s="1" t="s">
        <v>46</v>
      </c>
      <c r="V2905" s="1" t="n">
        <v>3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5" t="s">
        <v>3788</v>
      </c>
      <c r="C2906" s="1" t="s">
        <v>3789</v>
      </c>
      <c r="D2906" s="1" t="s">
        <v>14</v>
      </c>
      <c r="E2906" s="1" t="s">
        <v>3668</v>
      </c>
      <c r="F2906" s="1" t="s">
        <v>3380</v>
      </c>
      <c r="G2906" s="1" t="s">
        <v>3668</v>
      </c>
      <c r="H2906" s="2" t="s">
        <v>3594</v>
      </c>
      <c r="I2906" s="1" t="s">
        <v>3808</v>
      </c>
      <c r="J2906" s="1" t="s">
        <v>52</v>
      </c>
      <c r="K2906" s="2" t="s">
        <v>3594</v>
      </c>
      <c r="L2906" s="5" t="s">
        <v>69</v>
      </c>
      <c r="M2906" s="5" t="s">
        <v>69</v>
      </c>
      <c r="N2906" s="1" t="s">
        <v>3383</v>
      </c>
      <c r="O2906" s="1" t="s">
        <v>3784</v>
      </c>
      <c r="P2906" s="1" t="s">
        <v>3385</v>
      </c>
      <c r="Q2906" s="1" t="s">
        <v>3385</v>
      </c>
      <c r="R2906" s="1" t="s">
        <v>46</v>
      </c>
      <c r="S2906" s="1" t="s">
        <v>69</v>
      </c>
      <c r="T2906" s="1" t="s">
        <v>69</v>
      </c>
      <c r="U2906" s="1" t="s">
        <v>46</v>
      </c>
      <c r="V2906" s="1" t="n">
        <v>4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5" t="s">
        <v>3788</v>
      </c>
      <c r="C2907" s="1" t="s">
        <v>3789</v>
      </c>
      <c r="D2907" s="1" t="s">
        <v>14</v>
      </c>
      <c r="E2907" s="1" t="s">
        <v>3668</v>
      </c>
      <c r="F2907" s="1" t="s">
        <v>3380</v>
      </c>
      <c r="G2907" s="1" t="s">
        <v>3668</v>
      </c>
      <c r="H2907" s="2" t="s">
        <v>3596</v>
      </c>
      <c r="I2907" s="1" t="s">
        <v>3809</v>
      </c>
      <c r="J2907" s="1" t="s">
        <v>52</v>
      </c>
      <c r="K2907" s="2" t="s">
        <v>3596</v>
      </c>
      <c r="L2907" s="5" t="s">
        <v>69</v>
      </c>
      <c r="M2907" s="5" t="s">
        <v>69</v>
      </c>
      <c r="N2907" s="1" t="s">
        <v>3383</v>
      </c>
      <c r="O2907" s="1" t="s">
        <v>3784</v>
      </c>
      <c r="P2907" s="1" t="s">
        <v>3385</v>
      </c>
      <c r="Q2907" s="1" t="s">
        <v>3385</v>
      </c>
      <c r="R2907" s="1" t="s">
        <v>46</v>
      </c>
      <c r="S2907" s="1" t="s">
        <v>69</v>
      </c>
      <c r="T2907" s="1" t="s">
        <v>69</v>
      </c>
      <c r="U2907" s="1" t="s">
        <v>46</v>
      </c>
      <c r="V2907" s="1" t="n">
        <v>5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5" t="s">
        <v>3788</v>
      </c>
      <c r="C2908" s="1" t="s">
        <v>3789</v>
      </c>
      <c r="D2908" s="1" t="s">
        <v>14</v>
      </c>
      <c r="E2908" s="1" t="s">
        <v>3668</v>
      </c>
      <c r="F2908" s="1" t="s">
        <v>3380</v>
      </c>
      <c r="G2908" s="1" t="s">
        <v>3668</v>
      </c>
      <c r="H2908" s="2" t="s">
        <v>3598</v>
      </c>
      <c r="I2908" s="1" t="s">
        <v>3810</v>
      </c>
      <c r="J2908" s="1" t="s">
        <v>52</v>
      </c>
      <c r="K2908" s="2" t="s">
        <v>3598</v>
      </c>
      <c r="L2908" s="5" t="s">
        <v>69</v>
      </c>
      <c r="M2908" s="5" t="s">
        <v>69</v>
      </c>
      <c r="N2908" s="1" t="s">
        <v>3383</v>
      </c>
      <c r="O2908" s="1" t="s">
        <v>3784</v>
      </c>
      <c r="P2908" s="1" t="s">
        <v>3385</v>
      </c>
      <c r="Q2908" s="1" t="s">
        <v>3385</v>
      </c>
      <c r="R2908" s="1" t="s">
        <v>46</v>
      </c>
      <c r="S2908" s="1" t="s">
        <v>69</v>
      </c>
      <c r="T2908" s="1" t="s">
        <v>69</v>
      </c>
      <c r="U2908" s="1" t="s">
        <v>46</v>
      </c>
      <c r="V2908" s="1" t="n">
        <v>1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5" t="s">
        <v>3788</v>
      </c>
      <c r="C2909" s="1" t="s">
        <v>3789</v>
      </c>
      <c r="D2909" s="1" t="s">
        <v>14</v>
      </c>
      <c r="E2909" s="1" t="s">
        <v>3668</v>
      </c>
      <c r="F2909" s="1" t="s">
        <v>3380</v>
      </c>
      <c r="G2909" s="1" t="s">
        <v>3668</v>
      </c>
      <c r="H2909" s="2" t="s">
        <v>3601</v>
      </c>
      <c r="I2909" s="1" t="s">
        <v>3811</v>
      </c>
      <c r="J2909" s="1" t="s">
        <v>52</v>
      </c>
      <c r="K2909" s="2" t="s">
        <v>3601</v>
      </c>
      <c r="L2909" s="5" t="s">
        <v>69</v>
      </c>
      <c r="M2909" s="5" t="s">
        <v>69</v>
      </c>
      <c r="N2909" s="1" t="s">
        <v>3383</v>
      </c>
      <c r="O2909" s="1" t="s">
        <v>3784</v>
      </c>
      <c r="P2909" s="1" t="s">
        <v>3385</v>
      </c>
      <c r="Q2909" s="1" t="s">
        <v>3385</v>
      </c>
      <c r="R2909" s="1" t="s">
        <v>46</v>
      </c>
      <c r="S2909" s="1" t="s">
        <v>69</v>
      </c>
      <c r="T2909" s="1" t="s">
        <v>69</v>
      </c>
      <c r="U2909" s="1" t="s">
        <v>46</v>
      </c>
      <c r="V2909" s="1" t="n">
        <v>2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5" t="s">
        <v>3788</v>
      </c>
      <c r="C2910" s="1" t="s">
        <v>3789</v>
      </c>
      <c r="D2910" s="1" t="s">
        <v>14</v>
      </c>
      <c r="E2910" s="1" t="s">
        <v>3668</v>
      </c>
      <c r="F2910" s="1" t="s">
        <v>3380</v>
      </c>
      <c r="G2910" s="1" t="s">
        <v>3668</v>
      </c>
      <c r="H2910" s="2" t="s">
        <v>3603</v>
      </c>
      <c r="I2910" s="1" t="s">
        <v>3812</v>
      </c>
      <c r="J2910" s="1" t="s">
        <v>52</v>
      </c>
      <c r="K2910" s="2" t="s">
        <v>3603</v>
      </c>
      <c r="L2910" s="5" t="s">
        <v>69</v>
      </c>
      <c r="M2910" s="5" t="s">
        <v>69</v>
      </c>
      <c r="N2910" s="1" t="s">
        <v>3383</v>
      </c>
      <c r="O2910" s="1" t="s">
        <v>3784</v>
      </c>
      <c r="P2910" s="1" t="s">
        <v>3385</v>
      </c>
      <c r="Q2910" s="1" t="s">
        <v>3385</v>
      </c>
      <c r="R2910" s="1" t="s">
        <v>46</v>
      </c>
      <c r="S2910" s="1" t="s">
        <v>69</v>
      </c>
      <c r="T2910" s="1" t="s">
        <v>69</v>
      </c>
      <c r="U2910" s="1" t="s">
        <v>46</v>
      </c>
      <c r="V2910" s="1" t="n">
        <v>3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5" t="s">
        <v>3788</v>
      </c>
      <c r="C2911" s="1" t="s">
        <v>3789</v>
      </c>
      <c r="D2911" s="1" t="s">
        <v>14</v>
      </c>
      <c r="E2911" s="1" t="s">
        <v>3668</v>
      </c>
      <c r="F2911" s="1" t="s">
        <v>3380</v>
      </c>
      <c r="G2911" s="1" t="s">
        <v>3668</v>
      </c>
      <c r="H2911" s="2" t="s">
        <v>3605</v>
      </c>
      <c r="I2911" s="1" t="s">
        <v>3813</v>
      </c>
      <c r="J2911" s="1" t="s">
        <v>52</v>
      </c>
      <c r="K2911" s="2" t="s">
        <v>3605</v>
      </c>
      <c r="L2911" s="5" t="s">
        <v>69</v>
      </c>
      <c r="M2911" s="5" t="s">
        <v>69</v>
      </c>
      <c r="N2911" s="1" t="s">
        <v>3383</v>
      </c>
      <c r="O2911" s="1" t="s">
        <v>3784</v>
      </c>
      <c r="P2911" s="1" t="s">
        <v>3385</v>
      </c>
      <c r="Q2911" s="1" t="s">
        <v>3385</v>
      </c>
      <c r="R2911" s="1" t="s">
        <v>46</v>
      </c>
      <c r="S2911" s="1" t="s">
        <v>69</v>
      </c>
      <c r="T2911" s="1" t="s">
        <v>69</v>
      </c>
      <c r="U2911" s="1" t="s">
        <v>46</v>
      </c>
      <c r="V2911" s="1" t="n">
        <v>4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5" t="s">
        <v>3788</v>
      </c>
      <c r="C2912" s="1" t="s">
        <v>3789</v>
      </c>
      <c r="D2912" s="1" t="s">
        <v>14</v>
      </c>
      <c r="E2912" s="1" t="s">
        <v>3668</v>
      </c>
      <c r="F2912" s="1" t="s">
        <v>3380</v>
      </c>
      <c r="G2912" s="1" t="s">
        <v>3668</v>
      </c>
      <c r="H2912" s="2" t="s">
        <v>3607</v>
      </c>
      <c r="I2912" s="1" t="s">
        <v>3814</v>
      </c>
      <c r="J2912" s="1" t="s">
        <v>52</v>
      </c>
      <c r="K2912" s="2" t="s">
        <v>3607</v>
      </c>
      <c r="L2912" s="5" t="s">
        <v>69</v>
      </c>
      <c r="M2912" s="5" t="s">
        <v>69</v>
      </c>
      <c r="N2912" s="1" t="s">
        <v>3383</v>
      </c>
      <c r="O2912" s="1" t="s">
        <v>3784</v>
      </c>
      <c r="P2912" s="1" t="s">
        <v>3385</v>
      </c>
      <c r="Q2912" s="1" t="s">
        <v>3385</v>
      </c>
      <c r="R2912" s="1" t="s">
        <v>46</v>
      </c>
      <c r="S2912" s="1" t="s">
        <v>69</v>
      </c>
      <c r="T2912" s="1" t="s">
        <v>69</v>
      </c>
      <c r="U2912" s="1" t="s">
        <v>46</v>
      </c>
      <c r="V2912" s="1" t="n">
        <v>5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5" t="s">
        <v>3788</v>
      </c>
      <c r="C2913" s="1" t="s">
        <v>3789</v>
      </c>
      <c r="D2913" s="1" t="s">
        <v>14</v>
      </c>
      <c r="E2913" s="1" t="s">
        <v>3668</v>
      </c>
      <c r="F2913" s="1" t="s">
        <v>3380</v>
      </c>
      <c r="G2913" s="1" t="s">
        <v>3668</v>
      </c>
      <c r="H2913" s="2" t="s">
        <v>3611</v>
      </c>
      <c r="I2913" s="1" t="s">
        <v>3753</v>
      </c>
      <c r="J2913" s="1" t="s">
        <v>52</v>
      </c>
      <c r="K2913" s="2" t="s">
        <v>3611</v>
      </c>
      <c r="L2913" s="36" t="s">
        <v>69</v>
      </c>
      <c r="M2913" s="1" t="s">
        <v>69</v>
      </c>
      <c r="N2913" s="1" t="s">
        <v>3383</v>
      </c>
      <c r="O2913" s="1" t="s">
        <v>3785</v>
      </c>
      <c r="P2913" s="1" t="s">
        <v>3385</v>
      </c>
      <c r="Q2913" s="1" t="s">
        <v>3385</v>
      </c>
      <c r="R2913" s="1" t="s">
        <v>46</v>
      </c>
      <c r="S2913" s="1" t="s">
        <v>69</v>
      </c>
      <c r="T2913" s="1" t="s">
        <v>69</v>
      </c>
      <c r="U2913" s="1" t="s">
        <v>46</v>
      </c>
      <c r="V2913" s="1" t="n">
        <v>1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5" t="s">
        <v>3788</v>
      </c>
      <c r="C2914" s="1" t="s">
        <v>3789</v>
      </c>
      <c r="D2914" s="1" t="s">
        <v>14</v>
      </c>
      <c r="E2914" s="1" t="s">
        <v>3668</v>
      </c>
      <c r="F2914" s="1" t="s">
        <v>3380</v>
      </c>
      <c r="G2914" s="1" t="s">
        <v>3668</v>
      </c>
      <c r="H2914" s="2" t="s">
        <v>3614</v>
      </c>
      <c r="I2914" s="1" t="s">
        <v>3754</v>
      </c>
      <c r="J2914" s="1" t="s">
        <v>52</v>
      </c>
      <c r="K2914" s="2" t="s">
        <v>3614</v>
      </c>
      <c r="L2914" s="36" t="s">
        <v>69</v>
      </c>
      <c r="M2914" s="1" t="s">
        <v>69</v>
      </c>
      <c r="N2914" s="1" t="s">
        <v>3383</v>
      </c>
      <c r="O2914" s="1" t="s">
        <v>3785</v>
      </c>
      <c r="P2914" s="1" t="s">
        <v>3385</v>
      </c>
      <c r="Q2914" s="1" t="s">
        <v>3385</v>
      </c>
      <c r="R2914" s="1" t="s">
        <v>46</v>
      </c>
      <c r="S2914" s="1" t="s">
        <v>69</v>
      </c>
      <c r="T2914" s="1" t="s">
        <v>69</v>
      </c>
      <c r="U2914" s="1" t="s">
        <v>46</v>
      </c>
      <c r="V2914" s="1" t="n">
        <v>2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5" t="s">
        <v>3788</v>
      </c>
      <c r="C2915" s="1" t="s">
        <v>3789</v>
      </c>
      <c r="D2915" s="1" t="s">
        <v>14</v>
      </c>
      <c r="E2915" s="1" t="s">
        <v>3668</v>
      </c>
      <c r="F2915" s="1" t="s">
        <v>3380</v>
      </c>
      <c r="G2915" s="1" t="s">
        <v>3668</v>
      </c>
      <c r="H2915" s="2" t="s">
        <v>3616</v>
      </c>
      <c r="I2915" s="1" t="s">
        <v>3755</v>
      </c>
      <c r="J2915" s="1" t="s">
        <v>52</v>
      </c>
      <c r="K2915" s="2" t="s">
        <v>3616</v>
      </c>
      <c r="L2915" s="36" t="s">
        <v>69</v>
      </c>
      <c r="M2915" s="1" t="s">
        <v>69</v>
      </c>
      <c r="N2915" s="1" t="s">
        <v>3383</v>
      </c>
      <c r="O2915" s="1" t="s">
        <v>3785</v>
      </c>
      <c r="P2915" s="1" t="s">
        <v>3385</v>
      </c>
      <c r="Q2915" s="1" t="s">
        <v>3385</v>
      </c>
      <c r="R2915" s="1" t="s">
        <v>46</v>
      </c>
      <c r="S2915" s="1" t="s">
        <v>69</v>
      </c>
      <c r="T2915" s="1" t="s">
        <v>69</v>
      </c>
      <c r="U2915" s="1" t="s">
        <v>46</v>
      </c>
      <c r="V2915" s="1" t="n">
        <v>3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5" t="s">
        <v>3788</v>
      </c>
      <c r="C2916" s="1" t="s">
        <v>3789</v>
      </c>
      <c r="D2916" s="1" t="s">
        <v>14</v>
      </c>
      <c r="E2916" s="1" t="s">
        <v>3668</v>
      </c>
      <c r="F2916" s="1" t="s">
        <v>3380</v>
      </c>
      <c r="G2916" s="1" t="s">
        <v>3668</v>
      </c>
      <c r="H2916" s="2" t="s">
        <v>3618</v>
      </c>
      <c r="I2916" s="1" t="s">
        <v>3756</v>
      </c>
      <c r="J2916" s="1" t="s">
        <v>52</v>
      </c>
      <c r="K2916" s="2" t="s">
        <v>3618</v>
      </c>
      <c r="L2916" s="36" t="s">
        <v>69</v>
      </c>
      <c r="M2916" s="1" t="s">
        <v>69</v>
      </c>
      <c r="N2916" s="1" t="s">
        <v>3383</v>
      </c>
      <c r="O2916" s="1" t="s">
        <v>3785</v>
      </c>
      <c r="P2916" s="1" t="s">
        <v>3385</v>
      </c>
      <c r="Q2916" s="1" t="s">
        <v>3385</v>
      </c>
      <c r="R2916" s="1" t="s">
        <v>46</v>
      </c>
      <c r="S2916" s="1" t="s">
        <v>69</v>
      </c>
      <c r="T2916" s="1" t="s">
        <v>69</v>
      </c>
      <c r="U2916" s="1" t="s">
        <v>46</v>
      </c>
      <c r="V2916" s="1" t="n">
        <v>4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5" t="s">
        <v>3788</v>
      </c>
      <c r="C2917" s="1" t="s">
        <v>3789</v>
      </c>
      <c r="D2917" s="1" t="s">
        <v>14</v>
      </c>
      <c r="E2917" s="1" t="s">
        <v>3668</v>
      </c>
      <c r="F2917" s="1" t="s">
        <v>3380</v>
      </c>
      <c r="G2917" s="1" t="s">
        <v>3668</v>
      </c>
      <c r="H2917" s="2" t="s">
        <v>3620</v>
      </c>
      <c r="I2917" s="1" t="s">
        <v>3757</v>
      </c>
      <c r="J2917" s="1" t="s">
        <v>52</v>
      </c>
      <c r="K2917" s="2" t="s">
        <v>3620</v>
      </c>
      <c r="L2917" s="36" t="s">
        <v>69</v>
      </c>
      <c r="M2917" s="1" t="s">
        <v>69</v>
      </c>
      <c r="N2917" s="1" t="s">
        <v>3383</v>
      </c>
      <c r="O2917" s="1" t="s">
        <v>3785</v>
      </c>
      <c r="P2917" s="1" t="s">
        <v>3385</v>
      </c>
      <c r="Q2917" s="1" t="s">
        <v>3385</v>
      </c>
      <c r="R2917" s="1" t="s">
        <v>46</v>
      </c>
      <c r="S2917" s="1" t="s">
        <v>69</v>
      </c>
      <c r="T2917" s="1" t="s">
        <v>69</v>
      </c>
      <c r="U2917" s="1" t="s">
        <v>46</v>
      </c>
      <c r="V2917" s="1" t="n">
        <v>5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5" t="s">
        <v>3788</v>
      </c>
      <c r="C2918" s="1" t="s">
        <v>3789</v>
      </c>
      <c r="D2918" s="1" t="s">
        <v>14</v>
      </c>
      <c r="E2918" s="1" t="s">
        <v>3668</v>
      </c>
      <c r="F2918" s="1" t="s">
        <v>3380</v>
      </c>
      <c r="G2918" s="1" t="s">
        <v>3668</v>
      </c>
      <c r="H2918" s="2" t="s">
        <v>3622</v>
      </c>
      <c r="I2918" s="1" t="s">
        <v>3758</v>
      </c>
      <c r="J2918" s="1" t="s">
        <v>52</v>
      </c>
      <c r="K2918" s="2" t="s">
        <v>3622</v>
      </c>
      <c r="L2918" s="36" t="s">
        <v>69</v>
      </c>
      <c r="M2918" s="1" t="s">
        <v>69</v>
      </c>
      <c r="N2918" s="1" t="s">
        <v>3383</v>
      </c>
      <c r="O2918" s="1" t="s">
        <v>3785</v>
      </c>
      <c r="P2918" s="1" t="s">
        <v>3385</v>
      </c>
      <c r="Q2918" s="1" t="s">
        <v>3385</v>
      </c>
      <c r="R2918" s="1" t="s">
        <v>46</v>
      </c>
      <c r="S2918" s="1" t="s">
        <v>69</v>
      </c>
      <c r="T2918" s="1" t="s">
        <v>69</v>
      </c>
      <c r="U2918" s="1" t="s">
        <v>46</v>
      </c>
      <c r="V2918" s="1" t="n">
        <v>1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5" t="s">
        <v>3788</v>
      </c>
      <c r="C2919" s="1" t="s">
        <v>3789</v>
      </c>
      <c r="D2919" s="1" t="s">
        <v>14</v>
      </c>
      <c r="E2919" s="1" t="s">
        <v>3668</v>
      </c>
      <c r="F2919" s="1" t="s">
        <v>3380</v>
      </c>
      <c r="G2919" s="1" t="s">
        <v>3668</v>
      </c>
      <c r="H2919" s="2" t="s">
        <v>3625</v>
      </c>
      <c r="I2919" s="1" t="s">
        <v>3759</v>
      </c>
      <c r="J2919" s="1" t="s">
        <v>52</v>
      </c>
      <c r="K2919" s="2" t="s">
        <v>3625</v>
      </c>
      <c r="L2919" s="36" t="s">
        <v>69</v>
      </c>
      <c r="M2919" s="1" t="s">
        <v>69</v>
      </c>
      <c r="N2919" s="1" t="s">
        <v>3383</v>
      </c>
      <c r="O2919" s="1" t="s">
        <v>3785</v>
      </c>
      <c r="P2919" s="1" t="s">
        <v>3385</v>
      </c>
      <c r="Q2919" s="1" t="s">
        <v>3385</v>
      </c>
      <c r="R2919" s="1" t="s">
        <v>46</v>
      </c>
      <c r="S2919" s="1" t="s">
        <v>69</v>
      </c>
      <c r="T2919" s="1" t="s">
        <v>69</v>
      </c>
      <c r="U2919" s="1" t="s">
        <v>46</v>
      </c>
      <c r="V2919" s="1" t="n">
        <v>2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5" t="s">
        <v>3788</v>
      </c>
      <c r="C2920" s="1" t="s">
        <v>3789</v>
      </c>
      <c r="D2920" s="1" t="s">
        <v>14</v>
      </c>
      <c r="E2920" s="1" t="s">
        <v>3668</v>
      </c>
      <c r="F2920" s="1" t="s">
        <v>3380</v>
      </c>
      <c r="G2920" s="1" t="s">
        <v>3668</v>
      </c>
      <c r="H2920" s="2" t="s">
        <v>3627</v>
      </c>
      <c r="I2920" s="1" t="s">
        <v>3760</v>
      </c>
      <c r="J2920" s="1" t="s">
        <v>52</v>
      </c>
      <c r="K2920" s="2" t="s">
        <v>3627</v>
      </c>
      <c r="L2920" s="36" t="s">
        <v>69</v>
      </c>
      <c r="M2920" s="1" t="s">
        <v>69</v>
      </c>
      <c r="N2920" s="1" t="s">
        <v>3383</v>
      </c>
      <c r="O2920" s="1" t="s">
        <v>3785</v>
      </c>
      <c r="P2920" s="1" t="s">
        <v>3385</v>
      </c>
      <c r="Q2920" s="1" t="s">
        <v>3385</v>
      </c>
      <c r="R2920" s="1" t="s">
        <v>46</v>
      </c>
      <c r="S2920" s="1" t="s">
        <v>69</v>
      </c>
      <c r="T2920" s="1" t="s">
        <v>69</v>
      </c>
      <c r="U2920" s="1" t="s">
        <v>46</v>
      </c>
      <c r="V2920" s="1" t="n">
        <v>3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5" t="s">
        <v>3788</v>
      </c>
      <c r="C2921" s="1" t="s">
        <v>3789</v>
      </c>
      <c r="D2921" s="1" t="s">
        <v>14</v>
      </c>
      <c r="E2921" s="1" t="s">
        <v>3668</v>
      </c>
      <c r="F2921" s="1" t="s">
        <v>3380</v>
      </c>
      <c r="G2921" s="1" t="s">
        <v>3668</v>
      </c>
      <c r="H2921" s="2" t="s">
        <v>3629</v>
      </c>
      <c r="I2921" s="1" t="s">
        <v>3761</v>
      </c>
      <c r="J2921" s="1" t="s">
        <v>52</v>
      </c>
      <c r="K2921" s="2" t="s">
        <v>3629</v>
      </c>
      <c r="L2921" s="36" t="s">
        <v>69</v>
      </c>
      <c r="M2921" s="1" t="s">
        <v>69</v>
      </c>
      <c r="N2921" s="1" t="s">
        <v>3383</v>
      </c>
      <c r="O2921" s="1" t="s">
        <v>3785</v>
      </c>
      <c r="P2921" s="1" t="s">
        <v>3385</v>
      </c>
      <c r="Q2921" s="1" t="s">
        <v>3385</v>
      </c>
      <c r="R2921" s="1" t="s">
        <v>46</v>
      </c>
      <c r="S2921" s="1" t="s">
        <v>69</v>
      </c>
      <c r="T2921" s="1" t="s">
        <v>69</v>
      </c>
      <c r="U2921" s="1" t="s">
        <v>46</v>
      </c>
      <c r="V2921" s="1" t="n">
        <v>4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5" t="s">
        <v>3788</v>
      </c>
      <c r="C2922" s="1" t="s">
        <v>3789</v>
      </c>
      <c r="D2922" s="1" t="s">
        <v>14</v>
      </c>
      <c r="E2922" s="1" t="s">
        <v>3668</v>
      </c>
      <c r="F2922" s="1" t="s">
        <v>3380</v>
      </c>
      <c r="G2922" s="1" t="s">
        <v>3668</v>
      </c>
      <c r="H2922" s="2" t="s">
        <v>3631</v>
      </c>
      <c r="I2922" s="1" t="s">
        <v>3762</v>
      </c>
      <c r="J2922" s="1" t="s">
        <v>52</v>
      </c>
      <c r="K2922" s="2" t="s">
        <v>3631</v>
      </c>
      <c r="L2922" s="36" t="s">
        <v>69</v>
      </c>
      <c r="M2922" s="1" t="s">
        <v>69</v>
      </c>
      <c r="N2922" s="1" t="s">
        <v>3383</v>
      </c>
      <c r="O2922" s="1" t="s">
        <v>3785</v>
      </c>
      <c r="P2922" s="1" t="s">
        <v>3385</v>
      </c>
      <c r="Q2922" s="1" t="s">
        <v>3385</v>
      </c>
      <c r="R2922" s="1" t="s">
        <v>46</v>
      </c>
      <c r="S2922" s="1" t="s">
        <v>69</v>
      </c>
      <c r="T2922" s="1" t="s">
        <v>69</v>
      </c>
      <c r="U2922" s="1" t="s">
        <v>46</v>
      </c>
      <c r="V2922" s="1" t="n">
        <v>5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5" t="s">
        <v>3788</v>
      </c>
      <c r="C2923" s="1" t="s">
        <v>3789</v>
      </c>
      <c r="D2923" s="1" t="s">
        <v>14</v>
      </c>
      <c r="E2923" s="1" t="s">
        <v>3668</v>
      </c>
      <c r="F2923" s="1" t="s">
        <v>3380</v>
      </c>
      <c r="G2923" s="1" t="s">
        <v>3668</v>
      </c>
      <c r="H2923" s="2" t="s">
        <v>3633</v>
      </c>
      <c r="I2923" s="1" t="s">
        <v>3763</v>
      </c>
      <c r="J2923" s="1" t="s">
        <v>52</v>
      </c>
      <c r="K2923" s="1" t="s">
        <v>3633</v>
      </c>
      <c r="L2923" s="36" t="s">
        <v>69</v>
      </c>
      <c r="M2923" s="1" t="s">
        <v>69</v>
      </c>
      <c r="N2923" s="1" t="s">
        <v>3383</v>
      </c>
      <c r="O2923" s="1" t="s">
        <v>3785</v>
      </c>
      <c r="P2923" s="1" t="s">
        <v>3385</v>
      </c>
      <c r="Q2923" s="1" t="s">
        <v>3385</v>
      </c>
      <c r="R2923" s="1" t="s">
        <v>46</v>
      </c>
      <c r="S2923" s="1" t="s">
        <v>69</v>
      </c>
      <c r="T2923" s="1" t="s">
        <v>69</v>
      </c>
      <c r="U2923" s="1" t="s">
        <v>46</v>
      </c>
      <c r="V2923" s="1" t="n">
        <v>1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5" t="s">
        <v>3788</v>
      </c>
      <c r="C2924" s="1" t="s">
        <v>3789</v>
      </c>
      <c r="D2924" s="1" t="s">
        <v>14</v>
      </c>
      <c r="E2924" s="1" t="s">
        <v>3668</v>
      </c>
      <c r="F2924" s="1" t="s">
        <v>3380</v>
      </c>
      <c r="G2924" s="1" t="s">
        <v>3668</v>
      </c>
      <c r="H2924" s="2" t="s">
        <v>3636</v>
      </c>
      <c r="I2924" s="1" t="s">
        <v>3764</v>
      </c>
      <c r="J2924" s="1" t="s">
        <v>52</v>
      </c>
      <c r="K2924" s="1" t="s">
        <v>3636</v>
      </c>
      <c r="L2924" s="36" t="s">
        <v>69</v>
      </c>
      <c r="M2924" s="1" t="s">
        <v>69</v>
      </c>
      <c r="N2924" s="1" t="s">
        <v>3383</v>
      </c>
      <c r="O2924" s="1" t="s">
        <v>3785</v>
      </c>
      <c r="P2924" s="1" t="s">
        <v>3385</v>
      </c>
      <c r="Q2924" s="1" t="s">
        <v>3385</v>
      </c>
      <c r="R2924" s="1" t="s">
        <v>46</v>
      </c>
      <c r="S2924" s="1" t="s">
        <v>69</v>
      </c>
      <c r="T2924" s="1" t="s">
        <v>69</v>
      </c>
      <c r="U2924" s="1" t="s">
        <v>46</v>
      </c>
      <c r="V2924" s="1" t="n">
        <v>2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5" t="s">
        <v>3788</v>
      </c>
      <c r="C2925" s="1" t="s">
        <v>3789</v>
      </c>
      <c r="D2925" s="1" t="s">
        <v>14</v>
      </c>
      <c r="E2925" s="1" t="s">
        <v>3668</v>
      </c>
      <c r="F2925" s="1" t="s">
        <v>3380</v>
      </c>
      <c r="G2925" s="1" t="s">
        <v>3668</v>
      </c>
      <c r="H2925" s="2" t="s">
        <v>3638</v>
      </c>
      <c r="I2925" s="1" t="s">
        <v>3765</v>
      </c>
      <c r="J2925" s="1" t="s">
        <v>52</v>
      </c>
      <c r="K2925" s="1" t="s">
        <v>3638</v>
      </c>
      <c r="L2925" s="36" t="s">
        <v>69</v>
      </c>
      <c r="M2925" s="1" t="s">
        <v>69</v>
      </c>
      <c r="N2925" s="1" t="s">
        <v>3383</v>
      </c>
      <c r="O2925" s="1" t="s">
        <v>3785</v>
      </c>
      <c r="P2925" s="1" t="s">
        <v>3385</v>
      </c>
      <c r="Q2925" s="1" t="s">
        <v>3385</v>
      </c>
      <c r="R2925" s="1" t="s">
        <v>46</v>
      </c>
      <c r="S2925" s="1" t="s">
        <v>69</v>
      </c>
      <c r="T2925" s="1" t="s">
        <v>69</v>
      </c>
      <c r="U2925" s="1" t="s">
        <v>46</v>
      </c>
      <c r="V2925" s="1" t="n">
        <v>3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5" t="s">
        <v>3788</v>
      </c>
      <c r="C2926" s="1" t="s">
        <v>3789</v>
      </c>
      <c r="D2926" s="1" t="s">
        <v>14</v>
      </c>
      <c r="E2926" s="1" t="s">
        <v>3668</v>
      </c>
      <c r="F2926" s="1" t="s">
        <v>3380</v>
      </c>
      <c r="G2926" s="1" t="s">
        <v>3668</v>
      </c>
      <c r="H2926" s="2" t="s">
        <v>3640</v>
      </c>
      <c r="I2926" s="1" t="s">
        <v>3766</v>
      </c>
      <c r="J2926" s="1" t="s">
        <v>52</v>
      </c>
      <c r="K2926" s="1" t="s">
        <v>3640</v>
      </c>
      <c r="L2926" s="36" t="s">
        <v>69</v>
      </c>
      <c r="M2926" s="1" t="s">
        <v>69</v>
      </c>
      <c r="N2926" s="1" t="s">
        <v>3383</v>
      </c>
      <c r="O2926" s="1" t="s">
        <v>3785</v>
      </c>
      <c r="P2926" s="1" t="s">
        <v>3385</v>
      </c>
      <c r="Q2926" s="1" t="s">
        <v>3385</v>
      </c>
      <c r="R2926" s="1" t="s">
        <v>46</v>
      </c>
      <c r="S2926" s="1" t="s">
        <v>69</v>
      </c>
      <c r="T2926" s="1" t="s">
        <v>69</v>
      </c>
      <c r="U2926" s="1" t="s">
        <v>46</v>
      </c>
      <c r="V2926" s="1" t="n">
        <v>4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5" t="s">
        <v>3788</v>
      </c>
      <c r="C2927" s="1" t="s">
        <v>3789</v>
      </c>
      <c r="D2927" s="1" t="s">
        <v>14</v>
      </c>
      <c r="E2927" s="1" t="s">
        <v>3668</v>
      </c>
      <c r="F2927" s="1" t="s">
        <v>3380</v>
      </c>
      <c r="G2927" s="1" t="s">
        <v>3668</v>
      </c>
      <c r="H2927" s="2" t="s">
        <v>3642</v>
      </c>
      <c r="I2927" s="1" t="s">
        <v>3767</v>
      </c>
      <c r="J2927" s="1" t="s">
        <v>52</v>
      </c>
      <c r="K2927" s="1" t="s">
        <v>3642</v>
      </c>
      <c r="L2927" s="36" t="s">
        <v>69</v>
      </c>
      <c r="M2927" s="1" t="s">
        <v>69</v>
      </c>
      <c r="N2927" s="1" t="s">
        <v>3383</v>
      </c>
      <c r="O2927" s="1" t="s">
        <v>3785</v>
      </c>
      <c r="P2927" s="1" t="s">
        <v>3385</v>
      </c>
      <c r="Q2927" s="1" t="s">
        <v>3385</v>
      </c>
      <c r="R2927" s="1" t="s">
        <v>46</v>
      </c>
      <c r="S2927" s="1" t="s">
        <v>69</v>
      </c>
      <c r="T2927" s="1" t="s">
        <v>69</v>
      </c>
      <c r="U2927" s="1" t="s">
        <v>46</v>
      </c>
      <c r="V2927" s="1" t="n">
        <v>5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5" t="s">
        <v>3788</v>
      </c>
      <c r="C2928" s="1" t="s">
        <v>3789</v>
      </c>
      <c r="D2928" s="1" t="s">
        <v>14</v>
      </c>
      <c r="E2928" s="1" t="s">
        <v>3668</v>
      </c>
      <c r="F2928" s="1" t="s">
        <v>3380</v>
      </c>
      <c r="G2928" s="1" t="s">
        <v>3668</v>
      </c>
      <c r="H2928" s="2" t="s">
        <v>3644</v>
      </c>
      <c r="I2928" s="1" t="s">
        <v>3768</v>
      </c>
      <c r="J2928" s="1" t="s">
        <v>52</v>
      </c>
      <c r="K2928" s="1" t="s">
        <v>3644</v>
      </c>
      <c r="L2928" s="36" t="s">
        <v>69</v>
      </c>
      <c r="M2928" s="1" t="s">
        <v>69</v>
      </c>
      <c r="N2928" s="1" t="s">
        <v>3383</v>
      </c>
      <c r="O2928" s="1" t="s">
        <v>3785</v>
      </c>
      <c r="P2928" s="1" t="s">
        <v>3385</v>
      </c>
      <c r="Q2928" s="1" t="s">
        <v>3385</v>
      </c>
      <c r="R2928" s="1" t="s">
        <v>46</v>
      </c>
      <c r="S2928" s="1" t="s">
        <v>69</v>
      </c>
      <c r="T2928" s="1" t="s">
        <v>69</v>
      </c>
      <c r="U2928" s="1" t="s">
        <v>46</v>
      </c>
      <c r="V2928" s="1" t="n">
        <v>1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5" t="s">
        <v>3788</v>
      </c>
      <c r="C2929" s="1" t="s">
        <v>3789</v>
      </c>
      <c r="D2929" s="1" t="s">
        <v>14</v>
      </c>
      <c r="E2929" s="1" t="s">
        <v>3668</v>
      </c>
      <c r="F2929" s="1" t="s">
        <v>3380</v>
      </c>
      <c r="G2929" s="1" t="s">
        <v>3668</v>
      </c>
      <c r="H2929" s="2" t="s">
        <v>3647</v>
      </c>
      <c r="I2929" s="1" t="s">
        <v>3769</v>
      </c>
      <c r="J2929" s="1" t="s">
        <v>52</v>
      </c>
      <c r="K2929" s="1" t="s">
        <v>3647</v>
      </c>
      <c r="L2929" s="36" t="s">
        <v>69</v>
      </c>
      <c r="M2929" s="1" t="s">
        <v>69</v>
      </c>
      <c r="N2929" s="1" t="s">
        <v>3383</v>
      </c>
      <c r="O2929" s="1" t="s">
        <v>3785</v>
      </c>
      <c r="P2929" s="1" t="s">
        <v>3385</v>
      </c>
      <c r="Q2929" s="1" t="s">
        <v>3385</v>
      </c>
      <c r="R2929" s="1" t="s">
        <v>46</v>
      </c>
      <c r="S2929" s="1" t="s">
        <v>69</v>
      </c>
      <c r="T2929" s="1" t="s">
        <v>69</v>
      </c>
      <c r="U2929" s="1" t="s">
        <v>46</v>
      </c>
      <c r="V2929" s="1" t="n">
        <v>2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5" t="s">
        <v>3788</v>
      </c>
      <c r="C2930" s="1" t="s">
        <v>3789</v>
      </c>
      <c r="D2930" s="1" t="s">
        <v>14</v>
      </c>
      <c r="E2930" s="1" t="s">
        <v>3668</v>
      </c>
      <c r="F2930" s="1" t="s">
        <v>3380</v>
      </c>
      <c r="G2930" s="1" t="s">
        <v>3668</v>
      </c>
      <c r="H2930" s="2" t="s">
        <v>3649</v>
      </c>
      <c r="I2930" s="1" t="s">
        <v>3770</v>
      </c>
      <c r="J2930" s="1" t="s">
        <v>52</v>
      </c>
      <c r="K2930" s="1" t="s">
        <v>3649</v>
      </c>
      <c r="L2930" s="36" t="s">
        <v>69</v>
      </c>
      <c r="M2930" s="1" t="s">
        <v>69</v>
      </c>
      <c r="N2930" s="1" t="s">
        <v>3383</v>
      </c>
      <c r="O2930" s="1" t="s">
        <v>3785</v>
      </c>
      <c r="P2930" s="1" t="s">
        <v>3385</v>
      </c>
      <c r="Q2930" s="1" t="s">
        <v>3385</v>
      </c>
      <c r="R2930" s="1" t="s">
        <v>46</v>
      </c>
      <c r="S2930" s="1" t="s">
        <v>69</v>
      </c>
      <c r="T2930" s="1" t="s">
        <v>69</v>
      </c>
      <c r="U2930" s="1" t="s">
        <v>46</v>
      </c>
      <c r="V2930" s="1" t="n">
        <v>3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5" t="s">
        <v>3788</v>
      </c>
      <c r="C2931" s="1" t="s">
        <v>3789</v>
      </c>
      <c r="D2931" s="1" t="s">
        <v>14</v>
      </c>
      <c r="E2931" s="1" t="s">
        <v>3668</v>
      </c>
      <c r="F2931" s="1" t="s">
        <v>3380</v>
      </c>
      <c r="G2931" s="1" t="s">
        <v>3668</v>
      </c>
      <c r="H2931" s="2" t="s">
        <v>3651</v>
      </c>
      <c r="I2931" s="1" t="s">
        <v>3771</v>
      </c>
      <c r="J2931" s="1" t="s">
        <v>52</v>
      </c>
      <c r="K2931" s="1" t="s">
        <v>3651</v>
      </c>
      <c r="L2931" s="36" t="s">
        <v>69</v>
      </c>
      <c r="M2931" s="1" t="s">
        <v>69</v>
      </c>
      <c r="N2931" s="1" t="s">
        <v>3383</v>
      </c>
      <c r="O2931" s="1" t="s">
        <v>3785</v>
      </c>
      <c r="P2931" s="1" t="s">
        <v>3385</v>
      </c>
      <c r="Q2931" s="1" t="s">
        <v>3385</v>
      </c>
      <c r="R2931" s="1" t="s">
        <v>46</v>
      </c>
      <c r="S2931" s="1" t="s">
        <v>69</v>
      </c>
      <c r="T2931" s="1" t="s">
        <v>69</v>
      </c>
      <c r="U2931" s="1" t="s">
        <v>46</v>
      </c>
      <c r="V2931" s="1" t="n">
        <v>4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5" t="s">
        <v>3788</v>
      </c>
      <c r="C2932" s="1" t="s">
        <v>3789</v>
      </c>
      <c r="D2932" s="1" t="s">
        <v>14</v>
      </c>
      <c r="E2932" s="1" t="s">
        <v>3668</v>
      </c>
      <c r="F2932" s="1" t="s">
        <v>3380</v>
      </c>
      <c r="G2932" s="1" t="s">
        <v>3668</v>
      </c>
      <c r="H2932" s="2" t="s">
        <v>3653</v>
      </c>
      <c r="I2932" s="1" t="s">
        <v>3772</v>
      </c>
      <c r="J2932" s="1" t="s">
        <v>52</v>
      </c>
      <c r="K2932" s="1" t="s">
        <v>3653</v>
      </c>
      <c r="L2932" s="36" t="s">
        <v>69</v>
      </c>
      <c r="M2932" s="1" t="s">
        <v>69</v>
      </c>
      <c r="N2932" s="1" t="s">
        <v>3383</v>
      </c>
      <c r="O2932" s="1" t="s">
        <v>3785</v>
      </c>
      <c r="P2932" s="1" t="s">
        <v>3385</v>
      </c>
      <c r="Q2932" s="1" t="s">
        <v>3385</v>
      </c>
      <c r="R2932" s="1" t="s">
        <v>46</v>
      </c>
      <c r="S2932" s="1" t="s">
        <v>69</v>
      </c>
      <c r="T2932" s="1" t="s">
        <v>69</v>
      </c>
      <c r="U2932" s="1" t="s">
        <v>46</v>
      </c>
      <c r="V2932" s="1" t="n">
        <v>5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5" t="s">
        <v>3788</v>
      </c>
      <c r="C2933" s="1" t="s">
        <v>3789</v>
      </c>
      <c r="D2933" s="1" t="s">
        <v>14</v>
      </c>
      <c r="E2933" s="1" t="s">
        <v>3668</v>
      </c>
      <c r="F2933" s="1" t="s">
        <v>3380</v>
      </c>
      <c r="G2933" s="1" t="s">
        <v>3668</v>
      </c>
      <c r="H2933" s="2" t="s">
        <v>3655</v>
      </c>
      <c r="I2933" s="1" t="s">
        <v>3773</v>
      </c>
      <c r="J2933" s="1" t="s">
        <v>52</v>
      </c>
      <c r="K2933" s="1" t="s">
        <v>3655</v>
      </c>
      <c r="L2933" s="36" t="s">
        <v>69</v>
      </c>
      <c r="M2933" s="1" t="s">
        <v>69</v>
      </c>
      <c r="N2933" s="1" t="s">
        <v>3383</v>
      </c>
      <c r="O2933" s="1" t="s">
        <v>3785</v>
      </c>
      <c r="P2933" s="1" t="s">
        <v>3385</v>
      </c>
      <c r="Q2933" s="1" t="s">
        <v>3385</v>
      </c>
      <c r="R2933" s="1" t="s">
        <v>46</v>
      </c>
      <c r="S2933" s="1" t="s">
        <v>69</v>
      </c>
      <c r="T2933" s="1" t="s">
        <v>69</v>
      </c>
      <c r="U2933" s="1" t="s">
        <v>46</v>
      </c>
      <c r="V2933" s="1" t="n">
        <v>1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5" t="s">
        <v>3788</v>
      </c>
      <c r="C2934" s="1" t="s">
        <v>3789</v>
      </c>
      <c r="D2934" s="1" t="s">
        <v>14</v>
      </c>
      <c r="E2934" s="1" t="s">
        <v>3668</v>
      </c>
      <c r="F2934" s="1" t="s">
        <v>3380</v>
      </c>
      <c r="G2934" s="1" t="s">
        <v>3668</v>
      </c>
      <c r="H2934" s="2" t="s">
        <v>3658</v>
      </c>
      <c r="I2934" s="1" t="s">
        <v>3774</v>
      </c>
      <c r="J2934" s="1" t="s">
        <v>52</v>
      </c>
      <c r="K2934" s="1" t="s">
        <v>3658</v>
      </c>
      <c r="L2934" s="36" t="s">
        <v>69</v>
      </c>
      <c r="M2934" s="1" t="s">
        <v>69</v>
      </c>
      <c r="N2934" s="1" t="s">
        <v>3383</v>
      </c>
      <c r="O2934" s="1" t="s">
        <v>3785</v>
      </c>
      <c r="P2934" s="1" t="s">
        <v>3385</v>
      </c>
      <c r="Q2934" s="1" t="s">
        <v>3385</v>
      </c>
      <c r="R2934" s="1" t="s">
        <v>46</v>
      </c>
      <c r="S2934" s="1" t="s">
        <v>69</v>
      </c>
      <c r="T2934" s="1" t="s">
        <v>69</v>
      </c>
      <c r="U2934" s="1" t="s">
        <v>46</v>
      </c>
      <c r="V2934" s="1" t="n">
        <v>2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5" t="s">
        <v>3788</v>
      </c>
      <c r="C2935" s="1" t="s">
        <v>3789</v>
      </c>
      <c r="D2935" s="1" t="s">
        <v>14</v>
      </c>
      <c r="E2935" s="1" t="s">
        <v>3668</v>
      </c>
      <c r="F2935" s="1" t="s">
        <v>3380</v>
      </c>
      <c r="G2935" s="1" t="s">
        <v>3668</v>
      </c>
      <c r="H2935" s="2" t="s">
        <v>3660</v>
      </c>
      <c r="I2935" s="1" t="s">
        <v>3775</v>
      </c>
      <c r="J2935" s="1" t="s">
        <v>52</v>
      </c>
      <c r="K2935" s="1" t="s">
        <v>3660</v>
      </c>
      <c r="L2935" s="36" t="s">
        <v>69</v>
      </c>
      <c r="M2935" s="1" t="s">
        <v>69</v>
      </c>
      <c r="N2935" s="1" t="s">
        <v>3383</v>
      </c>
      <c r="O2935" s="1" t="s">
        <v>3785</v>
      </c>
      <c r="P2935" s="1" t="s">
        <v>3385</v>
      </c>
      <c r="Q2935" s="1" t="s">
        <v>3385</v>
      </c>
      <c r="R2935" s="1" t="s">
        <v>46</v>
      </c>
      <c r="S2935" s="1" t="s">
        <v>69</v>
      </c>
      <c r="T2935" s="1" t="s">
        <v>69</v>
      </c>
      <c r="U2935" s="1" t="s">
        <v>46</v>
      </c>
      <c r="V2935" s="1" t="n">
        <v>3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5" t="s">
        <v>3788</v>
      </c>
      <c r="C2936" s="1" t="s">
        <v>3789</v>
      </c>
      <c r="D2936" s="1" t="s">
        <v>14</v>
      </c>
      <c r="E2936" s="1" t="s">
        <v>3668</v>
      </c>
      <c r="F2936" s="1" t="s">
        <v>3380</v>
      </c>
      <c r="G2936" s="1" t="s">
        <v>3668</v>
      </c>
      <c r="H2936" s="2" t="s">
        <v>3662</v>
      </c>
      <c r="I2936" s="1" t="s">
        <v>3776</v>
      </c>
      <c r="J2936" s="1" t="s">
        <v>52</v>
      </c>
      <c r="K2936" s="1" t="s">
        <v>3662</v>
      </c>
      <c r="L2936" s="36" t="s">
        <v>69</v>
      </c>
      <c r="M2936" s="1" t="s">
        <v>69</v>
      </c>
      <c r="N2936" s="1" t="s">
        <v>3383</v>
      </c>
      <c r="O2936" s="1" t="s">
        <v>3785</v>
      </c>
      <c r="P2936" s="1" t="s">
        <v>3385</v>
      </c>
      <c r="Q2936" s="1" t="s">
        <v>3385</v>
      </c>
      <c r="R2936" s="1" t="s">
        <v>46</v>
      </c>
      <c r="S2936" s="1" t="s">
        <v>69</v>
      </c>
      <c r="T2936" s="1" t="s">
        <v>69</v>
      </c>
      <c r="U2936" s="1" t="s">
        <v>46</v>
      </c>
      <c r="V2936" s="1" t="n">
        <v>4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5" t="s">
        <v>3788</v>
      </c>
      <c r="C2937" s="1" t="s">
        <v>3789</v>
      </c>
      <c r="D2937" s="1" t="s">
        <v>14</v>
      </c>
      <c r="E2937" s="1" t="s">
        <v>3668</v>
      </c>
      <c r="F2937" s="1" t="s">
        <v>3380</v>
      </c>
      <c r="G2937" s="1" t="s">
        <v>3668</v>
      </c>
      <c r="H2937" s="2" t="s">
        <v>3664</v>
      </c>
      <c r="I2937" s="1" t="s">
        <v>3777</v>
      </c>
      <c r="J2937" s="1" t="s">
        <v>52</v>
      </c>
      <c r="K2937" s="1" t="s">
        <v>3664</v>
      </c>
      <c r="L2937" s="36" t="s">
        <v>69</v>
      </c>
      <c r="M2937" s="1" t="s">
        <v>69</v>
      </c>
      <c r="N2937" s="1" t="s">
        <v>3383</v>
      </c>
      <c r="O2937" s="1" t="s">
        <v>3785</v>
      </c>
      <c r="P2937" s="1" t="s">
        <v>3385</v>
      </c>
      <c r="Q2937" s="1" t="s">
        <v>3385</v>
      </c>
      <c r="R2937" s="1" t="s">
        <v>46</v>
      </c>
      <c r="S2937" s="1" t="s">
        <v>69</v>
      </c>
      <c r="T2937" s="1" t="s">
        <v>69</v>
      </c>
      <c r="U2937" s="1" t="s">
        <v>46</v>
      </c>
      <c r="V2937" s="1" t="n">
        <v>5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5" t="s">
        <v>3788</v>
      </c>
      <c r="C2938" s="1" t="s">
        <v>3789</v>
      </c>
      <c r="D2938" s="1" t="s">
        <v>14</v>
      </c>
      <c r="E2938" s="1" t="s">
        <v>3668</v>
      </c>
      <c r="F2938" s="1" t="s">
        <v>3380</v>
      </c>
      <c r="G2938" s="1" t="s">
        <v>3668</v>
      </c>
      <c r="H2938" s="2" t="s">
        <v>3436</v>
      </c>
      <c r="I2938" s="1" t="s">
        <v>3693</v>
      </c>
      <c r="J2938" s="1" t="s">
        <v>52</v>
      </c>
      <c r="K2938" s="2" t="s">
        <v>3436</v>
      </c>
      <c r="L2938" s="5" t="s">
        <v>69</v>
      </c>
      <c r="M2938" s="5" t="s">
        <v>69</v>
      </c>
      <c r="N2938" s="1" t="s">
        <v>1935</v>
      </c>
      <c r="O2938" s="1" t="s">
        <v>46</v>
      </c>
      <c r="P2938" s="1" t="s">
        <v>46</v>
      </c>
      <c r="Q2938" s="1" t="s">
        <v>46</v>
      </c>
      <c r="R2938" s="5" t="s">
        <v>46</v>
      </c>
      <c r="S2938" s="1" t="s">
        <v>46</v>
      </c>
      <c r="T2938" s="1" t="s">
        <v>46</v>
      </c>
      <c r="U2938" s="1" t="s">
        <v>46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5" t="s">
        <v>3788</v>
      </c>
      <c r="C2939" s="1" t="s">
        <v>3789</v>
      </c>
      <c r="D2939" s="1" t="s">
        <v>14</v>
      </c>
      <c r="E2939" s="1" t="s">
        <v>3668</v>
      </c>
      <c r="F2939" s="1" t="s">
        <v>3380</v>
      </c>
      <c r="G2939" s="1" t="s">
        <v>3668</v>
      </c>
      <c r="H2939" s="2" t="s">
        <v>3438</v>
      </c>
      <c r="I2939" s="1" t="s">
        <v>3694</v>
      </c>
      <c r="J2939" s="1" t="s">
        <v>52</v>
      </c>
      <c r="K2939" s="2" t="s">
        <v>3438</v>
      </c>
      <c r="L2939" s="5" t="s">
        <v>69</v>
      </c>
      <c r="M2939" s="5" t="s">
        <v>69</v>
      </c>
      <c r="N2939" s="1" t="s">
        <v>1935</v>
      </c>
      <c r="O2939" s="1" t="s">
        <v>46</v>
      </c>
      <c r="P2939" s="1" t="s">
        <v>46</v>
      </c>
      <c r="Q2939" s="1" t="s">
        <v>46</v>
      </c>
      <c r="R2939" s="5" t="s">
        <v>46</v>
      </c>
      <c r="S2939" s="1" t="s">
        <v>46</v>
      </c>
      <c r="T2939" s="1" t="s">
        <v>46</v>
      </c>
      <c r="U2939" s="1" t="s">
        <v>46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5" t="s">
        <v>3788</v>
      </c>
      <c r="C2940" s="1" t="s">
        <v>3789</v>
      </c>
      <c r="D2940" s="1" t="s">
        <v>14</v>
      </c>
      <c r="E2940" s="1" t="s">
        <v>3668</v>
      </c>
      <c r="F2940" s="1" t="s">
        <v>3380</v>
      </c>
      <c r="G2940" s="1" t="s">
        <v>3668</v>
      </c>
      <c r="H2940" s="2" t="s">
        <v>3440</v>
      </c>
      <c r="I2940" s="1" t="s">
        <v>3695</v>
      </c>
      <c r="J2940" s="1" t="s">
        <v>52</v>
      </c>
      <c r="K2940" s="2" t="s">
        <v>3440</v>
      </c>
      <c r="L2940" s="5" t="s">
        <v>69</v>
      </c>
      <c r="M2940" s="5" t="s">
        <v>69</v>
      </c>
      <c r="N2940" s="1" t="s">
        <v>1935</v>
      </c>
      <c r="O2940" s="1" t="s">
        <v>46</v>
      </c>
      <c r="P2940" s="1" t="s">
        <v>46</v>
      </c>
      <c r="Q2940" s="1" t="s">
        <v>46</v>
      </c>
      <c r="R2940" s="5" t="s">
        <v>46</v>
      </c>
      <c r="S2940" s="1" t="s">
        <v>46</v>
      </c>
      <c r="T2940" s="1" t="s">
        <v>46</v>
      </c>
      <c r="U2940" s="1" t="s">
        <v>46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5" t="s">
        <v>3788</v>
      </c>
      <c r="C2941" s="1" t="s">
        <v>3789</v>
      </c>
      <c r="D2941" s="1" t="s">
        <v>14</v>
      </c>
      <c r="E2941" s="1" t="s">
        <v>3668</v>
      </c>
      <c r="F2941" s="1" t="s">
        <v>3380</v>
      </c>
      <c r="G2941" s="1" t="s">
        <v>3668</v>
      </c>
      <c r="H2941" s="2" t="s">
        <v>3442</v>
      </c>
      <c r="I2941" s="1" t="s">
        <v>3696</v>
      </c>
      <c r="J2941" s="1" t="s">
        <v>52</v>
      </c>
      <c r="K2941" s="2" t="s">
        <v>3442</v>
      </c>
      <c r="L2941" s="5" t="s">
        <v>69</v>
      </c>
      <c r="M2941" s="5" t="s">
        <v>69</v>
      </c>
      <c r="N2941" s="1" t="s">
        <v>1935</v>
      </c>
      <c r="O2941" s="1" t="s">
        <v>46</v>
      </c>
      <c r="P2941" s="1" t="s">
        <v>46</v>
      </c>
      <c r="Q2941" s="1" t="s">
        <v>46</v>
      </c>
      <c r="R2941" s="5" t="s">
        <v>46</v>
      </c>
      <c r="S2941" s="1" t="s">
        <v>46</v>
      </c>
      <c r="T2941" s="1" t="s">
        <v>46</v>
      </c>
      <c r="U2941" s="1" t="s">
        <v>46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5" t="s">
        <v>3788</v>
      </c>
      <c r="C2942" s="1" t="s">
        <v>3789</v>
      </c>
      <c r="D2942" s="1" t="s">
        <v>14</v>
      </c>
      <c r="E2942" s="1" t="s">
        <v>3668</v>
      </c>
      <c r="F2942" s="1" t="s">
        <v>3380</v>
      </c>
      <c r="G2942" s="1" t="s">
        <v>3668</v>
      </c>
      <c r="H2942" s="2" t="s">
        <v>3444</v>
      </c>
      <c r="I2942" s="1" t="s">
        <v>3697</v>
      </c>
      <c r="J2942" s="1" t="s">
        <v>52</v>
      </c>
      <c r="K2942" s="2" t="s">
        <v>3444</v>
      </c>
      <c r="L2942" s="5" t="s">
        <v>69</v>
      </c>
      <c r="M2942" s="5" t="s">
        <v>69</v>
      </c>
      <c r="N2942" s="1" t="s">
        <v>1935</v>
      </c>
      <c r="O2942" s="1" t="s">
        <v>46</v>
      </c>
      <c r="P2942" s="1" t="s">
        <v>46</v>
      </c>
      <c r="Q2942" s="1" t="s">
        <v>46</v>
      </c>
      <c r="R2942" s="5" t="s">
        <v>46</v>
      </c>
      <c r="S2942" s="1" t="s">
        <v>46</v>
      </c>
      <c r="T2942" s="1" t="s">
        <v>46</v>
      </c>
      <c r="U2942" s="1" t="s">
        <v>46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5" t="s">
        <v>3788</v>
      </c>
      <c r="C2943" s="1" t="s">
        <v>3789</v>
      </c>
      <c r="D2943" s="1" t="s">
        <v>14</v>
      </c>
      <c r="E2943" s="1" t="s">
        <v>3668</v>
      </c>
      <c r="F2943" s="1" t="s">
        <v>3380</v>
      </c>
      <c r="G2943" s="1" t="s">
        <v>3668</v>
      </c>
      <c r="H2943" s="2" t="s">
        <v>3446</v>
      </c>
      <c r="I2943" s="1" t="s">
        <v>3698</v>
      </c>
      <c r="J2943" s="1" t="s">
        <v>52</v>
      </c>
      <c r="K2943" s="2" t="s">
        <v>3446</v>
      </c>
      <c r="L2943" s="5" t="s">
        <v>69</v>
      </c>
      <c r="M2943" s="5" t="s">
        <v>69</v>
      </c>
      <c r="N2943" s="1" t="s">
        <v>1935</v>
      </c>
      <c r="O2943" s="1" t="s">
        <v>46</v>
      </c>
      <c r="P2943" s="1" t="s">
        <v>46</v>
      </c>
      <c r="Q2943" s="1" t="s">
        <v>46</v>
      </c>
      <c r="R2943" s="5" t="s">
        <v>46</v>
      </c>
      <c r="S2943" s="1" t="s">
        <v>46</v>
      </c>
      <c r="T2943" s="1" t="s">
        <v>46</v>
      </c>
      <c r="U2943" s="1" t="s">
        <v>46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5" t="s">
        <v>3788</v>
      </c>
      <c r="C2944" s="1" t="s">
        <v>3789</v>
      </c>
      <c r="D2944" s="1" t="s">
        <v>14</v>
      </c>
      <c r="E2944" s="1" t="s">
        <v>3668</v>
      </c>
      <c r="F2944" s="1" t="s">
        <v>3380</v>
      </c>
      <c r="G2944" s="1" t="s">
        <v>3668</v>
      </c>
      <c r="H2944" s="2" t="s">
        <v>3448</v>
      </c>
      <c r="I2944" s="1" t="s">
        <v>3699</v>
      </c>
      <c r="J2944" s="1" t="s">
        <v>52</v>
      </c>
      <c r="K2944" s="2" t="s">
        <v>3448</v>
      </c>
      <c r="L2944" s="5" t="s">
        <v>69</v>
      </c>
      <c r="M2944" s="5" t="s">
        <v>69</v>
      </c>
      <c r="N2944" s="1" t="s">
        <v>1935</v>
      </c>
      <c r="O2944" s="1" t="s">
        <v>46</v>
      </c>
      <c r="P2944" s="1" t="s">
        <v>46</v>
      </c>
      <c r="Q2944" s="1" t="s">
        <v>46</v>
      </c>
      <c r="R2944" s="5" t="s">
        <v>46</v>
      </c>
      <c r="S2944" s="1" t="s">
        <v>46</v>
      </c>
      <c r="T2944" s="1" t="s">
        <v>46</v>
      </c>
      <c r="U2944" s="1" t="s">
        <v>46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5" t="s">
        <v>3788</v>
      </c>
      <c r="C2945" s="1" t="s">
        <v>3789</v>
      </c>
      <c r="D2945" s="1" t="s">
        <v>14</v>
      </c>
      <c r="E2945" s="1" t="s">
        <v>3668</v>
      </c>
      <c r="F2945" s="1" t="s">
        <v>3380</v>
      </c>
      <c r="G2945" s="1" t="s">
        <v>3668</v>
      </c>
      <c r="H2945" s="2" t="s">
        <v>3450</v>
      </c>
      <c r="I2945" s="1" t="s">
        <v>3700</v>
      </c>
      <c r="J2945" s="1" t="s">
        <v>52</v>
      </c>
      <c r="K2945" s="2" t="s">
        <v>3450</v>
      </c>
      <c r="L2945" s="5" t="s">
        <v>69</v>
      </c>
      <c r="M2945" s="5" t="s">
        <v>69</v>
      </c>
      <c r="N2945" s="1" t="s">
        <v>1935</v>
      </c>
      <c r="O2945" s="1" t="s">
        <v>46</v>
      </c>
      <c r="P2945" s="1" t="s">
        <v>46</v>
      </c>
      <c r="Q2945" s="1" t="s">
        <v>46</v>
      </c>
      <c r="R2945" s="5" t="s">
        <v>46</v>
      </c>
      <c r="S2945" s="1" t="s">
        <v>46</v>
      </c>
      <c r="T2945" s="1" t="s">
        <v>46</v>
      </c>
      <c r="U2945" s="1" t="s">
        <v>46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5" t="s">
        <v>3788</v>
      </c>
      <c r="C2946" s="1" t="s">
        <v>3789</v>
      </c>
      <c r="D2946" s="1" t="s">
        <v>14</v>
      </c>
      <c r="E2946" s="1" t="s">
        <v>3668</v>
      </c>
      <c r="F2946" s="1" t="s">
        <v>3380</v>
      </c>
      <c r="G2946" s="1" t="s">
        <v>3668</v>
      </c>
      <c r="H2946" s="2" t="s">
        <v>3452</v>
      </c>
      <c r="I2946" s="1" t="s">
        <v>3701</v>
      </c>
      <c r="J2946" s="1" t="s">
        <v>52</v>
      </c>
      <c r="K2946" s="2" t="s">
        <v>3452</v>
      </c>
      <c r="L2946" s="5" t="s">
        <v>69</v>
      </c>
      <c r="M2946" s="5" t="s">
        <v>69</v>
      </c>
      <c r="N2946" s="1" t="s">
        <v>1935</v>
      </c>
      <c r="O2946" s="1" t="s">
        <v>46</v>
      </c>
      <c r="P2946" s="1" t="s">
        <v>46</v>
      </c>
      <c r="Q2946" s="1" t="s">
        <v>46</v>
      </c>
      <c r="R2946" s="5" t="s">
        <v>46</v>
      </c>
      <c r="S2946" s="1" t="s">
        <v>46</v>
      </c>
      <c r="T2946" s="1" t="s">
        <v>46</v>
      </c>
      <c r="U2946" s="1" t="s">
        <v>46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5" t="s">
        <v>3788</v>
      </c>
      <c r="C2947" s="1" t="s">
        <v>3789</v>
      </c>
      <c r="D2947" s="1" t="s">
        <v>14</v>
      </c>
      <c r="E2947" s="1" t="s">
        <v>3668</v>
      </c>
      <c r="F2947" s="1" t="s">
        <v>3380</v>
      </c>
      <c r="G2947" s="1" t="s">
        <v>3668</v>
      </c>
      <c r="H2947" s="2" t="s">
        <v>3454</v>
      </c>
      <c r="I2947" s="1" t="s">
        <v>3702</v>
      </c>
      <c r="J2947" s="1" t="s">
        <v>52</v>
      </c>
      <c r="K2947" s="2" t="s">
        <v>3454</v>
      </c>
      <c r="L2947" s="5" t="s">
        <v>69</v>
      </c>
      <c r="M2947" s="5" t="s">
        <v>69</v>
      </c>
      <c r="N2947" s="1" t="s">
        <v>1935</v>
      </c>
      <c r="O2947" s="1" t="s">
        <v>46</v>
      </c>
      <c r="P2947" s="1" t="s">
        <v>46</v>
      </c>
      <c r="Q2947" s="1" t="s">
        <v>46</v>
      </c>
      <c r="R2947" s="5" t="s">
        <v>46</v>
      </c>
      <c r="S2947" s="1" t="s">
        <v>46</v>
      </c>
      <c r="T2947" s="1" t="s">
        <v>46</v>
      </c>
      <c r="U2947" s="1" t="s">
        <v>46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5" t="s">
        <v>3788</v>
      </c>
      <c r="C2948" s="1" t="s">
        <v>3789</v>
      </c>
      <c r="D2948" s="1" t="s">
        <v>14</v>
      </c>
      <c r="E2948" s="1" t="s">
        <v>3668</v>
      </c>
      <c r="F2948" s="1" t="s">
        <v>3380</v>
      </c>
      <c r="G2948" s="1" t="s">
        <v>3668</v>
      </c>
      <c r="H2948" s="2" t="s">
        <v>3456</v>
      </c>
      <c r="I2948" s="1" t="s">
        <v>3703</v>
      </c>
      <c r="J2948" s="1" t="s">
        <v>52</v>
      </c>
      <c r="K2948" s="2" t="s">
        <v>3456</v>
      </c>
      <c r="L2948" s="5" t="s">
        <v>69</v>
      </c>
      <c r="M2948" s="5" t="s">
        <v>69</v>
      </c>
      <c r="N2948" s="1" t="s">
        <v>1935</v>
      </c>
      <c r="O2948" s="1" t="s">
        <v>46</v>
      </c>
      <c r="P2948" s="1" t="s">
        <v>46</v>
      </c>
      <c r="Q2948" s="1" t="s">
        <v>46</v>
      </c>
      <c r="R2948" s="5" t="s">
        <v>46</v>
      </c>
      <c r="S2948" s="1" t="s">
        <v>46</v>
      </c>
      <c r="T2948" s="1" t="s">
        <v>46</v>
      </c>
      <c r="U2948" s="1" t="s">
        <v>46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5" t="s">
        <v>3788</v>
      </c>
      <c r="C2949" s="1" t="s">
        <v>3789</v>
      </c>
      <c r="D2949" s="1" t="s">
        <v>14</v>
      </c>
      <c r="E2949" s="1" t="s">
        <v>3668</v>
      </c>
      <c r="F2949" s="1" t="s">
        <v>3380</v>
      </c>
      <c r="G2949" s="1" t="s">
        <v>3668</v>
      </c>
      <c r="H2949" s="2" t="s">
        <v>3458</v>
      </c>
      <c r="I2949" s="1" t="s">
        <v>3704</v>
      </c>
      <c r="J2949" s="1" t="s">
        <v>52</v>
      </c>
      <c r="K2949" s="2" t="s">
        <v>3458</v>
      </c>
      <c r="L2949" s="5" t="s">
        <v>69</v>
      </c>
      <c r="M2949" s="5" t="s">
        <v>69</v>
      </c>
      <c r="N2949" s="1" t="s">
        <v>1935</v>
      </c>
      <c r="O2949" s="1" t="s">
        <v>46</v>
      </c>
      <c r="P2949" s="1" t="s">
        <v>46</v>
      </c>
      <c r="Q2949" s="1" t="s">
        <v>46</v>
      </c>
      <c r="R2949" s="5" t="s">
        <v>46</v>
      </c>
      <c r="S2949" s="1" t="s">
        <v>46</v>
      </c>
      <c r="T2949" s="1" t="s">
        <v>46</v>
      </c>
      <c r="U2949" s="1" t="s">
        <v>46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5" t="s">
        <v>3788</v>
      </c>
      <c r="C2950" s="1" t="s">
        <v>3789</v>
      </c>
      <c r="D2950" s="1" t="s">
        <v>14</v>
      </c>
      <c r="E2950" s="1" t="s">
        <v>3668</v>
      </c>
      <c r="F2950" s="1" t="s">
        <v>3380</v>
      </c>
      <c r="G2950" s="1" t="s">
        <v>3668</v>
      </c>
      <c r="H2950" s="2" t="s">
        <v>3460</v>
      </c>
      <c r="I2950" s="1" t="s">
        <v>3705</v>
      </c>
      <c r="J2950" s="1" t="s">
        <v>52</v>
      </c>
      <c r="K2950" s="2" t="s">
        <v>3460</v>
      </c>
      <c r="L2950" s="5" t="s">
        <v>69</v>
      </c>
      <c r="M2950" s="5" t="s">
        <v>69</v>
      </c>
      <c r="N2950" s="1" t="s">
        <v>1935</v>
      </c>
      <c r="O2950" s="1" t="s">
        <v>46</v>
      </c>
      <c r="P2950" s="1" t="s">
        <v>46</v>
      </c>
      <c r="Q2950" s="1" t="s">
        <v>46</v>
      </c>
      <c r="R2950" s="5" t="s">
        <v>46</v>
      </c>
      <c r="S2950" s="1" t="s">
        <v>46</v>
      </c>
      <c r="T2950" s="1" t="s">
        <v>46</v>
      </c>
      <c r="U2950" s="1" t="s">
        <v>46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5" t="s">
        <v>3788</v>
      </c>
      <c r="C2951" s="1" t="s">
        <v>3789</v>
      </c>
      <c r="D2951" s="1" t="s">
        <v>14</v>
      </c>
      <c r="E2951" s="1" t="s">
        <v>3668</v>
      </c>
      <c r="F2951" s="1" t="s">
        <v>3380</v>
      </c>
      <c r="G2951" s="1" t="s">
        <v>3668</v>
      </c>
      <c r="H2951" s="2" t="s">
        <v>3462</v>
      </c>
      <c r="I2951" s="1" t="s">
        <v>3706</v>
      </c>
      <c r="J2951" s="1" t="s">
        <v>52</v>
      </c>
      <c r="K2951" s="2" t="s">
        <v>3462</v>
      </c>
      <c r="L2951" s="5" t="s">
        <v>69</v>
      </c>
      <c r="M2951" s="5" t="s">
        <v>69</v>
      </c>
      <c r="N2951" s="1" t="s">
        <v>1935</v>
      </c>
      <c r="O2951" s="1" t="s">
        <v>46</v>
      </c>
      <c r="P2951" s="1" t="s">
        <v>46</v>
      </c>
      <c r="Q2951" s="1" t="s">
        <v>46</v>
      </c>
      <c r="R2951" s="5" t="s">
        <v>46</v>
      </c>
      <c r="S2951" s="1" t="s">
        <v>46</v>
      </c>
      <c r="T2951" s="1" t="s">
        <v>46</v>
      </c>
      <c r="U2951" s="1" t="s">
        <v>46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5" t="s">
        <v>3788</v>
      </c>
      <c r="C2952" s="1" t="s">
        <v>3789</v>
      </c>
      <c r="D2952" s="1" t="s">
        <v>14</v>
      </c>
      <c r="E2952" s="1" t="s">
        <v>3668</v>
      </c>
      <c r="F2952" s="1" t="s">
        <v>3380</v>
      </c>
      <c r="G2952" s="1" t="s">
        <v>3668</v>
      </c>
      <c r="H2952" s="2" t="s">
        <v>3464</v>
      </c>
      <c r="I2952" s="1" t="s">
        <v>3707</v>
      </c>
      <c r="J2952" s="1" t="s">
        <v>52</v>
      </c>
      <c r="K2952" s="2" t="s">
        <v>3464</v>
      </c>
      <c r="L2952" s="5" t="s">
        <v>69</v>
      </c>
      <c r="M2952" s="5" t="s">
        <v>69</v>
      </c>
      <c r="N2952" s="1" t="s">
        <v>1935</v>
      </c>
      <c r="O2952" s="1" t="s">
        <v>46</v>
      </c>
      <c r="P2952" s="1" t="s">
        <v>46</v>
      </c>
      <c r="Q2952" s="1" t="s">
        <v>46</v>
      </c>
      <c r="R2952" s="5" t="s">
        <v>46</v>
      </c>
      <c r="S2952" s="1" t="s">
        <v>46</v>
      </c>
      <c r="T2952" s="1" t="s">
        <v>46</v>
      </c>
      <c r="U2952" s="1" t="s">
        <v>46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5" t="s">
        <v>3788</v>
      </c>
      <c r="C2953" s="1" t="s">
        <v>3789</v>
      </c>
      <c r="D2953" s="1" t="s">
        <v>14</v>
      </c>
      <c r="E2953" s="1" t="s">
        <v>3668</v>
      </c>
      <c r="F2953" s="1" t="s">
        <v>3380</v>
      </c>
      <c r="G2953" s="1" t="s">
        <v>3668</v>
      </c>
      <c r="H2953" s="2" t="s">
        <v>3466</v>
      </c>
      <c r="I2953" s="1" t="s">
        <v>3708</v>
      </c>
      <c r="J2953" s="1" t="s">
        <v>52</v>
      </c>
      <c r="K2953" s="2" t="s">
        <v>3466</v>
      </c>
      <c r="L2953" s="5" t="s">
        <v>69</v>
      </c>
      <c r="M2953" s="5" t="s">
        <v>69</v>
      </c>
      <c r="N2953" s="1" t="s">
        <v>3468</v>
      </c>
      <c r="O2953" s="1" t="s">
        <v>46</v>
      </c>
      <c r="P2953" s="1" t="s">
        <v>46</v>
      </c>
      <c r="Q2953" s="1" t="s">
        <v>46</v>
      </c>
      <c r="R2953" s="5" t="s">
        <v>46</v>
      </c>
      <c r="S2953" s="1" t="s">
        <v>46</v>
      </c>
      <c r="T2953" s="1" t="s">
        <v>46</v>
      </c>
      <c r="U2953" s="1" t="s">
        <v>46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5" t="s">
        <v>3788</v>
      </c>
      <c r="C2954" s="1" t="s">
        <v>3789</v>
      </c>
      <c r="D2954" s="1" t="s">
        <v>14</v>
      </c>
      <c r="E2954" s="1" t="s">
        <v>3668</v>
      </c>
      <c r="F2954" s="1" t="s">
        <v>3380</v>
      </c>
      <c r="G2954" s="1" t="s">
        <v>3668</v>
      </c>
      <c r="H2954" s="2" t="s">
        <v>3469</v>
      </c>
      <c r="I2954" s="1" t="s">
        <v>3709</v>
      </c>
      <c r="J2954" s="1" t="s">
        <v>52</v>
      </c>
      <c r="K2954" s="2" t="s">
        <v>3469</v>
      </c>
      <c r="L2954" s="5" t="s">
        <v>69</v>
      </c>
      <c r="M2954" s="5" t="s">
        <v>69</v>
      </c>
      <c r="N2954" s="1" t="s">
        <v>3468</v>
      </c>
      <c r="O2954" s="1" t="s">
        <v>46</v>
      </c>
      <c r="P2954" s="1" t="s">
        <v>46</v>
      </c>
      <c r="Q2954" s="1" t="s">
        <v>46</v>
      </c>
      <c r="R2954" s="5" t="s">
        <v>46</v>
      </c>
      <c r="S2954" s="1" t="s">
        <v>46</v>
      </c>
      <c r="T2954" s="1" t="s">
        <v>46</v>
      </c>
      <c r="U2954" s="1" t="s">
        <v>46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5" t="s">
        <v>3788</v>
      </c>
      <c r="C2955" s="1" t="s">
        <v>3789</v>
      </c>
      <c r="D2955" s="1" t="s">
        <v>14</v>
      </c>
      <c r="E2955" s="1" t="s">
        <v>3668</v>
      </c>
      <c r="F2955" s="1" t="s">
        <v>3380</v>
      </c>
      <c r="G2955" s="1" t="s">
        <v>3668</v>
      </c>
      <c r="H2955" s="2" t="s">
        <v>3471</v>
      </c>
      <c r="I2955" s="1" t="s">
        <v>3710</v>
      </c>
      <c r="J2955" s="1" t="s">
        <v>52</v>
      </c>
      <c r="K2955" s="2" t="s">
        <v>3471</v>
      </c>
      <c r="L2955" s="5" t="s">
        <v>69</v>
      </c>
      <c r="M2955" s="5" t="s">
        <v>69</v>
      </c>
      <c r="N2955" s="1" t="s">
        <v>3468</v>
      </c>
      <c r="O2955" s="1" t="s">
        <v>46</v>
      </c>
      <c r="P2955" s="1" t="s">
        <v>46</v>
      </c>
      <c r="Q2955" s="1" t="s">
        <v>46</v>
      </c>
      <c r="R2955" s="5" t="s">
        <v>46</v>
      </c>
      <c r="S2955" s="1" t="s">
        <v>46</v>
      </c>
      <c r="T2955" s="1" t="s">
        <v>46</v>
      </c>
      <c r="U2955" s="1" t="s">
        <v>46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5" t="s">
        <v>3788</v>
      </c>
      <c r="C2956" s="1" t="s">
        <v>3789</v>
      </c>
      <c r="D2956" s="1" t="s">
        <v>14</v>
      </c>
      <c r="E2956" s="1" t="s">
        <v>3668</v>
      </c>
      <c r="F2956" s="1" t="s">
        <v>3380</v>
      </c>
      <c r="G2956" s="1" t="s">
        <v>3668</v>
      </c>
      <c r="H2956" s="2" t="s">
        <v>3473</v>
      </c>
      <c r="I2956" s="1" t="s">
        <v>3711</v>
      </c>
      <c r="J2956" s="1" t="s">
        <v>52</v>
      </c>
      <c r="K2956" s="2" t="s">
        <v>3473</v>
      </c>
      <c r="L2956" s="5" t="s">
        <v>69</v>
      </c>
      <c r="M2956" s="5" t="s">
        <v>69</v>
      </c>
      <c r="N2956" s="1" t="s">
        <v>3468</v>
      </c>
      <c r="O2956" s="1" t="s">
        <v>46</v>
      </c>
      <c r="P2956" s="1" t="s">
        <v>46</v>
      </c>
      <c r="Q2956" s="1" t="s">
        <v>46</v>
      </c>
      <c r="R2956" s="5" t="s">
        <v>46</v>
      </c>
      <c r="S2956" s="1" t="s">
        <v>46</v>
      </c>
      <c r="T2956" s="1" t="s">
        <v>46</v>
      </c>
      <c r="U2956" s="1" t="s">
        <v>46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5" t="s">
        <v>3788</v>
      </c>
      <c r="C2957" s="1" t="s">
        <v>3789</v>
      </c>
      <c r="D2957" s="1" t="s">
        <v>14</v>
      </c>
      <c r="E2957" s="1" t="s">
        <v>3668</v>
      </c>
      <c r="F2957" s="1" t="s">
        <v>3380</v>
      </c>
      <c r="G2957" s="1" t="s">
        <v>3668</v>
      </c>
      <c r="H2957" s="2" t="s">
        <v>3475</v>
      </c>
      <c r="I2957" s="1" t="s">
        <v>3712</v>
      </c>
      <c r="J2957" s="1" t="s">
        <v>52</v>
      </c>
      <c r="K2957" s="2" t="s">
        <v>3475</v>
      </c>
      <c r="L2957" s="5" t="s">
        <v>69</v>
      </c>
      <c r="M2957" s="5" t="s">
        <v>69</v>
      </c>
      <c r="N2957" s="1" t="s">
        <v>3468</v>
      </c>
      <c r="O2957" s="1" t="s">
        <v>46</v>
      </c>
      <c r="P2957" s="1" t="s">
        <v>46</v>
      </c>
      <c r="Q2957" s="1" t="s">
        <v>46</v>
      </c>
      <c r="R2957" s="5" t="s">
        <v>46</v>
      </c>
      <c r="S2957" s="1" t="s">
        <v>46</v>
      </c>
      <c r="T2957" s="1" t="s">
        <v>46</v>
      </c>
      <c r="U2957" s="1" t="s">
        <v>46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5" t="s">
        <v>3788</v>
      </c>
      <c r="C2958" s="1" t="s">
        <v>3789</v>
      </c>
      <c r="D2958" s="1" t="s">
        <v>14</v>
      </c>
      <c r="E2958" s="1" t="s">
        <v>3668</v>
      </c>
      <c r="F2958" s="1" t="s">
        <v>3380</v>
      </c>
      <c r="G2958" s="1" t="s">
        <v>3668</v>
      </c>
      <c r="H2958" s="2" t="s">
        <v>3477</v>
      </c>
      <c r="I2958" s="1" t="s">
        <v>3713</v>
      </c>
      <c r="J2958" s="1" t="s">
        <v>52</v>
      </c>
      <c r="K2958" s="2" t="s">
        <v>3477</v>
      </c>
      <c r="L2958" s="5" t="s">
        <v>69</v>
      </c>
      <c r="M2958" s="5" t="s">
        <v>69</v>
      </c>
      <c r="N2958" s="1" t="s">
        <v>3468</v>
      </c>
      <c r="O2958" s="1" t="s">
        <v>46</v>
      </c>
      <c r="P2958" s="1" t="s">
        <v>46</v>
      </c>
      <c r="Q2958" s="1" t="s">
        <v>46</v>
      </c>
      <c r="R2958" s="5" t="s">
        <v>46</v>
      </c>
      <c r="S2958" s="1" t="s">
        <v>46</v>
      </c>
      <c r="T2958" s="1" t="s">
        <v>46</v>
      </c>
      <c r="U2958" s="1" t="s">
        <v>46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5" t="s">
        <v>3788</v>
      </c>
      <c r="C2959" s="1" t="s">
        <v>3789</v>
      </c>
      <c r="D2959" s="1" t="s">
        <v>14</v>
      </c>
      <c r="E2959" s="1" t="s">
        <v>3668</v>
      </c>
      <c r="F2959" s="1" t="s">
        <v>3380</v>
      </c>
      <c r="G2959" s="1" t="s">
        <v>3668</v>
      </c>
      <c r="H2959" s="2" t="s">
        <v>3479</v>
      </c>
      <c r="I2959" s="1" t="s">
        <v>3714</v>
      </c>
      <c r="J2959" s="1" t="s">
        <v>52</v>
      </c>
      <c r="K2959" s="2" t="s">
        <v>3479</v>
      </c>
      <c r="L2959" s="5" t="s">
        <v>69</v>
      </c>
      <c r="M2959" s="5" t="s">
        <v>69</v>
      </c>
      <c r="N2959" s="1" t="s">
        <v>3468</v>
      </c>
      <c r="O2959" s="1" t="s">
        <v>46</v>
      </c>
      <c r="P2959" s="1" t="s">
        <v>46</v>
      </c>
      <c r="Q2959" s="1" t="s">
        <v>46</v>
      </c>
      <c r="R2959" s="5" t="s">
        <v>46</v>
      </c>
      <c r="S2959" s="1" t="s">
        <v>46</v>
      </c>
      <c r="T2959" s="1" t="s">
        <v>46</v>
      </c>
      <c r="U2959" s="1" t="s">
        <v>46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5" t="s">
        <v>3788</v>
      </c>
      <c r="C2960" s="1" t="s">
        <v>3789</v>
      </c>
      <c r="D2960" s="1" t="s">
        <v>14</v>
      </c>
      <c r="E2960" s="1" t="s">
        <v>3668</v>
      </c>
      <c r="F2960" s="1" t="s">
        <v>3380</v>
      </c>
      <c r="G2960" s="1" t="s">
        <v>3668</v>
      </c>
      <c r="H2960" s="2" t="s">
        <v>3481</v>
      </c>
      <c r="I2960" s="1" t="s">
        <v>3715</v>
      </c>
      <c r="J2960" s="1" t="s">
        <v>52</v>
      </c>
      <c r="K2960" s="2" t="s">
        <v>3481</v>
      </c>
      <c r="L2960" s="5" t="s">
        <v>69</v>
      </c>
      <c r="M2960" s="5" t="s">
        <v>69</v>
      </c>
      <c r="N2960" s="1" t="s">
        <v>3468</v>
      </c>
      <c r="O2960" s="1" t="s">
        <v>46</v>
      </c>
      <c r="P2960" s="1" t="s">
        <v>46</v>
      </c>
      <c r="Q2960" s="1" t="s">
        <v>46</v>
      </c>
      <c r="R2960" s="5" t="s">
        <v>46</v>
      </c>
      <c r="S2960" s="1" t="s">
        <v>46</v>
      </c>
      <c r="T2960" s="1" t="s">
        <v>46</v>
      </c>
      <c r="U2960" s="1" t="s">
        <v>46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5" t="s">
        <v>3788</v>
      </c>
      <c r="C2961" s="1" t="s">
        <v>3789</v>
      </c>
      <c r="D2961" s="1" t="s">
        <v>14</v>
      </c>
      <c r="E2961" s="1" t="s">
        <v>3668</v>
      </c>
      <c r="F2961" s="1" t="s">
        <v>3380</v>
      </c>
      <c r="G2961" s="1" t="s">
        <v>3668</v>
      </c>
      <c r="H2961" s="2" t="s">
        <v>3483</v>
      </c>
      <c r="I2961" s="1" t="s">
        <v>3716</v>
      </c>
      <c r="J2961" s="1" t="s">
        <v>52</v>
      </c>
      <c r="K2961" s="2" t="s">
        <v>3483</v>
      </c>
      <c r="L2961" s="5" t="s">
        <v>69</v>
      </c>
      <c r="M2961" s="5" t="s">
        <v>69</v>
      </c>
      <c r="N2961" s="1" t="s">
        <v>3468</v>
      </c>
      <c r="O2961" s="1" t="s">
        <v>46</v>
      </c>
      <c r="P2961" s="1" t="s">
        <v>46</v>
      </c>
      <c r="Q2961" s="1" t="s">
        <v>46</v>
      </c>
      <c r="R2961" s="5" t="s">
        <v>46</v>
      </c>
      <c r="S2961" s="1" t="s">
        <v>46</v>
      </c>
      <c r="T2961" s="1" t="s">
        <v>46</v>
      </c>
      <c r="U2961" s="1" t="s">
        <v>46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5" t="s">
        <v>3788</v>
      </c>
      <c r="C2962" s="1" t="s">
        <v>3789</v>
      </c>
      <c r="D2962" s="1" t="s">
        <v>14</v>
      </c>
      <c r="E2962" s="1" t="s">
        <v>3668</v>
      </c>
      <c r="F2962" s="1" t="s">
        <v>3380</v>
      </c>
      <c r="G2962" s="1" t="s">
        <v>3668</v>
      </c>
      <c r="H2962" s="2" t="s">
        <v>3485</v>
      </c>
      <c r="I2962" s="1" t="s">
        <v>3717</v>
      </c>
      <c r="J2962" s="1" t="s">
        <v>52</v>
      </c>
      <c r="K2962" s="2" t="s">
        <v>3485</v>
      </c>
      <c r="L2962" s="5" t="s">
        <v>69</v>
      </c>
      <c r="M2962" s="5" t="s">
        <v>69</v>
      </c>
      <c r="N2962" s="1" t="s">
        <v>3468</v>
      </c>
      <c r="O2962" s="1" t="s">
        <v>46</v>
      </c>
      <c r="P2962" s="1" t="s">
        <v>46</v>
      </c>
      <c r="Q2962" s="1" t="s">
        <v>46</v>
      </c>
      <c r="R2962" s="5" t="s">
        <v>46</v>
      </c>
      <c r="S2962" s="1" t="s">
        <v>46</v>
      </c>
      <c r="T2962" s="1" t="s">
        <v>46</v>
      </c>
      <c r="U2962" s="1" t="s">
        <v>46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5" t="s">
        <v>3788</v>
      </c>
      <c r="C2963" s="1" t="s">
        <v>3789</v>
      </c>
      <c r="D2963" s="1" t="s">
        <v>14</v>
      </c>
      <c r="E2963" s="1" t="s">
        <v>3668</v>
      </c>
      <c r="F2963" s="1" t="s">
        <v>3380</v>
      </c>
      <c r="G2963" s="1" t="s">
        <v>3668</v>
      </c>
      <c r="H2963" s="2" t="s">
        <v>3487</v>
      </c>
      <c r="I2963" s="1" t="s">
        <v>3718</v>
      </c>
      <c r="J2963" s="1" t="s">
        <v>52</v>
      </c>
      <c r="K2963" s="2" t="s">
        <v>3487</v>
      </c>
      <c r="L2963" s="5" t="s">
        <v>69</v>
      </c>
      <c r="M2963" s="5" t="s">
        <v>69</v>
      </c>
      <c r="N2963" s="1" t="s">
        <v>3468</v>
      </c>
      <c r="O2963" s="1" t="s">
        <v>46</v>
      </c>
      <c r="P2963" s="1" t="s">
        <v>46</v>
      </c>
      <c r="Q2963" s="1" t="s">
        <v>46</v>
      </c>
      <c r="R2963" s="5" t="s">
        <v>46</v>
      </c>
      <c r="S2963" s="1" t="s">
        <v>46</v>
      </c>
      <c r="T2963" s="1" t="s">
        <v>46</v>
      </c>
      <c r="U2963" s="1" t="s">
        <v>46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5" t="s">
        <v>3788</v>
      </c>
      <c r="C2964" s="1" t="s">
        <v>3789</v>
      </c>
      <c r="D2964" s="1" t="s">
        <v>14</v>
      </c>
      <c r="E2964" s="1" t="s">
        <v>3668</v>
      </c>
      <c r="F2964" s="1" t="s">
        <v>3380</v>
      </c>
      <c r="G2964" s="1" t="s">
        <v>3668</v>
      </c>
      <c r="H2964" s="2" t="s">
        <v>3489</v>
      </c>
      <c r="I2964" s="1" t="s">
        <v>3719</v>
      </c>
      <c r="J2964" s="1" t="s">
        <v>52</v>
      </c>
      <c r="K2964" s="2" t="s">
        <v>3489</v>
      </c>
      <c r="L2964" s="5" t="s">
        <v>69</v>
      </c>
      <c r="M2964" s="5" t="s">
        <v>69</v>
      </c>
      <c r="N2964" s="1" t="s">
        <v>3468</v>
      </c>
      <c r="O2964" s="1" t="s">
        <v>46</v>
      </c>
      <c r="P2964" s="1" t="s">
        <v>46</v>
      </c>
      <c r="Q2964" s="1" t="s">
        <v>46</v>
      </c>
      <c r="R2964" s="5" t="s">
        <v>46</v>
      </c>
      <c r="S2964" s="1" t="s">
        <v>46</v>
      </c>
      <c r="T2964" s="1" t="s">
        <v>46</v>
      </c>
      <c r="U2964" s="1" t="s">
        <v>46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5" t="s">
        <v>3788</v>
      </c>
      <c r="C2965" s="1" t="s">
        <v>3789</v>
      </c>
      <c r="D2965" s="1" t="s">
        <v>14</v>
      </c>
      <c r="E2965" s="1" t="s">
        <v>3668</v>
      </c>
      <c r="F2965" s="1" t="s">
        <v>3380</v>
      </c>
      <c r="G2965" s="1" t="s">
        <v>3668</v>
      </c>
      <c r="H2965" s="2" t="s">
        <v>3491</v>
      </c>
      <c r="I2965" s="1" t="s">
        <v>3720</v>
      </c>
      <c r="J2965" s="1" t="s">
        <v>52</v>
      </c>
      <c r="K2965" s="2" t="s">
        <v>3491</v>
      </c>
      <c r="L2965" s="5" t="s">
        <v>69</v>
      </c>
      <c r="M2965" s="5" t="s">
        <v>69</v>
      </c>
      <c r="N2965" s="1" t="s">
        <v>3468</v>
      </c>
      <c r="O2965" s="1" t="s">
        <v>46</v>
      </c>
      <c r="P2965" s="1" t="s">
        <v>46</v>
      </c>
      <c r="Q2965" s="1" t="s">
        <v>46</v>
      </c>
      <c r="R2965" s="5" t="s">
        <v>46</v>
      </c>
      <c r="S2965" s="1" t="s">
        <v>46</v>
      </c>
      <c r="T2965" s="1" t="s">
        <v>46</v>
      </c>
      <c r="U2965" s="1" t="s">
        <v>46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5" t="s">
        <v>3788</v>
      </c>
      <c r="C2966" s="1" t="s">
        <v>3789</v>
      </c>
      <c r="D2966" s="1" t="s">
        <v>14</v>
      </c>
      <c r="E2966" s="1" t="s">
        <v>3668</v>
      </c>
      <c r="F2966" s="1" t="s">
        <v>3380</v>
      </c>
      <c r="G2966" s="1" t="s">
        <v>3668</v>
      </c>
      <c r="H2966" s="2" t="s">
        <v>3493</v>
      </c>
      <c r="I2966" s="1" t="s">
        <v>3721</v>
      </c>
      <c r="J2966" s="1" t="s">
        <v>52</v>
      </c>
      <c r="K2966" s="2" t="s">
        <v>3493</v>
      </c>
      <c r="L2966" s="5" t="s">
        <v>69</v>
      </c>
      <c r="M2966" s="5" t="s">
        <v>69</v>
      </c>
      <c r="N2966" s="1" t="s">
        <v>3468</v>
      </c>
      <c r="O2966" s="1" t="s">
        <v>46</v>
      </c>
      <c r="P2966" s="1" t="s">
        <v>46</v>
      </c>
      <c r="Q2966" s="1" t="s">
        <v>46</v>
      </c>
      <c r="R2966" s="5" t="s">
        <v>46</v>
      </c>
      <c r="S2966" s="1" t="s">
        <v>46</v>
      </c>
      <c r="T2966" s="1" t="s">
        <v>46</v>
      </c>
      <c r="U2966" s="1" t="s">
        <v>46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5" t="s">
        <v>3788</v>
      </c>
      <c r="C2967" s="1" t="s">
        <v>3789</v>
      </c>
      <c r="D2967" s="1" t="s">
        <v>14</v>
      </c>
      <c r="E2967" s="1" t="s">
        <v>3668</v>
      </c>
      <c r="F2967" s="1" t="s">
        <v>3380</v>
      </c>
      <c r="G2967" s="1" t="s">
        <v>3668</v>
      </c>
      <c r="H2967" s="2" t="s">
        <v>3495</v>
      </c>
      <c r="I2967" s="1" t="s">
        <v>3722</v>
      </c>
      <c r="J2967" s="1" t="s">
        <v>52</v>
      </c>
      <c r="K2967" s="2" t="s">
        <v>3495</v>
      </c>
      <c r="L2967" s="5" t="s">
        <v>69</v>
      </c>
      <c r="M2967" s="5" t="s">
        <v>69</v>
      </c>
      <c r="N2967" s="1" t="s">
        <v>3468</v>
      </c>
      <c r="O2967" s="1" t="s">
        <v>46</v>
      </c>
      <c r="P2967" s="1" t="s">
        <v>46</v>
      </c>
      <c r="Q2967" s="1" t="s">
        <v>46</v>
      </c>
      <c r="R2967" s="5" t="s">
        <v>46</v>
      </c>
      <c r="S2967" s="1" t="s">
        <v>46</v>
      </c>
      <c r="T2967" s="1" t="s">
        <v>46</v>
      </c>
      <c r="U2967" s="1" t="s">
        <v>46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3815</v>
      </c>
      <c r="C2968" s="1" t="s">
        <v>3816</v>
      </c>
      <c r="D2968" s="1" t="s">
        <v>14</v>
      </c>
      <c r="E2968" s="1" t="s">
        <v>3379</v>
      </c>
      <c r="F2968" s="1" t="s">
        <v>3380</v>
      </c>
      <c r="G2968" s="1" t="s">
        <v>3379</v>
      </c>
      <c r="H2968" s="2" t="s">
        <v>3394</v>
      </c>
      <c r="I2968" s="1" t="s">
        <v>3395</v>
      </c>
      <c r="J2968" s="1" t="s">
        <v>52</v>
      </c>
      <c r="K2968" s="1" t="s">
        <v>3394</v>
      </c>
      <c r="L2968" s="36" t="s">
        <v>69</v>
      </c>
      <c r="M2968" s="1" t="s">
        <v>69</v>
      </c>
      <c r="N2968" s="1" t="s">
        <v>3383</v>
      </c>
      <c r="O2968" s="1" t="s">
        <v>3780</v>
      </c>
      <c r="P2968" s="1" t="s">
        <v>3385</v>
      </c>
      <c r="Q2968" s="1" t="s">
        <v>3385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1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3815</v>
      </c>
      <c r="C2969" s="1" t="s">
        <v>3816</v>
      </c>
      <c r="D2969" s="1" t="s">
        <v>14</v>
      </c>
      <c r="E2969" s="1" t="s">
        <v>3379</v>
      </c>
      <c r="F2969" s="1" t="s">
        <v>3380</v>
      </c>
      <c r="G2969" s="1" t="s">
        <v>3379</v>
      </c>
      <c r="H2969" s="2" t="s">
        <v>3397</v>
      </c>
      <c r="I2969" s="1" t="s">
        <v>3398</v>
      </c>
      <c r="J2969" s="1" t="s">
        <v>52</v>
      </c>
      <c r="K2969" s="1" t="s">
        <v>3397</v>
      </c>
      <c r="L2969" s="36" t="s">
        <v>69</v>
      </c>
      <c r="M2969" s="1" t="s">
        <v>69</v>
      </c>
      <c r="N2969" s="1" t="s">
        <v>3383</v>
      </c>
      <c r="O2969" s="1" t="s">
        <v>3780</v>
      </c>
      <c r="P2969" s="1" t="s">
        <v>3385</v>
      </c>
      <c r="Q2969" s="1" t="s">
        <v>3385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2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3815</v>
      </c>
      <c r="C2970" s="1" t="s">
        <v>3816</v>
      </c>
      <c r="D2970" s="1" t="s">
        <v>14</v>
      </c>
      <c r="E2970" s="1" t="s">
        <v>3379</v>
      </c>
      <c r="F2970" s="1" t="s">
        <v>3380</v>
      </c>
      <c r="G2970" s="1" t="s">
        <v>3379</v>
      </c>
      <c r="H2970" s="2" t="s">
        <v>3399</v>
      </c>
      <c r="I2970" s="1" t="s">
        <v>3400</v>
      </c>
      <c r="J2970" s="1" t="s">
        <v>52</v>
      </c>
      <c r="K2970" s="1" t="s">
        <v>3399</v>
      </c>
      <c r="L2970" s="36" t="s">
        <v>69</v>
      </c>
      <c r="M2970" s="1" t="s">
        <v>69</v>
      </c>
      <c r="N2970" s="1" t="s">
        <v>3383</v>
      </c>
      <c r="O2970" s="1" t="s">
        <v>3780</v>
      </c>
      <c r="P2970" s="1" t="s">
        <v>3385</v>
      </c>
      <c r="Q2970" s="1" t="s">
        <v>3385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3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3815</v>
      </c>
      <c r="C2971" s="1" t="s">
        <v>3816</v>
      </c>
      <c r="D2971" s="1" t="s">
        <v>14</v>
      </c>
      <c r="E2971" s="1" t="s">
        <v>3379</v>
      </c>
      <c r="F2971" s="1" t="s">
        <v>3380</v>
      </c>
      <c r="G2971" s="1" t="s">
        <v>3379</v>
      </c>
      <c r="H2971" s="2" t="s">
        <v>3401</v>
      </c>
      <c r="I2971" s="1" t="s">
        <v>3402</v>
      </c>
      <c r="J2971" s="1" t="s">
        <v>52</v>
      </c>
      <c r="K2971" s="1" t="s">
        <v>3401</v>
      </c>
      <c r="L2971" s="36" t="s">
        <v>69</v>
      </c>
      <c r="M2971" s="1" t="s">
        <v>69</v>
      </c>
      <c r="N2971" s="1" t="s">
        <v>3383</v>
      </c>
      <c r="O2971" s="1" t="s">
        <v>3780</v>
      </c>
      <c r="P2971" s="1" t="s">
        <v>3385</v>
      </c>
      <c r="Q2971" s="1" t="s">
        <v>3385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4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3815</v>
      </c>
      <c r="C2972" s="1" t="s">
        <v>3816</v>
      </c>
      <c r="D2972" s="1" t="s">
        <v>14</v>
      </c>
      <c r="E2972" s="1" t="s">
        <v>3379</v>
      </c>
      <c r="F2972" s="1" t="s">
        <v>3380</v>
      </c>
      <c r="G2972" s="1" t="s">
        <v>3379</v>
      </c>
      <c r="H2972" s="2" t="s">
        <v>3403</v>
      </c>
      <c r="I2972" s="1" t="s">
        <v>3404</v>
      </c>
      <c r="J2972" s="1" t="s">
        <v>52</v>
      </c>
      <c r="K2972" s="1" t="s">
        <v>3403</v>
      </c>
      <c r="L2972" s="36" t="s">
        <v>69</v>
      </c>
      <c r="M2972" s="1" t="s">
        <v>69</v>
      </c>
      <c r="N2972" s="1" t="s">
        <v>3383</v>
      </c>
      <c r="O2972" s="1" t="s">
        <v>3780</v>
      </c>
      <c r="P2972" s="1" t="s">
        <v>3385</v>
      </c>
      <c r="Q2972" s="1" t="s">
        <v>3385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5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3815</v>
      </c>
      <c r="C2973" s="1" t="s">
        <v>3816</v>
      </c>
      <c r="D2973" s="1" t="s">
        <v>14</v>
      </c>
      <c r="E2973" s="1" t="s">
        <v>3379</v>
      </c>
      <c r="F2973" s="1" t="s">
        <v>3380</v>
      </c>
      <c r="G2973" s="1" t="s">
        <v>3379</v>
      </c>
      <c r="H2973" s="2" t="s">
        <v>3499</v>
      </c>
      <c r="I2973" s="1" t="s">
        <v>3500</v>
      </c>
      <c r="J2973" s="1" t="s">
        <v>52</v>
      </c>
      <c r="K2973" s="1" t="s">
        <v>3499</v>
      </c>
      <c r="L2973" s="36" t="s">
        <v>69</v>
      </c>
      <c r="M2973" s="1" t="s">
        <v>69</v>
      </c>
      <c r="N2973" s="1" t="s">
        <v>3383</v>
      </c>
      <c r="O2973" s="1" t="s">
        <v>3781</v>
      </c>
      <c r="P2973" s="1" t="s">
        <v>3385</v>
      </c>
      <c r="Q2973" s="1" t="s">
        <v>3385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1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3815</v>
      </c>
      <c r="C2974" s="1" t="s">
        <v>3816</v>
      </c>
      <c r="D2974" s="1" t="s">
        <v>14</v>
      </c>
      <c r="E2974" s="1" t="s">
        <v>3379</v>
      </c>
      <c r="F2974" s="1" t="s">
        <v>3380</v>
      </c>
      <c r="G2974" s="1" t="s">
        <v>3379</v>
      </c>
      <c r="H2974" s="2" t="s">
        <v>3502</v>
      </c>
      <c r="I2974" s="1" t="s">
        <v>3503</v>
      </c>
      <c r="J2974" s="1" t="s">
        <v>52</v>
      </c>
      <c r="K2974" s="1" t="s">
        <v>3502</v>
      </c>
      <c r="L2974" s="36" t="s">
        <v>69</v>
      </c>
      <c r="M2974" s="1" t="s">
        <v>69</v>
      </c>
      <c r="N2974" s="1" t="s">
        <v>3383</v>
      </c>
      <c r="O2974" s="1" t="s">
        <v>3781</v>
      </c>
      <c r="P2974" s="1" t="s">
        <v>3385</v>
      </c>
      <c r="Q2974" s="1" t="s">
        <v>3385</v>
      </c>
      <c r="R2974" s="1" t="s">
        <v>46</v>
      </c>
      <c r="S2974" s="1" t="s">
        <v>69</v>
      </c>
      <c r="T2974" s="1" t="s">
        <v>69</v>
      </c>
      <c r="U2974" s="1" t="s">
        <v>46</v>
      </c>
      <c r="V2974" s="1" t="n">
        <v>2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3815</v>
      </c>
      <c r="C2975" s="1" t="s">
        <v>3816</v>
      </c>
      <c r="D2975" s="1" t="s">
        <v>14</v>
      </c>
      <c r="E2975" s="1" t="s">
        <v>3379</v>
      </c>
      <c r="F2975" s="1" t="s">
        <v>3380</v>
      </c>
      <c r="G2975" s="1" t="s">
        <v>3379</v>
      </c>
      <c r="H2975" s="2" t="s">
        <v>3504</v>
      </c>
      <c r="I2975" s="1" t="s">
        <v>3505</v>
      </c>
      <c r="J2975" s="1" t="s">
        <v>52</v>
      </c>
      <c r="K2975" s="1" t="s">
        <v>3504</v>
      </c>
      <c r="L2975" s="36" t="s">
        <v>69</v>
      </c>
      <c r="M2975" s="1" t="s">
        <v>69</v>
      </c>
      <c r="N2975" s="1" t="s">
        <v>3383</v>
      </c>
      <c r="O2975" s="1" t="s">
        <v>3781</v>
      </c>
      <c r="P2975" s="1" t="s">
        <v>3385</v>
      </c>
      <c r="Q2975" s="1" t="s">
        <v>3385</v>
      </c>
      <c r="R2975" s="1" t="s">
        <v>46</v>
      </c>
      <c r="S2975" s="1" t="s">
        <v>69</v>
      </c>
      <c r="T2975" s="1" t="s">
        <v>69</v>
      </c>
      <c r="U2975" s="1" t="s">
        <v>46</v>
      </c>
      <c r="V2975" s="1" t="n">
        <v>3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3815</v>
      </c>
      <c r="C2976" s="1" t="s">
        <v>3816</v>
      </c>
      <c r="D2976" s="1" t="s">
        <v>14</v>
      </c>
      <c r="E2976" s="1" t="s">
        <v>3379</v>
      </c>
      <c r="F2976" s="1" t="s">
        <v>3380</v>
      </c>
      <c r="G2976" s="1" t="s">
        <v>3379</v>
      </c>
      <c r="H2976" s="2" t="s">
        <v>3506</v>
      </c>
      <c r="I2976" s="1" t="s">
        <v>3507</v>
      </c>
      <c r="J2976" s="1" t="s">
        <v>52</v>
      </c>
      <c r="K2976" s="1" t="s">
        <v>3506</v>
      </c>
      <c r="L2976" s="36" t="s">
        <v>69</v>
      </c>
      <c r="M2976" s="1" t="s">
        <v>69</v>
      </c>
      <c r="N2976" s="1" t="s">
        <v>3383</v>
      </c>
      <c r="O2976" s="1" t="s">
        <v>3781</v>
      </c>
      <c r="P2976" s="1" t="s">
        <v>3385</v>
      </c>
      <c r="Q2976" s="1" t="s">
        <v>3385</v>
      </c>
      <c r="R2976" s="1" t="s">
        <v>46</v>
      </c>
      <c r="S2976" s="1" t="s">
        <v>69</v>
      </c>
      <c r="T2976" s="1" t="s">
        <v>69</v>
      </c>
      <c r="U2976" s="1" t="s">
        <v>46</v>
      </c>
      <c r="V2976" s="1" t="n">
        <v>4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3815</v>
      </c>
      <c r="C2977" s="1" t="s">
        <v>3816</v>
      </c>
      <c r="D2977" s="1" t="s">
        <v>14</v>
      </c>
      <c r="E2977" s="1" t="s">
        <v>3379</v>
      </c>
      <c r="F2977" s="1" t="s">
        <v>3380</v>
      </c>
      <c r="G2977" s="1" t="s">
        <v>3379</v>
      </c>
      <c r="H2977" s="2" t="s">
        <v>3508</v>
      </c>
      <c r="I2977" s="1" t="s">
        <v>3509</v>
      </c>
      <c r="J2977" s="1" t="s">
        <v>52</v>
      </c>
      <c r="K2977" s="1" t="s">
        <v>3508</v>
      </c>
      <c r="L2977" s="36" t="s">
        <v>69</v>
      </c>
      <c r="M2977" s="1" t="s">
        <v>69</v>
      </c>
      <c r="N2977" s="1" t="s">
        <v>3383</v>
      </c>
      <c r="O2977" s="1" t="s">
        <v>3781</v>
      </c>
      <c r="P2977" s="1" t="s">
        <v>3385</v>
      </c>
      <c r="Q2977" s="1" t="s">
        <v>3385</v>
      </c>
      <c r="R2977" s="1" t="s">
        <v>46</v>
      </c>
      <c r="S2977" s="1" t="s">
        <v>69</v>
      </c>
      <c r="T2977" s="1" t="s">
        <v>69</v>
      </c>
      <c r="U2977" s="1" t="s">
        <v>46</v>
      </c>
      <c r="V2977" s="1" t="n">
        <v>5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3815</v>
      </c>
      <c r="C2978" s="1" t="s">
        <v>3816</v>
      </c>
      <c r="D2978" s="1" t="s">
        <v>14</v>
      </c>
      <c r="E2978" s="1" t="s">
        <v>3379</v>
      </c>
      <c r="F2978" s="1" t="s">
        <v>3380</v>
      </c>
      <c r="G2978" s="1" t="s">
        <v>3379</v>
      </c>
      <c r="H2978" s="2" t="s">
        <v>3436</v>
      </c>
      <c r="I2978" s="1" t="s">
        <v>3437</v>
      </c>
      <c r="J2978" s="1" t="s">
        <v>52</v>
      </c>
      <c r="K2978" s="1" t="s">
        <v>3436</v>
      </c>
      <c r="L2978" s="36" t="s">
        <v>69</v>
      </c>
      <c r="M2978" s="1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1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3815</v>
      </c>
      <c r="C2979" s="1" t="s">
        <v>3816</v>
      </c>
      <c r="D2979" s="1" t="s">
        <v>14</v>
      </c>
      <c r="E2979" s="1" t="s">
        <v>3379</v>
      </c>
      <c r="F2979" s="1" t="s">
        <v>3380</v>
      </c>
      <c r="G2979" s="1" t="s">
        <v>3379</v>
      </c>
      <c r="H2979" s="2" t="s">
        <v>3438</v>
      </c>
      <c r="I2979" s="1" t="s">
        <v>3439</v>
      </c>
      <c r="J2979" s="1" t="s">
        <v>52</v>
      </c>
      <c r="K2979" s="1" t="s">
        <v>3438</v>
      </c>
      <c r="L2979" s="36" t="s">
        <v>69</v>
      </c>
      <c r="M2979" s="1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1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3815</v>
      </c>
      <c r="C2980" s="1" t="s">
        <v>3816</v>
      </c>
      <c r="D2980" s="1" t="s">
        <v>14</v>
      </c>
      <c r="E2980" s="1" t="s">
        <v>3379</v>
      </c>
      <c r="F2980" s="1" t="s">
        <v>3380</v>
      </c>
      <c r="G2980" s="1" t="s">
        <v>3379</v>
      </c>
      <c r="H2980" s="2" t="s">
        <v>3440</v>
      </c>
      <c r="I2980" s="1" t="s">
        <v>3441</v>
      </c>
      <c r="J2980" s="1" t="s">
        <v>52</v>
      </c>
      <c r="K2980" s="1" t="s">
        <v>3440</v>
      </c>
      <c r="L2980" s="36" t="s">
        <v>69</v>
      </c>
      <c r="M2980" s="1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1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3815</v>
      </c>
      <c r="C2981" s="1" t="s">
        <v>3816</v>
      </c>
      <c r="D2981" s="1" t="s">
        <v>14</v>
      </c>
      <c r="E2981" s="1" t="s">
        <v>3379</v>
      </c>
      <c r="F2981" s="1" t="s">
        <v>3380</v>
      </c>
      <c r="G2981" s="1" t="s">
        <v>3379</v>
      </c>
      <c r="H2981" s="2" t="s">
        <v>3442</v>
      </c>
      <c r="I2981" s="1" t="s">
        <v>3443</v>
      </c>
      <c r="J2981" s="1" t="s">
        <v>52</v>
      </c>
      <c r="K2981" s="1" t="s">
        <v>3442</v>
      </c>
      <c r="L2981" s="36" t="s">
        <v>69</v>
      </c>
      <c r="M2981" s="1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1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3815</v>
      </c>
      <c r="C2982" s="1" t="s">
        <v>3816</v>
      </c>
      <c r="D2982" s="1" t="s">
        <v>14</v>
      </c>
      <c r="E2982" s="1" t="s">
        <v>3379</v>
      </c>
      <c r="F2982" s="1" t="s">
        <v>3380</v>
      </c>
      <c r="G2982" s="1" t="s">
        <v>3379</v>
      </c>
      <c r="H2982" s="2" t="s">
        <v>3444</v>
      </c>
      <c r="I2982" s="1" t="s">
        <v>3445</v>
      </c>
      <c r="J2982" s="1" t="s">
        <v>52</v>
      </c>
      <c r="K2982" s="1" t="s">
        <v>3444</v>
      </c>
      <c r="L2982" s="36" t="s">
        <v>69</v>
      </c>
      <c r="M2982" s="1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1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3815</v>
      </c>
      <c r="C2983" s="1" t="s">
        <v>3816</v>
      </c>
      <c r="D2983" s="1" t="s">
        <v>14</v>
      </c>
      <c r="E2983" s="1" t="s">
        <v>3379</v>
      </c>
      <c r="F2983" s="1" t="s">
        <v>3380</v>
      </c>
      <c r="G2983" s="1" t="s">
        <v>3379</v>
      </c>
      <c r="H2983" s="2" t="s">
        <v>3446</v>
      </c>
      <c r="I2983" s="1" t="s">
        <v>3447</v>
      </c>
      <c r="J2983" s="1" t="s">
        <v>52</v>
      </c>
      <c r="K2983" s="1" t="s">
        <v>3446</v>
      </c>
      <c r="L2983" s="36" t="s">
        <v>69</v>
      </c>
      <c r="M2983" s="1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1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3815</v>
      </c>
      <c r="C2984" s="1" t="s">
        <v>3816</v>
      </c>
      <c r="D2984" s="1" t="s">
        <v>14</v>
      </c>
      <c r="E2984" s="1" t="s">
        <v>3379</v>
      </c>
      <c r="F2984" s="1" t="s">
        <v>3380</v>
      </c>
      <c r="G2984" s="1" t="s">
        <v>3379</v>
      </c>
      <c r="H2984" s="2" t="s">
        <v>3448</v>
      </c>
      <c r="I2984" s="1" t="s">
        <v>3449</v>
      </c>
      <c r="J2984" s="1" t="s">
        <v>52</v>
      </c>
      <c r="K2984" s="1" t="s">
        <v>3448</v>
      </c>
      <c r="L2984" s="36" t="s">
        <v>69</v>
      </c>
      <c r="M2984" s="1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1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3815</v>
      </c>
      <c r="C2985" s="1" t="s">
        <v>3816</v>
      </c>
      <c r="D2985" s="1" t="s">
        <v>14</v>
      </c>
      <c r="E2985" s="1" t="s">
        <v>3379</v>
      </c>
      <c r="F2985" s="1" t="s">
        <v>3380</v>
      </c>
      <c r="G2985" s="1" t="s">
        <v>3379</v>
      </c>
      <c r="H2985" s="2" t="s">
        <v>3450</v>
      </c>
      <c r="I2985" s="1" t="s">
        <v>3451</v>
      </c>
      <c r="J2985" s="1" t="s">
        <v>52</v>
      </c>
      <c r="K2985" s="1" t="s">
        <v>3450</v>
      </c>
      <c r="L2985" s="36" t="s">
        <v>69</v>
      </c>
      <c r="M2985" s="1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1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3815</v>
      </c>
      <c r="C2986" s="1" t="s">
        <v>3816</v>
      </c>
      <c r="D2986" s="1" t="s">
        <v>14</v>
      </c>
      <c r="E2986" s="1" t="s">
        <v>3379</v>
      </c>
      <c r="F2986" s="1" t="s">
        <v>3380</v>
      </c>
      <c r="G2986" s="1" t="s">
        <v>3379</v>
      </c>
      <c r="H2986" s="2" t="s">
        <v>3452</v>
      </c>
      <c r="I2986" s="1" t="s">
        <v>3453</v>
      </c>
      <c r="J2986" s="1" t="s">
        <v>52</v>
      </c>
      <c r="K2986" s="1" t="s">
        <v>3452</v>
      </c>
      <c r="L2986" s="36" t="s">
        <v>69</v>
      </c>
      <c r="M2986" s="1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1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3815</v>
      </c>
      <c r="C2987" s="1" t="s">
        <v>3816</v>
      </c>
      <c r="D2987" s="1" t="s">
        <v>14</v>
      </c>
      <c r="E2987" s="1" t="s">
        <v>3379</v>
      </c>
      <c r="F2987" s="1" t="s">
        <v>3380</v>
      </c>
      <c r="G2987" s="1" t="s">
        <v>3379</v>
      </c>
      <c r="H2987" s="2" t="s">
        <v>3454</v>
      </c>
      <c r="I2987" s="1" t="s">
        <v>3455</v>
      </c>
      <c r="J2987" s="1" t="s">
        <v>52</v>
      </c>
      <c r="K2987" s="1" t="s">
        <v>3454</v>
      </c>
      <c r="L2987" s="36" t="s">
        <v>69</v>
      </c>
      <c r="M2987" s="1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1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3815</v>
      </c>
      <c r="C2988" s="1" t="s">
        <v>3816</v>
      </c>
      <c r="D2988" s="1" t="s">
        <v>14</v>
      </c>
      <c r="E2988" s="1" t="s">
        <v>3379</v>
      </c>
      <c r="F2988" s="1" t="s">
        <v>3380</v>
      </c>
      <c r="G2988" s="1" t="s">
        <v>3379</v>
      </c>
      <c r="H2988" s="2" t="s">
        <v>3456</v>
      </c>
      <c r="I2988" s="1" t="s">
        <v>3457</v>
      </c>
      <c r="J2988" s="1" t="s">
        <v>52</v>
      </c>
      <c r="K2988" s="1" t="s">
        <v>3456</v>
      </c>
      <c r="L2988" s="36" t="s">
        <v>69</v>
      </c>
      <c r="M2988" s="1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1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3815</v>
      </c>
      <c r="C2989" s="1" t="s">
        <v>3816</v>
      </c>
      <c r="D2989" s="1" t="s">
        <v>14</v>
      </c>
      <c r="E2989" s="1" t="s">
        <v>3379</v>
      </c>
      <c r="F2989" s="1" t="s">
        <v>3380</v>
      </c>
      <c r="G2989" s="1" t="s">
        <v>3379</v>
      </c>
      <c r="H2989" s="2" t="s">
        <v>3458</v>
      </c>
      <c r="I2989" s="1" t="s">
        <v>3459</v>
      </c>
      <c r="J2989" s="1" t="s">
        <v>52</v>
      </c>
      <c r="K2989" s="1" t="s">
        <v>3458</v>
      </c>
      <c r="L2989" s="36" t="s">
        <v>69</v>
      </c>
      <c r="M2989" s="1" t="s">
        <v>69</v>
      </c>
      <c r="N2989" s="1" t="s">
        <v>1935</v>
      </c>
      <c r="O2989" s="1" t="s">
        <v>46</v>
      </c>
      <c r="P2989" s="1" t="s">
        <v>46</v>
      </c>
      <c r="Q2989" s="1" t="s">
        <v>46</v>
      </c>
      <c r="R2989" s="1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3815</v>
      </c>
      <c r="C2990" s="1" t="s">
        <v>3816</v>
      </c>
      <c r="D2990" s="1" t="s">
        <v>14</v>
      </c>
      <c r="E2990" s="1" t="s">
        <v>3379</v>
      </c>
      <c r="F2990" s="1" t="s">
        <v>3380</v>
      </c>
      <c r="G2990" s="1" t="s">
        <v>3379</v>
      </c>
      <c r="H2990" s="2" t="s">
        <v>3460</v>
      </c>
      <c r="I2990" s="1" t="s">
        <v>3461</v>
      </c>
      <c r="J2990" s="1" t="s">
        <v>52</v>
      </c>
      <c r="K2990" s="1" t="s">
        <v>3460</v>
      </c>
      <c r="L2990" s="36" t="s">
        <v>69</v>
      </c>
      <c r="M2990" s="1" t="s">
        <v>69</v>
      </c>
      <c r="N2990" s="1" t="s">
        <v>1935</v>
      </c>
      <c r="O2990" s="1" t="s">
        <v>46</v>
      </c>
      <c r="P2990" s="1" t="s">
        <v>46</v>
      </c>
      <c r="Q2990" s="1" t="s">
        <v>46</v>
      </c>
      <c r="R2990" s="1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3815</v>
      </c>
      <c r="C2991" s="1" t="s">
        <v>3816</v>
      </c>
      <c r="D2991" s="1" t="s">
        <v>14</v>
      </c>
      <c r="E2991" s="1" t="s">
        <v>3379</v>
      </c>
      <c r="F2991" s="1" t="s">
        <v>3380</v>
      </c>
      <c r="G2991" s="1" t="s">
        <v>3379</v>
      </c>
      <c r="H2991" s="2" t="s">
        <v>3462</v>
      </c>
      <c r="I2991" s="1" t="s">
        <v>3463</v>
      </c>
      <c r="J2991" s="1" t="s">
        <v>52</v>
      </c>
      <c r="K2991" s="1" t="s">
        <v>3462</v>
      </c>
      <c r="L2991" s="36" t="s">
        <v>69</v>
      </c>
      <c r="M2991" s="1" t="s">
        <v>69</v>
      </c>
      <c r="N2991" s="1" t="s">
        <v>1935</v>
      </c>
      <c r="O2991" s="1" t="s">
        <v>46</v>
      </c>
      <c r="P2991" s="1" t="s">
        <v>46</v>
      </c>
      <c r="Q2991" s="1" t="s">
        <v>46</v>
      </c>
      <c r="R2991" s="1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3815</v>
      </c>
      <c r="C2992" s="1" t="s">
        <v>3816</v>
      </c>
      <c r="D2992" s="1" t="s">
        <v>14</v>
      </c>
      <c r="E2992" s="1" t="s">
        <v>3379</v>
      </c>
      <c r="F2992" s="1" t="s">
        <v>3380</v>
      </c>
      <c r="G2992" s="1" t="s">
        <v>3379</v>
      </c>
      <c r="H2992" s="2" t="s">
        <v>3464</v>
      </c>
      <c r="I2992" s="1" t="s">
        <v>3465</v>
      </c>
      <c r="J2992" s="1" t="s">
        <v>52</v>
      </c>
      <c r="K2992" s="1" t="s">
        <v>3464</v>
      </c>
      <c r="L2992" s="36" t="s">
        <v>69</v>
      </c>
      <c r="M2992" s="1" t="s">
        <v>69</v>
      </c>
      <c r="N2992" s="1" t="s">
        <v>1935</v>
      </c>
      <c r="O2992" s="1" t="s">
        <v>46</v>
      </c>
      <c r="P2992" s="1" t="s">
        <v>46</v>
      </c>
      <c r="Q2992" s="1" t="s">
        <v>46</v>
      </c>
      <c r="R2992" s="1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3815</v>
      </c>
      <c r="C2993" s="1" t="s">
        <v>3816</v>
      </c>
      <c r="D2993" s="1" t="s">
        <v>14</v>
      </c>
      <c r="E2993" s="1" t="s">
        <v>3379</v>
      </c>
      <c r="F2993" s="1" t="s">
        <v>3380</v>
      </c>
      <c r="G2993" s="1" t="s">
        <v>3379</v>
      </c>
      <c r="H2993" s="2" t="s">
        <v>3466</v>
      </c>
      <c r="I2993" s="1" t="s">
        <v>3467</v>
      </c>
      <c r="J2993" s="1" t="s">
        <v>52</v>
      </c>
      <c r="K2993" s="1" t="s">
        <v>3466</v>
      </c>
      <c r="L2993" s="36" t="s">
        <v>69</v>
      </c>
      <c r="M2993" s="1" t="s">
        <v>69</v>
      </c>
      <c r="N2993" s="1" t="s">
        <v>3468</v>
      </c>
      <c r="O2993" s="1" t="s">
        <v>46</v>
      </c>
      <c r="P2993" s="1" t="s">
        <v>46</v>
      </c>
      <c r="Q2993" s="1" t="s">
        <v>46</v>
      </c>
      <c r="R2993" s="1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3815</v>
      </c>
      <c r="C2994" s="1" t="s">
        <v>3816</v>
      </c>
      <c r="D2994" s="1" t="s">
        <v>14</v>
      </c>
      <c r="E2994" s="1" t="s">
        <v>3379</v>
      </c>
      <c r="F2994" s="1" t="s">
        <v>3380</v>
      </c>
      <c r="G2994" s="1" t="s">
        <v>3379</v>
      </c>
      <c r="H2994" s="2" t="s">
        <v>3469</v>
      </c>
      <c r="I2994" s="1" t="s">
        <v>3470</v>
      </c>
      <c r="J2994" s="1" t="s">
        <v>52</v>
      </c>
      <c r="K2994" s="1" t="s">
        <v>3469</v>
      </c>
      <c r="L2994" s="36" t="s">
        <v>69</v>
      </c>
      <c r="M2994" s="1" t="s">
        <v>69</v>
      </c>
      <c r="N2994" s="1" t="s">
        <v>3468</v>
      </c>
      <c r="O2994" s="1" t="s">
        <v>46</v>
      </c>
      <c r="P2994" s="1" t="s">
        <v>46</v>
      </c>
      <c r="Q2994" s="1" t="s">
        <v>46</v>
      </c>
      <c r="R2994" s="1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3815</v>
      </c>
      <c r="C2995" s="1" t="s">
        <v>3816</v>
      </c>
      <c r="D2995" s="1" t="s">
        <v>14</v>
      </c>
      <c r="E2995" s="1" t="s">
        <v>3379</v>
      </c>
      <c r="F2995" s="1" t="s">
        <v>3380</v>
      </c>
      <c r="G2995" s="1" t="s">
        <v>3379</v>
      </c>
      <c r="H2995" s="2" t="s">
        <v>3471</v>
      </c>
      <c r="I2995" s="1" t="s">
        <v>3472</v>
      </c>
      <c r="J2995" s="1" t="s">
        <v>52</v>
      </c>
      <c r="K2995" s="1" t="s">
        <v>3471</v>
      </c>
      <c r="L2995" s="36" t="s">
        <v>69</v>
      </c>
      <c r="M2995" s="1" t="s">
        <v>69</v>
      </c>
      <c r="N2995" s="1" t="s">
        <v>3468</v>
      </c>
      <c r="O2995" s="1" t="s">
        <v>46</v>
      </c>
      <c r="P2995" s="1" t="s">
        <v>46</v>
      </c>
      <c r="Q2995" s="1" t="s">
        <v>46</v>
      </c>
      <c r="R2995" s="1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3815</v>
      </c>
      <c r="C2996" s="1" t="s">
        <v>3816</v>
      </c>
      <c r="D2996" s="1" t="s">
        <v>14</v>
      </c>
      <c r="E2996" s="1" t="s">
        <v>3379</v>
      </c>
      <c r="F2996" s="1" t="s">
        <v>3380</v>
      </c>
      <c r="G2996" s="1" t="s">
        <v>3379</v>
      </c>
      <c r="H2996" s="2" t="s">
        <v>3473</v>
      </c>
      <c r="I2996" s="1" t="s">
        <v>3474</v>
      </c>
      <c r="J2996" s="1" t="s">
        <v>52</v>
      </c>
      <c r="K2996" s="1" t="s">
        <v>3473</v>
      </c>
      <c r="L2996" s="36" t="s">
        <v>69</v>
      </c>
      <c r="M2996" s="1" t="s">
        <v>69</v>
      </c>
      <c r="N2996" s="1" t="s">
        <v>3468</v>
      </c>
      <c r="O2996" s="1" t="s">
        <v>46</v>
      </c>
      <c r="P2996" s="1" t="s">
        <v>46</v>
      </c>
      <c r="Q2996" s="1" t="s">
        <v>46</v>
      </c>
      <c r="R2996" s="1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3815</v>
      </c>
      <c r="C2997" s="1" t="s">
        <v>3816</v>
      </c>
      <c r="D2997" s="1" t="s">
        <v>14</v>
      </c>
      <c r="E2997" s="1" t="s">
        <v>3379</v>
      </c>
      <c r="F2997" s="1" t="s">
        <v>3380</v>
      </c>
      <c r="G2997" s="1" t="s">
        <v>3379</v>
      </c>
      <c r="H2997" s="2" t="s">
        <v>3475</v>
      </c>
      <c r="I2997" s="1" t="s">
        <v>3476</v>
      </c>
      <c r="J2997" s="1" t="s">
        <v>52</v>
      </c>
      <c r="K2997" s="1" t="s">
        <v>3475</v>
      </c>
      <c r="L2997" s="36" t="s">
        <v>69</v>
      </c>
      <c r="M2997" s="1" t="s">
        <v>69</v>
      </c>
      <c r="N2997" s="1" t="s">
        <v>3468</v>
      </c>
      <c r="O2997" s="1" t="s">
        <v>46</v>
      </c>
      <c r="P2997" s="1" t="s">
        <v>46</v>
      </c>
      <c r="Q2997" s="1" t="s">
        <v>46</v>
      </c>
      <c r="R2997" s="1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3815</v>
      </c>
      <c r="C2998" s="1" t="s">
        <v>3816</v>
      </c>
      <c r="D2998" s="1" t="s">
        <v>14</v>
      </c>
      <c r="E2998" s="1" t="s">
        <v>3379</v>
      </c>
      <c r="F2998" s="1" t="s">
        <v>3380</v>
      </c>
      <c r="G2998" s="1" t="s">
        <v>3379</v>
      </c>
      <c r="H2998" s="2" t="s">
        <v>3477</v>
      </c>
      <c r="I2998" s="1" t="s">
        <v>3478</v>
      </c>
      <c r="J2998" s="1" t="s">
        <v>52</v>
      </c>
      <c r="K2998" s="1" t="s">
        <v>3477</v>
      </c>
      <c r="L2998" s="36" t="s">
        <v>69</v>
      </c>
      <c r="M2998" s="1" t="s">
        <v>69</v>
      </c>
      <c r="N2998" s="1" t="s">
        <v>3468</v>
      </c>
      <c r="O2998" s="1" t="s">
        <v>46</v>
      </c>
      <c r="P2998" s="1" t="s">
        <v>46</v>
      </c>
      <c r="Q2998" s="1" t="s">
        <v>46</v>
      </c>
      <c r="R2998" s="1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3815</v>
      </c>
      <c r="C2999" s="1" t="s">
        <v>3816</v>
      </c>
      <c r="D2999" s="1" t="s">
        <v>14</v>
      </c>
      <c r="E2999" s="1" t="s">
        <v>3379</v>
      </c>
      <c r="F2999" s="1" t="s">
        <v>3380</v>
      </c>
      <c r="G2999" s="1" t="s">
        <v>3379</v>
      </c>
      <c r="H2999" s="2" t="s">
        <v>3479</v>
      </c>
      <c r="I2999" s="1" t="s">
        <v>3480</v>
      </c>
      <c r="J2999" s="1" t="s">
        <v>52</v>
      </c>
      <c r="K2999" s="1" t="s">
        <v>3479</v>
      </c>
      <c r="L2999" s="36" t="s">
        <v>69</v>
      </c>
      <c r="M2999" s="1" t="s">
        <v>69</v>
      </c>
      <c r="N2999" s="1" t="s">
        <v>3468</v>
      </c>
      <c r="O2999" s="1" t="s">
        <v>46</v>
      </c>
      <c r="P2999" s="1" t="s">
        <v>46</v>
      </c>
      <c r="Q2999" s="1" t="s">
        <v>46</v>
      </c>
      <c r="R2999" s="1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3815</v>
      </c>
      <c r="C3000" s="1" t="s">
        <v>3816</v>
      </c>
      <c r="D3000" s="1" t="s">
        <v>14</v>
      </c>
      <c r="E3000" s="1" t="s">
        <v>3379</v>
      </c>
      <c r="F3000" s="1" t="s">
        <v>3380</v>
      </c>
      <c r="G3000" s="1" t="s">
        <v>3379</v>
      </c>
      <c r="H3000" s="2" t="s">
        <v>3481</v>
      </c>
      <c r="I3000" s="1" t="s">
        <v>3482</v>
      </c>
      <c r="J3000" s="1" t="s">
        <v>52</v>
      </c>
      <c r="K3000" s="1" t="s">
        <v>3481</v>
      </c>
      <c r="L3000" s="36" t="s">
        <v>69</v>
      </c>
      <c r="M3000" s="1" t="s">
        <v>69</v>
      </c>
      <c r="N3000" s="1" t="s">
        <v>3468</v>
      </c>
      <c r="O3000" s="1" t="s">
        <v>46</v>
      </c>
      <c r="P3000" s="1" t="s">
        <v>46</v>
      </c>
      <c r="Q3000" s="1" t="s">
        <v>46</v>
      </c>
      <c r="R3000" s="1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3815</v>
      </c>
      <c r="C3001" s="1" t="s">
        <v>3816</v>
      </c>
      <c r="D3001" s="1" t="s">
        <v>14</v>
      </c>
      <c r="E3001" s="1" t="s">
        <v>3379</v>
      </c>
      <c r="F3001" s="1" t="s">
        <v>3380</v>
      </c>
      <c r="G3001" s="1" t="s">
        <v>3379</v>
      </c>
      <c r="H3001" s="2" t="s">
        <v>3483</v>
      </c>
      <c r="I3001" s="1" t="s">
        <v>3484</v>
      </c>
      <c r="J3001" s="1" t="s">
        <v>52</v>
      </c>
      <c r="K3001" s="1" t="s">
        <v>3483</v>
      </c>
      <c r="L3001" s="36" t="s">
        <v>69</v>
      </c>
      <c r="M3001" s="1" t="s">
        <v>69</v>
      </c>
      <c r="N3001" s="1" t="s">
        <v>3468</v>
      </c>
      <c r="O3001" s="1" t="s">
        <v>46</v>
      </c>
      <c r="P3001" s="1" t="s">
        <v>46</v>
      </c>
      <c r="Q3001" s="1" t="s">
        <v>46</v>
      </c>
      <c r="R3001" s="1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3815</v>
      </c>
      <c r="C3002" s="1" t="s">
        <v>3816</v>
      </c>
      <c r="D3002" s="1" t="s">
        <v>14</v>
      </c>
      <c r="E3002" s="1" t="s">
        <v>3379</v>
      </c>
      <c r="F3002" s="1" t="s">
        <v>3380</v>
      </c>
      <c r="G3002" s="1" t="s">
        <v>3379</v>
      </c>
      <c r="H3002" s="2" t="s">
        <v>3485</v>
      </c>
      <c r="I3002" s="1" t="s">
        <v>3486</v>
      </c>
      <c r="J3002" s="1" t="s">
        <v>52</v>
      </c>
      <c r="K3002" s="1" t="s">
        <v>3485</v>
      </c>
      <c r="L3002" s="36" t="s">
        <v>69</v>
      </c>
      <c r="M3002" s="1" t="s">
        <v>69</v>
      </c>
      <c r="N3002" s="1" t="s">
        <v>3468</v>
      </c>
      <c r="O3002" s="1" t="s">
        <v>46</v>
      </c>
      <c r="P3002" s="1" t="s">
        <v>46</v>
      </c>
      <c r="Q3002" s="1" t="s">
        <v>46</v>
      </c>
      <c r="R3002" s="1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3815</v>
      </c>
      <c r="C3003" s="1" t="s">
        <v>3816</v>
      </c>
      <c r="D3003" s="1" t="s">
        <v>14</v>
      </c>
      <c r="E3003" s="1" t="s">
        <v>3379</v>
      </c>
      <c r="F3003" s="1" t="s">
        <v>3380</v>
      </c>
      <c r="G3003" s="1" t="s">
        <v>3379</v>
      </c>
      <c r="H3003" s="2" t="s">
        <v>3487</v>
      </c>
      <c r="I3003" s="1" t="s">
        <v>3488</v>
      </c>
      <c r="J3003" s="1" t="s">
        <v>52</v>
      </c>
      <c r="K3003" s="1" t="s">
        <v>3487</v>
      </c>
      <c r="L3003" s="36" t="s">
        <v>69</v>
      </c>
      <c r="M3003" s="1" t="s">
        <v>69</v>
      </c>
      <c r="N3003" s="1" t="s">
        <v>3468</v>
      </c>
      <c r="O3003" s="1" t="s">
        <v>46</v>
      </c>
      <c r="P3003" s="1" t="s">
        <v>46</v>
      </c>
      <c r="Q3003" s="1" t="s">
        <v>46</v>
      </c>
      <c r="R3003" s="1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3815</v>
      </c>
      <c r="C3004" s="1" t="s">
        <v>3816</v>
      </c>
      <c r="D3004" s="1" t="s">
        <v>14</v>
      </c>
      <c r="E3004" s="1" t="s">
        <v>3379</v>
      </c>
      <c r="F3004" s="1" t="s">
        <v>3380</v>
      </c>
      <c r="G3004" s="1" t="s">
        <v>3379</v>
      </c>
      <c r="H3004" s="2" t="s">
        <v>3489</v>
      </c>
      <c r="I3004" s="1" t="s">
        <v>3490</v>
      </c>
      <c r="J3004" s="1" t="s">
        <v>52</v>
      </c>
      <c r="K3004" s="1" t="s">
        <v>3489</v>
      </c>
      <c r="L3004" s="36" t="s">
        <v>69</v>
      </c>
      <c r="M3004" s="1" t="s">
        <v>69</v>
      </c>
      <c r="N3004" s="1" t="s">
        <v>3468</v>
      </c>
      <c r="O3004" s="1" t="s">
        <v>46</v>
      </c>
      <c r="P3004" s="1" t="s">
        <v>46</v>
      </c>
      <c r="Q3004" s="1" t="s">
        <v>46</v>
      </c>
      <c r="R3004" s="1" t="s">
        <v>46</v>
      </c>
      <c r="S3004" s="1" t="s">
        <v>46</v>
      </c>
      <c r="T3004" s="1" t="s">
        <v>46</v>
      </c>
      <c r="U3004" s="1" t="s">
        <v>46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3815</v>
      </c>
      <c r="C3005" s="1" t="s">
        <v>3816</v>
      </c>
      <c r="D3005" s="1" t="s">
        <v>14</v>
      </c>
      <c r="E3005" s="1" t="s">
        <v>3379</v>
      </c>
      <c r="F3005" s="1" t="s">
        <v>3380</v>
      </c>
      <c r="G3005" s="1" t="s">
        <v>3379</v>
      </c>
      <c r="H3005" s="2" t="s">
        <v>3491</v>
      </c>
      <c r="I3005" s="1" t="s">
        <v>3492</v>
      </c>
      <c r="J3005" s="1" t="s">
        <v>52</v>
      </c>
      <c r="K3005" s="1" t="s">
        <v>3491</v>
      </c>
      <c r="L3005" s="36" t="s">
        <v>69</v>
      </c>
      <c r="M3005" s="1" t="s">
        <v>69</v>
      </c>
      <c r="N3005" s="1" t="s">
        <v>3468</v>
      </c>
      <c r="O3005" s="1" t="s">
        <v>46</v>
      </c>
      <c r="P3005" s="1" t="s">
        <v>46</v>
      </c>
      <c r="Q3005" s="1" t="s">
        <v>46</v>
      </c>
      <c r="R3005" s="1" t="s">
        <v>46</v>
      </c>
      <c r="S3005" s="1" t="s">
        <v>46</v>
      </c>
      <c r="T3005" s="1" t="s">
        <v>46</v>
      </c>
      <c r="U3005" s="1" t="s">
        <v>46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3815</v>
      </c>
      <c r="C3006" s="1" t="s">
        <v>3816</v>
      </c>
      <c r="D3006" s="1" t="s">
        <v>14</v>
      </c>
      <c r="E3006" s="1" t="s">
        <v>3379</v>
      </c>
      <c r="F3006" s="1" t="s">
        <v>3380</v>
      </c>
      <c r="G3006" s="1" t="s">
        <v>3379</v>
      </c>
      <c r="H3006" s="2" t="s">
        <v>3493</v>
      </c>
      <c r="I3006" s="1" t="s">
        <v>3494</v>
      </c>
      <c r="J3006" s="1" t="s">
        <v>52</v>
      </c>
      <c r="K3006" s="1" t="s">
        <v>3493</v>
      </c>
      <c r="L3006" s="36" t="s">
        <v>69</v>
      </c>
      <c r="M3006" s="1" t="s">
        <v>69</v>
      </c>
      <c r="N3006" s="1" t="s">
        <v>3468</v>
      </c>
      <c r="O3006" s="1" t="s">
        <v>46</v>
      </c>
      <c r="P3006" s="1" t="s">
        <v>46</v>
      </c>
      <c r="Q3006" s="1" t="s">
        <v>46</v>
      </c>
      <c r="R3006" s="1" t="s">
        <v>46</v>
      </c>
      <c r="S3006" s="1" t="s">
        <v>46</v>
      </c>
      <c r="T3006" s="1" t="s">
        <v>46</v>
      </c>
      <c r="U3006" s="1" t="s">
        <v>46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3815</v>
      </c>
      <c r="C3007" s="1" t="s">
        <v>3816</v>
      </c>
      <c r="D3007" s="1" t="s">
        <v>14</v>
      </c>
      <c r="E3007" s="1" t="s">
        <v>3379</v>
      </c>
      <c r="F3007" s="1" t="s">
        <v>3380</v>
      </c>
      <c r="G3007" s="1" t="s">
        <v>3379</v>
      </c>
      <c r="H3007" s="2" t="s">
        <v>3495</v>
      </c>
      <c r="I3007" s="1" t="s">
        <v>3496</v>
      </c>
      <c r="J3007" s="1" t="s">
        <v>52</v>
      </c>
      <c r="K3007" s="1" t="s">
        <v>3495</v>
      </c>
      <c r="L3007" s="36" t="s">
        <v>69</v>
      </c>
      <c r="M3007" s="1" t="s">
        <v>69</v>
      </c>
      <c r="N3007" s="1" t="s">
        <v>3468</v>
      </c>
      <c r="O3007" s="1" t="s">
        <v>46</v>
      </c>
      <c r="P3007" s="1" t="s">
        <v>46</v>
      </c>
      <c r="Q3007" s="1" t="s">
        <v>46</v>
      </c>
      <c r="R3007" s="1" t="s">
        <v>46</v>
      </c>
      <c r="S3007" s="1" t="s">
        <v>46</v>
      </c>
      <c r="T3007" s="1" t="s">
        <v>46</v>
      </c>
      <c r="U3007" s="1" t="s">
        <v>46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3817</v>
      </c>
      <c r="C3008" s="1" t="s">
        <v>3818</v>
      </c>
      <c r="D3008" s="1" t="s">
        <v>14</v>
      </c>
      <c r="E3008" s="1" t="s">
        <v>3379</v>
      </c>
      <c r="F3008" s="1" t="s">
        <v>3380</v>
      </c>
      <c r="G3008" s="1" t="s">
        <v>3379</v>
      </c>
      <c r="H3008" s="2" t="s">
        <v>3405</v>
      </c>
      <c r="I3008" s="1" t="s">
        <v>3406</v>
      </c>
      <c r="J3008" s="1" t="s">
        <v>52</v>
      </c>
      <c r="K3008" s="1" t="s">
        <v>3405</v>
      </c>
      <c r="L3008" s="36" t="s">
        <v>69</v>
      </c>
      <c r="M3008" s="1" t="s">
        <v>69</v>
      </c>
      <c r="N3008" s="1" t="s">
        <v>3383</v>
      </c>
      <c r="O3008" s="1" t="s">
        <v>3780</v>
      </c>
      <c r="P3008" s="1" t="s">
        <v>3385</v>
      </c>
      <c r="Q3008" s="1" t="s">
        <v>3385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1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3817</v>
      </c>
      <c r="C3009" s="1" t="s">
        <v>3818</v>
      </c>
      <c r="D3009" s="1" t="s">
        <v>14</v>
      </c>
      <c r="E3009" s="1" t="s">
        <v>3379</v>
      </c>
      <c r="F3009" s="1" t="s">
        <v>3380</v>
      </c>
      <c r="G3009" s="1" t="s">
        <v>3379</v>
      </c>
      <c r="H3009" s="2" t="s">
        <v>3408</v>
      </c>
      <c r="I3009" s="1" t="s">
        <v>3409</v>
      </c>
      <c r="J3009" s="1" t="s">
        <v>52</v>
      </c>
      <c r="K3009" s="1" t="s">
        <v>3408</v>
      </c>
      <c r="L3009" s="36" t="s">
        <v>69</v>
      </c>
      <c r="M3009" s="1" t="s">
        <v>69</v>
      </c>
      <c r="N3009" s="1" t="s">
        <v>3383</v>
      </c>
      <c r="O3009" s="1" t="s">
        <v>3780</v>
      </c>
      <c r="P3009" s="1" t="s">
        <v>3385</v>
      </c>
      <c r="Q3009" s="1" t="s">
        <v>3385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2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3817</v>
      </c>
      <c r="C3010" s="1" t="s">
        <v>3818</v>
      </c>
      <c r="D3010" s="1" t="s">
        <v>14</v>
      </c>
      <c r="E3010" s="1" t="s">
        <v>3379</v>
      </c>
      <c r="F3010" s="1" t="s">
        <v>3380</v>
      </c>
      <c r="G3010" s="1" t="s">
        <v>3379</v>
      </c>
      <c r="H3010" s="2" t="s">
        <v>3410</v>
      </c>
      <c r="I3010" s="1" t="s">
        <v>3411</v>
      </c>
      <c r="J3010" s="1" t="s">
        <v>52</v>
      </c>
      <c r="K3010" s="1" t="s">
        <v>3410</v>
      </c>
      <c r="L3010" s="36" t="s">
        <v>69</v>
      </c>
      <c r="M3010" s="1" t="s">
        <v>69</v>
      </c>
      <c r="N3010" s="1" t="s">
        <v>3383</v>
      </c>
      <c r="O3010" s="1" t="s">
        <v>3780</v>
      </c>
      <c r="P3010" s="1" t="s">
        <v>3385</v>
      </c>
      <c r="Q3010" s="1" t="s">
        <v>3385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3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3817</v>
      </c>
      <c r="C3011" s="1" t="s">
        <v>3818</v>
      </c>
      <c r="D3011" s="1" t="s">
        <v>14</v>
      </c>
      <c r="E3011" s="1" t="s">
        <v>3379</v>
      </c>
      <c r="F3011" s="1" t="s">
        <v>3380</v>
      </c>
      <c r="G3011" s="1" t="s">
        <v>3379</v>
      </c>
      <c r="H3011" s="2" t="s">
        <v>3412</v>
      </c>
      <c r="I3011" s="1" t="s">
        <v>3413</v>
      </c>
      <c r="J3011" s="1" t="s">
        <v>52</v>
      </c>
      <c r="K3011" s="1" t="s">
        <v>3412</v>
      </c>
      <c r="L3011" s="36" t="s">
        <v>69</v>
      </c>
      <c r="M3011" s="1" t="s">
        <v>69</v>
      </c>
      <c r="N3011" s="1" t="s">
        <v>3383</v>
      </c>
      <c r="O3011" s="1" t="s">
        <v>3780</v>
      </c>
      <c r="P3011" s="1" t="s">
        <v>3385</v>
      </c>
      <c r="Q3011" s="1" t="s">
        <v>3385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4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3817</v>
      </c>
      <c r="C3012" s="1" t="s">
        <v>3818</v>
      </c>
      <c r="D3012" s="1" t="s">
        <v>14</v>
      </c>
      <c r="E3012" s="1" t="s">
        <v>3379</v>
      </c>
      <c r="F3012" s="1" t="s">
        <v>3380</v>
      </c>
      <c r="G3012" s="1" t="s">
        <v>3379</v>
      </c>
      <c r="H3012" s="2" t="s">
        <v>3510</v>
      </c>
      <c r="I3012" s="1" t="s">
        <v>3511</v>
      </c>
      <c r="J3012" s="1" t="s">
        <v>52</v>
      </c>
      <c r="K3012" s="1" t="s">
        <v>3510</v>
      </c>
      <c r="L3012" s="36" t="s">
        <v>69</v>
      </c>
      <c r="M3012" s="1" t="s">
        <v>69</v>
      </c>
      <c r="N3012" s="1" t="s">
        <v>3383</v>
      </c>
      <c r="O3012" s="1" t="s">
        <v>3781</v>
      </c>
      <c r="P3012" s="1" t="s">
        <v>3385</v>
      </c>
      <c r="Q3012" s="1" t="s">
        <v>3385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1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3817</v>
      </c>
      <c r="C3013" s="1" t="s">
        <v>3818</v>
      </c>
      <c r="D3013" s="1" t="s">
        <v>14</v>
      </c>
      <c r="E3013" s="1" t="s">
        <v>3379</v>
      </c>
      <c r="F3013" s="1" t="s">
        <v>3380</v>
      </c>
      <c r="G3013" s="1" t="s">
        <v>3379</v>
      </c>
      <c r="H3013" s="2" t="s">
        <v>3513</v>
      </c>
      <c r="I3013" s="1" t="s">
        <v>3514</v>
      </c>
      <c r="J3013" s="1" t="s">
        <v>52</v>
      </c>
      <c r="K3013" s="1" t="s">
        <v>3513</v>
      </c>
      <c r="L3013" s="36" t="s">
        <v>69</v>
      </c>
      <c r="M3013" s="1" t="s">
        <v>69</v>
      </c>
      <c r="N3013" s="1" t="s">
        <v>3383</v>
      </c>
      <c r="O3013" s="1" t="s">
        <v>3781</v>
      </c>
      <c r="P3013" s="1" t="s">
        <v>3385</v>
      </c>
      <c r="Q3013" s="1" t="s">
        <v>3385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2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3817</v>
      </c>
      <c r="C3014" s="1" t="s">
        <v>3818</v>
      </c>
      <c r="D3014" s="1" t="s">
        <v>14</v>
      </c>
      <c r="E3014" s="1" t="s">
        <v>3379</v>
      </c>
      <c r="F3014" s="1" t="s">
        <v>3380</v>
      </c>
      <c r="G3014" s="1" t="s">
        <v>3379</v>
      </c>
      <c r="H3014" s="2" t="s">
        <v>3515</v>
      </c>
      <c r="I3014" s="1" t="s">
        <v>3516</v>
      </c>
      <c r="J3014" s="1" t="s">
        <v>52</v>
      </c>
      <c r="K3014" s="1" t="s">
        <v>3515</v>
      </c>
      <c r="L3014" s="36" t="s">
        <v>69</v>
      </c>
      <c r="M3014" s="1" t="s">
        <v>69</v>
      </c>
      <c r="N3014" s="1" t="s">
        <v>3383</v>
      </c>
      <c r="O3014" s="1" t="s">
        <v>3781</v>
      </c>
      <c r="P3014" s="1" t="s">
        <v>3385</v>
      </c>
      <c r="Q3014" s="1" t="s">
        <v>3385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3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3817</v>
      </c>
      <c r="C3015" s="1" t="s">
        <v>3818</v>
      </c>
      <c r="D3015" s="1" t="s">
        <v>14</v>
      </c>
      <c r="E3015" s="1" t="s">
        <v>3379</v>
      </c>
      <c r="F3015" s="1" t="s">
        <v>3380</v>
      </c>
      <c r="G3015" s="1" t="s">
        <v>3379</v>
      </c>
      <c r="H3015" s="2" t="s">
        <v>3517</v>
      </c>
      <c r="I3015" s="1" t="s">
        <v>3518</v>
      </c>
      <c r="J3015" s="1" t="s">
        <v>52</v>
      </c>
      <c r="K3015" s="1" t="s">
        <v>3517</v>
      </c>
      <c r="L3015" s="36" t="s">
        <v>69</v>
      </c>
      <c r="M3015" s="1" t="s">
        <v>69</v>
      </c>
      <c r="N3015" s="1" t="s">
        <v>3383</v>
      </c>
      <c r="O3015" s="1" t="s">
        <v>3781</v>
      </c>
      <c r="P3015" s="1" t="s">
        <v>3385</v>
      </c>
      <c r="Q3015" s="1" t="s">
        <v>3385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4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3817</v>
      </c>
      <c r="C3016" s="1" t="s">
        <v>3818</v>
      </c>
      <c r="D3016" s="1" t="s">
        <v>14</v>
      </c>
      <c r="E3016" s="1" t="s">
        <v>3379</v>
      </c>
      <c r="F3016" s="1" t="s">
        <v>3380</v>
      </c>
      <c r="G3016" s="1" t="s">
        <v>3379</v>
      </c>
      <c r="H3016" s="2" t="s">
        <v>3436</v>
      </c>
      <c r="I3016" s="1" t="s">
        <v>3437</v>
      </c>
      <c r="J3016" s="1" t="s">
        <v>52</v>
      </c>
      <c r="K3016" s="1" t="s">
        <v>3436</v>
      </c>
      <c r="L3016" s="36" t="s">
        <v>69</v>
      </c>
      <c r="M3016" s="1" t="s">
        <v>69</v>
      </c>
      <c r="N3016" s="1" t="s">
        <v>1935</v>
      </c>
      <c r="O3016" s="1" t="s">
        <v>46</v>
      </c>
      <c r="P3016" s="1" t="s">
        <v>46</v>
      </c>
      <c r="Q3016" s="1" t="s">
        <v>46</v>
      </c>
      <c r="R3016" s="1" t="s">
        <v>46</v>
      </c>
      <c r="S3016" s="1" t="s">
        <v>46</v>
      </c>
      <c r="T3016" s="1" t="s">
        <v>46</v>
      </c>
      <c r="U3016" s="1" t="s">
        <v>46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3817</v>
      </c>
      <c r="C3017" s="1" t="s">
        <v>3818</v>
      </c>
      <c r="D3017" s="1" t="s">
        <v>14</v>
      </c>
      <c r="E3017" s="1" t="s">
        <v>3379</v>
      </c>
      <c r="F3017" s="1" t="s">
        <v>3380</v>
      </c>
      <c r="G3017" s="1" t="s">
        <v>3379</v>
      </c>
      <c r="H3017" s="2" t="s">
        <v>3438</v>
      </c>
      <c r="I3017" s="1" t="s">
        <v>3439</v>
      </c>
      <c r="J3017" s="1" t="s">
        <v>52</v>
      </c>
      <c r="K3017" s="1" t="s">
        <v>3438</v>
      </c>
      <c r="L3017" s="36" t="s">
        <v>69</v>
      </c>
      <c r="M3017" s="1" t="s">
        <v>69</v>
      </c>
      <c r="N3017" s="1" t="s">
        <v>1935</v>
      </c>
      <c r="O3017" s="1" t="s">
        <v>46</v>
      </c>
      <c r="P3017" s="1" t="s">
        <v>46</v>
      </c>
      <c r="Q3017" s="1" t="s">
        <v>46</v>
      </c>
      <c r="R3017" s="1" t="s">
        <v>46</v>
      </c>
      <c r="S3017" s="1" t="s">
        <v>46</v>
      </c>
      <c r="T3017" s="1" t="s">
        <v>46</v>
      </c>
      <c r="U3017" s="1" t="s">
        <v>46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3817</v>
      </c>
      <c r="C3018" s="1" t="s">
        <v>3818</v>
      </c>
      <c r="D3018" s="1" t="s">
        <v>14</v>
      </c>
      <c r="E3018" s="1" t="s">
        <v>3379</v>
      </c>
      <c r="F3018" s="1" t="s">
        <v>3380</v>
      </c>
      <c r="G3018" s="1" t="s">
        <v>3379</v>
      </c>
      <c r="H3018" s="2" t="s">
        <v>3440</v>
      </c>
      <c r="I3018" s="1" t="s">
        <v>3441</v>
      </c>
      <c r="J3018" s="1" t="s">
        <v>52</v>
      </c>
      <c r="K3018" s="1" t="s">
        <v>3440</v>
      </c>
      <c r="L3018" s="36" t="s">
        <v>69</v>
      </c>
      <c r="M3018" s="1" t="s">
        <v>69</v>
      </c>
      <c r="N3018" s="1" t="s">
        <v>1935</v>
      </c>
      <c r="O3018" s="1" t="s">
        <v>46</v>
      </c>
      <c r="P3018" s="1" t="s">
        <v>46</v>
      </c>
      <c r="Q3018" s="1" t="s">
        <v>46</v>
      </c>
      <c r="R3018" s="1" t="s">
        <v>46</v>
      </c>
      <c r="S3018" s="1" t="s">
        <v>46</v>
      </c>
      <c r="T3018" s="1" t="s">
        <v>46</v>
      </c>
      <c r="U3018" s="1" t="s">
        <v>46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3817</v>
      </c>
      <c r="C3019" s="1" t="s">
        <v>3818</v>
      </c>
      <c r="D3019" s="1" t="s">
        <v>14</v>
      </c>
      <c r="E3019" s="1" t="s">
        <v>3379</v>
      </c>
      <c r="F3019" s="1" t="s">
        <v>3380</v>
      </c>
      <c r="G3019" s="1" t="s">
        <v>3379</v>
      </c>
      <c r="H3019" s="2" t="s">
        <v>3442</v>
      </c>
      <c r="I3019" s="1" t="s">
        <v>3443</v>
      </c>
      <c r="J3019" s="1" t="s">
        <v>52</v>
      </c>
      <c r="K3019" s="1" t="s">
        <v>3442</v>
      </c>
      <c r="L3019" s="36" t="s">
        <v>69</v>
      </c>
      <c r="M3019" s="1" t="s">
        <v>69</v>
      </c>
      <c r="N3019" s="1" t="s">
        <v>1935</v>
      </c>
      <c r="O3019" s="1" t="s">
        <v>46</v>
      </c>
      <c r="P3019" s="1" t="s">
        <v>46</v>
      </c>
      <c r="Q3019" s="1" t="s">
        <v>46</v>
      </c>
      <c r="R3019" s="1" t="s">
        <v>46</v>
      </c>
      <c r="S3019" s="1" t="s">
        <v>46</v>
      </c>
      <c r="T3019" s="1" t="s">
        <v>46</v>
      </c>
      <c r="U3019" s="1" t="s">
        <v>46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3817</v>
      </c>
      <c r="C3020" s="1" t="s">
        <v>3818</v>
      </c>
      <c r="D3020" s="1" t="s">
        <v>14</v>
      </c>
      <c r="E3020" s="1" t="s">
        <v>3379</v>
      </c>
      <c r="F3020" s="1" t="s">
        <v>3380</v>
      </c>
      <c r="G3020" s="1" t="s">
        <v>3379</v>
      </c>
      <c r="H3020" s="2" t="s">
        <v>3444</v>
      </c>
      <c r="I3020" s="1" t="s">
        <v>3445</v>
      </c>
      <c r="J3020" s="1" t="s">
        <v>52</v>
      </c>
      <c r="K3020" s="1" t="s">
        <v>3444</v>
      </c>
      <c r="L3020" s="36" t="s">
        <v>69</v>
      </c>
      <c r="M3020" s="1" t="s">
        <v>69</v>
      </c>
      <c r="N3020" s="1" t="s">
        <v>1935</v>
      </c>
      <c r="O3020" s="1" t="s">
        <v>46</v>
      </c>
      <c r="P3020" s="1" t="s">
        <v>46</v>
      </c>
      <c r="Q3020" s="1" t="s">
        <v>46</v>
      </c>
      <c r="R3020" s="1" t="s">
        <v>46</v>
      </c>
      <c r="S3020" s="1" t="s">
        <v>46</v>
      </c>
      <c r="T3020" s="1" t="s">
        <v>46</v>
      </c>
      <c r="U3020" s="1" t="s">
        <v>46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3817</v>
      </c>
      <c r="C3021" s="1" t="s">
        <v>3818</v>
      </c>
      <c r="D3021" s="1" t="s">
        <v>14</v>
      </c>
      <c r="E3021" s="1" t="s">
        <v>3379</v>
      </c>
      <c r="F3021" s="1" t="s">
        <v>3380</v>
      </c>
      <c r="G3021" s="1" t="s">
        <v>3379</v>
      </c>
      <c r="H3021" s="2" t="s">
        <v>3446</v>
      </c>
      <c r="I3021" s="1" t="s">
        <v>3447</v>
      </c>
      <c r="J3021" s="1" t="s">
        <v>52</v>
      </c>
      <c r="K3021" s="1" t="s">
        <v>3446</v>
      </c>
      <c r="L3021" s="36" t="s">
        <v>69</v>
      </c>
      <c r="M3021" s="1" t="s">
        <v>69</v>
      </c>
      <c r="N3021" s="1" t="s">
        <v>1935</v>
      </c>
      <c r="O3021" s="1" t="s">
        <v>46</v>
      </c>
      <c r="P3021" s="1" t="s">
        <v>46</v>
      </c>
      <c r="Q3021" s="1" t="s">
        <v>46</v>
      </c>
      <c r="R3021" s="1" t="s">
        <v>46</v>
      </c>
      <c r="S3021" s="1" t="s">
        <v>46</v>
      </c>
      <c r="T3021" s="1" t="s">
        <v>46</v>
      </c>
      <c r="U3021" s="1" t="s">
        <v>46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3817</v>
      </c>
      <c r="C3022" s="1" t="s">
        <v>3818</v>
      </c>
      <c r="D3022" s="1" t="s">
        <v>14</v>
      </c>
      <c r="E3022" s="1" t="s">
        <v>3379</v>
      </c>
      <c r="F3022" s="1" t="s">
        <v>3380</v>
      </c>
      <c r="G3022" s="1" t="s">
        <v>3379</v>
      </c>
      <c r="H3022" s="2" t="s">
        <v>3448</v>
      </c>
      <c r="I3022" s="1" t="s">
        <v>3449</v>
      </c>
      <c r="J3022" s="1" t="s">
        <v>52</v>
      </c>
      <c r="K3022" s="1" t="s">
        <v>3448</v>
      </c>
      <c r="L3022" s="36" t="s">
        <v>69</v>
      </c>
      <c r="M3022" s="1" t="s">
        <v>69</v>
      </c>
      <c r="N3022" s="1" t="s">
        <v>1935</v>
      </c>
      <c r="O3022" s="1" t="s">
        <v>46</v>
      </c>
      <c r="P3022" s="1" t="s">
        <v>46</v>
      </c>
      <c r="Q3022" s="1" t="s">
        <v>46</v>
      </c>
      <c r="R3022" s="1" t="s">
        <v>46</v>
      </c>
      <c r="S3022" s="1" t="s">
        <v>46</v>
      </c>
      <c r="T3022" s="1" t="s">
        <v>46</v>
      </c>
      <c r="U3022" s="1" t="s">
        <v>46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3817</v>
      </c>
      <c r="C3023" s="1" t="s">
        <v>3818</v>
      </c>
      <c r="D3023" s="1" t="s">
        <v>14</v>
      </c>
      <c r="E3023" s="1" t="s">
        <v>3379</v>
      </c>
      <c r="F3023" s="1" t="s">
        <v>3380</v>
      </c>
      <c r="G3023" s="1" t="s">
        <v>3379</v>
      </c>
      <c r="H3023" s="2" t="s">
        <v>3450</v>
      </c>
      <c r="I3023" s="1" t="s">
        <v>3451</v>
      </c>
      <c r="J3023" s="1" t="s">
        <v>52</v>
      </c>
      <c r="K3023" s="1" t="s">
        <v>3450</v>
      </c>
      <c r="L3023" s="36" t="s">
        <v>69</v>
      </c>
      <c r="M3023" s="1" t="s">
        <v>69</v>
      </c>
      <c r="N3023" s="1" t="s">
        <v>1935</v>
      </c>
      <c r="O3023" s="1" t="s">
        <v>46</v>
      </c>
      <c r="P3023" s="1" t="s">
        <v>46</v>
      </c>
      <c r="Q3023" s="1" t="s">
        <v>46</v>
      </c>
      <c r="R3023" s="1" t="s">
        <v>46</v>
      </c>
      <c r="S3023" s="1" t="s">
        <v>46</v>
      </c>
      <c r="T3023" s="1" t="s">
        <v>46</v>
      </c>
      <c r="U3023" s="1" t="s">
        <v>46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3817</v>
      </c>
      <c r="C3024" s="1" t="s">
        <v>3818</v>
      </c>
      <c r="D3024" s="1" t="s">
        <v>14</v>
      </c>
      <c r="E3024" s="1" t="s">
        <v>3379</v>
      </c>
      <c r="F3024" s="1" t="s">
        <v>3380</v>
      </c>
      <c r="G3024" s="1" t="s">
        <v>3379</v>
      </c>
      <c r="H3024" s="2" t="s">
        <v>3452</v>
      </c>
      <c r="I3024" s="1" t="s">
        <v>3453</v>
      </c>
      <c r="J3024" s="1" t="s">
        <v>52</v>
      </c>
      <c r="K3024" s="1" t="s">
        <v>3452</v>
      </c>
      <c r="L3024" s="36" t="s">
        <v>69</v>
      </c>
      <c r="M3024" s="1" t="s">
        <v>69</v>
      </c>
      <c r="N3024" s="1" t="s">
        <v>1935</v>
      </c>
      <c r="O3024" s="1" t="s">
        <v>46</v>
      </c>
      <c r="P3024" s="1" t="s">
        <v>46</v>
      </c>
      <c r="Q3024" s="1" t="s">
        <v>46</v>
      </c>
      <c r="R3024" s="1" t="s">
        <v>46</v>
      </c>
      <c r="S3024" s="1" t="s">
        <v>46</v>
      </c>
      <c r="T3024" s="1" t="s">
        <v>46</v>
      </c>
      <c r="U3024" s="1" t="s">
        <v>46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3817</v>
      </c>
      <c r="C3025" s="1" t="s">
        <v>3818</v>
      </c>
      <c r="D3025" s="1" t="s">
        <v>14</v>
      </c>
      <c r="E3025" s="1" t="s">
        <v>3379</v>
      </c>
      <c r="F3025" s="1" t="s">
        <v>3380</v>
      </c>
      <c r="G3025" s="1" t="s">
        <v>3379</v>
      </c>
      <c r="H3025" s="2" t="s">
        <v>3454</v>
      </c>
      <c r="I3025" s="1" t="s">
        <v>3455</v>
      </c>
      <c r="J3025" s="1" t="s">
        <v>52</v>
      </c>
      <c r="K3025" s="1" t="s">
        <v>3454</v>
      </c>
      <c r="L3025" s="36" t="s">
        <v>69</v>
      </c>
      <c r="M3025" s="1" t="s">
        <v>69</v>
      </c>
      <c r="N3025" s="1" t="s">
        <v>1935</v>
      </c>
      <c r="O3025" s="1" t="s">
        <v>46</v>
      </c>
      <c r="P3025" s="1" t="s">
        <v>46</v>
      </c>
      <c r="Q3025" s="1" t="s">
        <v>46</v>
      </c>
      <c r="R3025" s="1" t="s">
        <v>46</v>
      </c>
      <c r="S3025" s="1" t="s">
        <v>46</v>
      </c>
      <c r="T3025" s="1" t="s">
        <v>46</v>
      </c>
      <c r="U3025" s="1" t="s">
        <v>46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3817</v>
      </c>
      <c r="C3026" s="1" t="s">
        <v>3818</v>
      </c>
      <c r="D3026" s="1" t="s">
        <v>14</v>
      </c>
      <c r="E3026" s="1" t="s">
        <v>3379</v>
      </c>
      <c r="F3026" s="1" t="s">
        <v>3380</v>
      </c>
      <c r="G3026" s="1" t="s">
        <v>3379</v>
      </c>
      <c r="H3026" s="2" t="s">
        <v>3456</v>
      </c>
      <c r="I3026" s="1" t="s">
        <v>3457</v>
      </c>
      <c r="J3026" s="1" t="s">
        <v>52</v>
      </c>
      <c r="K3026" s="1" t="s">
        <v>3456</v>
      </c>
      <c r="L3026" s="36" t="s">
        <v>69</v>
      </c>
      <c r="M3026" s="1" t="s">
        <v>69</v>
      </c>
      <c r="N3026" s="1" t="s">
        <v>1935</v>
      </c>
      <c r="O3026" s="1" t="s">
        <v>46</v>
      </c>
      <c r="P3026" s="1" t="s">
        <v>46</v>
      </c>
      <c r="Q3026" s="1" t="s">
        <v>46</v>
      </c>
      <c r="R3026" s="1" t="s">
        <v>46</v>
      </c>
      <c r="S3026" s="1" t="s">
        <v>46</v>
      </c>
      <c r="T3026" s="1" t="s">
        <v>46</v>
      </c>
      <c r="U3026" s="1" t="s">
        <v>46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3817</v>
      </c>
      <c r="C3027" s="1" t="s">
        <v>3818</v>
      </c>
      <c r="D3027" s="1" t="s">
        <v>14</v>
      </c>
      <c r="E3027" s="1" t="s">
        <v>3379</v>
      </c>
      <c r="F3027" s="1" t="s">
        <v>3380</v>
      </c>
      <c r="G3027" s="1" t="s">
        <v>3379</v>
      </c>
      <c r="H3027" s="2" t="s">
        <v>3458</v>
      </c>
      <c r="I3027" s="1" t="s">
        <v>3459</v>
      </c>
      <c r="J3027" s="1" t="s">
        <v>52</v>
      </c>
      <c r="K3027" s="1" t="s">
        <v>3458</v>
      </c>
      <c r="L3027" s="36" t="s">
        <v>69</v>
      </c>
      <c r="M3027" s="1" t="s">
        <v>69</v>
      </c>
      <c r="N3027" s="1" t="s">
        <v>1935</v>
      </c>
      <c r="O3027" s="1" t="s">
        <v>46</v>
      </c>
      <c r="P3027" s="1" t="s">
        <v>46</v>
      </c>
      <c r="Q3027" s="1" t="s">
        <v>46</v>
      </c>
      <c r="R3027" s="1" t="s">
        <v>46</v>
      </c>
      <c r="S3027" s="1" t="s">
        <v>46</v>
      </c>
      <c r="T3027" s="1" t="s">
        <v>46</v>
      </c>
      <c r="U3027" s="1" t="s">
        <v>46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3817</v>
      </c>
      <c r="C3028" s="1" t="s">
        <v>3818</v>
      </c>
      <c r="D3028" s="1" t="s">
        <v>14</v>
      </c>
      <c r="E3028" s="1" t="s">
        <v>3379</v>
      </c>
      <c r="F3028" s="1" t="s">
        <v>3380</v>
      </c>
      <c r="G3028" s="1" t="s">
        <v>3379</v>
      </c>
      <c r="H3028" s="2" t="s">
        <v>3460</v>
      </c>
      <c r="I3028" s="1" t="s">
        <v>3461</v>
      </c>
      <c r="J3028" s="1" t="s">
        <v>52</v>
      </c>
      <c r="K3028" s="1" t="s">
        <v>3460</v>
      </c>
      <c r="L3028" s="36" t="s">
        <v>69</v>
      </c>
      <c r="M3028" s="1" t="s">
        <v>69</v>
      </c>
      <c r="N3028" s="1" t="s">
        <v>1935</v>
      </c>
      <c r="O3028" s="1" t="s">
        <v>46</v>
      </c>
      <c r="P3028" s="1" t="s">
        <v>46</v>
      </c>
      <c r="Q3028" s="1" t="s">
        <v>46</v>
      </c>
      <c r="R3028" s="1" t="s">
        <v>46</v>
      </c>
      <c r="S3028" s="1" t="s">
        <v>46</v>
      </c>
      <c r="T3028" s="1" t="s">
        <v>46</v>
      </c>
      <c r="U3028" s="1" t="s">
        <v>46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3817</v>
      </c>
      <c r="C3029" s="1" t="s">
        <v>3818</v>
      </c>
      <c r="D3029" s="1" t="s">
        <v>14</v>
      </c>
      <c r="E3029" s="1" t="s">
        <v>3379</v>
      </c>
      <c r="F3029" s="1" t="s">
        <v>3380</v>
      </c>
      <c r="G3029" s="1" t="s">
        <v>3379</v>
      </c>
      <c r="H3029" s="2" t="s">
        <v>3462</v>
      </c>
      <c r="I3029" s="1" t="s">
        <v>3463</v>
      </c>
      <c r="J3029" s="1" t="s">
        <v>52</v>
      </c>
      <c r="K3029" s="1" t="s">
        <v>3462</v>
      </c>
      <c r="L3029" s="36" t="s">
        <v>69</v>
      </c>
      <c r="M3029" s="1" t="s">
        <v>69</v>
      </c>
      <c r="N3029" s="1" t="s">
        <v>1935</v>
      </c>
      <c r="O3029" s="1" t="s">
        <v>46</v>
      </c>
      <c r="P3029" s="1" t="s">
        <v>46</v>
      </c>
      <c r="Q3029" s="1" t="s">
        <v>46</v>
      </c>
      <c r="R3029" s="1" t="s">
        <v>46</v>
      </c>
      <c r="S3029" s="1" t="s">
        <v>46</v>
      </c>
      <c r="T3029" s="1" t="s">
        <v>46</v>
      </c>
      <c r="U3029" s="1" t="s">
        <v>46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3817</v>
      </c>
      <c r="C3030" s="1" t="s">
        <v>3818</v>
      </c>
      <c r="D3030" s="1" t="s">
        <v>14</v>
      </c>
      <c r="E3030" s="1" t="s">
        <v>3379</v>
      </c>
      <c r="F3030" s="1" t="s">
        <v>3380</v>
      </c>
      <c r="G3030" s="1" t="s">
        <v>3379</v>
      </c>
      <c r="H3030" s="2" t="s">
        <v>3464</v>
      </c>
      <c r="I3030" s="1" t="s">
        <v>3465</v>
      </c>
      <c r="J3030" s="1" t="s">
        <v>52</v>
      </c>
      <c r="K3030" s="1" t="s">
        <v>3464</v>
      </c>
      <c r="L3030" s="36" t="s">
        <v>69</v>
      </c>
      <c r="M3030" s="1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1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3817</v>
      </c>
      <c r="C3031" s="1" t="s">
        <v>3818</v>
      </c>
      <c r="D3031" s="1" t="s">
        <v>14</v>
      </c>
      <c r="E3031" s="1" t="s">
        <v>3379</v>
      </c>
      <c r="F3031" s="1" t="s">
        <v>3380</v>
      </c>
      <c r="G3031" s="1" t="s">
        <v>3379</v>
      </c>
      <c r="H3031" s="2" t="s">
        <v>3466</v>
      </c>
      <c r="I3031" s="1" t="s">
        <v>3467</v>
      </c>
      <c r="J3031" s="1" t="s">
        <v>52</v>
      </c>
      <c r="K3031" s="1" t="s">
        <v>3466</v>
      </c>
      <c r="L3031" s="36" t="s">
        <v>69</v>
      </c>
      <c r="M3031" s="1" t="s">
        <v>69</v>
      </c>
      <c r="N3031" s="1" t="s">
        <v>3468</v>
      </c>
      <c r="O3031" s="1" t="s">
        <v>46</v>
      </c>
      <c r="P3031" s="1" t="s">
        <v>46</v>
      </c>
      <c r="Q3031" s="1" t="s">
        <v>46</v>
      </c>
      <c r="R3031" s="1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3817</v>
      </c>
      <c r="C3032" s="1" t="s">
        <v>3818</v>
      </c>
      <c r="D3032" s="1" t="s">
        <v>14</v>
      </c>
      <c r="E3032" s="1" t="s">
        <v>3379</v>
      </c>
      <c r="F3032" s="1" t="s">
        <v>3380</v>
      </c>
      <c r="G3032" s="1" t="s">
        <v>3379</v>
      </c>
      <c r="H3032" s="2" t="s">
        <v>3469</v>
      </c>
      <c r="I3032" s="1" t="s">
        <v>3470</v>
      </c>
      <c r="J3032" s="1" t="s">
        <v>52</v>
      </c>
      <c r="K3032" s="1" t="s">
        <v>3469</v>
      </c>
      <c r="L3032" s="36" t="s">
        <v>69</v>
      </c>
      <c r="M3032" s="1" t="s">
        <v>69</v>
      </c>
      <c r="N3032" s="1" t="s">
        <v>3468</v>
      </c>
      <c r="O3032" s="1" t="s">
        <v>46</v>
      </c>
      <c r="P3032" s="1" t="s">
        <v>46</v>
      </c>
      <c r="Q3032" s="1" t="s">
        <v>46</v>
      </c>
      <c r="R3032" s="1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3817</v>
      </c>
      <c r="C3033" s="1" t="s">
        <v>3818</v>
      </c>
      <c r="D3033" s="1" t="s">
        <v>14</v>
      </c>
      <c r="E3033" s="1" t="s">
        <v>3379</v>
      </c>
      <c r="F3033" s="1" t="s">
        <v>3380</v>
      </c>
      <c r="G3033" s="1" t="s">
        <v>3379</v>
      </c>
      <c r="H3033" s="2" t="s">
        <v>3471</v>
      </c>
      <c r="I3033" s="1" t="s">
        <v>3472</v>
      </c>
      <c r="J3033" s="1" t="s">
        <v>52</v>
      </c>
      <c r="K3033" s="1" t="s">
        <v>3471</v>
      </c>
      <c r="L3033" s="36" t="s">
        <v>69</v>
      </c>
      <c r="M3033" s="1" t="s">
        <v>69</v>
      </c>
      <c r="N3033" s="1" t="s">
        <v>3468</v>
      </c>
      <c r="O3033" s="1" t="s">
        <v>46</v>
      </c>
      <c r="P3033" s="1" t="s">
        <v>46</v>
      </c>
      <c r="Q3033" s="1" t="s">
        <v>46</v>
      </c>
      <c r="R3033" s="1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3817</v>
      </c>
      <c r="C3034" s="1" t="s">
        <v>3818</v>
      </c>
      <c r="D3034" s="1" t="s">
        <v>14</v>
      </c>
      <c r="E3034" s="1" t="s">
        <v>3379</v>
      </c>
      <c r="F3034" s="1" t="s">
        <v>3380</v>
      </c>
      <c r="G3034" s="1" t="s">
        <v>3379</v>
      </c>
      <c r="H3034" s="2" t="s">
        <v>3473</v>
      </c>
      <c r="I3034" s="1" t="s">
        <v>3474</v>
      </c>
      <c r="J3034" s="1" t="s">
        <v>52</v>
      </c>
      <c r="K3034" s="1" t="s">
        <v>3473</v>
      </c>
      <c r="L3034" s="36" t="s">
        <v>69</v>
      </c>
      <c r="M3034" s="1" t="s">
        <v>69</v>
      </c>
      <c r="N3034" s="1" t="s">
        <v>3468</v>
      </c>
      <c r="O3034" s="1" t="s">
        <v>46</v>
      </c>
      <c r="P3034" s="1" t="s">
        <v>46</v>
      </c>
      <c r="Q3034" s="1" t="s">
        <v>46</v>
      </c>
      <c r="R3034" s="1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3817</v>
      </c>
      <c r="C3035" s="1" t="s">
        <v>3818</v>
      </c>
      <c r="D3035" s="1" t="s">
        <v>14</v>
      </c>
      <c r="E3035" s="1" t="s">
        <v>3379</v>
      </c>
      <c r="F3035" s="1" t="s">
        <v>3380</v>
      </c>
      <c r="G3035" s="1" t="s">
        <v>3379</v>
      </c>
      <c r="H3035" s="2" t="s">
        <v>3475</v>
      </c>
      <c r="I3035" s="1" t="s">
        <v>3476</v>
      </c>
      <c r="J3035" s="1" t="s">
        <v>52</v>
      </c>
      <c r="K3035" s="1" t="s">
        <v>3475</v>
      </c>
      <c r="L3035" s="36" t="s">
        <v>69</v>
      </c>
      <c r="M3035" s="1" t="s">
        <v>69</v>
      </c>
      <c r="N3035" s="1" t="s">
        <v>3468</v>
      </c>
      <c r="O3035" s="1" t="s">
        <v>46</v>
      </c>
      <c r="P3035" s="1" t="s">
        <v>46</v>
      </c>
      <c r="Q3035" s="1" t="s">
        <v>46</v>
      </c>
      <c r="R3035" s="1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3817</v>
      </c>
      <c r="C3036" s="1" t="s">
        <v>3818</v>
      </c>
      <c r="D3036" s="1" t="s">
        <v>14</v>
      </c>
      <c r="E3036" s="1" t="s">
        <v>3379</v>
      </c>
      <c r="F3036" s="1" t="s">
        <v>3380</v>
      </c>
      <c r="G3036" s="1" t="s">
        <v>3379</v>
      </c>
      <c r="H3036" s="2" t="s">
        <v>3477</v>
      </c>
      <c r="I3036" s="1" t="s">
        <v>3478</v>
      </c>
      <c r="J3036" s="1" t="s">
        <v>52</v>
      </c>
      <c r="K3036" s="1" t="s">
        <v>3477</v>
      </c>
      <c r="L3036" s="36" t="s">
        <v>69</v>
      </c>
      <c r="M3036" s="1" t="s">
        <v>69</v>
      </c>
      <c r="N3036" s="1" t="s">
        <v>3468</v>
      </c>
      <c r="O3036" s="1" t="s">
        <v>46</v>
      </c>
      <c r="P3036" s="1" t="s">
        <v>46</v>
      </c>
      <c r="Q3036" s="1" t="s">
        <v>46</v>
      </c>
      <c r="R3036" s="1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3817</v>
      </c>
      <c r="C3037" s="1" t="s">
        <v>3818</v>
      </c>
      <c r="D3037" s="1" t="s">
        <v>14</v>
      </c>
      <c r="E3037" s="1" t="s">
        <v>3379</v>
      </c>
      <c r="F3037" s="1" t="s">
        <v>3380</v>
      </c>
      <c r="G3037" s="1" t="s">
        <v>3379</v>
      </c>
      <c r="H3037" s="2" t="s">
        <v>3479</v>
      </c>
      <c r="I3037" s="1" t="s">
        <v>3480</v>
      </c>
      <c r="J3037" s="1" t="s">
        <v>52</v>
      </c>
      <c r="K3037" s="1" t="s">
        <v>3479</v>
      </c>
      <c r="L3037" s="36" t="s">
        <v>69</v>
      </c>
      <c r="M3037" s="1" t="s">
        <v>69</v>
      </c>
      <c r="N3037" s="1" t="s">
        <v>3468</v>
      </c>
      <c r="O3037" s="1" t="s">
        <v>46</v>
      </c>
      <c r="P3037" s="1" t="s">
        <v>46</v>
      </c>
      <c r="Q3037" s="1" t="s">
        <v>46</v>
      </c>
      <c r="R3037" s="1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3817</v>
      </c>
      <c r="C3038" s="1" t="s">
        <v>3818</v>
      </c>
      <c r="D3038" s="1" t="s">
        <v>14</v>
      </c>
      <c r="E3038" s="1" t="s">
        <v>3379</v>
      </c>
      <c r="F3038" s="1" t="s">
        <v>3380</v>
      </c>
      <c r="G3038" s="1" t="s">
        <v>3379</v>
      </c>
      <c r="H3038" s="2" t="s">
        <v>3481</v>
      </c>
      <c r="I3038" s="1" t="s">
        <v>3482</v>
      </c>
      <c r="J3038" s="1" t="s">
        <v>52</v>
      </c>
      <c r="K3038" s="1" t="s">
        <v>3481</v>
      </c>
      <c r="L3038" s="36" t="s">
        <v>69</v>
      </c>
      <c r="M3038" s="1" t="s">
        <v>69</v>
      </c>
      <c r="N3038" s="1" t="s">
        <v>3468</v>
      </c>
      <c r="O3038" s="1" t="s">
        <v>46</v>
      </c>
      <c r="P3038" s="1" t="s">
        <v>46</v>
      </c>
      <c r="Q3038" s="1" t="s">
        <v>46</v>
      </c>
      <c r="R3038" s="1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3817</v>
      </c>
      <c r="C3039" s="1" t="s">
        <v>3818</v>
      </c>
      <c r="D3039" s="1" t="s">
        <v>14</v>
      </c>
      <c r="E3039" s="1" t="s">
        <v>3379</v>
      </c>
      <c r="F3039" s="1" t="s">
        <v>3380</v>
      </c>
      <c r="G3039" s="1" t="s">
        <v>3379</v>
      </c>
      <c r="H3039" s="2" t="s">
        <v>3483</v>
      </c>
      <c r="I3039" s="1" t="s">
        <v>3484</v>
      </c>
      <c r="J3039" s="1" t="s">
        <v>52</v>
      </c>
      <c r="K3039" s="1" t="s">
        <v>3483</v>
      </c>
      <c r="L3039" s="36" t="s">
        <v>69</v>
      </c>
      <c r="M3039" s="1" t="s">
        <v>69</v>
      </c>
      <c r="N3039" s="1" t="s">
        <v>3468</v>
      </c>
      <c r="O3039" s="1" t="s">
        <v>46</v>
      </c>
      <c r="P3039" s="1" t="s">
        <v>46</v>
      </c>
      <c r="Q3039" s="1" t="s">
        <v>46</v>
      </c>
      <c r="R3039" s="1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3817</v>
      </c>
      <c r="C3040" s="1" t="s">
        <v>3818</v>
      </c>
      <c r="D3040" s="1" t="s">
        <v>14</v>
      </c>
      <c r="E3040" s="1" t="s">
        <v>3379</v>
      </c>
      <c r="F3040" s="1" t="s">
        <v>3380</v>
      </c>
      <c r="G3040" s="1" t="s">
        <v>3379</v>
      </c>
      <c r="H3040" s="2" t="s">
        <v>3485</v>
      </c>
      <c r="I3040" s="1" t="s">
        <v>3486</v>
      </c>
      <c r="J3040" s="1" t="s">
        <v>52</v>
      </c>
      <c r="K3040" s="1" t="s">
        <v>3485</v>
      </c>
      <c r="L3040" s="36" t="s">
        <v>69</v>
      </c>
      <c r="M3040" s="1" t="s">
        <v>69</v>
      </c>
      <c r="N3040" s="1" t="s">
        <v>3468</v>
      </c>
      <c r="O3040" s="1" t="s">
        <v>46</v>
      </c>
      <c r="P3040" s="1" t="s">
        <v>46</v>
      </c>
      <c r="Q3040" s="1" t="s">
        <v>46</v>
      </c>
      <c r="R3040" s="1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3817</v>
      </c>
      <c r="C3041" s="1" t="s">
        <v>3818</v>
      </c>
      <c r="D3041" s="1" t="s">
        <v>14</v>
      </c>
      <c r="E3041" s="1" t="s">
        <v>3379</v>
      </c>
      <c r="F3041" s="1" t="s">
        <v>3380</v>
      </c>
      <c r="G3041" s="1" t="s">
        <v>3379</v>
      </c>
      <c r="H3041" s="2" t="s">
        <v>3487</v>
      </c>
      <c r="I3041" s="1" t="s">
        <v>3488</v>
      </c>
      <c r="J3041" s="1" t="s">
        <v>52</v>
      </c>
      <c r="K3041" s="1" t="s">
        <v>3487</v>
      </c>
      <c r="L3041" s="36" t="s">
        <v>69</v>
      </c>
      <c r="M3041" s="1" t="s">
        <v>69</v>
      </c>
      <c r="N3041" s="1" t="s">
        <v>3468</v>
      </c>
      <c r="O3041" s="1" t="s">
        <v>46</v>
      </c>
      <c r="P3041" s="1" t="s">
        <v>46</v>
      </c>
      <c r="Q3041" s="1" t="s">
        <v>46</v>
      </c>
      <c r="R3041" s="1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3817</v>
      </c>
      <c r="C3042" s="1" t="s">
        <v>3818</v>
      </c>
      <c r="D3042" s="1" t="s">
        <v>14</v>
      </c>
      <c r="E3042" s="1" t="s">
        <v>3379</v>
      </c>
      <c r="F3042" s="1" t="s">
        <v>3380</v>
      </c>
      <c r="G3042" s="1" t="s">
        <v>3379</v>
      </c>
      <c r="H3042" s="2" t="s">
        <v>3489</v>
      </c>
      <c r="I3042" s="1" t="s">
        <v>3490</v>
      </c>
      <c r="J3042" s="1" t="s">
        <v>52</v>
      </c>
      <c r="K3042" s="1" t="s">
        <v>3489</v>
      </c>
      <c r="L3042" s="36" t="s">
        <v>69</v>
      </c>
      <c r="M3042" s="1" t="s">
        <v>69</v>
      </c>
      <c r="N3042" s="1" t="s">
        <v>3468</v>
      </c>
      <c r="O3042" s="1" t="s">
        <v>46</v>
      </c>
      <c r="P3042" s="1" t="s">
        <v>46</v>
      </c>
      <c r="Q3042" s="1" t="s">
        <v>46</v>
      </c>
      <c r="R3042" s="1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3817</v>
      </c>
      <c r="C3043" s="1" t="s">
        <v>3818</v>
      </c>
      <c r="D3043" s="1" t="s">
        <v>14</v>
      </c>
      <c r="E3043" s="1" t="s">
        <v>3379</v>
      </c>
      <c r="F3043" s="1" t="s">
        <v>3380</v>
      </c>
      <c r="G3043" s="1" t="s">
        <v>3379</v>
      </c>
      <c r="H3043" s="2" t="s">
        <v>3491</v>
      </c>
      <c r="I3043" s="1" t="s">
        <v>3492</v>
      </c>
      <c r="J3043" s="1" t="s">
        <v>52</v>
      </c>
      <c r="K3043" s="1" t="s">
        <v>3491</v>
      </c>
      <c r="L3043" s="36" t="s">
        <v>69</v>
      </c>
      <c r="M3043" s="1" t="s">
        <v>69</v>
      </c>
      <c r="N3043" s="1" t="s">
        <v>3468</v>
      </c>
      <c r="O3043" s="1" t="s">
        <v>46</v>
      </c>
      <c r="P3043" s="1" t="s">
        <v>46</v>
      </c>
      <c r="Q3043" s="1" t="s">
        <v>46</v>
      </c>
      <c r="R3043" s="1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3817</v>
      </c>
      <c r="C3044" s="1" t="s">
        <v>3818</v>
      </c>
      <c r="D3044" s="1" t="s">
        <v>14</v>
      </c>
      <c r="E3044" s="1" t="s">
        <v>3379</v>
      </c>
      <c r="F3044" s="1" t="s">
        <v>3380</v>
      </c>
      <c r="G3044" s="1" t="s">
        <v>3379</v>
      </c>
      <c r="H3044" s="2" t="s">
        <v>3493</v>
      </c>
      <c r="I3044" s="1" t="s">
        <v>3494</v>
      </c>
      <c r="J3044" s="1" t="s">
        <v>52</v>
      </c>
      <c r="K3044" s="1" t="s">
        <v>3493</v>
      </c>
      <c r="L3044" s="36" t="s">
        <v>69</v>
      </c>
      <c r="M3044" s="1" t="s">
        <v>69</v>
      </c>
      <c r="N3044" s="1" t="s">
        <v>3468</v>
      </c>
      <c r="O3044" s="1" t="s">
        <v>46</v>
      </c>
      <c r="P3044" s="1" t="s">
        <v>46</v>
      </c>
      <c r="Q3044" s="1" t="s">
        <v>46</v>
      </c>
      <c r="R3044" s="1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3817</v>
      </c>
      <c r="C3045" s="1" t="s">
        <v>3818</v>
      </c>
      <c r="D3045" s="1" t="s">
        <v>14</v>
      </c>
      <c r="E3045" s="1" t="s">
        <v>3379</v>
      </c>
      <c r="F3045" s="1" t="s">
        <v>3380</v>
      </c>
      <c r="G3045" s="1" t="s">
        <v>3379</v>
      </c>
      <c r="H3045" s="2" t="s">
        <v>3495</v>
      </c>
      <c r="I3045" s="1" t="s">
        <v>3496</v>
      </c>
      <c r="J3045" s="1" t="s">
        <v>52</v>
      </c>
      <c r="K3045" s="1" t="s">
        <v>3495</v>
      </c>
      <c r="L3045" s="36" t="s">
        <v>69</v>
      </c>
      <c r="M3045" s="1" t="s">
        <v>69</v>
      </c>
      <c r="N3045" s="1" t="s">
        <v>3468</v>
      </c>
      <c r="O3045" s="1" t="s">
        <v>46</v>
      </c>
      <c r="P3045" s="1" t="s">
        <v>46</v>
      </c>
      <c r="Q3045" s="1" t="s">
        <v>46</v>
      </c>
      <c r="R3045" s="1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3819</v>
      </c>
      <c r="C3046" s="1" t="s">
        <v>3820</v>
      </c>
      <c r="D3046" s="1" t="s">
        <v>14</v>
      </c>
      <c r="E3046" s="1" t="s">
        <v>3379</v>
      </c>
      <c r="F3046" s="1" t="s">
        <v>3380</v>
      </c>
      <c r="G3046" s="1" t="s">
        <v>3379</v>
      </c>
      <c r="H3046" s="2" t="s">
        <v>3414</v>
      </c>
      <c r="I3046" s="1" t="s">
        <v>3415</v>
      </c>
      <c r="J3046" s="1" t="s">
        <v>52</v>
      </c>
      <c r="K3046" s="1" t="s">
        <v>3414</v>
      </c>
      <c r="L3046" s="36" t="s">
        <v>69</v>
      </c>
      <c r="M3046" s="1" t="s">
        <v>69</v>
      </c>
      <c r="N3046" s="1" t="s">
        <v>3383</v>
      </c>
      <c r="O3046" s="1" t="s">
        <v>3780</v>
      </c>
      <c r="P3046" s="1" t="s">
        <v>3385</v>
      </c>
      <c r="Q3046" s="1" t="s">
        <v>3385</v>
      </c>
      <c r="R3046" s="1" t="s">
        <v>46</v>
      </c>
      <c r="S3046" s="1" t="s">
        <v>69</v>
      </c>
      <c r="T3046" s="1" t="s">
        <v>69</v>
      </c>
      <c r="U3046" s="1" t="s">
        <v>46</v>
      </c>
      <c r="V3046" s="1" t="n">
        <v>1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3819</v>
      </c>
      <c r="C3047" s="1" t="s">
        <v>3820</v>
      </c>
      <c r="D3047" s="1" t="s">
        <v>14</v>
      </c>
      <c r="E3047" s="1" t="s">
        <v>3379</v>
      </c>
      <c r="F3047" s="1" t="s">
        <v>3380</v>
      </c>
      <c r="G3047" s="1" t="s">
        <v>3379</v>
      </c>
      <c r="H3047" s="2" t="s">
        <v>3417</v>
      </c>
      <c r="I3047" s="1" t="s">
        <v>3418</v>
      </c>
      <c r="J3047" s="1" t="s">
        <v>52</v>
      </c>
      <c r="K3047" s="1" t="s">
        <v>3417</v>
      </c>
      <c r="L3047" s="36" t="s">
        <v>69</v>
      </c>
      <c r="M3047" s="1" t="s">
        <v>69</v>
      </c>
      <c r="N3047" s="1" t="s">
        <v>3383</v>
      </c>
      <c r="O3047" s="1" t="s">
        <v>3780</v>
      </c>
      <c r="P3047" s="1" t="s">
        <v>3385</v>
      </c>
      <c r="Q3047" s="1" t="s">
        <v>3385</v>
      </c>
      <c r="R3047" s="1" t="s">
        <v>46</v>
      </c>
      <c r="S3047" s="1" t="s">
        <v>69</v>
      </c>
      <c r="T3047" s="1" t="s">
        <v>69</v>
      </c>
      <c r="U3047" s="1" t="s">
        <v>46</v>
      </c>
      <c r="V3047" s="1" t="n">
        <v>2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3819</v>
      </c>
      <c r="C3048" s="1" t="s">
        <v>3820</v>
      </c>
      <c r="D3048" s="1" t="s">
        <v>14</v>
      </c>
      <c r="E3048" s="1" t="s">
        <v>3379</v>
      </c>
      <c r="F3048" s="1" t="s">
        <v>3380</v>
      </c>
      <c r="G3048" s="1" t="s">
        <v>3379</v>
      </c>
      <c r="H3048" s="2" t="s">
        <v>3419</v>
      </c>
      <c r="I3048" s="1" t="s">
        <v>3420</v>
      </c>
      <c r="J3048" s="1" t="s">
        <v>52</v>
      </c>
      <c r="K3048" s="1" t="s">
        <v>3419</v>
      </c>
      <c r="L3048" s="36" t="s">
        <v>69</v>
      </c>
      <c r="M3048" s="1" t="s">
        <v>69</v>
      </c>
      <c r="N3048" s="1" t="s">
        <v>3383</v>
      </c>
      <c r="O3048" s="1" t="s">
        <v>3780</v>
      </c>
      <c r="P3048" s="1" t="s">
        <v>3385</v>
      </c>
      <c r="Q3048" s="1" t="s">
        <v>3385</v>
      </c>
      <c r="R3048" s="1" t="s">
        <v>46</v>
      </c>
      <c r="S3048" s="1" t="s">
        <v>69</v>
      </c>
      <c r="T3048" s="1" t="s">
        <v>69</v>
      </c>
      <c r="U3048" s="1" t="s">
        <v>46</v>
      </c>
      <c r="V3048" s="1" t="n">
        <v>3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3819</v>
      </c>
      <c r="C3049" s="1" t="s">
        <v>3820</v>
      </c>
      <c r="D3049" s="1" t="s">
        <v>14</v>
      </c>
      <c r="E3049" s="1" t="s">
        <v>3379</v>
      </c>
      <c r="F3049" s="1" t="s">
        <v>3380</v>
      </c>
      <c r="G3049" s="1" t="s">
        <v>3379</v>
      </c>
      <c r="H3049" s="2" t="s">
        <v>3421</v>
      </c>
      <c r="I3049" s="1" t="s">
        <v>3422</v>
      </c>
      <c r="J3049" s="1" t="s">
        <v>52</v>
      </c>
      <c r="K3049" s="1" t="s">
        <v>3421</v>
      </c>
      <c r="L3049" s="36" t="s">
        <v>69</v>
      </c>
      <c r="M3049" s="1" t="s">
        <v>69</v>
      </c>
      <c r="N3049" s="1" t="s">
        <v>3383</v>
      </c>
      <c r="O3049" s="1" t="s">
        <v>3780</v>
      </c>
      <c r="P3049" s="1" t="s">
        <v>3385</v>
      </c>
      <c r="Q3049" s="1" t="s">
        <v>3385</v>
      </c>
      <c r="R3049" s="1" t="s">
        <v>46</v>
      </c>
      <c r="S3049" s="1" t="s">
        <v>69</v>
      </c>
      <c r="T3049" s="1" t="s">
        <v>69</v>
      </c>
      <c r="U3049" s="1" t="s">
        <v>46</v>
      </c>
      <c r="V3049" s="1" t="n">
        <v>4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3819</v>
      </c>
      <c r="C3050" s="1" t="s">
        <v>3820</v>
      </c>
      <c r="D3050" s="1" t="s">
        <v>14</v>
      </c>
      <c r="E3050" s="1" t="s">
        <v>3379</v>
      </c>
      <c r="F3050" s="1" t="s">
        <v>3380</v>
      </c>
      <c r="G3050" s="1" t="s">
        <v>3379</v>
      </c>
      <c r="H3050" s="2" t="s">
        <v>3423</v>
      </c>
      <c r="I3050" s="1" t="s">
        <v>3424</v>
      </c>
      <c r="J3050" s="1" t="s">
        <v>52</v>
      </c>
      <c r="K3050" s="1" t="s">
        <v>3423</v>
      </c>
      <c r="L3050" s="36" t="s">
        <v>69</v>
      </c>
      <c r="M3050" s="1" t="s">
        <v>69</v>
      </c>
      <c r="N3050" s="1" t="s">
        <v>3383</v>
      </c>
      <c r="O3050" s="1" t="s">
        <v>3780</v>
      </c>
      <c r="P3050" s="1" t="s">
        <v>3385</v>
      </c>
      <c r="Q3050" s="1" t="s">
        <v>3385</v>
      </c>
      <c r="R3050" s="1" t="s">
        <v>46</v>
      </c>
      <c r="S3050" s="1" t="s">
        <v>69</v>
      </c>
      <c r="T3050" s="1" t="s">
        <v>69</v>
      </c>
      <c r="U3050" s="1" t="s">
        <v>46</v>
      </c>
      <c r="V3050" s="1" t="n">
        <v>5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3819</v>
      </c>
      <c r="C3051" s="1" t="s">
        <v>3820</v>
      </c>
      <c r="D3051" s="1" t="s">
        <v>14</v>
      </c>
      <c r="E3051" s="1" t="s">
        <v>3379</v>
      </c>
      <c r="F3051" s="1" t="s">
        <v>3380</v>
      </c>
      <c r="G3051" s="1" t="s">
        <v>3379</v>
      </c>
      <c r="H3051" s="2" t="s">
        <v>3519</v>
      </c>
      <c r="I3051" s="1" t="s">
        <v>3520</v>
      </c>
      <c r="J3051" s="1" t="s">
        <v>52</v>
      </c>
      <c r="K3051" s="1" t="s">
        <v>3519</v>
      </c>
      <c r="L3051" s="36" t="s">
        <v>69</v>
      </c>
      <c r="M3051" s="1" t="s">
        <v>69</v>
      </c>
      <c r="N3051" s="1" t="s">
        <v>3383</v>
      </c>
      <c r="O3051" s="1" t="s">
        <v>3781</v>
      </c>
      <c r="P3051" s="1" t="s">
        <v>3385</v>
      </c>
      <c r="Q3051" s="1" t="s">
        <v>3385</v>
      </c>
      <c r="R3051" s="1" t="s">
        <v>46</v>
      </c>
      <c r="S3051" s="1" t="s">
        <v>69</v>
      </c>
      <c r="T3051" s="1" t="s">
        <v>69</v>
      </c>
      <c r="U3051" s="1" t="s">
        <v>46</v>
      </c>
      <c r="V3051" s="1" t="n">
        <v>1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3819</v>
      </c>
      <c r="C3052" s="1" t="s">
        <v>3820</v>
      </c>
      <c r="D3052" s="1" t="s">
        <v>14</v>
      </c>
      <c r="E3052" s="1" t="s">
        <v>3379</v>
      </c>
      <c r="F3052" s="1" t="s">
        <v>3380</v>
      </c>
      <c r="G3052" s="1" t="s">
        <v>3379</v>
      </c>
      <c r="H3052" s="2" t="s">
        <v>3522</v>
      </c>
      <c r="I3052" s="1" t="s">
        <v>3523</v>
      </c>
      <c r="J3052" s="1" t="s">
        <v>52</v>
      </c>
      <c r="K3052" s="1" t="s">
        <v>3522</v>
      </c>
      <c r="L3052" s="36" t="s">
        <v>69</v>
      </c>
      <c r="M3052" s="1" t="s">
        <v>69</v>
      </c>
      <c r="N3052" s="1" t="s">
        <v>3383</v>
      </c>
      <c r="O3052" s="1" t="s">
        <v>3781</v>
      </c>
      <c r="P3052" s="1" t="s">
        <v>3385</v>
      </c>
      <c r="Q3052" s="1" t="s">
        <v>3385</v>
      </c>
      <c r="R3052" s="1" t="s">
        <v>46</v>
      </c>
      <c r="S3052" s="1" t="s">
        <v>69</v>
      </c>
      <c r="T3052" s="1" t="s">
        <v>69</v>
      </c>
      <c r="U3052" s="1" t="s">
        <v>46</v>
      </c>
      <c r="V3052" s="1" t="n">
        <v>2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3819</v>
      </c>
      <c r="C3053" s="1" t="s">
        <v>3820</v>
      </c>
      <c r="D3053" s="1" t="s">
        <v>14</v>
      </c>
      <c r="E3053" s="1" t="s">
        <v>3379</v>
      </c>
      <c r="F3053" s="1" t="s">
        <v>3380</v>
      </c>
      <c r="G3053" s="1" t="s">
        <v>3379</v>
      </c>
      <c r="H3053" s="2" t="s">
        <v>3524</v>
      </c>
      <c r="I3053" s="1" t="s">
        <v>3525</v>
      </c>
      <c r="J3053" s="1" t="s">
        <v>52</v>
      </c>
      <c r="K3053" s="1" t="s">
        <v>3524</v>
      </c>
      <c r="L3053" s="36" t="s">
        <v>69</v>
      </c>
      <c r="M3053" s="1" t="s">
        <v>69</v>
      </c>
      <c r="N3053" s="1" t="s">
        <v>3383</v>
      </c>
      <c r="O3053" s="1" t="s">
        <v>3781</v>
      </c>
      <c r="P3053" s="1" t="s">
        <v>3385</v>
      </c>
      <c r="Q3053" s="1" t="s">
        <v>3385</v>
      </c>
      <c r="R3053" s="1" t="s">
        <v>46</v>
      </c>
      <c r="S3053" s="1" t="s">
        <v>69</v>
      </c>
      <c r="T3053" s="1" t="s">
        <v>69</v>
      </c>
      <c r="U3053" s="1" t="s">
        <v>46</v>
      </c>
      <c r="V3053" s="1" t="n">
        <v>3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3819</v>
      </c>
      <c r="C3054" s="1" t="s">
        <v>3820</v>
      </c>
      <c r="D3054" s="1" t="s">
        <v>14</v>
      </c>
      <c r="E3054" s="1" t="s">
        <v>3379</v>
      </c>
      <c r="F3054" s="1" t="s">
        <v>3380</v>
      </c>
      <c r="G3054" s="1" t="s">
        <v>3379</v>
      </c>
      <c r="H3054" s="2" t="s">
        <v>3526</v>
      </c>
      <c r="I3054" s="1" t="s">
        <v>3527</v>
      </c>
      <c r="J3054" s="1" t="s">
        <v>52</v>
      </c>
      <c r="K3054" s="1" t="s">
        <v>3526</v>
      </c>
      <c r="L3054" s="36" t="s">
        <v>69</v>
      </c>
      <c r="M3054" s="1" t="s">
        <v>69</v>
      </c>
      <c r="N3054" s="1" t="s">
        <v>3383</v>
      </c>
      <c r="O3054" s="1" t="s">
        <v>3781</v>
      </c>
      <c r="P3054" s="1" t="s">
        <v>3385</v>
      </c>
      <c r="Q3054" s="1" t="s">
        <v>3385</v>
      </c>
      <c r="R3054" s="1" t="s">
        <v>46</v>
      </c>
      <c r="S3054" s="1" t="s">
        <v>69</v>
      </c>
      <c r="T3054" s="1" t="s">
        <v>69</v>
      </c>
      <c r="U3054" s="1" t="s">
        <v>46</v>
      </c>
      <c r="V3054" s="1" t="n">
        <v>4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3819</v>
      </c>
      <c r="C3055" s="1" t="s">
        <v>3820</v>
      </c>
      <c r="D3055" s="1" t="s">
        <v>14</v>
      </c>
      <c r="E3055" s="1" t="s">
        <v>3379</v>
      </c>
      <c r="F3055" s="1" t="s">
        <v>3380</v>
      </c>
      <c r="G3055" s="1" t="s">
        <v>3379</v>
      </c>
      <c r="H3055" s="2" t="s">
        <v>3528</v>
      </c>
      <c r="I3055" s="1" t="s">
        <v>3529</v>
      </c>
      <c r="J3055" s="1" t="s">
        <v>52</v>
      </c>
      <c r="K3055" s="1" t="s">
        <v>3528</v>
      </c>
      <c r="L3055" s="36" t="s">
        <v>69</v>
      </c>
      <c r="M3055" s="1" t="s">
        <v>69</v>
      </c>
      <c r="N3055" s="1" t="s">
        <v>3383</v>
      </c>
      <c r="O3055" s="1" t="s">
        <v>3781</v>
      </c>
      <c r="P3055" s="1" t="s">
        <v>3385</v>
      </c>
      <c r="Q3055" s="1" t="s">
        <v>3385</v>
      </c>
      <c r="R3055" s="1" t="s">
        <v>46</v>
      </c>
      <c r="S3055" s="1" t="s">
        <v>69</v>
      </c>
      <c r="T3055" s="1" t="s">
        <v>69</v>
      </c>
      <c r="U3055" s="1" t="s">
        <v>46</v>
      </c>
      <c r="V3055" s="1" t="n">
        <v>5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3819</v>
      </c>
      <c r="C3056" s="1" t="s">
        <v>3820</v>
      </c>
      <c r="D3056" s="1" t="s">
        <v>14</v>
      </c>
      <c r="E3056" s="1" t="s">
        <v>3379</v>
      </c>
      <c r="F3056" s="1" t="s">
        <v>3380</v>
      </c>
      <c r="G3056" s="1" t="s">
        <v>3379</v>
      </c>
      <c r="H3056" s="2" t="s">
        <v>3436</v>
      </c>
      <c r="I3056" s="1" t="s">
        <v>3437</v>
      </c>
      <c r="J3056" s="1" t="s">
        <v>52</v>
      </c>
      <c r="K3056" s="1" t="s">
        <v>3436</v>
      </c>
      <c r="L3056" s="36" t="s">
        <v>69</v>
      </c>
      <c r="M3056" s="1" t="s">
        <v>69</v>
      </c>
      <c r="N3056" s="1" t="s">
        <v>1935</v>
      </c>
      <c r="O3056" s="1" t="s">
        <v>46</v>
      </c>
      <c r="P3056" s="1" t="s">
        <v>46</v>
      </c>
      <c r="Q3056" s="1" t="s">
        <v>46</v>
      </c>
      <c r="R3056" s="1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3819</v>
      </c>
      <c r="C3057" s="1" t="s">
        <v>3820</v>
      </c>
      <c r="D3057" s="1" t="s">
        <v>14</v>
      </c>
      <c r="E3057" s="1" t="s">
        <v>3379</v>
      </c>
      <c r="F3057" s="1" t="s">
        <v>3380</v>
      </c>
      <c r="G3057" s="1" t="s">
        <v>3379</v>
      </c>
      <c r="H3057" s="2" t="s">
        <v>3438</v>
      </c>
      <c r="I3057" s="1" t="s">
        <v>3439</v>
      </c>
      <c r="J3057" s="1" t="s">
        <v>52</v>
      </c>
      <c r="K3057" s="1" t="s">
        <v>3438</v>
      </c>
      <c r="L3057" s="36" t="s">
        <v>69</v>
      </c>
      <c r="M3057" s="1" t="s">
        <v>69</v>
      </c>
      <c r="N3057" s="1" t="s">
        <v>1935</v>
      </c>
      <c r="O3057" s="1" t="s">
        <v>46</v>
      </c>
      <c r="P3057" s="1" t="s">
        <v>46</v>
      </c>
      <c r="Q3057" s="1" t="s">
        <v>46</v>
      </c>
      <c r="R3057" s="1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3819</v>
      </c>
      <c r="C3058" s="1" t="s">
        <v>3820</v>
      </c>
      <c r="D3058" s="1" t="s">
        <v>14</v>
      </c>
      <c r="E3058" s="1" t="s">
        <v>3379</v>
      </c>
      <c r="F3058" s="1" t="s">
        <v>3380</v>
      </c>
      <c r="G3058" s="1" t="s">
        <v>3379</v>
      </c>
      <c r="H3058" s="2" t="s">
        <v>3440</v>
      </c>
      <c r="I3058" s="1" t="s">
        <v>3441</v>
      </c>
      <c r="J3058" s="1" t="s">
        <v>52</v>
      </c>
      <c r="K3058" s="1" t="s">
        <v>3440</v>
      </c>
      <c r="L3058" s="36" t="s">
        <v>69</v>
      </c>
      <c r="M3058" s="1" t="s">
        <v>69</v>
      </c>
      <c r="N3058" s="1" t="s">
        <v>1935</v>
      </c>
      <c r="O3058" s="1" t="s">
        <v>46</v>
      </c>
      <c r="P3058" s="1" t="s">
        <v>46</v>
      </c>
      <c r="Q3058" s="1" t="s">
        <v>46</v>
      </c>
      <c r="R3058" s="1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3819</v>
      </c>
      <c r="C3059" s="1" t="s">
        <v>3820</v>
      </c>
      <c r="D3059" s="1" t="s">
        <v>14</v>
      </c>
      <c r="E3059" s="1" t="s">
        <v>3379</v>
      </c>
      <c r="F3059" s="1" t="s">
        <v>3380</v>
      </c>
      <c r="G3059" s="1" t="s">
        <v>3379</v>
      </c>
      <c r="H3059" s="2" t="s">
        <v>3442</v>
      </c>
      <c r="I3059" s="1" t="s">
        <v>3443</v>
      </c>
      <c r="J3059" s="1" t="s">
        <v>52</v>
      </c>
      <c r="K3059" s="1" t="s">
        <v>3442</v>
      </c>
      <c r="L3059" s="36" t="s">
        <v>69</v>
      </c>
      <c r="M3059" s="1" t="s">
        <v>69</v>
      </c>
      <c r="N3059" s="1" t="s">
        <v>1935</v>
      </c>
      <c r="O3059" s="1" t="s">
        <v>46</v>
      </c>
      <c r="P3059" s="1" t="s">
        <v>46</v>
      </c>
      <c r="Q3059" s="1" t="s">
        <v>46</v>
      </c>
      <c r="R3059" s="1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3819</v>
      </c>
      <c r="C3060" s="1" t="s">
        <v>3820</v>
      </c>
      <c r="D3060" s="1" t="s">
        <v>14</v>
      </c>
      <c r="E3060" s="1" t="s">
        <v>3379</v>
      </c>
      <c r="F3060" s="1" t="s">
        <v>3380</v>
      </c>
      <c r="G3060" s="1" t="s">
        <v>3379</v>
      </c>
      <c r="H3060" s="2" t="s">
        <v>3444</v>
      </c>
      <c r="I3060" s="1" t="s">
        <v>3445</v>
      </c>
      <c r="J3060" s="1" t="s">
        <v>52</v>
      </c>
      <c r="K3060" s="1" t="s">
        <v>3444</v>
      </c>
      <c r="L3060" s="36" t="s">
        <v>69</v>
      </c>
      <c r="M3060" s="1" t="s">
        <v>69</v>
      </c>
      <c r="N3060" s="1" t="s">
        <v>1935</v>
      </c>
      <c r="O3060" s="1" t="s">
        <v>46</v>
      </c>
      <c r="P3060" s="1" t="s">
        <v>46</v>
      </c>
      <c r="Q3060" s="1" t="s">
        <v>46</v>
      </c>
      <c r="R3060" s="1" t="s">
        <v>46</v>
      </c>
      <c r="S3060" s="1" t="s">
        <v>46</v>
      </c>
      <c r="T3060" s="1" t="s">
        <v>46</v>
      </c>
      <c r="U3060" s="1" t="s">
        <v>46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3819</v>
      </c>
      <c r="C3061" s="1" t="s">
        <v>3820</v>
      </c>
      <c r="D3061" s="1" t="s">
        <v>14</v>
      </c>
      <c r="E3061" s="1" t="s">
        <v>3379</v>
      </c>
      <c r="F3061" s="1" t="s">
        <v>3380</v>
      </c>
      <c r="G3061" s="1" t="s">
        <v>3379</v>
      </c>
      <c r="H3061" s="2" t="s">
        <v>3446</v>
      </c>
      <c r="I3061" s="1" t="s">
        <v>3447</v>
      </c>
      <c r="J3061" s="1" t="s">
        <v>52</v>
      </c>
      <c r="K3061" s="1" t="s">
        <v>3446</v>
      </c>
      <c r="L3061" s="36" t="s">
        <v>69</v>
      </c>
      <c r="M3061" s="1" t="s">
        <v>69</v>
      </c>
      <c r="N3061" s="1" t="s">
        <v>1935</v>
      </c>
      <c r="O3061" s="1" t="s">
        <v>46</v>
      </c>
      <c r="P3061" s="1" t="s">
        <v>46</v>
      </c>
      <c r="Q3061" s="1" t="s">
        <v>46</v>
      </c>
      <c r="R3061" s="1" t="s">
        <v>46</v>
      </c>
      <c r="S3061" s="1" t="s">
        <v>46</v>
      </c>
      <c r="T3061" s="1" t="s">
        <v>46</v>
      </c>
      <c r="U3061" s="1" t="s">
        <v>46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3819</v>
      </c>
      <c r="C3062" s="1" t="s">
        <v>3820</v>
      </c>
      <c r="D3062" s="1" t="s">
        <v>14</v>
      </c>
      <c r="E3062" s="1" t="s">
        <v>3379</v>
      </c>
      <c r="F3062" s="1" t="s">
        <v>3380</v>
      </c>
      <c r="G3062" s="1" t="s">
        <v>3379</v>
      </c>
      <c r="H3062" s="2" t="s">
        <v>3448</v>
      </c>
      <c r="I3062" s="1" t="s">
        <v>3449</v>
      </c>
      <c r="J3062" s="1" t="s">
        <v>52</v>
      </c>
      <c r="K3062" s="1" t="s">
        <v>3448</v>
      </c>
      <c r="L3062" s="36" t="s">
        <v>69</v>
      </c>
      <c r="M3062" s="1" t="s">
        <v>69</v>
      </c>
      <c r="N3062" s="1" t="s">
        <v>1935</v>
      </c>
      <c r="O3062" s="1" t="s">
        <v>46</v>
      </c>
      <c r="P3062" s="1" t="s">
        <v>46</v>
      </c>
      <c r="Q3062" s="1" t="s">
        <v>46</v>
      </c>
      <c r="R3062" s="1" t="s">
        <v>46</v>
      </c>
      <c r="S3062" s="1" t="s">
        <v>46</v>
      </c>
      <c r="T3062" s="1" t="s">
        <v>46</v>
      </c>
      <c r="U3062" s="1" t="s">
        <v>46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3819</v>
      </c>
      <c r="C3063" s="1" t="s">
        <v>3820</v>
      </c>
      <c r="D3063" s="1" t="s">
        <v>14</v>
      </c>
      <c r="E3063" s="1" t="s">
        <v>3379</v>
      </c>
      <c r="F3063" s="1" t="s">
        <v>3380</v>
      </c>
      <c r="G3063" s="1" t="s">
        <v>3379</v>
      </c>
      <c r="H3063" s="2" t="s">
        <v>3450</v>
      </c>
      <c r="I3063" s="1" t="s">
        <v>3451</v>
      </c>
      <c r="J3063" s="1" t="s">
        <v>52</v>
      </c>
      <c r="K3063" s="1" t="s">
        <v>3450</v>
      </c>
      <c r="L3063" s="36" t="s">
        <v>69</v>
      </c>
      <c r="M3063" s="1" t="s">
        <v>69</v>
      </c>
      <c r="N3063" s="1" t="s">
        <v>1935</v>
      </c>
      <c r="O3063" s="1" t="s">
        <v>46</v>
      </c>
      <c r="P3063" s="1" t="s">
        <v>46</v>
      </c>
      <c r="Q3063" s="1" t="s">
        <v>46</v>
      </c>
      <c r="R3063" s="1" t="s">
        <v>46</v>
      </c>
      <c r="S3063" s="1" t="s">
        <v>46</v>
      </c>
      <c r="T3063" s="1" t="s">
        <v>46</v>
      </c>
      <c r="U3063" s="1" t="s">
        <v>46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3819</v>
      </c>
      <c r="C3064" s="1" t="s">
        <v>3820</v>
      </c>
      <c r="D3064" s="1" t="s">
        <v>14</v>
      </c>
      <c r="E3064" s="1" t="s">
        <v>3379</v>
      </c>
      <c r="F3064" s="1" t="s">
        <v>3380</v>
      </c>
      <c r="G3064" s="1" t="s">
        <v>3379</v>
      </c>
      <c r="H3064" s="2" t="s">
        <v>3452</v>
      </c>
      <c r="I3064" s="1" t="s">
        <v>3453</v>
      </c>
      <c r="J3064" s="1" t="s">
        <v>52</v>
      </c>
      <c r="K3064" s="1" t="s">
        <v>3452</v>
      </c>
      <c r="L3064" s="36" t="s">
        <v>69</v>
      </c>
      <c r="M3064" s="1" t="s">
        <v>69</v>
      </c>
      <c r="N3064" s="1" t="s">
        <v>1935</v>
      </c>
      <c r="O3064" s="1" t="s">
        <v>46</v>
      </c>
      <c r="P3064" s="1" t="s">
        <v>46</v>
      </c>
      <c r="Q3064" s="1" t="s">
        <v>46</v>
      </c>
      <c r="R3064" s="1" t="s">
        <v>46</v>
      </c>
      <c r="S3064" s="1" t="s">
        <v>46</v>
      </c>
      <c r="T3064" s="1" t="s">
        <v>46</v>
      </c>
      <c r="U3064" s="1" t="s">
        <v>46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3819</v>
      </c>
      <c r="C3065" s="1" t="s">
        <v>3820</v>
      </c>
      <c r="D3065" s="1" t="s">
        <v>14</v>
      </c>
      <c r="E3065" s="1" t="s">
        <v>3379</v>
      </c>
      <c r="F3065" s="1" t="s">
        <v>3380</v>
      </c>
      <c r="G3065" s="1" t="s">
        <v>3379</v>
      </c>
      <c r="H3065" s="2" t="s">
        <v>3454</v>
      </c>
      <c r="I3065" s="1" t="s">
        <v>3455</v>
      </c>
      <c r="J3065" s="1" t="s">
        <v>52</v>
      </c>
      <c r="K3065" s="1" t="s">
        <v>3454</v>
      </c>
      <c r="L3065" s="36" t="s">
        <v>69</v>
      </c>
      <c r="M3065" s="1" t="s">
        <v>69</v>
      </c>
      <c r="N3065" s="1" t="s">
        <v>1935</v>
      </c>
      <c r="O3065" s="1" t="s">
        <v>46</v>
      </c>
      <c r="P3065" s="1" t="s">
        <v>46</v>
      </c>
      <c r="Q3065" s="1" t="s">
        <v>46</v>
      </c>
      <c r="R3065" s="1" t="s">
        <v>46</v>
      </c>
      <c r="S3065" s="1" t="s">
        <v>46</v>
      </c>
      <c r="T3065" s="1" t="s">
        <v>46</v>
      </c>
      <c r="U3065" s="1" t="s">
        <v>46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3819</v>
      </c>
      <c r="C3066" s="1" t="s">
        <v>3820</v>
      </c>
      <c r="D3066" s="1" t="s">
        <v>14</v>
      </c>
      <c r="E3066" s="1" t="s">
        <v>3379</v>
      </c>
      <c r="F3066" s="1" t="s">
        <v>3380</v>
      </c>
      <c r="G3066" s="1" t="s">
        <v>3379</v>
      </c>
      <c r="H3066" s="2" t="s">
        <v>3456</v>
      </c>
      <c r="I3066" s="1" t="s">
        <v>3457</v>
      </c>
      <c r="J3066" s="1" t="s">
        <v>52</v>
      </c>
      <c r="K3066" s="1" t="s">
        <v>3456</v>
      </c>
      <c r="L3066" s="36" t="s">
        <v>69</v>
      </c>
      <c r="M3066" s="1" t="s">
        <v>69</v>
      </c>
      <c r="N3066" s="1" t="s">
        <v>1935</v>
      </c>
      <c r="O3066" s="1" t="s">
        <v>46</v>
      </c>
      <c r="P3066" s="1" t="s">
        <v>46</v>
      </c>
      <c r="Q3066" s="1" t="s">
        <v>46</v>
      </c>
      <c r="R3066" s="1" t="s">
        <v>46</v>
      </c>
      <c r="S3066" s="1" t="s">
        <v>46</v>
      </c>
      <c r="T3066" s="1" t="s">
        <v>46</v>
      </c>
      <c r="U3066" s="1" t="s">
        <v>46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3819</v>
      </c>
      <c r="C3067" s="1" t="s">
        <v>3820</v>
      </c>
      <c r="D3067" s="1" t="s">
        <v>14</v>
      </c>
      <c r="E3067" s="1" t="s">
        <v>3379</v>
      </c>
      <c r="F3067" s="1" t="s">
        <v>3380</v>
      </c>
      <c r="G3067" s="1" t="s">
        <v>3379</v>
      </c>
      <c r="H3067" s="2" t="s">
        <v>3458</v>
      </c>
      <c r="I3067" s="1" t="s">
        <v>3459</v>
      </c>
      <c r="J3067" s="1" t="s">
        <v>52</v>
      </c>
      <c r="K3067" s="1" t="s">
        <v>3458</v>
      </c>
      <c r="L3067" s="36" t="s">
        <v>69</v>
      </c>
      <c r="M3067" s="1" t="s">
        <v>69</v>
      </c>
      <c r="N3067" s="1" t="s">
        <v>1935</v>
      </c>
      <c r="O3067" s="1" t="s">
        <v>46</v>
      </c>
      <c r="P3067" s="1" t="s">
        <v>46</v>
      </c>
      <c r="Q3067" s="1" t="s">
        <v>46</v>
      </c>
      <c r="R3067" s="1" t="s">
        <v>46</v>
      </c>
      <c r="S3067" s="1" t="s">
        <v>46</v>
      </c>
      <c r="T3067" s="1" t="s">
        <v>46</v>
      </c>
      <c r="U3067" s="1" t="s">
        <v>46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3819</v>
      </c>
      <c r="C3068" s="1" t="s">
        <v>3820</v>
      </c>
      <c r="D3068" s="1" t="s">
        <v>14</v>
      </c>
      <c r="E3068" s="1" t="s">
        <v>3379</v>
      </c>
      <c r="F3068" s="1" t="s">
        <v>3380</v>
      </c>
      <c r="G3068" s="1" t="s">
        <v>3379</v>
      </c>
      <c r="H3068" s="2" t="s">
        <v>3460</v>
      </c>
      <c r="I3068" s="1" t="s">
        <v>3461</v>
      </c>
      <c r="J3068" s="1" t="s">
        <v>52</v>
      </c>
      <c r="K3068" s="1" t="s">
        <v>3460</v>
      </c>
      <c r="L3068" s="36" t="s">
        <v>69</v>
      </c>
      <c r="M3068" s="1" t="s">
        <v>69</v>
      </c>
      <c r="N3068" s="1" t="s">
        <v>1935</v>
      </c>
      <c r="O3068" s="1" t="s">
        <v>46</v>
      </c>
      <c r="P3068" s="1" t="s">
        <v>46</v>
      </c>
      <c r="Q3068" s="1" t="s">
        <v>46</v>
      </c>
      <c r="R3068" s="1" t="s">
        <v>46</v>
      </c>
      <c r="S3068" s="1" t="s">
        <v>46</v>
      </c>
      <c r="T3068" s="1" t="s">
        <v>46</v>
      </c>
      <c r="U3068" s="1" t="s">
        <v>46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3819</v>
      </c>
      <c r="C3069" s="1" t="s">
        <v>3820</v>
      </c>
      <c r="D3069" s="1" t="s">
        <v>14</v>
      </c>
      <c r="E3069" s="1" t="s">
        <v>3379</v>
      </c>
      <c r="F3069" s="1" t="s">
        <v>3380</v>
      </c>
      <c r="G3069" s="1" t="s">
        <v>3379</v>
      </c>
      <c r="H3069" s="2" t="s">
        <v>3462</v>
      </c>
      <c r="I3069" s="1" t="s">
        <v>3463</v>
      </c>
      <c r="J3069" s="1" t="s">
        <v>52</v>
      </c>
      <c r="K3069" s="1" t="s">
        <v>3462</v>
      </c>
      <c r="L3069" s="36" t="s">
        <v>69</v>
      </c>
      <c r="M3069" s="1" t="s">
        <v>69</v>
      </c>
      <c r="N3069" s="1" t="s">
        <v>1935</v>
      </c>
      <c r="O3069" s="1" t="s">
        <v>46</v>
      </c>
      <c r="P3069" s="1" t="s">
        <v>46</v>
      </c>
      <c r="Q3069" s="1" t="s">
        <v>46</v>
      </c>
      <c r="R3069" s="1" t="s">
        <v>46</v>
      </c>
      <c r="S3069" s="1" t="s">
        <v>46</v>
      </c>
      <c r="T3069" s="1" t="s">
        <v>46</v>
      </c>
      <c r="U3069" s="1" t="s">
        <v>46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3819</v>
      </c>
      <c r="C3070" s="1" t="s">
        <v>3820</v>
      </c>
      <c r="D3070" s="1" t="s">
        <v>14</v>
      </c>
      <c r="E3070" s="1" t="s">
        <v>3379</v>
      </c>
      <c r="F3070" s="1" t="s">
        <v>3380</v>
      </c>
      <c r="G3070" s="1" t="s">
        <v>3379</v>
      </c>
      <c r="H3070" s="2" t="s">
        <v>3464</v>
      </c>
      <c r="I3070" s="1" t="s">
        <v>3465</v>
      </c>
      <c r="J3070" s="1" t="s">
        <v>52</v>
      </c>
      <c r="K3070" s="1" t="s">
        <v>3464</v>
      </c>
      <c r="L3070" s="36" t="s">
        <v>69</v>
      </c>
      <c r="M3070" s="1" t="s">
        <v>69</v>
      </c>
      <c r="N3070" s="1" t="s">
        <v>1935</v>
      </c>
      <c r="O3070" s="1" t="s">
        <v>46</v>
      </c>
      <c r="P3070" s="1" t="s">
        <v>46</v>
      </c>
      <c r="Q3070" s="1" t="s">
        <v>46</v>
      </c>
      <c r="R3070" s="1" t="s">
        <v>46</v>
      </c>
      <c r="S3070" s="1" t="s">
        <v>46</v>
      </c>
      <c r="T3070" s="1" t="s">
        <v>46</v>
      </c>
      <c r="U3070" s="1" t="s">
        <v>46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3819</v>
      </c>
      <c r="C3071" s="1" t="s">
        <v>3820</v>
      </c>
      <c r="D3071" s="1" t="s">
        <v>14</v>
      </c>
      <c r="E3071" s="1" t="s">
        <v>3379</v>
      </c>
      <c r="F3071" s="1" t="s">
        <v>3380</v>
      </c>
      <c r="G3071" s="1" t="s">
        <v>3379</v>
      </c>
      <c r="H3071" s="2" t="s">
        <v>3466</v>
      </c>
      <c r="I3071" s="1" t="s">
        <v>3467</v>
      </c>
      <c r="J3071" s="1" t="s">
        <v>52</v>
      </c>
      <c r="K3071" s="1" t="s">
        <v>3466</v>
      </c>
      <c r="L3071" s="36" t="s">
        <v>69</v>
      </c>
      <c r="M3071" s="1" t="s">
        <v>69</v>
      </c>
      <c r="N3071" s="1" t="s">
        <v>3468</v>
      </c>
      <c r="O3071" s="1" t="s">
        <v>46</v>
      </c>
      <c r="P3071" s="1" t="s">
        <v>46</v>
      </c>
      <c r="Q3071" s="1" t="s">
        <v>46</v>
      </c>
      <c r="R3071" s="1" t="s">
        <v>46</v>
      </c>
      <c r="S3071" s="1" t="s">
        <v>46</v>
      </c>
      <c r="T3071" s="1" t="s">
        <v>46</v>
      </c>
      <c r="U3071" s="1" t="s">
        <v>46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3819</v>
      </c>
      <c r="C3072" s="1" t="s">
        <v>3820</v>
      </c>
      <c r="D3072" s="1" t="s">
        <v>14</v>
      </c>
      <c r="E3072" s="1" t="s">
        <v>3379</v>
      </c>
      <c r="F3072" s="1" t="s">
        <v>3380</v>
      </c>
      <c r="G3072" s="1" t="s">
        <v>3379</v>
      </c>
      <c r="H3072" s="2" t="s">
        <v>3469</v>
      </c>
      <c r="I3072" s="1" t="s">
        <v>3470</v>
      </c>
      <c r="J3072" s="1" t="s">
        <v>52</v>
      </c>
      <c r="K3072" s="1" t="s">
        <v>3469</v>
      </c>
      <c r="L3072" s="36" t="s">
        <v>69</v>
      </c>
      <c r="M3072" s="1" t="s">
        <v>69</v>
      </c>
      <c r="N3072" s="1" t="s">
        <v>3468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3819</v>
      </c>
      <c r="C3073" s="1" t="s">
        <v>3820</v>
      </c>
      <c r="D3073" s="1" t="s">
        <v>14</v>
      </c>
      <c r="E3073" s="1" t="s">
        <v>3379</v>
      </c>
      <c r="F3073" s="1" t="s">
        <v>3380</v>
      </c>
      <c r="G3073" s="1" t="s">
        <v>3379</v>
      </c>
      <c r="H3073" s="2" t="s">
        <v>3471</v>
      </c>
      <c r="I3073" s="1" t="s">
        <v>3472</v>
      </c>
      <c r="J3073" s="1" t="s">
        <v>52</v>
      </c>
      <c r="K3073" s="1" t="s">
        <v>3471</v>
      </c>
      <c r="L3073" s="36" t="s">
        <v>69</v>
      </c>
      <c r="M3073" s="1" t="s">
        <v>69</v>
      </c>
      <c r="N3073" s="1" t="s">
        <v>3468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3819</v>
      </c>
      <c r="C3074" s="1" t="s">
        <v>3820</v>
      </c>
      <c r="D3074" s="1" t="s">
        <v>14</v>
      </c>
      <c r="E3074" s="1" t="s">
        <v>3379</v>
      </c>
      <c r="F3074" s="1" t="s">
        <v>3380</v>
      </c>
      <c r="G3074" s="1" t="s">
        <v>3379</v>
      </c>
      <c r="H3074" s="2" t="s">
        <v>3473</v>
      </c>
      <c r="I3074" s="1" t="s">
        <v>3474</v>
      </c>
      <c r="J3074" s="1" t="s">
        <v>52</v>
      </c>
      <c r="K3074" s="1" t="s">
        <v>3473</v>
      </c>
      <c r="L3074" s="36" t="s">
        <v>69</v>
      </c>
      <c r="M3074" s="1" t="s">
        <v>69</v>
      </c>
      <c r="N3074" s="1" t="s">
        <v>3468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3819</v>
      </c>
      <c r="C3075" s="1" t="s">
        <v>3820</v>
      </c>
      <c r="D3075" s="1" t="s">
        <v>14</v>
      </c>
      <c r="E3075" s="1" t="s">
        <v>3379</v>
      </c>
      <c r="F3075" s="1" t="s">
        <v>3380</v>
      </c>
      <c r="G3075" s="1" t="s">
        <v>3379</v>
      </c>
      <c r="H3075" s="2" t="s">
        <v>3475</v>
      </c>
      <c r="I3075" s="1" t="s">
        <v>3476</v>
      </c>
      <c r="J3075" s="1" t="s">
        <v>52</v>
      </c>
      <c r="K3075" s="1" t="s">
        <v>3475</v>
      </c>
      <c r="L3075" s="36" t="s">
        <v>69</v>
      </c>
      <c r="M3075" s="1" t="s">
        <v>69</v>
      </c>
      <c r="N3075" s="1" t="s">
        <v>3468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3819</v>
      </c>
      <c r="C3076" s="1" t="s">
        <v>3820</v>
      </c>
      <c r="D3076" s="1" t="s">
        <v>14</v>
      </c>
      <c r="E3076" s="1" t="s">
        <v>3379</v>
      </c>
      <c r="F3076" s="1" t="s">
        <v>3380</v>
      </c>
      <c r="G3076" s="1" t="s">
        <v>3379</v>
      </c>
      <c r="H3076" s="2" t="s">
        <v>3477</v>
      </c>
      <c r="I3076" s="1" t="s">
        <v>3478</v>
      </c>
      <c r="J3076" s="1" t="s">
        <v>52</v>
      </c>
      <c r="K3076" s="1" t="s">
        <v>3477</v>
      </c>
      <c r="L3076" s="36" t="s">
        <v>69</v>
      </c>
      <c r="M3076" s="1" t="s">
        <v>69</v>
      </c>
      <c r="N3076" s="1" t="s">
        <v>3468</v>
      </c>
      <c r="O3076" s="1" t="s">
        <v>46</v>
      </c>
      <c r="P3076" s="1" t="s">
        <v>46</v>
      </c>
      <c r="Q3076" s="1" t="s">
        <v>46</v>
      </c>
      <c r="R3076" s="1" t="s">
        <v>46</v>
      </c>
      <c r="S3076" s="1" t="s">
        <v>46</v>
      </c>
      <c r="T3076" s="1" t="s">
        <v>46</v>
      </c>
      <c r="U3076" s="1" t="s">
        <v>46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3819</v>
      </c>
      <c r="C3077" s="1" t="s">
        <v>3820</v>
      </c>
      <c r="D3077" s="1" t="s">
        <v>14</v>
      </c>
      <c r="E3077" s="1" t="s">
        <v>3379</v>
      </c>
      <c r="F3077" s="1" t="s">
        <v>3380</v>
      </c>
      <c r="G3077" s="1" t="s">
        <v>3379</v>
      </c>
      <c r="H3077" s="2" t="s">
        <v>3479</v>
      </c>
      <c r="I3077" s="1" t="s">
        <v>3480</v>
      </c>
      <c r="J3077" s="1" t="s">
        <v>52</v>
      </c>
      <c r="K3077" s="1" t="s">
        <v>3479</v>
      </c>
      <c r="L3077" s="36" t="s">
        <v>69</v>
      </c>
      <c r="M3077" s="1" t="s">
        <v>69</v>
      </c>
      <c r="N3077" s="1" t="s">
        <v>3468</v>
      </c>
      <c r="O3077" s="1" t="s">
        <v>46</v>
      </c>
      <c r="P3077" s="1" t="s">
        <v>46</v>
      </c>
      <c r="Q3077" s="1" t="s">
        <v>46</v>
      </c>
      <c r="R3077" s="1" t="s">
        <v>46</v>
      </c>
      <c r="S3077" s="1" t="s">
        <v>46</v>
      </c>
      <c r="T3077" s="1" t="s">
        <v>46</v>
      </c>
      <c r="U3077" s="1" t="s">
        <v>46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3819</v>
      </c>
      <c r="C3078" s="1" t="s">
        <v>3820</v>
      </c>
      <c r="D3078" s="1" t="s">
        <v>14</v>
      </c>
      <c r="E3078" s="1" t="s">
        <v>3379</v>
      </c>
      <c r="F3078" s="1" t="s">
        <v>3380</v>
      </c>
      <c r="G3078" s="1" t="s">
        <v>3379</v>
      </c>
      <c r="H3078" s="2" t="s">
        <v>3481</v>
      </c>
      <c r="I3078" s="1" t="s">
        <v>3482</v>
      </c>
      <c r="J3078" s="1" t="s">
        <v>52</v>
      </c>
      <c r="K3078" s="1" t="s">
        <v>3481</v>
      </c>
      <c r="L3078" s="36" t="s">
        <v>69</v>
      </c>
      <c r="M3078" s="1" t="s">
        <v>69</v>
      </c>
      <c r="N3078" s="1" t="s">
        <v>3468</v>
      </c>
      <c r="O3078" s="1" t="s">
        <v>46</v>
      </c>
      <c r="P3078" s="1" t="s">
        <v>46</v>
      </c>
      <c r="Q3078" s="1" t="s">
        <v>46</v>
      </c>
      <c r="R3078" s="1" t="s">
        <v>46</v>
      </c>
      <c r="S3078" s="1" t="s">
        <v>46</v>
      </c>
      <c r="T3078" s="1" t="s">
        <v>46</v>
      </c>
      <c r="U3078" s="1" t="s">
        <v>46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3819</v>
      </c>
      <c r="C3079" s="1" t="s">
        <v>3820</v>
      </c>
      <c r="D3079" s="1" t="s">
        <v>14</v>
      </c>
      <c r="E3079" s="1" t="s">
        <v>3379</v>
      </c>
      <c r="F3079" s="1" t="s">
        <v>3380</v>
      </c>
      <c r="G3079" s="1" t="s">
        <v>3379</v>
      </c>
      <c r="H3079" s="2" t="s">
        <v>3483</v>
      </c>
      <c r="I3079" s="1" t="s">
        <v>3484</v>
      </c>
      <c r="J3079" s="1" t="s">
        <v>52</v>
      </c>
      <c r="K3079" s="1" t="s">
        <v>3483</v>
      </c>
      <c r="L3079" s="36" t="s">
        <v>69</v>
      </c>
      <c r="M3079" s="1" t="s">
        <v>69</v>
      </c>
      <c r="N3079" s="1" t="s">
        <v>3468</v>
      </c>
      <c r="O3079" s="1" t="s">
        <v>46</v>
      </c>
      <c r="P3079" s="1" t="s">
        <v>46</v>
      </c>
      <c r="Q3079" s="1" t="s">
        <v>46</v>
      </c>
      <c r="R3079" s="1" t="s">
        <v>46</v>
      </c>
      <c r="S3079" s="1" t="s">
        <v>46</v>
      </c>
      <c r="T3079" s="1" t="s">
        <v>46</v>
      </c>
      <c r="U3079" s="1" t="s">
        <v>46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3819</v>
      </c>
      <c r="C3080" s="1" t="s">
        <v>3820</v>
      </c>
      <c r="D3080" s="1" t="s">
        <v>14</v>
      </c>
      <c r="E3080" s="1" t="s">
        <v>3379</v>
      </c>
      <c r="F3080" s="1" t="s">
        <v>3380</v>
      </c>
      <c r="G3080" s="1" t="s">
        <v>3379</v>
      </c>
      <c r="H3080" s="2" t="s">
        <v>3485</v>
      </c>
      <c r="I3080" s="1" t="s">
        <v>3486</v>
      </c>
      <c r="J3080" s="1" t="s">
        <v>52</v>
      </c>
      <c r="K3080" s="1" t="s">
        <v>3485</v>
      </c>
      <c r="L3080" s="36" t="s">
        <v>69</v>
      </c>
      <c r="M3080" s="1" t="s">
        <v>69</v>
      </c>
      <c r="N3080" s="1" t="s">
        <v>3468</v>
      </c>
      <c r="O3080" s="1" t="s">
        <v>46</v>
      </c>
      <c r="P3080" s="1" t="s">
        <v>46</v>
      </c>
      <c r="Q3080" s="1" t="s">
        <v>46</v>
      </c>
      <c r="R3080" s="1" t="s">
        <v>46</v>
      </c>
      <c r="S3080" s="1" t="s">
        <v>46</v>
      </c>
      <c r="T3080" s="1" t="s">
        <v>46</v>
      </c>
      <c r="U3080" s="1" t="s">
        <v>46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3819</v>
      </c>
      <c r="C3081" s="1" t="s">
        <v>3820</v>
      </c>
      <c r="D3081" s="1" t="s">
        <v>14</v>
      </c>
      <c r="E3081" s="1" t="s">
        <v>3379</v>
      </c>
      <c r="F3081" s="1" t="s">
        <v>3380</v>
      </c>
      <c r="G3081" s="1" t="s">
        <v>3379</v>
      </c>
      <c r="H3081" s="2" t="s">
        <v>3487</v>
      </c>
      <c r="I3081" s="1" t="s">
        <v>3488</v>
      </c>
      <c r="J3081" s="1" t="s">
        <v>52</v>
      </c>
      <c r="K3081" s="1" t="s">
        <v>3487</v>
      </c>
      <c r="L3081" s="36" t="s">
        <v>69</v>
      </c>
      <c r="M3081" s="1" t="s">
        <v>69</v>
      </c>
      <c r="N3081" s="1" t="s">
        <v>3468</v>
      </c>
      <c r="O3081" s="1" t="s">
        <v>46</v>
      </c>
      <c r="P3081" s="1" t="s">
        <v>46</v>
      </c>
      <c r="Q3081" s="1" t="s">
        <v>46</v>
      </c>
      <c r="R3081" s="1" t="s">
        <v>46</v>
      </c>
      <c r="S3081" s="1" t="s">
        <v>46</v>
      </c>
      <c r="T3081" s="1" t="s">
        <v>46</v>
      </c>
      <c r="U3081" s="1" t="s">
        <v>46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3819</v>
      </c>
      <c r="C3082" s="1" t="s">
        <v>3820</v>
      </c>
      <c r="D3082" s="1" t="s">
        <v>14</v>
      </c>
      <c r="E3082" s="1" t="s">
        <v>3379</v>
      </c>
      <c r="F3082" s="1" t="s">
        <v>3380</v>
      </c>
      <c r="G3082" s="1" t="s">
        <v>3379</v>
      </c>
      <c r="H3082" s="2" t="s">
        <v>3489</v>
      </c>
      <c r="I3082" s="1" t="s">
        <v>3490</v>
      </c>
      <c r="J3082" s="1" t="s">
        <v>52</v>
      </c>
      <c r="K3082" s="1" t="s">
        <v>3489</v>
      </c>
      <c r="L3082" s="36" t="s">
        <v>69</v>
      </c>
      <c r="M3082" s="1" t="s">
        <v>69</v>
      </c>
      <c r="N3082" s="1" t="s">
        <v>3468</v>
      </c>
      <c r="O3082" s="1" t="s">
        <v>46</v>
      </c>
      <c r="P3082" s="1" t="s">
        <v>46</v>
      </c>
      <c r="Q3082" s="1" t="s">
        <v>46</v>
      </c>
      <c r="R3082" s="1" t="s">
        <v>46</v>
      </c>
      <c r="S3082" s="1" t="s">
        <v>46</v>
      </c>
      <c r="T3082" s="1" t="s">
        <v>46</v>
      </c>
      <c r="U3082" s="1" t="s">
        <v>46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3819</v>
      </c>
      <c r="C3083" s="1" t="s">
        <v>3820</v>
      </c>
      <c r="D3083" s="1" t="s">
        <v>14</v>
      </c>
      <c r="E3083" s="1" t="s">
        <v>3379</v>
      </c>
      <c r="F3083" s="1" t="s">
        <v>3380</v>
      </c>
      <c r="G3083" s="1" t="s">
        <v>3379</v>
      </c>
      <c r="H3083" s="2" t="s">
        <v>3491</v>
      </c>
      <c r="I3083" s="1" t="s">
        <v>3492</v>
      </c>
      <c r="J3083" s="1" t="s">
        <v>52</v>
      </c>
      <c r="K3083" s="1" t="s">
        <v>3491</v>
      </c>
      <c r="L3083" s="36" t="s">
        <v>69</v>
      </c>
      <c r="M3083" s="1" t="s">
        <v>69</v>
      </c>
      <c r="N3083" s="1" t="s">
        <v>3468</v>
      </c>
      <c r="O3083" s="1" t="s">
        <v>46</v>
      </c>
      <c r="P3083" s="1" t="s">
        <v>46</v>
      </c>
      <c r="Q3083" s="1" t="s">
        <v>46</v>
      </c>
      <c r="R3083" s="1" t="s">
        <v>46</v>
      </c>
      <c r="S3083" s="1" t="s">
        <v>46</v>
      </c>
      <c r="T3083" s="1" t="s">
        <v>46</v>
      </c>
      <c r="U3083" s="1" t="s">
        <v>46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3819</v>
      </c>
      <c r="C3084" s="1" t="s">
        <v>3820</v>
      </c>
      <c r="D3084" s="1" t="s">
        <v>14</v>
      </c>
      <c r="E3084" s="1" t="s">
        <v>3379</v>
      </c>
      <c r="F3084" s="1" t="s">
        <v>3380</v>
      </c>
      <c r="G3084" s="1" t="s">
        <v>3379</v>
      </c>
      <c r="H3084" s="2" t="s">
        <v>3493</v>
      </c>
      <c r="I3084" s="1" t="s">
        <v>3494</v>
      </c>
      <c r="J3084" s="1" t="s">
        <v>52</v>
      </c>
      <c r="K3084" s="1" t="s">
        <v>3493</v>
      </c>
      <c r="L3084" s="36" t="s">
        <v>69</v>
      </c>
      <c r="M3084" s="1" t="s">
        <v>69</v>
      </c>
      <c r="N3084" s="1" t="s">
        <v>3468</v>
      </c>
      <c r="O3084" s="1" t="s">
        <v>46</v>
      </c>
      <c r="P3084" s="1" t="s">
        <v>46</v>
      </c>
      <c r="Q3084" s="1" t="s">
        <v>46</v>
      </c>
      <c r="R3084" s="1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3819</v>
      </c>
      <c r="C3085" s="1" t="s">
        <v>3820</v>
      </c>
      <c r="D3085" s="1" t="s">
        <v>14</v>
      </c>
      <c r="E3085" s="1" t="s">
        <v>3379</v>
      </c>
      <c r="F3085" s="1" t="s">
        <v>3380</v>
      </c>
      <c r="G3085" s="1" t="s">
        <v>3379</v>
      </c>
      <c r="H3085" s="2" t="s">
        <v>3495</v>
      </c>
      <c r="I3085" s="1" t="s">
        <v>3496</v>
      </c>
      <c r="J3085" s="1" t="s">
        <v>52</v>
      </c>
      <c r="K3085" s="1" t="s">
        <v>3495</v>
      </c>
      <c r="L3085" s="36" t="s">
        <v>69</v>
      </c>
      <c r="M3085" s="1" t="s">
        <v>69</v>
      </c>
      <c r="N3085" s="1" t="s">
        <v>3468</v>
      </c>
      <c r="O3085" s="1" t="s">
        <v>46</v>
      </c>
      <c r="P3085" s="1" t="s">
        <v>46</v>
      </c>
      <c r="Q3085" s="1" t="s">
        <v>46</v>
      </c>
      <c r="R3085" s="1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3821</v>
      </c>
      <c r="C3086" s="1" t="s">
        <v>3822</v>
      </c>
      <c r="D3086" s="1" t="s">
        <v>14</v>
      </c>
      <c r="E3086" s="1" t="s">
        <v>3379</v>
      </c>
      <c r="F3086" s="1" t="s">
        <v>3380</v>
      </c>
      <c r="G3086" s="1" t="s">
        <v>3379</v>
      </c>
      <c r="H3086" s="2" t="s">
        <v>3425</v>
      </c>
      <c r="I3086" s="1" t="s">
        <v>3426</v>
      </c>
      <c r="J3086" s="1" t="s">
        <v>52</v>
      </c>
      <c r="K3086" s="1" t="s">
        <v>3425</v>
      </c>
      <c r="L3086" s="36" t="s">
        <v>69</v>
      </c>
      <c r="M3086" s="1" t="s">
        <v>69</v>
      </c>
      <c r="N3086" s="1" t="s">
        <v>3383</v>
      </c>
      <c r="O3086" s="1" t="s">
        <v>3780</v>
      </c>
      <c r="P3086" s="1" t="s">
        <v>3385</v>
      </c>
      <c r="Q3086" s="1" t="s">
        <v>3385</v>
      </c>
      <c r="R3086" s="1" t="s">
        <v>46</v>
      </c>
      <c r="S3086" s="1" t="s">
        <v>69</v>
      </c>
      <c r="T3086" s="1" t="s">
        <v>69</v>
      </c>
      <c r="U3086" s="1" t="s">
        <v>46</v>
      </c>
      <c r="V3086" s="1" t="n">
        <v>1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3821</v>
      </c>
      <c r="C3087" s="1" t="s">
        <v>3822</v>
      </c>
      <c r="D3087" s="1" t="s">
        <v>14</v>
      </c>
      <c r="E3087" s="1" t="s">
        <v>3379</v>
      </c>
      <c r="F3087" s="1" t="s">
        <v>3380</v>
      </c>
      <c r="G3087" s="1" t="s">
        <v>3379</v>
      </c>
      <c r="H3087" s="2" t="s">
        <v>3428</v>
      </c>
      <c r="I3087" s="1" t="s">
        <v>3429</v>
      </c>
      <c r="J3087" s="1" t="s">
        <v>52</v>
      </c>
      <c r="K3087" s="1" t="s">
        <v>3428</v>
      </c>
      <c r="L3087" s="36" t="s">
        <v>69</v>
      </c>
      <c r="M3087" s="1" t="s">
        <v>69</v>
      </c>
      <c r="N3087" s="1" t="s">
        <v>3383</v>
      </c>
      <c r="O3087" s="1" t="s">
        <v>3780</v>
      </c>
      <c r="P3087" s="1" t="s">
        <v>3385</v>
      </c>
      <c r="Q3087" s="1" t="s">
        <v>3385</v>
      </c>
      <c r="R3087" s="1" t="s">
        <v>46</v>
      </c>
      <c r="S3087" s="1" t="s">
        <v>69</v>
      </c>
      <c r="T3087" s="1" t="s">
        <v>69</v>
      </c>
      <c r="U3087" s="1" t="s">
        <v>46</v>
      </c>
      <c r="V3087" s="1" t="n">
        <v>2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3821</v>
      </c>
      <c r="C3088" s="1" t="s">
        <v>3822</v>
      </c>
      <c r="D3088" s="1" t="s">
        <v>14</v>
      </c>
      <c r="E3088" s="1" t="s">
        <v>3379</v>
      </c>
      <c r="F3088" s="1" t="s">
        <v>3380</v>
      </c>
      <c r="G3088" s="1" t="s">
        <v>3379</v>
      </c>
      <c r="H3088" s="2" t="s">
        <v>3430</v>
      </c>
      <c r="I3088" s="1" t="s">
        <v>3431</v>
      </c>
      <c r="J3088" s="1" t="s">
        <v>52</v>
      </c>
      <c r="K3088" s="1" t="s">
        <v>3430</v>
      </c>
      <c r="L3088" s="36" t="s">
        <v>69</v>
      </c>
      <c r="M3088" s="1" t="s">
        <v>69</v>
      </c>
      <c r="N3088" s="1" t="s">
        <v>3383</v>
      </c>
      <c r="O3088" s="1" t="s">
        <v>3780</v>
      </c>
      <c r="P3088" s="1" t="s">
        <v>3385</v>
      </c>
      <c r="Q3088" s="1" t="s">
        <v>3385</v>
      </c>
      <c r="R3088" s="1" t="s">
        <v>46</v>
      </c>
      <c r="S3088" s="1" t="s">
        <v>69</v>
      </c>
      <c r="T3088" s="1" t="s">
        <v>69</v>
      </c>
      <c r="U3088" s="1" t="s">
        <v>46</v>
      </c>
      <c r="V3088" s="1" t="n">
        <v>3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3821</v>
      </c>
      <c r="C3089" s="1" t="s">
        <v>3822</v>
      </c>
      <c r="D3089" s="1" t="s">
        <v>14</v>
      </c>
      <c r="E3089" s="1" t="s">
        <v>3379</v>
      </c>
      <c r="F3089" s="1" t="s">
        <v>3380</v>
      </c>
      <c r="G3089" s="1" t="s">
        <v>3379</v>
      </c>
      <c r="H3089" s="2" t="s">
        <v>3432</v>
      </c>
      <c r="I3089" s="1" t="s">
        <v>3433</v>
      </c>
      <c r="J3089" s="1" t="s">
        <v>52</v>
      </c>
      <c r="K3089" s="1" t="s">
        <v>3432</v>
      </c>
      <c r="L3089" s="36" t="s">
        <v>69</v>
      </c>
      <c r="M3089" s="1" t="s">
        <v>69</v>
      </c>
      <c r="N3089" s="1" t="s">
        <v>3383</v>
      </c>
      <c r="O3089" s="1" t="s">
        <v>3780</v>
      </c>
      <c r="P3089" s="1" t="s">
        <v>3385</v>
      </c>
      <c r="Q3089" s="1" t="s">
        <v>3385</v>
      </c>
      <c r="R3089" s="1" t="s">
        <v>46</v>
      </c>
      <c r="S3089" s="1" t="s">
        <v>69</v>
      </c>
      <c r="T3089" s="1" t="s">
        <v>69</v>
      </c>
      <c r="U3089" s="1" t="s">
        <v>46</v>
      </c>
      <c r="V3089" s="1" t="n">
        <v>4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3821</v>
      </c>
      <c r="C3090" s="1" t="s">
        <v>3822</v>
      </c>
      <c r="D3090" s="1" t="s">
        <v>14</v>
      </c>
      <c r="E3090" s="1" t="s">
        <v>3379</v>
      </c>
      <c r="F3090" s="1" t="s">
        <v>3380</v>
      </c>
      <c r="G3090" s="1" t="s">
        <v>3379</v>
      </c>
      <c r="H3090" s="2" t="s">
        <v>3434</v>
      </c>
      <c r="I3090" s="1" t="s">
        <v>3435</v>
      </c>
      <c r="J3090" s="1" t="s">
        <v>52</v>
      </c>
      <c r="K3090" s="1" t="s">
        <v>3434</v>
      </c>
      <c r="L3090" s="36" t="s">
        <v>69</v>
      </c>
      <c r="M3090" s="1" t="s">
        <v>69</v>
      </c>
      <c r="N3090" s="1" t="s">
        <v>3383</v>
      </c>
      <c r="O3090" s="1" t="s">
        <v>3780</v>
      </c>
      <c r="P3090" s="1" t="s">
        <v>3385</v>
      </c>
      <c r="Q3090" s="1" t="s">
        <v>3385</v>
      </c>
      <c r="R3090" s="1" t="s">
        <v>46</v>
      </c>
      <c r="S3090" s="1" t="s">
        <v>69</v>
      </c>
      <c r="T3090" s="1" t="s">
        <v>69</v>
      </c>
      <c r="U3090" s="1" t="s">
        <v>46</v>
      </c>
      <c r="V3090" s="1" t="n">
        <v>5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3821</v>
      </c>
      <c r="C3091" s="1" t="s">
        <v>3822</v>
      </c>
      <c r="D3091" s="1" t="s">
        <v>14</v>
      </c>
      <c r="E3091" s="1" t="s">
        <v>3379</v>
      </c>
      <c r="F3091" s="1" t="s">
        <v>3380</v>
      </c>
      <c r="G3091" s="1" t="s">
        <v>3379</v>
      </c>
      <c r="H3091" s="2" t="s">
        <v>3530</v>
      </c>
      <c r="I3091" s="1" t="s">
        <v>3531</v>
      </c>
      <c r="J3091" s="1" t="s">
        <v>52</v>
      </c>
      <c r="K3091" s="1" t="s">
        <v>3530</v>
      </c>
      <c r="L3091" s="36" t="s">
        <v>69</v>
      </c>
      <c r="M3091" s="1" t="s">
        <v>69</v>
      </c>
      <c r="N3091" s="1" t="s">
        <v>3383</v>
      </c>
      <c r="O3091" s="1" t="s">
        <v>3781</v>
      </c>
      <c r="P3091" s="1" t="s">
        <v>3385</v>
      </c>
      <c r="Q3091" s="1" t="s">
        <v>3385</v>
      </c>
      <c r="R3091" s="1" t="s">
        <v>46</v>
      </c>
      <c r="S3091" s="1" t="s">
        <v>69</v>
      </c>
      <c r="T3091" s="1" t="s">
        <v>69</v>
      </c>
      <c r="U3091" s="1" t="s">
        <v>46</v>
      </c>
      <c r="V3091" s="1" t="n">
        <v>1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3821</v>
      </c>
      <c r="C3092" s="1" t="s">
        <v>3822</v>
      </c>
      <c r="D3092" s="1" t="s">
        <v>14</v>
      </c>
      <c r="E3092" s="1" t="s">
        <v>3379</v>
      </c>
      <c r="F3092" s="1" t="s">
        <v>3380</v>
      </c>
      <c r="G3092" s="1" t="s">
        <v>3379</v>
      </c>
      <c r="H3092" s="2" t="s">
        <v>3533</v>
      </c>
      <c r="I3092" s="1" t="s">
        <v>3534</v>
      </c>
      <c r="J3092" s="1" t="s">
        <v>52</v>
      </c>
      <c r="K3092" s="1" t="s">
        <v>3533</v>
      </c>
      <c r="L3092" s="36" t="s">
        <v>69</v>
      </c>
      <c r="M3092" s="1" t="s">
        <v>69</v>
      </c>
      <c r="N3092" s="1" t="s">
        <v>3383</v>
      </c>
      <c r="O3092" s="1" t="s">
        <v>3781</v>
      </c>
      <c r="P3092" s="1" t="s">
        <v>3385</v>
      </c>
      <c r="Q3092" s="1" t="s">
        <v>3385</v>
      </c>
      <c r="R3092" s="1" t="s">
        <v>46</v>
      </c>
      <c r="S3092" s="1" t="s">
        <v>69</v>
      </c>
      <c r="T3092" s="1" t="s">
        <v>69</v>
      </c>
      <c r="U3092" s="1" t="s">
        <v>46</v>
      </c>
      <c r="V3092" s="1" t="n">
        <v>2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3821</v>
      </c>
      <c r="C3093" s="1" t="s">
        <v>3822</v>
      </c>
      <c r="D3093" s="1" t="s">
        <v>14</v>
      </c>
      <c r="E3093" s="1" t="s">
        <v>3379</v>
      </c>
      <c r="F3093" s="1" t="s">
        <v>3380</v>
      </c>
      <c r="G3093" s="1" t="s">
        <v>3379</v>
      </c>
      <c r="H3093" s="2" t="s">
        <v>3535</v>
      </c>
      <c r="I3093" s="1" t="s">
        <v>3536</v>
      </c>
      <c r="J3093" s="1" t="s">
        <v>52</v>
      </c>
      <c r="K3093" s="1" t="s">
        <v>3535</v>
      </c>
      <c r="L3093" s="36" t="s">
        <v>69</v>
      </c>
      <c r="M3093" s="1" t="s">
        <v>69</v>
      </c>
      <c r="N3093" s="1" t="s">
        <v>3383</v>
      </c>
      <c r="O3093" s="1" t="s">
        <v>3781</v>
      </c>
      <c r="P3093" s="1" t="s">
        <v>3385</v>
      </c>
      <c r="Q3093" s="1" t="s">
        <v>3385</v>
      </c>
      <c r="R3093" s="1" t="s">
        <v>46</v>
      </c>
      <c r="S3093" s="1" t="s">
        <v>69</v>
      </c>
      <c r="T3093" s="1" t="s">
        <v>69</v>
      </c>
      <c r="U3093" s="1" t="s">
        <v>46</v>
      </c>
      <c r="V3093" s="1" t="n">
        <v>3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3821</v>
      </c>
      <c r="C3094" s="1" t="s">
        <v>3822</v>
      </c>
      <c r="D3094" s="1" t="s">
        <v>14</v>
      </c>
      <c r="E3094" s="1" t="s">
        <v>3379</v>
      </c>
      <c r="F3094" s="1" t="s">
        <v>3380</v>
      </c>
      <c r="G3094" s="1" t="s">
        <v>3379</v>
      </c>
      <c r="H3094" s="2" t="s">
        <v>3537</v>
      </c>
      <c r="I3094" s="1" t="s">
        <v>3538</v>
      </c>
      <c r="J3094" s="1" t="s">
        <v>52</v>
      </c>
      <c r="K3094" s="1" t="s">
        <v>3537</v>
      </c>
      <c r="L3094" s="36" t="s">
        <v>69</v>
      </c>
      <c r="M3094" s="1" t="s">
        <v>69</v>
      </c>
      <c r="N3094" s="1" t="s">
        <v>3383</v>
      </c>
      <c r="O3094" s="1" t="s">
        <v>3781</v>
      </c>
      <c r="P3094" s="1" t="s">
        <v>3385</v>
      </c>
      <c r="Q3094" s="1" t="s">
        <v>3385</v>
      </c>
      <c r="R3094" s="1" t="s">
        <v>46</v>
      </c>
      <c r="S3094" s="1" t="s">
        <v>69</v>
      </c>
      <c r="T3094" s="1" t="s">
        <v>69</v>
      </c>
      <c r="U3094" s="1" t="s">
        <v>46</v>
      </c>
      <c r="V3094" s="1" t="n">
        <v>4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3821</v>
      </c>
      <c r="C3095" s="1" t="s">
        <v>3822</v>
      </c>
      <c r="D3095" s="1" t="s">
        <v>14</v>
      </c>
      <c r="E3095" s="1" t="s">
        <v>3379</v>
      </c>
      <c r="F3095" s="1" t="s">
        <v>3380</v>
      </c>
      <c r="G3095" s="1" t="s">
        <v>3379</v>
      </c>
      <c r="H3095" s="2" t="s">
        <v>3539</v>
      </c>
      <c r="I3095" s="1" t="s">
        <v>3540</v>
      </c>
      <c r="J3095" s="1" t="s">
        <v>52</v>
      </c>
      <c r="K3095" s="1" t="s">
        <v>3539</v>
      </c>
      <c r="L3095" s="36" t="s">
        <v>69</v>
      </c>
      <c r="M3095" s="1" t="s">
        <v>69</v>
      </c>
      <c r="N3095" s="1" t="s">
        <v>3383</v>
      </c>
      <c r="O3095" s="1" t="s">
        <v>3781</v>
      </c>
      <c r="P3095" s="1" t="s">
        <v>3385</v>
      </c>
      <c r="Q3095" s="1" t="s">
        <v>3385</v>
      </c>
      <c r="R3095" s="1" t="s">
        <v>46</v>
      </c>
      <c r="S3095" s="1" t="s">
        <v>69</v>
      </c>
      <c r="T3095" s="1" t="s">
        <v>69</v>
      </c>
      <c r="U3095" s="1" t="s">
        <v>46</v>
      </c>
      <c r="V3095" s="1" t="n">
        <v>5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3821</v>
      </c>
      <c r="C3096" s="1" t="s">
        <v>3822</v>
      </c>
      <c r="D3096" s="1" t="s">
        <v>14</v>
      </c>
      <c r="E3096" s="1" t="s">
        <v>3379</v>
      </c>
      <c r="F3096" s="1" t="s">
        <v>3380</v>
      </c>
      <c r="G3096" s="1" t="s">
        <v>3379</v>
      </c>
      <c r="H3096" s="2" t="s">
        <v>3436</v>
      </c>
      <c r="I3096" s="1" t="s">
        <v>3437</v>
      </c>
      <c r="J3096" s="1" t="s">
        <v>52</v>
      </c>
      <c r="K3096" s="1" t="s">
        <v>3436</v>
      </c>
      <c r="L3096" s="36" t="s">
        <v>69</v>
      </c>
      <c r="M3096" s="1" t="s">
        <v>69</v>
      </c>
      <c r="N3096" s="1" t="s">
        <v>1935</v>
      </c>
      <c r="O3096" s="1" t="s">
        <v>46</v>
      </c>
      <c r="P3096" s="1" t="s">
        <v>46</v>
      </c>
      <c r="Q3096" s="1" t="s">
        <v>46</v>
      </c>
      <c r="R3096" s="1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3821</v>
      </c>
      <c r="C3097" s="1" t="s">
        <v>3822</v>
      </c>
      <c r="D3097" s="1" t="s">
        <v>14</v>
      </c>
      <c r="E3097" s="1" t="s">
        <v>3379</v>
      </c>
      <c r="F3097" s="1" t="s">
        <v>3380</v>
      </c>
      <c r="G3097" s="1" t="s">
        <v>3379</v>
      </c>
      <c r="H3097" s="2" t="s">
        <v>3438</v>
      </c>
      <c r="I3097" s="1" t="s">
        <v>3439</v>
      </c>
      <c r="J3097" s="1" t="s">
        <v>52</v>
      </c>
      <c r="K3097" s="1" t="s">
        <v>3438</v>
      </c>
      <c r="L3097" s="36" t="s">
        <v>69</v>
      </c>
      <c r="M3097" s="1" t="s">
        <v>69</v>
      </c>
      <c r="N3097" s="1" t="s">
        <v>1935</v>
      </c>
      <c r="O3097" s="1" t="s">
        <v>46</v>
      </c>
      <c r="P3097" s="1" t="s">
        <v>46</v>
      </c>
      <c r="Q3097" s="1" t="s">
        <v>46</v>
      </c>
      <c r="R3097" s="1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3821</v>
      </c>
      <c r="C3098" s="1" t="s">
        <v>3822</v>
      </c>
      <c r="D3098" s="1" t="s">
        <v>14</v>
      </c>
      <c r="E3098" s="1" t="s">
        <v>3379</v>
      </c>
      <c r="F3098" s="1" t="s">
        <v>3380</v>
      </c>
      <c r="G3098" s="1" t="s">
        <v>3379</v>
      </c>
      <c r="H3098" s="2" t="s">
        <v>3440</v>
      </c>
      <c r="I3098" s="1" t="s">
        <v>3441</v>
      </c>
      <c r="J3098" s="1" t="s">
        <v>52</v>
      </c>
      <c r="K3098" s="1" t="s">
        <v>3440</v>
      </c>
      <c r="L3098" s="36" t="s">
        <v>69</v>
      </c>
      <c r="M3098" s="1" t="s">
        <v>69</v>
      </c>
      <c r="N3098" s="1" t="s">
        <v>1935</v>
      </c>
      <c r="O3098" s="1" t="s">
        <v>46</v>
      </c>
      <c r="P3098" s="1" t="s">
        <v>46</v>
      </c>
      <c r="Q3098" s="1" t="s">
        <v>46</v>
      </c>
      <c r="R3098" s="1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3821</v>
      </c>
      <c r="C3099" s="1" t="s">
        <v>3822</v>
      </c>
      <c r="D3099" s="1" t="s">
        <v>14</v>
      </c>
      <c r="E3099" s="1" t="s">
        <v>3379</v>
      </c>
      <c r="F3099" s="1" t="s">
        <v>3380</v>
      </c>
      <c r="G3099" s="1" t="s">
        <v>3379</v>
      </c>
      <c r="H3099" s="2" t="s">
        <v>3442</v>
      </c>
      <c r="I3099" s="1" t="s">
        <v>3443</v>
      </c>
      <c r="J3099" s="1" t="s">
        <v>52</v>
      </c>
      <c r="K3099" s="1" t="s">
        <v>3442</v>
      </c>
      <c r="L3099" s="36" t="s">
        <v>69</v>
      </c>
      <c r="M3099" s="1" t="s">
        <v>69</v>
      </c>
      <c r="N3099" s="1" t="s">
        <v>1935</v>
      </c>
      <c r="O3099" s="1" t="s">
        <v>46</v>
      </c>
      <c r="P3099" s="1" t="s">
        <v>46</v>
      </c>
      <c r="Q3099" s="1" t="s">
        <v>46</v>
      </c>
      <c r="R3099" s="1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3821</v>
      </c>
      <c r="C3100" s="1" t="s">
        <v>3822</v>
      </c>
      <c r="D3100" s="1" t="s">
        <v>14</v>
      </c>
      <c r="E3100" s="1" t="s">
        <v>3379</v>
      </c>
      <c r="F3100" s="1" t="s">
        <v>3380</v>
      </c>
      <c r="G3100" s="1" t="s">
        <v>3379</v>
      </c>
      <c r="H3100" s="2" t="s">
        <v>3444</v>
      </c>
      <c r="I3100" s="1" t="s">
        <v>3445</v>
      </c>
      <c r="J3100" s="1" t="s">
        <v>52</v>
      </c>
      <c r="K3100" s="1" t="s">
        <v>3444</v>
      </c>
      <c r="L3100" s="36" t="s">
        <v>69</v>
      </c>
      <c r="M3100" s="1" t="s">
        <v>69</v>
      </c>
      <c r="N3100" s="1" t="s">
        <v>1935</v>
      </c>
      <c r="O3100" s="1" t="s">
        <v>46</v>
      </c>
      <c r="P3100" s="1" t="s">
        <v>46</v>
      </c>
      <c r="Q3100" s="1" t="s">
        <v>46</v>
      </c>
      <c r="R3100" s="1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3821</v>
      </c>
      <c r="C3101" s="1" t="s">
        <v>3822</v>
      </c>
      <c r="D3101" s="1" t="s">
        <v>14</v>
      </c>
      <c r="E3101" s="1" t="s">
        <v>3379</v>
      </c>
      <c r="F3101" s="1" t="s">
        <v>3380</v>
      </c>
      <c r="G3101" s="1" t="s">
        <v>3379</v>
      </c>
      <c r="H3101" s="2" t="s">
        <v>3446</v>
      </c>
      <c r="I3101" s="1" t="s">
        <v>3447</v>
      </c>
      <c r="J3101" s="1" t="s">
        <v>52</v>
      </c>
      <c r="K3101" s="1" t="s">
        <v>3446</v>
      </c>
      <c r="L3101" s="36" t="s">
        <v>69</v>
      </c>
      <c r="M3101" s="1" t="s">
        <v>69</v>
      </c>
      <c r="N3101" s="1" t="s">
        <v>1935</v>
      </c>
      <c r="O3101" s="1" t="s">
        <v>46</v>
      </c>
      <c r="P3101" s="1" t="s">
        <v>46</v>
      </c>
      <c r="Q3101" s="1" t="s">
        <v>46</v>
      </c>
      <c r="R3101" s="1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3821</v>
      </c>
      <c r="C3102" s="1" t="s">
        <v>3822</v>
      </c>
      <c r="D3102" s="1" t="s">
        <v>14</v>
      </c>
      <c r="E3102" s="1" t="s">
        <v>3379</v>
      </c>
      <c r="F3102" s="1" t="s">
        <v>3380</v>
      </c>
      <c r="G3102" s="1" t="s">
        <v>3379</v>
      </c>
      <c r="H3102" s="2" t="s">
        <v>3448</v>
      </c>
      <c r="I3102" s="1" t="s">
        <v>3449</v>
      </c>
      <c r="J3102" s="1" t="s">
        <v>52</v>
      </c>
      <c r="K3102" s="1" t="s">
        <v>3448</v>
      </c>
      <c r="L3102" s="36" t="s">
        <v>69</v>
      </c>
      <c r="M3102" s="1" t="s">
        <v>69</v>
      </c>
      <c r="N3102" s="1" t="s">
        <v>1935</v>
      </c>
      <c r="O3102" s="1" t="s">
        <v>46</v>
      </c>
      <c r="P3102" s="1" t="s">
        <v>46</v>
      </c>
      <c r="Q3102" s="1" t="s">
        <v>46</v>
      </c>
      <c r="R3102" s="1" t="s">
        <v>46</v>
      </c>
      <c r="S3102" s="1" t="s">
        <v>46</v>
      </c>
      <c r="T3102" s="1" t="s">
        <v>46</v>
      </c>
      <c r="U3102" s="1" t="s">
        <v>46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3821</v>
      </c>
      <c r="C3103" s="1" t="s">
        <v>3822</v>
      </c>
      <c r="D3103" s="1" t="s">
        <v>14</v>
      </c>
      <c r="E3103" s="1" t="s">
        <v>3379</v>
      </c>
      <c r="F3103" s="1" t="s">
        <v>3380</v>
      </c>
      <c r="G3103" s="1" t="s">
        <v>3379</v>
      </c>
      <c r="H3103" s="2" t="s">
        <v>3450</v>
      </c>
      <c r="I3103" s="1" t="s">
        <v>3451</v>
      </c>
      <c r="J3103" s="1" t="s">
        <v>52</v>
      </c>
      <c r="K3103" s="1" t="s">
        <v>3450</v>
      </c>
      <c r="L3103" s="36" t="s">
        <v>69</v>
      </c>
      <c r="M3103" s="1" t="s">
        <v>69</v>
      </c>
      <c r="N3103" s="1" t="s">
        <v>1935</v>
      </c>
      <c r="O3103" s="1" t="s">
        <v>46</v>
      </c>
      <c r="P3103" s="1" t="s">
        <v>46</v>
      </c>
      <c r="Q3103" s="1" t="s">
        <v>46</v>
      </c>
      <c r="R3103" s="1" t="s">
        <v>46</v>
      </c>
      <c r="S3103" s="1" t="s">
        <v>46</v>
      </c>
      <c r="T3103" s="1" t="s">
        <v>46</v>
      </c>
      <c r="U3103" s="1" t="s">
        <v>46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3821</v>
      </c>
      <c r="C3104" s="1" t="s">
        <v>3822</v>
      </c>
      <c r="D3104" s="1" t="s">
        <v>14</v>
      </c>
      <c r="E3104" s="1" t="s">
        <v>3379</v>
      </c>
      <c r="F3104" s="1" t="s">
        <v>3380</v>
      </c>
      <c r="G3104" s="1" t="s">
        <v>3379</v>
      </c>
      <c r="H3104" s="2" t="s">
        <v>3452</v>
      </c>
      <c r="I3104" s="1" t="s">
        <v>3453</v>
      </c>
      <c r="J3104" s="1" t="s">
        <v>52</v>
      </c>
      <c r="K3104" s="1" t="s">
        <v>3452</v>
      </c>
      <c r="L3104" s="36" t="s">
        <v>69</v>
      </c>
      <c r="M3104" s="1" t="s">
        <v>69</v>
      </c>
      <c r="N3104" s="1" t="s">
        <v>1935</v>
      </c>
      <c r="O3104" s="1" t="s">
        <v>46</v>
      </c>
      <c r="P3104" s="1" t="s">
        <v>46</v>
      </c>
      <c r="Q3104" s="1" t="s">
        <v>46</v>
      </c>
      <c r="R3104" s="1" t="s">
        <v>46</v>
      </c>
      <c r="S3104" s="1" t="s">
        <v>46</v>
      </c>
      <c r="T3104" s="1" t="s">
        <v>46</v>
      </c>
      <c r="U3104" s="1" t="s">
        <v>46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3821</v>
      </c>
      <c r="C3105" s="1" t="s">
        <v>3822</v>
      </c>
      <c r="D3105" s="1" t="s">
        <v>14</v>
      </c>
      <c r="E3105" s="1" t="s">
        <v>3379</v>
      </c>
      <c r="F3105" s="1" t="s">
        <v>3380</v>
      </c>
      <c r="G3105" s="1" t="s">
        <v>3379</v>
      </c>
      <c r="H3105" s="2" t="s">
        <v>3454</v>
      </c>
      <c r="I3105" s="1" t="s">
        <v>3455</v>
      </c>
      <c r="J3105" s="1" t="s">
        <v>52</v>
      </c>
      <c r="K3105" s="1" t="s">
        <v>3454</v>
      </c>
      <c r="L3105" s="36" t="s">
        <v>69</v>
      </c>
      <c r="M3105" s="1" t="s">
        <v>69</v>
      </c>
      <c r="N3105" s="1" t="s">
        <v>1935</v>
      </c>
      <c r="O3105" s="1" t="s">
        <v>46</v>
      </c>
      <c r="P3105" s="1" t="s">
        <v>46</v>
      </c>
      <c r="Q3105" s="1" t="s">
        <v>46</v>
      </c>
      <c r="R3105" s="1" t="s">
        <v>46</v>
      </c>
      <c r="S3105" s="1" t="s">
        <v>46</v>
      </c>
      <c r="T3105" s="1" t="s">
        <v>46</v>
      </c>
      <c r="U3105" s="1" t="s">
        <v>46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3821</v>
      </c>
      <c r="C3106" s="1" t="s">
        <v>3822</v>
      </c>
      <c r="D3106" s="1" t="s">
        <v>14</v>
      </c>
      <c r="E3106" s="1" t="s">
        <v>3379</v>
      </c>
      <c r="F3106" s="1" t="s">
        <v>3380</v>
      </c>
      <c r="G3106" s="1" t="s">
        <v>3379</v>
      </c>
      <c r="H3106" s="2" t="s">
        <v>3456</v>
      </c>
      <c r="I3106" s="1" t="s">
        <v>3457</v>
      </c>
      <c r="J3106" s="1" t="s">
        <v>52</v>
      </c>
      <c r="K3106" s="1" t="s">
        <v>3456</v>
      </c>
      <c r="L3106" s="36" t="s">
        <v>69</v>
      </c>
      <c r="M3106" s="1" t="s">
        <v>69</v>
      </c>
      <c r="N3106" s="1" t="s">
        <v>1935</v>
      </c>
      <c r="O3106" s="1" t="s">
        <v>46</v>
      </c>
      <c r="P3106" s="1" t="s">
        <v>46</v>
      </c>
      <c r="Q3106" s="1" t="s">
        <v>46</v>
      </c>
      <c r="R3106" s="1" t="s">
        <v>46</v>
      </c>
      <c r="S3106" s="1" t="s">
        <v>46</v>
      </c>
      <c r="T3106" s="1" t="s">
        <v>46</v>
      </c>
      <c r="U3106" s="1" t="s">
        <v>46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3821</v>
      </c>
      <c r="C3107" s="1" t="s">
        <v>3822</v>
      </c>
      <c r="D3107" s="1" t="s">
        <v>14</v>
      </c>
      <c r="E3107" s="1" t="s">
        <v>3379</v>
      </c>
      <c r="F3107" s="1" t="s">
        <v>3380</v>
      </c>
      <c r="G3107" s="1" t="s">
        <v>3379</v>
      </c>
      <c r="H3107" s="2" t="s">
        <v>3458</v>
      </c>
      <c r="I3107" s="1" t="s">
        <v>3459</v>
      </c>
      <c r="J3107" s="1" t="s">
        <v>52</v>
      </c>
      <c r="K3107" s="1" t="s">
        <v>3458</v>
      </c>
      <c r="L3107" s="36" t="s">
        <v>69</v>
      </c>
      <c r="M3107" s="1" t="s">
        <v>69</v>
      </c>
      <c r="N3107" s="1" t="s">
        <v>1935</v>
      </c>
      <c r="O3107" s="1" t="s">
        <v>46</v>
      </c>
      <c r="P3107" s="1" t="s">
        <v>46</v>
      </c>
      <c r="Q3107" s="1" t="s">
        <v>46</v>
      </c>
      <c r="R3107" s="1" t="s">
        <v>46</v>
      </c>
      <c r="S3107" s="1" t="s">
        <v>46</v>
      </c>
      <c r="T3107" s="1" t="s">
        <v>46</v>
      </c>
      <c r="U3107" s="1" t="s">
        <v>46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3821</v>
      </c>
      <c r="C3108" s="1" t="s">
        <v>3822</v>
      </c>
      <c r="D3108" s="1" t="s">
        <v>14</v>
      </c>
      <c r="E3108" s="1" t="s">
        <v>3379</v>
      </c>
      <c r="F3108" s="1" t="s">
        <v>3380</v>
      </c>
      <c r="G3108" s="1" t="s">
        <v>3379</v>
      </c>
      <c r="H3108" s="2" t="s">
        <v>3460</v>
      </c>
      <c r="I3108" s="1" t="s">
        <v>3461</v>
      </c>
      <c r="J3108" s="1" t="s">
        <v>52</v>
      </c>
      <c r="K3108" s="1" t="s">
        <v>3460</v>
      </c>
      <c r="L3108" s="36" t="s">
        <v>69</v>
      </c>
      <c r="M3108" s="1" t="s">
        <v>69</v>
      </c>
      <c r="N3108" s="1" t="s">
        <v>1935</v>
      </c>
      <c r="O3108" s="1" t="s">
        <v>46</v>
      </c>
      <c r="P3108" s="1" t="s">
        <v>46</v>
      </c>
      <c r="Q3108" s="1" t="s">
        <v>46</v>
      </c>
      <c r="R3108" s="1" t="s">
        <v>46</v>
      </c>
      <c r="S3108" s="1" t="s">
        <v>46</v>
      </c>
      <c r="T3108" s="1" t="s">
        <v>46</v>
      </c>
      <c r="U3108" s="1" t="s">
        <v>46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3821</v>
      </c>
      <c r="C3109" s="1" t="s">
        <v>3822</v>
      </c>
      <c r="D3109" s="1" t="s">
        <v>14</v>
      </c>
      <c r="E3109" s="1" t="s">
        <v>3379</v>
      </c>
      <c r="F3109" s="1" t="s">
        <v>3380</v>
      </c>
      <c r="G3109" s="1" t="s">
        <v>3379</v>
      </c>
      <c r="H3109" s="2" t="s">
        <v>3462</v>
      </c>
      <c r="I3109" s="1" t="s">
        <v>3463</v>
      </c>
      <c r="J3109" s="1" t="s">
        <v>52</v>
      </c>
      <c r="K3109" s="1" t="s">
        <v>3462</v>
      </c>
      <c r="L3109" s="36" t="s">
        <v>69</v>
      </c>
      <c r="M3109" s="1" t="s">
        <v>69</v>
      </c>
      <c r="N3109" s="1" t="s">
        <v>1935</v>
      </c>
      <c r="O3109" s="1" t="s">
        <v>46</v>
      </c>
      <c r="P3109" s="1" t="s">
        <v>46</v>
      </c>
      <c r="Q3109" s="1" t="s">
        <v>46</v>
      </c>
      <c r="R3109" s="1" t="s">
        <v>46</v>
      </c>
      <c r="S3109" s="1" t="s">
        <v>46</v>
      </c>
      <c r="T3109" s="1" t="s">
        <v>46</v>
      </c>
      <c r="U3109" s="1" t="s">
        <v>46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3821</v>
      </c>
      <c r="C3110" s="1" t="s">
        <v>3822</v>
      </c>
      <c r="D3110" s="1" t="s">
        <v>14</v>
      </c>
      <c r="E3110" s="1" t="s">
        <v>3379</v>
      </c>
      <c r="F3110" s="1" t="s">
        <v>3380</v>
      </c>
      <c r="G3110" s="1" t="s">
        <v>3379</v>
      </c>
      <c r="H3110" s="2" t="s">
        <v>3464</v>
      </c>
      <c r="I3110" s="1" t="s">
        <v>3465</v>
      </c>
      <c r="J3110" s="1" t="s">
        <v>52</v>
      </c>
      <c r="K3110" s="1" t="s">
        <v>3464</v>
      </c>
      <c r="L3110" s="36" t="s">
        <v>69</v>
      </c>
      <c r="M3110" s="1" t="s">
        <v>69</v>
      </c>
      <c r="N3110" s="1" t="s">
        <v>1935</v>
      </c>
      <c r="O3110" s="1" t="s">
        <v>46</v>
      </c>
      <c r="P3110" s="1" t="s">
        <v>46</v>
      </c>
      <c r="Q3110" s="1" t="s">
        <v>46</v>
      </c>
      <c r="R3110" s="1" t="s">
        <v>46</v>
      </c>
      <c r="S3110" s="1" t="s">
        <v>46</v>
      </c>
      <c r="T3110" s="1" t="s">
        <v>46</v>
      </c>
      <c r="U3110" s="1" t="s">
        <v>46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3821</v>
      </c>
      <c r="C3111" s="1" t="s">
        <v>3822</v>
      </c>
      <c r="D3111" s="1" t="s">
        <v>14</v>
      </c>
      <c r="E3111" s="1" t="s">
        <v>3379</v>
      </c>
      <c r="F3111" s="1" t="s">
        <v>3380</v>
      </c>
      <c r="G3111" s="1" t="s">
        <v>3379</v>
      </c>
      <c r="H3111" s="2" t="s">
        <v>3466</v>
      </c>
      <c r="I3111" s="1" t="s">
        <v>3467</v>
      </c>
      <c r="J3111" s="1" t="s">
        <v>52</v>
      </c>
      <c r="K3111" s="1" t="s">
        <v>3466</v>
      </c>
      <c r="L3111" s="36" t="s">
        <v>69</v>
      </c>
      <c r="M3111" s="1" t="s">
        <v>69</v>
      </c>
      <c r="N3111" s="1" t="s">
        <v>3468</v>
      </c>
      <c r="O3111" s="1" t="s">
        <v>46</v>
      </c>
      <c r="P3111" s="1" t="s">
        <v>46</v>
      </c>
      <c r="Q3111" s="1" t="s">
        <v>46</v>
      </c>
      <c r="R3111" s="1" t="s">
        <v>46</v>
      </c>
      <c r="S3111" s="1" t="s">
        <v>46</v>
      </c>
      <c r="T3111" s="1" t="s">
        <v>46</v>
      </c>
      <c r="U3111" s="1" t="s">
        <v>46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3821</v>
      </c>
      <c r="C3112" s="1" t="s">
        <v>3822</v>
      </c>
      <c r="D3112" s="1" t="s">
        <v>14</v>
      </c>
      <c r="E3112" s="1" t="s">
        <v>3379</v>
      </c>
      <c r="F3112" s="1" t="s">
        <v>3380</v>
      </c>
      <c r="G3112" s="1" t="s">
        <v>3379</v>
      </c>
      <c r="H3112" s="2" t="s">
        <v>3469</v>
      </c>
      <c r="I3112" s="1" t="s">
        <v>3470</v>
      </c>
      <c r="J3112" s="1" t="s">
        <v>52</v>
      </c>
      <c r="K3112" s="1" t="s">
        <v>3469</v>
      </c>
      <c r="L3112" s="36" t="s">
        <v>69</v>
      </c>
      <c r="M3112" s="1" t="s">
        <v>69</v>
      </c>
      <c r="N3112" s="1" t="s">
        <v>3468</v>
      </c>
      <c r="O3112" s="1" t="s">
        <v>46</v>
      </c>
      <c r="P3112" s="1" t="s">
        <v>46</v>
      </c>
      <c r="Q3112" s="1" t="s">
        <v>46</v>
      </c>
      <c r="R3112" s="1" t="s">
        <v>46</v>
      </c>
      <c r="S3112" s="1" t="s">
        <v>46</v>
      </c>
      <c r="T3112" s="1" t="s">
        <v>46</v>
      </c>
      <c r="U3112" s="1" t="s">
        <v>46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3821</v>
      </c>
      <c r="C3113" s="1" t="s">
        <v>3822</v>
      </c>
      <c r="D3113" s="1" t="s">
        <v>14</v>
      </c>
      <c r="E3113" s="1" t="s">
        <v>3379</v>
      </c>
      <c r="F3113" s="1" t="s">
        <v>3380</v>
      </c>
      <c r="G3113" s="1" t="s">
        <v>3379</v>
      </c>
      <c r="H3113" s="2" t="s">
        <v>3471</v>
      </c>
      <c r="I3113" s="1" t="s">
        <v>3472</v>
      </c>
      <c r="J3113" s="1" t="s">
        <v>52</v>
      </c>
      <c r="K3113" s="1" t="s">
        <v>3471</v>
      </c>
      <c r="L3113" s="36" t="s">
        <v>69</v>
      </c>
      <c r="M3113" s="1" t="s">
        <v>69</v>
      </c>
      <c r="N3113" s="1" t="s">
        <v>3468</v>
      </c>
      <c r="O3113" s="1" t="s">
        <v>46</v>
      </c>
      <c r="P3113" s="1" t="s">
        <v>46</v>
      </c>
      <c r="Q3113" s="1" t="s">
        <v>46</v>
      </c>
      <c r="R3113" s="1" t="s">
        <v>46</v>
      </c>
      <c r="S3113" s="1" t="s">
        <v>46</v>
      </c>
      <c r="T3113" s="1" t="s">
        <v>46</v>
      </c>
      <c r="U3113" s="1" t="s">
        <v>46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3821</v>
      </c>
      <c r="C3114" s="1" t="s">
        <v>3822</v>
      </c>
      <c r="D3114" s="1" t="s">
        <v>14</v>
      </c>
      <c r="E3114" s="1" t="s">
        <v>3379</v>
      </c>
      <c r="F3114" s="1" t="s">
        <v>3380</v>
      </c>
      <c r="G3114" s="1" t="s">
        <v>3379</v>
      </c>
      <c r="H3114" s="2" t="s">
        <v>3473</v>
      </c>
      <c r="I3114" s="1" t="s">
        <v>3474</v>
      </c>
      <c r="J3114" s="1" t="s">
        <v>52</v>
      </c>
      <c r="K3114" s="1" t="s">
        <v>3473</v>
      </c>
      <c r="L3114" s="36" t="s">
        <v>69</v>
      </c>
      <c r="M3114" s="1" t="s">
        <v>69</v>
      </c>
      <c r="N3114" s="1" t="s">
        <v>3468</v>
      </c>
      <c r="O3114" s="1" t="s">
        <v>46</v>
      </c>
      <c r="P3114" s="1" t="s">
        <v>46</v>
      </c>
      <c r="Q3114" s="1" t="s">
        <v>46</v>
      </c>
      <c r="R3114" s="1" t="s">
        <v>46</v>
      </c>
      <c r="S3114" s="1" t="s">
        <v>46</v>
      </c>
      <c r="T3114" s="1" t="s">
        <v>46</v>
      </c>
      <c r="U3114" s="1" t="s">
        <v>46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3821</v>
      </c>
      <c r="C3115" s="1" t="s">
        <v>3822</v>
      </c>
      <c r="D3115" s="1" t="s">
        <v>14</v>
      </c>
      <c r="E3115" s="1" t="s">
        <v>3379</v>
      </c>
      <c r="F3115" s="1" t="s">
        <v>3380</v>
      </c>
      <c r="G3115" s="1" t="s">
        <v>3379</v>
      </c>
      <c r="H3115" s="2" t="s">
        <v>3475</v>
      </c>
      <c r="I3115" s="1" t="s">
        <v>3476</v>
      </c>
      <c r="J3115" s="1" t="s">
        <v>52</v>
      </c>
      <c r="K3115" s="1" t="s">
        <v>3475</v>
      </c>
      <c r="L3115" s="36" t="s">
        <v>69</v>
      </c>
      <c r="M3115" s="1" t="s">
        <v>69</v>
      </c>
      <c r="N3115" s="1" t="s">
        <v>3468</v>
      </c>
      <c r="O3115" s="1" t="s">
        <v>46</v>
      </c>
      <c r="P3115" s="1" t="s">
        <v>46</v>
      </c>
      <c r="Q3115" s="1" t="s">
        <v>46</v>
      </c>
      <c r="R3115" s="1" t="s">
        <v>46</v>
      </c>
      <c r="S3115" s="1" t="s">
        <v>46</v>
      </c>
      <c r="T3115" s="1" t="s">
        <v>46</v>
      </c>
      <c r="U3115" s="1" t="s">
        <v>46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3821</v>
      </c>
      <c r="C3116" s="1" t="s">
        <v>3822</v>
      </c>
      <c r="D3116" s="1" t="s">
        <v>14</v>
      </c>
      <c r="E3116" s="1" t="s">
        <v>3379</v>
      </c>
      <c r="F3116" s="1" t="s">
        <v>3380</v>
      </c>
      <c r="G3116" s="1" t="s">
        <v>3379</v>
      </c>
      <c r="H3116" s="2" t="s">
        <v>3477</v>
      </c>
      <c r="I3116" s="1" t="s">
        <v>3478</v>
      </c>
      <c r="J3116" s="1" t="s">
        <v>52</v>
      </c>
      <c r="K3116" s="1" t="s">
        <v>3477</v>
      </c>
      <c r="L3116" s="36" t="s">
        <v>69</v>
      </c>
      <c r="M3116" s="1" t="s">
        <v>69</v>
      </c>
      <c r="N3116" s="1" t="s">
        <v>3468</v>
      </c>
      <c r="O3116" s="1" t="s">
        <v>46</v>
      </c>
      <c r="P3116" s="1" t="s">
        <v>46</v>
      </c>
      <c r="Q3116" s="1" t="s">
        <v>46</v>
      </c>
      <c r="R3116" s="1" t="s">
        <v>46</v>
      </c>
      <c r="S3116" s="1" t="s">
        <v>46</v>
      </c>
      <c r="T3116" s="1" t="s">
        <v>46</v>
      </c>
      <c r="U3116" s="1" t="s">
        <v>46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3821</v>
      </c>
      <c r="C3117" s="1" t="s">
        <v>3822</v>
      </c>
      <c r="D3117" s="1" t="s">
        <v>14</v>
      </c>
      <c r="E3117" s="1" t="s">
        <v>3379</v>
      </c>
      <c r="F3117" s="1" t="s">
        <v>3380</v>
      </c>
      <c r="G3117" s="1" t="s">
        <v>3379</v>
      </c>
      <c r="H3117" s="2" t="s">
        <v>3479</v>
      </c>
      <c r="I3117" s="1" t="s">
        <v>3480</v>
      </c>
      <c r="J3117" s="1" t="s">
        <v>52</v>
      </c>
      <c r="K3117" s="1" t="s">
        <v>3479</v>
      </c>
      <c r="L3117" s="36" t="s">
        <v>69</v>
      </c>
      <c r="M3117" s="1" t="s">
        <v>69</v>
      </c>
      <c r="N3117" s="1" t="s">
        <v>3468</v>
      </c>
      <c r="O3117" s="1" t="s">
        <v>46</v>
      </c>
      <c r="P3117" s="1" t="s">
        <v>46</v>
      </c>
      <c r="Q3117" s="1" t="s">
        <v>46</v>
      </c>
      <c r="R3117" s="1" t="s">
        <v>46</v>
      </c>
      <c r="S3117" s="1" t="s">
        <v>46</v>
      </c>
      <c r="T3117" s="1" t="s">
        <v>46</v>
      </c>
      <c r="U3117" s="1" t="s">
        <v>46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3821</v>
      </c>
      <c r="C3118" s="1" t="s">
        <v>3822</v>
      </c>
      <c r="D3118" s="1" t="s">
        <v>14</v>
      </c>
      <c r="E3118" s="1" t="s">
        <v>3379</v>
      </c>
      <c r="F3118" s="1" t="s">
        <v>3380</v>
      </c>
      <c r="G3118" s="1" t="s">
        <v>3379</v>
      </c>
      <c r="H3118" s="2" t="s">
        <v>3481</v>
      </c>
      <c r="I3118" s="1" t="s">
        <v>3482</v>
      </c>
      <c r="J3118" s="1" t="s">
        <v>52</v>
      </c>
      <c r="K3118" s="1" t="s">
        <v>3481</v>
      </c>
      <c r="L3118" s="36" t="s">
        <v>69</v>
      </c>
      <c r="M3118" s="1" t="s">
        <v>69</v>
      </c>
      <c r="N3118" s="1" t="s">
        <v>3468</v>
      </c>
      <c r="O3118" s="1" t="s">
        <v>46</v>
      </c>
      <c r="P3118" s="1" t="s">
        <v>46</v>
      </c>
      <c r="Q3118" s="1" t="s">
        <v>46</v>
      </c>
      <c r="R3118" s="1" t="s">
        <v>46</v>
      </c>
      <c r="S3118" s="1" t="s">
        <v>46</v>
      </c>
      <c r="T3118" s="1" t="s">
        <v>46</v>
      </c>
      <c r="U3118" s="1" t="s">
        <v>46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3821</v>
      </c>
      <c r="C3119" s="1" t="s">
        <v>3822</v>
      </c>
      <c r="D3119" s="1" t="s">
        <v>14</v>
      </c>
      <c r="E3119" s="1" t="s">
        <v>3379</v>
      </c>
      <c r="F3119" s="1" t="s">
        <v>3380</v>
      </c>
      <c r="G3119" s="1" t="s">
        <v>3379</v>
      </c>
      <c r="H3119" s="2" t="s">
        <v>3483</v>
      </c>
      <c r="I3119" s="1" t="s">
        <v>3484</v>
      </c>
      <c r="J3119" s="1" t="s">
        <v>52</v>
      </c>
      <c r="K3119" s="1" t="s">
        <v>3483</v>
      </c>
      <c r="L3119" s="36" t="s">
        <v>69</v>
      </c>
      <c r="M3119" s="1" t="s">
        <v>69</v>
      </c>
      <c r="N3119" s="1" t="s">
        <v>3468</v>
      </c>
      <c r="O3119" s="1" t="s">
        <v>46</v>
      </c>
      <c r="P3119" s="1" t="s">
        <v>46</v>
      </c>
      <c r="Q3119" s="1" t="s">
        <v>46</v>
      </c>
      <c r="R3119" s="1" t="s">
        <v>46</v>
      </c>
      <c r="S3119" s="1" t="s">
        <v>46</v>
      </c>
      <c r="T3119" s="1" t="s">
        <v>46</v>
      </c>
      <c r="U3119" s="1" t="s">
        <v>46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3821</v>
      </c>
      <c r="C3120" s="1" t="s">
        <v>3822</v>
      </c>
      <c r="D3120" s="1" t="s">
        <v>14</v>
      </c>
      <c r="E3120" s="1" t="s">
        <v>3379</v>
      </c>
      <c r="F3120" s="1" t="s">
        <v>3380</v>
      </c>
      <c r="G3120" s="1" t="s">
        <v>3379</v>
      </c>
      <c r="H3120" s="2" t="s">
        <v>3485</v>
      </c>
      <c r="I3120" s="1" t="s">
        <v>3486</v>
      </c>
      <c r="J3120" s="1" t="s">
        <v>52</v>
      </c>
      <c r="K3120" s="1" t="s">
        <v>3485</v>
      </c>
      <c r="L3120" s="36" t="s">
        <v>69</v>
      </c>
      <c r="M3120" s="1" t="s">
        <v>69</v>
      </c>
      <c r="N3120" s="1" t="s">
        <v>3468</v>
      </c>
      <c r="O3120" s="1" t="s">
        <v>46</v>
      </c>
      <c r="P3120" s="1" t="s">
        <v>46</v>
      </c>
      <c r="Q3120" s="1" t="s">
        <v>46</v>
      </c>
      <c r="R3120" s="1" t="s">
        <v>46</v>
      </c>
      <c r="S3120" s="1" t="s">
        <v>46</v>
      </c>
      <c r="T3120" s="1" t="s">
        <v>46</v>
      </c>
      <c r="U3120" s="1" t="s">
        <v>46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3821</v>
      </c>
      <c r="C3121" s="1" t="s">
        <v>3822</v>
      </c>
      <c r="D3121" s="1" t="s">
        <v>14</v>
      </c>
      <c r="E3121" s="1" t="s">
        <v>3379</v>
      </c>
      <c r="F3121" s="1" t="s">
        <v>3380</v>
      </c>
      <c r="G3121" s="1" t="s">
        <v>3379</v>
      </c>
      <c r="H3121" s="2" t="s">
        <v>3487</v>
      </c>
      <c r="I3121" s="1" t="s">
        <v>3488</v>
      </c>
      <c r="J3121" s="1" t="s">
        <v>52</v>
      </c>
      <c r="K3121" s="1" t="s">
        <v>3487</v>
      </c>
      <c r="L3121" s="36" t="s">
        <v>69</v>
      </c>
      <c r="M3121" s="1" t="s">
        <v>69</v>
      </c>
      <c r="N3121" s="1" t="s">
        <v>3468</v>
      </c>
      <c r="O3121" s="1" t="s">
        <v>46</v>
      </c>
      <c r="P3121" s="1" t="s">
        <v>46</v>
      </c>
      <c r="Q3121" s="1" t="s">
        <v>46</v>
      </c>
      <c r="R3121" s="1" t="s">
        <v>46</v>
      </c>
      <c r="S3121" s="1" t="s">
        <v>46</v>
      </c>
      <c r="T3121" s="1" t="s">
        <v>46</v>
      </c>
      <c r="U3121" s="1" t="s">
        <v>46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3821</v>
      </c>
      <c r="C3122" s="1" t="s">
        <v>3822</v>
      </c>
      <c r="D3122" s="1" t="s">
        <v>14</v>
      </c>
      <c r="E3122" s="1" t="s">
        <v>3379</v>
      </c>
      <c r="F3122" s="1" t="s">
        <v>3380</v>
      </c>
      <c r="G3122" s="1" t="s">
        <v>3379</v>
      </c>
      <c r="H3122" s="2" t="s">
        <v>3489</v>
      </c>
      <c r="I3122" s="1" t="s">
        <v>3490</v>
      </c>
      <c r="J3122" s="1" t="s">
        <v>52</v>
      </c>
      <c r="K3122" s="1" t="s">
        <v>3489</v>
      </c>
      <c r="L3122" s="36" t="s">
        <v>69</v>
      </c>
      <c r="M3122" s="1" t="s">
        <v>69</v>
      </c>
      <c r="N3122" s="1" t="s">
        <v>3468</v>
      </c>
      <c r="O3122" s="1" t="s">
        <v>46</v>
      </c>
      <c r="P3122" s="1" t="s">
        <v>46</v>
      </c>
      <c r="Q3122" s="1" t="s">
        <v>46</v>
      </c>
      <c r="R3122" s="1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3821</v>
      </c>
      <c r="C3123" s="1" t="s">
        <v>3822</v>
      </c>
      <c r="D3123" s="1" t="s">
        <v>14</v>
      </c>
      <c r="E3123" s="1" t="s">
        <v>3379</v>
      </c>
      <c r="F3123" s="1" t="s">
        <v>3380</v>
      </c>
      <c r="G3123" s="1" t="s">
        <v>3379</v>
      </c>
      <c r="H3123" s="2" t="s">
        <v>3491</v>
      </c>
      <c r="I3123" s="1" t="s">
        <v>3492</v>
      </c>
      <c r="J3123" s="1" t="s">
        <v>52</v>
      </c>
      <c r="K3123" s="1" t="s">
        <v>3491</v>
      </c>
      <c r="L3123" s="36" t="s">
        <v>69</v>
      </c>
      <c r="M3123" s="1" t="s">
        <v>69</v>
      </c>
      <c r="N3123" s="1" t="s">
        <v>3468</v>
      </c>
      <c r="O3123" s="1" t="s">
        <v>46</v>
      </c>
      <c r="P3123" s="1" t="s">
        <v>46</v>
      </c>
      <c r="Q3123" s="1" t="s">
        <v>46</v>
      </c>
      <c r="R3123" s="1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3821</v>
      </c>
      <c r="C3124" s="1" t="s">
        <v>3822</v>
      </c>
      <c r="D3124" s="1" t="s">
        <v>14</v>
      </c>
      <c r="E3124" s="1" t="s">
        <v>3379</v>
      </c>
      <c r="F3124" s="1" t="s">
        <v>3380</v>
      </c>
      <c r="G3124" s="1" t="s">
        <v>3379</v>
      </c>
      <c r="H3124" s="2" t="s">
        <v>3493</v>
      </c>
      <c r="I3124" s="1" t="s">
        <v>3494</v>
      </c>
      <c r="J3124" s="1" t="s">
        <v>52</v>
      </c>
      <c r="K3124" s="1" t="s">
        <v>3493</v>
      </c>
      <c r="L3124" s="36" t="s">
        <v>69</v>
      </c>
      <c r="M3124" s="1" t="s">
        <v>69</v>
      </c>
      <c r="N3124" s="1" t="s">
        <v>3468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3821</v>
      </c>
      <c r="C3125" s="1" t="s">
        <v>3822</v>
      </c>
      <c r="D3125" s="1" t="s">
        <v>14</v>
      </c>
      <c r="E3125" s="1" t="s">
        <v>3379</v>
      </c>
      <c r="F3125" s="1" t="s">
        <v>3380</v>
      </c>
      <c r="G3125" s="1" t="s">
        <v>3379</v>
      </c>
      <c r="H3125" s="2" t="s">
        <v>3495</v>
      </c>
      <c r="I3125" s="1" t="s">
        <v>3496</v>
      </c>
      <c r="J3125" s="1" t="s">
        <v>52</v>
      </c>
      <c r="K3125" s="1" t="s">
        <v>3495</v>
      </c>
      <c r="L3125" s="36" t="s">
        <v>69</v>
      </c>
      <c r="M3125" s="1" t="s">
        <v>69</v>
      </c>
      <c r="N3125" s="1" t="s">
        <v>3468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3823</v>
      </c>
      <c r="C3126" s="1" t="s">
        <v>3824</v>
      </c>
      <c r="D3126" s="1" t="s">
        <v>14</v>
      </c>
      <c r="E3126" s="1" t="s">
        <v>3379</v>
      </c>
      <c r="F3126" s="1" t="s">
        <v>3380</v>
      </c>
      <c r="G3126" s="1" t="s">
        <v>3379</v>
      </c>
      <c r="H3126" s="2" t="s">
        <v>3381</v>
      </c>
      <c r="I3126" s="1" t="s">
        <v>3382</v>
      </c>
      <c r="J3126" s="1" t="s">
        <v>52</v>
      </c>
      <c r="K3126" s="1" t="s">
        <v>3381</v>
      </c>
      <c r="L3126" s="36" t="s">
        <v>69</v>
      </c>
      <c r="M3126" s="1" t="s">
        <v>69</v>
      </c>
      <c r="N3126" s="1" t="s">
        <v>3383</v>
      </c>
      <c r="O3126" s="1" t="s">
        <v>3780</v>
      </c>
      <c r="P3126" s="1" t="s">
        <v>3385</v>
      </c>
      <c r="Q3126" s="1" t="s">
        <v>3385</v>
      </c>
      <c r="R3126" s="1" t="s">
        <v>46</v>
      </c>
      <c r="S3126" s="1" t="s">
        <v>69</v>
      </c>
      <c r="T3126" s="1" t="s">
        <v>69</v>
      </c>
      <c r="U3126" s="1" t="s">
        <v>46</v>
      </c>
      <c r="V3126" s="1" t="n">
        <v>1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3823</v>
      </c>
      <c r="C3127" s="1" t="s">
        <v>3824</v>
      </c>
      <c r="D3127" s="1" t="s">
        <v>14</v>
      </c>
      <c r="E3127" s="1" t="s">
        <v>3379</v>
      </c>
      <c r="F3127" s="1" t="s">
        <v>3380</v>
      </c>
      <c r="G3127" s="1" t="s">
        <v>3379</v>
      </c>
      <c r="H3127" s="2" t="s">
        <v>3386</v>
      </c>
      <c r="I3127" s="1" t="s">
        <v>3387</v>
      </c>
      <c r="J3127" s="1" t="s">
        <v>52</v>
      </c>
      <c r="K3127" s="1" t="s">
        <v>3386</v>
      </c>
      <c r="L3127" s="36" t="s">
        <v>69</v>
      </c>
      <c r="M3127" s="1" t="s">
        <v>69</v>
      </c>
      <c r="N3127" s="1" t="s">
        <v>3383</v>
      </c>
      <c r="O3127" s="1" t="s">
        <v>3780</v>
      </c>
      <c r="P3127" s="1" t="s">
        <v>3385</v>
      </c>
      <c r="Q3127" s="1" t="s">
        <v>3385</v>
      </c>
      <c r="R3127" s="1" t="s">
        <v>46</v>
      </c>
      <c r="S3127" s="1" t="s">
        <v>69</v>
      </c>
      <c r="T3127" s="1" t="s">
        <v>69</v>
      </c>
      <c r="U3127" s="1" t="s">
        <v>46</v>
      </c>
      <c r="V3127" s="1" t="n">
        <v>2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3823</v>
      </c>
      <c r="C3128" s="1" t="s">
        <v>3824</v>
      </c>
      <c r="D3128" s="1" t="s">
        <v>14</v>
      </c>
      <c r="E3128" s="1" t="s">
        <v>3379</v>
      </c>
      <c r="F3128" s="1" t="s">
        <v>3380</v>
      </c>
      <c r="G3128" s="1" t="s">
        <v>3379</v>
      </c>
      <c r="H3128" s="2" t="s">
        <v>3388</v>
      </c>
      <c r="I3128" s="1" t="s">
        <v>3389</v>
      </c>
      <c r="J3128" s="1" t="s">
        <v>52</v>
      </c>
      <c r="K3128" s="1" t="s">
        <v>3388</v>
      </c>
      <c r="L3128" s="36" t="s">
        <v>69</v>
      </c>
      <c r="M3128" s="1" t="s">
        <v>69</v>
      </c>
      <c r="N3128" s="1" t="s">
        <v>3383</v>
      </c>
      <c r="O3128" s="1" t="s">
        <v>3780</v>
      </c>
      <c r="P3128" s="1" t="s">
        <v>3385</v>
      </c>
      <c r="Q3128" s="1" t="s">
        <v>3385</v>
      </c>
      <c r="R3128" s="1" t="s">
        <v>46</v>
      </c>
      <c r="S3128" s="1" t="s">
        <v>69</v>
      </c>
      <c r="T3128" s="1" t="s">
        <v>69</v>
      </c>
      <c r="U3128" s="1" t="s">
        <v>46</v>
      </c>
      <c r="V3128" s="1" t="n">
        <v>3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3823</v>
      </c>
      <c r="C3129" s="1" t="s">
        <v>3824</v>
      </c>
      <c r="D3129" s="1" t="s">
        <v>14</v>
      </c>
      <c r="E3129" s="1" t="s">
        <v>3379</v>
      </c>
      <c r="F3129" s="1" t="s">
        <v>3380</v>
      </c>
      <c r="G3129" s="1" t="s">
        <v>3379</v>
      </c>
      <c r="H3129" s="2" t="s">
        <v>3390</v>
      </c>
      <c r="I3129" s="1" t="s">
        <v>3391</v>
      </c>
      <c r="J3129" s="1" t="s">
        <v>52</v>
      </c>
      <c r="K3129" s="1" t="s">
        <v>3390</v>
      </c>
      <c r="L3129" s="36" t="s">
        <v>69</v>
      </c>
      <c r="M3129" s="1" t="s">
        <v>69</v>
      </c>
      <c r="N3129" s="1" t="s">
        <v>3383</v>
      </c>
      <c r="O3129" s="1" t="s">
        <v>3780</v>
      </c>
      <c r="P3129" s="1" t="s">
        <v>3385</v>
      </c>
      <c r="Q3129" s="1" t="s">
        <v>3385</v>
      </c>
      <c r="R3129" s="1" t="s">
        <v>46</v>
      </c>
      <c r="S3129" s="1" t="s">
        <v>69</v>
      </c>
      <c r="T3129" s="1" t="s">
        <v>69</v>
      </c>
      <c r="U3129" s="1" t="s">
        <v>46</v>
      </c>
      <c r="V3129" s="1" t="n">
        <v>4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3823</v>
      </c>
      <c r="C3130" s="1" t="s">
        <v>3824</v>
      </c>
      <c r="D3130" s="1" t="s">
        <v>14</v>
      </c>
      <c r="E3130" s="1" t="s">
        <v>3379</v>
      </c>
      <c r="F3130" s="1" t="s">
        <v>3380</v>
      </c>
      <c r="G3130" s="1" t="s">
        <v>3379</v>
      </c>
      <c r="H3130" s="2" t="s">
        <v>3392</v>
      </c>
      <c r="I3130" s="1" t="s">
        <v>3393</v>
      </c>
      <c r="J3130" s="1" t="s">
        <v>52</v>
      </c>
      <c r="K3130" s="1" t="s">
        <v>3392</v>
      </c>
      <c r="L3130" s="36" t="s">
        <v>69</v>
      </c>
      <c r="M3130" s="1" t="s">
        <v>69</v>
      </c>
      <c r="N3130" s="1" t="s">
        <v>3383</v>
      </c>
      <c r="O3130" s="1" t="s">
        <v>3780</v>
      </c>
      <c r="P3130" s="1" t="s">
        <v>3385</v>
      </c>
      <c r="Q3130" s="1" t="s">
        <v>3385</v>
      </c>
      <c r="R3130" s="1" t="s">
        <v>46</v>
      </c>
      <c r="S3130" s="1" t="s">
        <v>69</v>
      </c>
      <c r="T3130" s="1" t="s">
        <v>69</v>
      </c>
      <c r="U3130" s="1" t="s">
        <v>46</v>
      </c>
      <c r="V3130" s="1" t="n">
        <v>5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3823</v>
      </c>
      <c r="C3131" s="1" t="s">
        <v>3824</v>
      </c>
      <c r="D3131" s="1" t="s">
        <v>14</v>
      </c>
      <c r="E3131" s="1" t="s">
        <v>3379</v>
      </c>
      <c r="F3131" s="1" t="s">
        <v>3380</v>
      </c>
      <c r="G3131" s="1" t="s">
        <v>3379</v>
      </c>
      <c r="H3131" s="2" t="s">
        <v>3541</v>
      </c>
      <c r="I3131" s="1" t="s">
        <v>3542</v>
      </c>
      <c r="J3131" s="1" t="s">
        <v>52</v>
      </c>
      <c r="K3131" s="1" t="s">
        <v>3541</v>
      </c>
      <c r="L3131" s="36" t="s">
        <v>69</v>
      </c>
      <c r="M3131" s="1" t="s">
        <v>69</v>
      </c>
      <c r="N3131" s="1" t="s">
        <v>3383</v>
      </c>
      <c r="O3131" s="1" t="s">
        <v>3781</v>
      </c>
      <c r="P3131" s="1" t="s">
        <v>3385</v>
      </c>
      <c r="Q3131" s="1" t="s">
        <v>3385</v>
      </c>
      <c r="R3131" s="1" t="s">
        <v>46</v>
      </c>
      <c r="S3131" s="1" t="s">
        <v>69</v>
      </c>
      <c r="T3131" s="1" t="s">
        <v>69</v>
      </c>
      <c r="U3131" s="1" t="s">
        <v>46</v>
      </c>
      <c r="V3131" s="1" t="n">
        <v>1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3823</v>
      </c>
      <c r="C3132" s="1" t="s">
        <v>3824</v>
      </c>
      <c r="D3132" s="1" t="s">
        <v>14</v>
      </c>
      <c r="E3132" s="1" t="s">
        <v>3379</v>
      </c>
      <c r="F3132" s="1" t="s">
        <v>3380</v>
      </c>
      <c r="G3132" s="1" t="s">
        <v>3379</v>
      </c>
      <c r="H3132" s="2" t="s">
        <v>3544</v>
      </c>
      <c r="I3132" s="1" t="s">
        <v>3545</v>
      </c>
      <c r="J3132" s="1" t="s">
        <v>52</v>
      </c>
      <c r="K3132" s="1" t="s">
        <v>3544</v>
      </c>
      <c r="L3132" s="36" t="s">
        <v>69</v>
      </c>
      <c r="M3132" s="1" t="s">
        <v>69</v>
      </c>
      <c r="N3132" s="1" t="s">
        <v>3383</v>
      </c>
      <c r="O3132" s="1" t="s">
        <v>3781</v>
      </c>
      <c r="P3132" s="1" t="s">
        <v>3385</v>
      </c>
      <c r="Q3132" s="1" t="s">
        <v>3385</v>
      </c>
      <c r="R3132" s="1" t="s">
        <v>46</v>
      </c>
      <c r="S3132" s="1" t="s">
        <v>69</v>
      </c>
      <c r="T3132" s="1" t="s">
        <v>69</v>
      </c>
      <c r="U3132" s="1" t="s">
        <v>46</v>
      </c>
      <c r="V3132" s="1" t="n">
        <v>2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3823</v>
      </c>
      <c r="C3133" s="1" t="s">
        <v>3824</v>
      </c>
      <c r="D3133" s="1" t="s">
        <v>14</v>
      </c>
      <c r="E3133" s="1" t="s">
        <v>3379</v>
      </c>
      <c r="F3133" s="1" t="s">
        <v>3380</v>
      </c>
      <c r="G3133" s="1" t="s">
        <v>3379</v>
      </c>
      <c r="H3133" s="2" t="s">
        <v>3546</v>
      </c>
      <c r="I3133" s="1" t="s">
        <v>3547</v>
      </c>
      <c r="J3133" s="1" t="s">
        <v>52</v>
      </c>
      <c r="K3133" s="1" t="s">
        <v>3546</v>
      </c>
      <c r="L3133" s="36" t="s">
        <v>69</v>
      </c>
      <c r="M3133" s="1" t="s">
        <v>69</v>
      </c>
      <c r="N3133" s="1" t="s">
        <v>3383</v>
      </c>
      <c r="O3133" s="1" t="s">
        <v>3781</v>
      </c>
      <c r="P3133" s="1" t="s">
        <v>3385</v>
      </c>
      <c r="Q3133" s="1" t="s">
        <v>3385</v>
      </c>
      <c r="R3133" s="1" t="s">
        <v>46</v>
      </c>
      <c r="S3133" s="1" t="s">
        <v>69</v>
      </c>
      <c r="T3133" s="1" t="s">
        <v>69</v>
      </c>
      <c r="U3133" s="1" t="s">
        <v>46</v>
      </c>
      <c r="V3133" s="1" t="n">
        <v>3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3823</v>
      </c>
      <c r="C3134" s="1" t="s">
        <v>3824</v>
      </c>
      <c r="D3134" s="1" t="s">
        <v>14</v>
      </c>
      <c r="E3134" s="1" t="s">
        <v>3379</v>
      </c>
      <c r="F3134" s="1" t="s">
        <v>3380</v>
      </c>
      <c r="G3134" s="1" t="s">
        <v>3379</v>
      </c>
      <c r="H3134" s="2" t="s">
        <v>3548</v>
      </c>
      <c r="I3134" s="1" t="s">
        <v>3549</v>
      </c>
      <c r="J3134" s="1" t="s">
        <v>52</v>
      </c>
      <c r="K3134" s="1" t="s">
        <v>3548</v>
      </c>
      <c r="L3134" s="36" t="s">
        <v>69</v>
      </c>
      <c r="M3134" s="1" t="s">
        <v>69</v>
      </c>
      <c r="N3134" s="1" t="s">
        <v>3383</v>
      </c>
      <c r="O3134" s="1" t="s">
        <v>3781</v>
      </c>
      <c r="P3134" s="1" t="s">
        <v>3385</v>
      </c>
      <c r="Q3134" s="1" t="s">
        <v>3385</v>
      </c>
      <c r="R3134" s="1" t="s">
        <v>46</v>
      </c>
      <c r="S3134" s="1" t="s">
        <v>69</v>
      </c>
      <c r="T3134" s="1" t="s">
        <v>69</v>
      </c>
      <c r="U3134" s="1" t="s">
        <v>46</v>
      </c>
      <c r="V3134" s="1" t="n">
        <v>4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3823</v>
      </c>
      <c r="C3135" s="1" t="s">
        <v>3824</v>
      </c>
      <c r="D3135" s="1" t="s">
        <v>14</v>
      </c>
      <c r="E3135" s="1" t="s">
        <v>3379</v>
      </c>
      <c r="F3135" s="1" t="s">
        <v>3380</v>
      </c>
      <c r="G3135" s="1" t="s">
        <v>3379</v>
      </c>
      <c r="H3135" s="2" t="s">
        <v>3550</v>
      </c>
      <c r="I3135" s="1" t="s">
        <v>3551</v>
      </c>
      <c r="J3135" s="1" t="s">
        <v>52</v>
      </c>
      <c r="K3135" s="1" t="s">
        <v>3550</v>
      </c>
      <c r="L3135" s="36" t="s">
        <v>69</v>
      </c>
      <c r="M3135" s="1" t="s">
        <v>69</v>
      </c>
      <c r="N3135" s="1" t="s">
        <v>3383</v>
      </c>
      <c r="O3135" s="1" t="s">
        <v>3781</v>
      </c>
      <c r="P3135" s="1" t="s">
        <v>3385</v>
      </c>
      <c r="Q3135" s="1" t="s">
        <v>3385</v>
      </c>
      <c r="R3135" s="1" t="s">
        <v>46</v>
      </c>
      <c r="S3135" s="1" t="s">
        <v>69</v>
      </c>
      <c r="T3135" s="1" t="s">
        <v>69</v>
      </c>
      <c r="U3135" s="1" t="s">
        <v>46</v>
      </c>
      <c r="V3135" s="1" t="n">
        <v>5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3823</v>
      </c>
      <c r="C3136" s="1" t="s">
        <v>3824</v>
      </c>
      <c r="D3136" s="1" t="s">
        <v>14</v>
      </c>
      <c r="E3136" s="1" t="s">
        <v>3379</v>
      </c>
      <c r="F3136" s="1" t="s">
        <v>3380</v>
      </c>
      <c r="G3136" s="1" t="s">
        <v>3379</v>
      </c>
      <c r="H3136" s="2" t="s">
        <v>3436</v>
      </c>
      <c r="I3136" s="1" t="s">
        <v>3437</v>
      </c>
      <c r="J3136" s="1" t="s">
        <v>52</v>
      </c>
      <c r="K3136" s="1" t="s">
        <v>3436</v>
      </c>
      <c r="L3136" s="36" t="s">
        <v>69</v>
      </c>
      <c r="M3136" s="1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3823</v>
      </c>
      <c r="C3137" s="1" t="s">
        <v>3824</v>
      </c>
      <c r="D3137" s="1" t="s">
        <v>14</v>
      </c>
      <c r="E3137" s="1" t="s">
        <v>3379</v>
      </c>
      <c r="F3137" s="1" t="s">
        <v>3380</v>
      </c>
      <c r="G3137" s="1" t="s">
        <v>3379</v>
      </c>
      <c r="H3137" s="2" t="s">
        <v>3438</v>
      </c>
      <c r="I3137" s="1" t="s">
        <v>3439</v>
      </c>
      <c r="J3137" s="1" t="s">
        <v>52</v>
      </c>
      <c r="K3137" s="1" t="s">
        <v>3438</v>
      </c>
      <c r="L3137" s="36" t="s">
        <v>69</v>
      </c>
      <c r="M3137" s="1" t="s">
        <v>69</v>
      </c>
      <c r="N3137" s="1" t="s">
        <v>1935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3823</v>
      </c>
      <c r="C3138" s="1" t="s">
        <v>3824</v>
      </c>
      <c r="D3138" s="1" t="s">
        <v>14</v>
      </c>
      <c r="E3138" s="1" t="s">
        <v>3379</v>
      </c>
      <c r="F3138" s="1" t="s">
        <v>3380</v>
      </c>
      <c r="G3138" s="1" t="s">
        <v>3379</v>
      </c>
      <c r="H3138" s="2" t="s">
        <v>3440</v>
      </c>
      <c r="I3138" s="1" t="s">
        <v>3441</v>
      </c>
      <c r="J3138" s="1" t="s">
        <v>52</v>
      </c>
      <c r="K3138" s="1" t="s">
        <v>3440</v>
      </c>
      <c r="L3138" s="36" t="s">
        <v>69</v>
      </c>
      <c r="M3138" s="1" t="s">
        <v>69</v>
      </c>
      <c r="N3138" s="1" t="s">
        <v>1935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3823</v>
      </c>
      <c r="C3139" s="1" t="s">
        <v>3824</v>
      </c>
      <c r="D3139" s="1" t="s">
        <v>14</v>
      </c>
      <c r="E3139" s="1" t="s">
        <v>3379</v>
      </c>
      <c r="F3139" s="1" t="s">
        <v>3380</v>
      </c>
      <c r="G3139" s="1" t="s">
        <v>3379</v>
      </c>
      <c r="H3139" s="2" t="s">
        <v>3442</v>
      </c>
      <c r="I3139" s="1" t="s">
        <v>3443</v>
      </c>
      <c r="J3139" s="1" t="s">
        <v>52</v>
      </c>
      <c r="K3139" s="1" t="s">
        <v>3442</v>
      </c>
      <c r="L3139" s="36" t="s">
        <v>69</v>
      </c>
      <c r="M3139" s="1" t="s">
        <v>69</v>
      </c>
      <c r="N3139" s="1" t="s">
        <v>1935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3823</v>
      </c>
      <c r="C3140" s="1" t="s">
        <v>3824</v>
      </c>
      <c r="D3140" s="1" t="s">
        <v>14</v>
      </c>
      <c r="E3140" s="1" t="s">
        <v>3379</v>
      </c>
      <c r="F3140" s="1" t="s">
        <v>3380</v>
      </c>
      <c r="G3140" s="1" t="s">
        <v>3379</v>
      </c>
      <c r="H3140" s="2" t="s">
        <v>3444</v>
      </c>
      <c r="I3140" s="1" t="s">
        <v>3445</v>
      </c>
      <c r="J3140" s="1" t="s">
        <v>52</v>
      </c>
      <c r="K3140" s="1" t="s">
        <v>3444</v>
      </c>
      <c r="L3140" s="36" t="s">
        <v>69</v>
      </c>
      <c r="M3140" s="1" t="s">
        <v>69</v>
      </c>
      <c r="N3140" s="1" t="s">
        <v>1935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3823</v>
      </c>
      <c r="C3141" s="1" t="s">
        <v>3824</v>
      </c>
      <c r="D3141" s="1" t="s">
        <v>14</v>
      </c>
      <c r="E3141" s="1" t="s">
        <v>3379</v>
      </c>
      <c r="F3141" s="1" t="s">
        <v>3380</v>
      </c>
      <c r="G3141" s="1" t="s">
        <v>3379</v>
      </c>
      <c r="H3141" s="2" t="s">
        <v>3446</v>
      </c>
      <c r="I3141" s="1" t="s">
        <v>3447</v>
      </c>
      <c r="J3141" s="1" t="s">
        <v>52</v>
      </c>
      <c r="K3141" s="1" t="s">
        <v>3446</v>
      </c>
      <c r="L3141" s="36" t="s">
        <v>69</v>
      </c>
      <c r="M3141" s="1" t="s">
        <v>69</v>
      </c>
      <c r="N3141" s="1" t="s">
        <v>1935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3823</v>
      </c>
      <c r="C3142" s="1" t="s">
        <v>3824</v>
      </c>
      <c r="D3142" s="1" t="s">
        <v>14</v>
      </c>
      <c r="E3142" s="1" t="s">
        <v>3379</v>
      </c>
      <c r="F3142" s="1" t="s">
        <v>3380</v>
      </c>
      <c r="G3142" s="1" t="s">
        <v>3379</v>
      </c>
      <c r="H3142" s="2" t="s">
        <v>3448</v>
      </c>
      <c r="I3142" s="1" t="s">
        <v>3449</v>
      </c>
      <c r="J3142" s="1" t="s">
        <v>52</v>
      </c>
      <c r="K3142" s="1" t="s">
        <v>3448</v>
      </c>
      <c r="L3142" s="36" t="s">
        <v>69</v>
      </c>
      <c r="M3142" s="1" t="s">
        <v>69</v>
      </c>
      <c r="N3142" s="1" t="s">
        <v>1935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3823</v>
      </c>
      <c r="C3143" s="1" t="s">
        <v>3824</v>
      </c>
      <c r="D3143" s="1" t="s">
        <v>14</v>
      </c>
      <c r="E3143" s="1" t="s">
        <v>3379</v>
      </c>
      <c r="F3143" s="1" t="s">
        <v>3380</v>
      </c>
      <c r="G3143" s="1" t="s">
        <v>3379</v>
      </c>
      <c r="H3143" s="2" t="s">
        <v>3450</v>
      </c>
      <c r="I3143" s="1" t="s">
        <v>3451</v>
      </c>
      <c r="J3143" s="1" t="s">
        <v>52</v>
      </c>
      <c r="K3143" s="1" t="s">
        <v>3450</v>
      </c>
      <c r="L3143" s="36" t="s">
        <v>69</v>
      </c>
      <c r="M3143" s="1" t="s">
        <v>69</v>
      </c>
      <c r="N3143" s="1" t="s">
        <v>1935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3823</v>
      </c>
      <c r="C3144" s="1" t="s">
        <v>3824</v>
      </c>
      <c r="D3144" s="1" t="s">
        <v>14</v>
      </c>
      <c r="E3144" s="1" t="s">
        <v>3379</v>
      </c>
      <c r="F3144" s="1" t="s">
        <v>3380</v>
      </c>
      <c r="G3144" s="1" t="s">
        <v>3379</v>
      </c>
      <c r="H3144" s="2" t="s">
        <v>3452</v>
      </c>
      <c r="I3144" s="1" t="s">
        <v>3453</v>
      </c>
      <c r="J3144" s="1" t="s">
        <v>52</v>
      </c>
      <c r="K3144" s="1" t="s">
        <v>3452</v>
      </c>
      <c r="L3144" s="36" t="s">
        <v>69</v>
      </c>
      <c r="M3144" s="1" t="s">
        <v>69</v>
      </c>
      <c r="N3144" s="1" t="s">
        <v>1935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3823</v>
      </c>
      <c r="C3145" s="1" t="s">
        <v>3824</v>
      </c>
      <c r="D3145" s="1" t="s">
        <v>14</v>
      </c>
      <c r="E3145" s="1" t="s">
        <v>3379</v>
      </c>
      <c r="F3145" s="1" t="s">
        <v>3380</v>
      </c>
      <c r="G3145" s="1" t="s">
        <v>3379</v>
      </c>
      <c r="H3145" s="2" t="s">
        <v>3454</v>
      </c>
      <c r="I3145" s="1" t="s">
        <v>3455</v>
      </c>
      <c r="J3145" s="1" t="s">
        <v>52</v>
      </c>
      <c r="K3145" s="1" t="s">
        <v>3454</v>
      </c>
      <c r="L3145" s="36" t="s">
        <v>69</v>
      </c>
      <c r="M3145" s="1" t="s">
        <v>69</v>
      </c>
      <c r="N3145" s="1" t="s">
        <v>1935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3823</v>
      </c>
      <c r="C3146" s="1" t="s">
        <v>3824</v>
      </c>
      <c r="D3146" s="1" t="s">
        <v>14</v>
      </c>
      <c r="E3146" s="1" t="s">
        <v>3379</v>
      </c>
      <c r="F3146" s="1" t="s">
        <v>3380</v>
      </c>
      <c r="G3146" s="1" t="s">
        <v>3379</v>
      </c>
      <c r="H3146" s="2" t="s">
        <v>3456</v>
      </c>
      <c r="I3146" s="1" t="s">
        <v>3457</v>
      </c>
      <c r="J3146" s="1" t="s">
        <v>52</v>
      </c>
      <c r="K3146" s="1" t="s">
        <v>3456</v>
      </c>
      <c r="L3146" s="36" t="s">
        <v>69</v>
      </c>
      <c r="M3146" s="1" t="s">
        <v>69</v>
      </c>
      <c r="N3146" s="1" t="s">
        <v>1935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3823</v>
      </c>
      <c r="C3147" s="1" t="s">
        <v>3824</v>
      </c>
      <c r="D3147" s="1" t="s">
        <v>14</v>
      </c>
      <c r="E3147" s="1" t="s">
        <v>3379</v>
      </c>
      <c r="F3147" s="1" t="s">
        <v>3380</v>
      </c>
      <c r="G3147" s="1" t="s">
        <v>3379</v>
      </c>
      <c r="H3147" s="2" t="s">
        <v>3458</v>
      </c>
      <c r="I3147" s="1" t="s">
        <v>3459</v>
      </c>
      <c r="J3147" s="1" t="s">
        <v>52</v>
      </c>
      <c r="K3147" s="1" t="s">
        <v>3458</v>
      </c>
      <c r="L3147" s="36" t="s">
        <v>69</v>
      </c>
      <c r="M3147" s="1" t="s">
        <v>69</v>
      </c>
      <c r="N3147" s="1" t="s">
        <v>1935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3823</v>
      </c>
      <c r="C3148" s="1" t="s">
        <v>3824</v>
      </c>
      <c r="D3148" s="1" t="s">
        <v>14</v>
      </c>
      <c r="E3148" s="1" t="s">
        <v>3379</v>
      </c>
      <c r="F3148" s="1" t="s">
        <v>3380</v>
      </c>
      <c r="G3148" s="1" t="s">
        <v>3379</v>
      </c>
      <c r="H3148" s="2" t="s">
        <v>3460</v>
      </c>
      <c r="I3148" s="1" t="s">
        <v>3461</v>
      </c>
      <c r="J3148" s="1" t="s">
        <v>52</v>
      </c>
      <c r="K3148" s="1" t="s">
        <v>3460</v>
      </c>
      <c r="L3148" s="36" t="s">
        <v>69</v>
      </c>
      <c r="M3148" s="1" t="s">
        <v>69</v>
      </c>
      <c r="N3148" s="1" t="s">
        <v>1935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3823</v>
      </c>
      <c r="C3149" s="1" t="s">
        <v>3824</v>
      </c>
      <c r="D3149" s="1" t="s">
        <v>14</v>
      </c>
      <c r="E3149" s="1" t="s">
        <v>3379</v>
      </c>
      <c r="F3149" s="1" t="s">
        <v>3380</v>
      </c>
      <c r="G3149" s="1" t="s">
        <v>3379</v>
      </c>
      <c r="H3149" s="2" t="s">
        <v>3462</v>
      </c>
      <c r="I3149" s="1" t="s">
        <v>3463</v>
      </c>
      <c r="J3149" s="1" t="s">
        <v>52</v>
      </c>
      <c r="K3149" s="1" t="s">
        <v>3462</v>
      </c>
      <c r="L3149" s="36" t="s">
        <v>69</v>
      </c>
      <c r="M3149" s="1" t="s">
        <v>69</v>
      </c>
      <c r="N3149" s="1" t="s">
        <v>1935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3823</v>
      </c>
      <c r="C3150" s="1" t="s">
        <v>3824</v>
      </c>
      <c r="D3150" s="1" t="s">
        <v>14</v>
      </c>
      <c r="E3150" s="1" t="s">
        <v>3379</v>
      </c>
      <c r="F3150" s="1" t="s">
        <v>3380</v>
      </c>
      <c r="G3150" s="1" t="s">
        <v>3379</v>
      </c>
      <c r="H3150" s="2" t="s">
        <v>3464</v>
      </c>
      <c r="I3150" s="1" t="s">
        <v>3465</v>
      </c>
      <c r="J3150" s="1" t="s">
        <v>52</v>
      </c>
      <c r="K3150" s="1" t="s">
        <v>3464</v>
      </c>
      <c r="L3150" s="36" t="s">
        <v>69</v>
      </c>
      <c r="M3150" s="1" t="s">
        <v>69</v>
      </c>
      <c r="N3150" s="1" t="s">
        <v>1935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3823</v>
      </c>
      <c r="C3151" s="1" t="s">
        <v>3824</v>
      </c>
      <c r="D3151" s="1" t="s">
        <v>14</v>
      </c>
      <c r="E3151" s="1" t="s">
        <v>3379</v>
      </c>
      <c r="F3151" s="1" t="s">
        <v>3380</v>
      </c>
      <c r="G3151" s="1" t="s">
        <v>3379</v>
      </c>
      <c r="H3151" s="2" t="s">
        <v>3466</v>
      </c>
      <c r="I3151" s="1" t="s">
        <v>3467</v>
      </c>
      <c r="J3151" s="1" t="s">
        <v>52</v>
      </c>
      <c r="K3151" s="1" t="s">
        <v>3466</v>
      </c>
      <c r="L3151" s="36" t="s">
        <v>69</v>
      </c>
      <c r="M3151" s="1" t="s">
        <v>69</v>
      </c>
      <c r="N3151" s="1" t="s">
        <v>3468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3823</v>
      </c>
      <c r="C3152" s="1" t="s">
        <v>3824</v>
      </c>
      <c r="D3152" s="1" t="s">
        <v>14</v>
      </c>
      <c r="E3152" s="1" t="s">
        <v>3379</v>
      </c>
      <c r="F3152" s="1" t="s">
        <v>3380</v>
      </c>
      <c r="G3152" s="1" t="s">
        <v>3379</v>
      </c>
      <c r="H3152" s="2" t="s">
        <v>3469</v>
      </c>
      <c r="I3152" s="1" t="s">
        <v>3470</v>
      </c>
      <c r="J3152" s="1" t="s">
        <v>52</v>
      </c>
      <c r="K3152" s="1" t="s">
        <v>3469</v>
      </c>
      <c r="L3152" s="36" t="s">
        <v>69</v>
      </c>
      <c r="M3152" s="1" t="s">
        <v>69</v>
      </c>
      <c r="N3152" s="1" t="s">
        <v>3468</v>
      </c>
      <c r="O3152" s="1" t="s">
        <v>46</v>
      </c>
      <c r="P3152" s="1" t="s">
        <v>46</v>
      </c>
      <c r="Q3152" s="1" t="s">
        <v>46</v>
      </c>
      <c r="R3152" s="1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3823</v>
      </c>
      <c r="C3153" s="1" t="s">
        <v>3824</v>
      </c>
      <c r="D3153" s="1" t="s">
        <v>14</v>
      </c>
      <c r="E3153" s="1" t="s">
        <v>3379</v>
      </c>
      <c r="F3153" s="1" t="s">
        <v>3380</v>
      </c>
      <c r="G3153" s="1" t="s">
        <v>3379</v>
      </c>
      <c r="H3153" s="2" t="s">
        <v>3471</v>
      </c>
      <c r="I3153" s="1" t="s">
        <v>3472</v>
      </c>
      <c r="J3153" s="1" t="s">
        <v>52</v>
      </c>
      <c r="K3153" s="1" t="s">
        <v>3471</v>
      </c>
      <c r="L3153" s="36" t="s">
        <v>69</v>
      </c>
      <c r="M3153" s="1" t="s">
        <v>69</v>
      </c>
      <c r="N3153" s="1" t="s">
        <v>3468</v>
      </c>
      <c r="O3153" s="1" t="s">
        <v>46</v>
      </c>
      <c r="P3153" s="1" t="s">
        <v>46</v>
      </c>
      <c r="Q3153" s="1" t="s">
        <v>46</v>
      </c>
      <c r="R3153" s="1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3823</v>
      </c>
      <c r="C3154" s="1" t="s">
        <v>3824</v>
      </c>
      <c r="D3154" s="1" t="s">
        <v>14</v>
      </c>
      <c r="E3154" s="1" t="s">
        <v>3379</v>
      </c>
      <c r="F3154" s="1" t="s">
        <v>3380</v>
      </c>
      <c r="G3154" s="1" t="s">
        <v>3379</v>
      </c>
      <c r="H3154" s="2" t="s">
        <v>3473</v>
      </c>
      <c r="I3154" s="1" t="s">
        <v>3474</v>
      </c>
      <c r="J3154" s="1" t="s">
        <v>52</v>
      </c>
      <c r="K3154" s="1" t="s">
        <v>3473</v>
      </c>
      <c r="L3154" s="36" t="s">
        <v>69</v>
      </c>
      <c r="M3154" s="1" t="s">
        <v>69</v>
      </c>
      <c r="N3154" s="1" t="s">
        <v>3468</v>
      </c>
      <c r="O3154" s="1" t="s">
        <v>46</v>
      </c>
      <c r="P3154" s="1" t="s">
        <v>46</v>
      </c>
      <c r="Q3154" s="1" t="s">
        <v>46</v>
      </c>
      <c r="R3154" s="1" t="s">
        <v>46</v>
      </c>
      <c r="S3154" s="1" t="s">
        <v>46</v>
      </c>
      <c r="T3154" s="1" t="s">
        <v>46</v>
      </c>
      <c r="U3154" s="1" t="s">
        <v>46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3823</v>
      </c>
      <c r="C3155" s="1" t="s">
        <v>3824</v>
      </c>
      <c r="D3155" s="1" t="s">
        <v>14</v>
      </c>
      <c r="E3155" s="1" t="s">
        <v>3379</v>
      </c>
      <c r="F3155" s="1" t="s">
        <v>3380</v>
      </c>
      <c r="G3155" s="1" t="s">
        <v>3379</v>
      </c>
      <c r="H3155" s="2" t="s">
        <v>3475</v>
      </c>
      <c r="I3155" s="1" t="s">
        <v>3476</v>
      </c>
      <c r="J3155" s="1" t="s">
        <v>52</v>
      </c>
      <c r="K3155" s="1" t="s">
        <v>3475</v>
      </c>
      <c r="L3155" s="36" t="s">
        <v>69</v>
      </c>
      <c r="M3155" s="1" t="s">
        <v>69</v>
      </c>
      <c r="N3155" s="1" t="s">
        <v>3468</v>
      </c>
      <c r="O3155" s="1" t="s">
        <v>46</v>
      </c>
      <c r="P3155" s="1" t="s">
        <v>46</v>
      </c>
      <c r="Q3155" s="1" t="s">
        <v>46</v>
      </c>
      <c r="R3155" s="1" t="s">
        <v>46</v>
      </c>
      <c r="S3155" s="1" t="s">
        <v>46</v>
      </c>
      <c r="T3155" s="1" t="s">
        <v>46</v>
      </c>
      <c r="U3155" s="1" t="s">
        <v>46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3823</v>
      </c>
      <c r="C3156" s="1" t="s">
        <v>3824</v>
      </c>
      <c r="D3156" s="1" t="s">
        <v>14</v>
      </c>
      <c r="E3156" s="1" t="s">
        <v>3379</v>
      </c>
      <c r="F3156" s="1" t="s">
        <v>3380</v>
      </c>
      <c r="G3156" s="1" t="s">
        <v>3379</v>
      </c>
      <c r="H3156" s="2" t="s">
        <v>3477</v>
      </c>
      <c r="I3156" s="1" t="s">
        <v>3478</v>
      </c>
      <c r="J3156" s="1" t="s">
        <v>52</v>
      </c>
      <c r="K3156" s="1" t="s">
        <v>3477</v>
      </c>
      <c r="L3156" s="36" t="s">
        <v>69</v>
      </c>
      <c r="M3156" s="1" t="s">
        <v>69</v>
      </c>
      <c r="N3156" s="1" t="s">
        <v>3468</v>
      </c>
      <c r="O3156" s="1" t="s">
        <v>46</v>
      </c>
      <c r="P3156" s="1" t="s">
        <v>46</v>
      </c>
      <c r="Q3156" s="1" t="s">
        <v>46</v>
      </c>
      <c r="R3156" s="1" t="s">
        <v>46</v>
      </c>
      <c r="S3156" s="1" t="s">
        <v>46</v>
      </c>
      <c r="T3156" s="1" t="s">
        <v>46</v>
      </c>
      <c r="U3156" s="1" t="s">
        <v>46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3823</v>
      </c>
      <c r="C3157" s="1" t="s">
        <v>3824</v>
      </c>
      <c r="D3157" s="1" t="s">
        <v>14</v>
      </c>
      <c r="E3157" s="1" t="s">
        <v>3379</v>
      </c>
      <c r="F3157" s="1" t="s">
        <v>3380</v>
      </c>
      <c r="G3157" s="1" t="s">
        <v>3379</v>
      </c>
      <c r="H3157" s="2" t="s">
        <v>3479</v>
      </c>
      <c r="I3157" s="1" t="s">
        <v>3480</v>
      </c>
      <c r="J3157" s="1" t="s">
        <v>52</v>
      </c>
      <c r="K3157" s="1" t="s">
        <v>3479</v>
      </c>
      <c r="L3157" s="36" t="s">
        <v>69</v>
      </c>
      <c r="M3157" s="1" t="s">
        <v>69</v>
      </c>
      <c r="N3157" s="1" t="s">
        <v>3468</v>
      </c>
      <c r="O3157" s="1" t="s">
        <v>46</v>
      </c>
      <c r="P3157" s="1" t="s">
        <v>46</v>
      </c>
      <c r="Q3157" s="1" t="s">
        <v>46</v>
      </c>
      <c r="R3157" s="1" t="s">
        <v>46</v>
      </c>
      <c r="S3157" s="1" t="s">
        <v>46</v>
      </c>
      <c r="T3157" s="1" t="s">
        <v>46</v>
      </c>
      <c r="U3157" s="1" t="s">
        <v>46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3823</v>
      </c>
      <c r="C3158" s="1" t="s">
        <v>3824</v>
      </c>
      <c r="D3158" s="1" t="s">
        <v>14</v>
      </c>
      <c r="E3158" s="1" t="s">
        <v>3379</v>
      </c>
      <c r="F3158" s="1" t="s">
        <v>3380</v>
      </c>
      <c r="G3158" s="1" t="s">
        <v>3379</v>
      </c>
      <c r="H3158" s="2" t="s">
        <v>3481</v>
      </c>
      <c r="I3158" s="1" t="s">
        <v>3482</v>
      </c>
      <c r="J3158" s="1" t="s">
        <v>52</v>
      </c>
      <c r="K3158" s="1" t="s">
        <v>3481</v>
      </c>
      <c r="L3158" s="36" t="s">
        <v>69</v>
      </c>
      <c r="M3158" s="1" t="s">
        <v>69</v>
      </c>
      <c r="N3158" s="1" t="s">
        <v>3468</v>
      </c>
      <c r="O3158" s="1" t="s">
        <v>46</v>
      </c>
      <c r="P3158" s="1" t="s">
        <v>46</v>
      </c>
      <c r="Q3158" s="1" t="s">
        <v>46</v>
      </c>
      <c r="R3158" s="1" t="s">
        <v>46</v>
      </c>
      <c r="S3158" s="1" t="s">
        <v>46</v>
      </c>
      <c r="T3158" s="1" t="s">
        <v>46</v>
      </c>
      <c r="U3158" s="1" t="s">
        <v>46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3823</v>
      </c>
      <c r="C3159" s="1" t="s">
        <v>3824</v>
      </c>
      <c r="D3159" s="1" t="s">
        <v>14</v>
      </c>
      <c r="E3159" s="1" t="s">
        <v>3379</v>
      </c>
      <c r="F3159" s="1" t="s">
        <v>3380</v>
      </c>
      <c r="G3159" s="1" t="s">
        <v>3379</v>
      </c>
      <c r="H3159" s="2" t="s">
        <v>3483</v>
      </c>
      <c r="I3159" s="1" t="s">
        <v>3484</v>
      </c>
      <c r="J3159" s="1" t="s">
        <v>52</v>
      </c>
      <c r="K3159" s="1" t="s">
        <v>3483</v>
      </c>
      <c r="L3159" s="36" t="s">
        <v>69</v>
      </c>
      <c r="M3159" s="1" t="s">
        <v>69</v>
      </c>
      <c r="N3159" s="1" t="s">
        <v>3468</v>
      </c>
      <c r="O3159" s="1" t="s">
        <v>46</v>
      </c>
      <c r="P3159" s="1" t="s">
        <v>46</v>
      </c>
      <c r="Q3159" s="1" t="s">
        <v>46</v>
      </c>
      <c r="R3159" s="1" t="s">
        <v>46</v>
      </c>
      <c r="S3159" s="1" t="s">
        <v>46</v>
      </c>
      <c r="T3159" s="1" t="s">
        <v>46</v>
      </c>
      <c r="U3159" s="1" t="s">
        <v>46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3823</v>
      </c>
      <c r="C3160" s="1" t="s">
        <v>3824</v>
      </c>
      <c r="D3160" s="1" t="s">
        <v>14</v>
      </c>
      <c r="E3160" s="1" t="s">
        <v>3379</v>
      </c>
      <c r="F3160" s="1" t="s">
        <v>3380</v>
      </c>
      <c r="G3160" s="1" t="s">
        <v>3379</v>
      </c>
      <c r="H3160" s="2" t="s">
        <v>3485</v>
      </c>
      <c r="I3160" s="1" t="s">
        <v>3486</v>
      </c>
      <c r="J3160" s="1" t="s">
        <v>52</v>
      </c>
      <c r="K3160" s="1" t="s">
        <v>3485</v>
      </c>
      <c r="L3160" s="36" t="s">
        <v>69</v>
      </c>
      <c r="M3160" s="1" t="s">
        <v>69</v>
      </c>
      <c r="N3160" s="1" t="s">
        <v>3468</v>
      </c>
      <c r="O3160" s="1" t="s">
        <v>46</v>
      </c>
      <c r="P3160" s="1" t="s">
        <v>46</v>
      </c>
      <c r="Q3160" s="1" t="s">
        <v>46</v>
      </c>
      <c r="R3160" s="1" t="s">
        <v>46</v>
      </c>
      <c r="S3160" s="1" t="s">
        <v>46</v>
      </c>
      <c r="T3160" s="1" t="s">
        <v>46</v>
      </c>
      <c r="U3160" s="1" t="s">
        <v>46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3823</v>
      </c>
      <c r="C3161" s="1" t="s">
        <v>3824</v>
      </c>
      <c r="D3161" s="1" t="s">
        <v>14</v>
      </c>
      <c r="E3161" s="1" t="s">
        <v>3379</v>
      </c>
      <c r="F3161" s="1" t="s">
        <v>3380</v>
      </c>
      <c r="G3161" s="1" t="s">
        <v>3379</v>
      </c>
      <c r="H3161" s="2" t="s">
        <v>3487</v>
      </c>
      <c r="I3161" s="1" t="s">
        <v>3488</v>
      </c>
      <c r="J3161" s="1" t="s">
        <v>52</v>
      </c>
      <c r="K3161" s="1" t="s">
        <v>3487</v>
      </c>
      <c r="L3161" s="36" t="s">
        <v>69</v>
      </c>
      <c r="M3161" s="1" t="s">
        <v>69</v>
      </c>
      <c r="N3161" s="1" t="s">
        <v>3468</v>
      </c>
      <c r="O3161" s="1" t="s">
        <v>46</v>
      </c>
      <c r="P3161" s="1" t="s">
        <v>46</v>
      </c>
      <c r="Q3161" s="1" t="s">
        <v>46</v>
      </c>
      <c r="R3161" s="1" t="s">
        <v>46</v>
      </c>
      <c r="S3161" s="1" t="s">
        <v>46</v>
      </c>
      <c r="T3161" s="1" t="s">
        <v>46</v>
      </c>
      <c r="U3161" s="1" t="s">
        <v>46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3823</v>
      </c>
      <c r="C3162" s="1" t="s">
        <v>3824</v>
      </c>
      <c r="D3162" s="1" t="s">
        <v>14</v>
      </c>
      <c r="E3162" s="1" t="s">
        <v>3379</v>
      </c>
      <c r="F3162" s="1" t="s">
        <v>3380</v>
      </c>
      <c r="G3162" s="1" t="s">
        <v>3379</v>
      </c>
      <c r="H3162" s="2" t="s">
        <v>3489</v>
      </c>
      <c r="I3162" s="1" t="s">
        <v>3490</v>
      </c>
      <c r="J3162" s="1" t="s">
        <v>52</v>
      </c>
      <c r="K3162" s="1" t="s">
        <v>3489</v>
      </c>
      <c r="L3162" s="36" t="s">
        <v>69</v>
      </c>
      <c r="M3162" s="1" t="s">
        <v>69</v>
      </c>
      <c r="N3162" s="1" t="s">
        <v>3468</v>
      </c>
      <c r="O3162" s="1" t="s">
        <v>46</v>
      </c>
      <c r="P3162" s="1" t="s">
        <v>46</v>
      </c>
      <c r="Q3162" s="1" t="s">
        <v>46</v>
      </c>
      <c r="R3162" s="1" t="s">
        <v>46</v>
      </c>
      <c r="S3162" s="1" t="s">
        <v>46</v>
      </c>
      <c r="T3162" s="1" t="s">
        <v>46</v>
      </c>
      <c r="U3162" s="1" t="s">
        <v>46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3823</v>
      </c>
      <c r="C3163" s="1" t="s">
        <v>3824</v>
      </c>
      <c r="D3163" s="1" t="s">
        <v>14</v>
      </c>
      <c r="E3163" s="1" t="s">
        <v>3379</v>
      </c>
      <c r="F3163" s="1" t="s">
        <v>3380</v>
      </c>
      <c r="G3163" s="1" t="s">
        <v>3379</v>
      </c>
      <c r="H3163" s="2" t="s">
        <v>3491</v>
      </c>
      <c r="I3163" s="1" t="s">
        <v>3492</v>
      </c>
      <c r="J3163" s="1" t="s">
        <v>52</v>
      </c>
      <c r="K3163" s="1" t="s">
        <v>3491</v>
      </c>
      <c r="L3163" s="36" t="s">
        <v>69</v>
      </c>
      <c r="M3163" s="1" t="s">
        <v>69</v>
      </c>
      <c r="N3163" s="1" t="s">
        <v>3468</v>
      </c>
      <c r="O3163" s="1" t="s">
        <v>46</v>
      </c>
      <c r="P3163" s="1" t="s">
        <v>46</v>
      </c>
      <c r="Q3163" s="1" t="s">
        <v>46</v>
      </c>
      <c r="R3163" s="1" t="s">
        <v>46</v>
      </c>
      <c r="S3163" s="1" t="s">
        <v>46</v>
      </c>
      <c r="T3163" s="1" t="s">
        <v>46</v>
      </c>
      <c r="U3163" s="1" t="s">
        <v>46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3823</v>
      </c>
      <c r="C3164" s="1" t="s">
        <v>3824</v>
      </c>
      <c r="D3164" s="1" t="s">
        <v>14</v>
      </c>
      <c r="E3164" s="1" t="s">
        <v>3379</v>
      </c>
      <c r="F3164" s="1" t="s">
        <v>3380</v>
      </c>
      <c r="G3164" s="1" t="s">
        <v>3379</v>
      </c>
      <c r="H3164" s="2" t="s">
        <v>3493</v>
      </c>
      <c r="I3164" s="1" t="s">
        <v>3494</v>
      </c>
      <c r="J3164" s="1" t="s">
        <v>52</v>
      </c>
      <c r="K3164" s="1" t="s">
        <v>3493</v>
      </c>
      <c r="L3164" s="36" t="s">
        <v>69</v>
      </c>
      <c r="M3164" s="1" t="s">
        <v>69</v>
      </c>
      <c r="N3164" s="1" t="s">
        <v>3468</v>
      </c>
      <c r="O3164" s="1" t="s">
        <v>46</v>
      </c>
      <c r="P3164" s="1" t="s">
        <v>46</v>
      </c>
      <c r="Q3164" s="1" t="s">
        <v>46</v>
      </c>
      <c r="R3164" s="1" t="s">
        <v>46</v>
      </c>
      <c r="S3164" s="1" t="s">
        <v>46</v>
      </c>
      <c r="T3164" s="1" t="s">
        <v>46</v>
      </c>
      <c r="U3164" s="1" t="s">
        <v>46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3823</v>
      </c>
      <c r="C3165" s="1" t="s">
        <v>3824</v>
      </c>
      <c r="D3165" s="1" t="s">
        <v>14</v>
      </c>
      <c r="E3165" s="1" t="s">
        <v>3379</v>
      </c>
      <c r="F3165" s="1" t="s">
        <v>3380</v>
      </c>
      <c r="G3165" s="1" t="s">
        <v>3379</v>
      </c>
      <c r="H3165" s="2" t="s">
        <v>3495</v>
      </c>
      <c r="I3165" s="1" t="s">
        <v>3496</v>
      </c>
      <c r="J3165" s="1" t="s">
        <v>52</v>
      </c>
      <c r="K3165" s="1" t="s">
        <v>3495</v>
      </c>
      <c r="L3165" s="36" t="s">
        <v>69</v>
      </c>
      <c r="M3165" s="1" t="s">
        <v>69</v>
      </c>
      <c r="N3165" s="1" t="s">
        <v>3468</v>
      </c>
      <c r="O3165" s="1" t="s">
        <v>46</v>
      </c>
      <c r="P3165" s="1" t="s">
        <v>46</v>
      </c>
      <c r="Q3165" s="1" t="s">
        <v>46</v>
      </c>
      <c r="R3165" s="1" t="s">
        <v>46</v>
      </c>
      <c r="S3165" s="1" t="s">
        <v>46</v>
      </c>
      <c r="T3165" s="1" t="s">
        <v>46</v>
      </c>
      <c r="U3165" s="1" t="s">
        <v>46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3825</v>
      </c>
      <c r="C3166" s="1" t="s">
        <v>3826</v>
      </c>
      <c r="D3166" s="1" t="s">
        <v>14</v>
      </c>
      <c r="E3166" s="1" t="s">
        <v>3668</v>
      </c>
      <c r="F3166" s="1" t="s">
        <v>3380</v>
      </c>
      <c r="G3166" s="1" t="s">
        <v>3668</v>
      </c>
      <c r="H3166" s="2" t="s">
        <v>3394</v>
      </c>
      <c r="I3166" s="1" t="s">
        <v>3669</v>
      </c>
      <c r="J3166" s="1" t="s">
        <v>52</v>
      </c>
      <c r="K3166" s="1" t="s">
        <v>3394</v>
      </c>
      <c r="L3166" s="36" t="s">
        <v>69</v>
      </c>
      <c r="M3166" s="1" t="s">
        <v>69</v>
      </c>
      <c r="N3166" s="1" t="s">
        <v>3383</v>
      </c>
      <c r="O3166" s="1" t="s">
        <v>3780</v>
      </c>
      <c r="P3166" s="1" t="s">
        <v>3385</v>
      </c>
      <c r="Q3166" s="1" t="s">
        <v>3385</v>
      </c>
      <c r="R3166" s="1" t="s">
        <v>46</v>
      </c>
      <c r="S3166" s="1" t="s">
        <v>69</v>
      </c>
      <c r="T3166" s="1" t="s">
        <v>69</v>
      </c>
      <c r="U3166" s="1" t="s">
        <v>46</v>
      </c>
      <c r="V3166" s="1" t="n">
        <v>1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3825</v>
      </c>
      <c r="C3167" s="1" t="s">
        <v>3826</v>
      </c>
      <c r="D3167" s="1" t="s">
        <v>14</v>
      </c>
      <c r="E3167" s="1" t="s">
        <v>3668</v>
      </c>
      <c r="F3167" s="1" t="s">
        <v>3380</v>
      </c>
      <c r="G3167" s="1" t="s">
        <v>3668</v>
      </c>
      <c r="H3167" s="2" t="s">
        <v>3397</v>
      </c>
      <c r="I3167" s="1" t="s">
        <v>3670</v>
      </c>
      <c r="J3167" s="1" t="s">
        <v>52</v>
      </c>
      <c r="K3167" s="1" t="s">
        <v>3397</v>
      </c>
      <c r="L3167" s="36" t="s">
        <v>69</v>
      </c>
      <c r="M3167" s="1" t="s">
        <v>69</v>
      </c>
      <c r="N3167" s="1" t="s">
        <v>3383</v>
      </c>
      <c r="O3167" s="1" t="s">
        <v>3780</v>
      </c>
      <c r="P3167" s="1" t="s">
        <v>3385</v>
      </c>
      <c r="Q3167" s="1" t="s">
        <v>3385</v>
      </c>
      <c r="R3167" s="1" t="s">
        <v>46</v>
      </c>
      <c r="S3167" s="1" t="s">
        <v>69</v>
      </c>
      <c r="T3167" s="1" t="s">
        <v>69</v>
      </c>
      <c r="U3167" s="1" t="s">
        <v>46</v>
      </c>
      <c r="V3167" s="1" t="n">
        <v>2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3825</v>
      </c>
      <c r="C3168" s="1" t="s">
        <v>3826</v>
      </c>
      <c r="D3168" s="1" t="s">
        <v>14</v>
      </c>
      <c r="E3168" s="1" t="s">
        <v>3668</v>
      </c>
      <c r="F3168" s="1" t="s">
        <v>3380</v>
      </c>
      <c r="G3168" s="1" t="s">
        <v>3668</v>
      </c>
      <c r="H3168" s="2" t="s">
        <v>3399</v>
      </c>
      <c r="I3168" s="1" t="s">
        <v>3671</v>
      </c>
      <c r="J3168" s="1" t="s">
        <v>52</v>
      </c>
      <c r="K3168" s="1" t="s">
        <v>3399</v>
      </c>
      <c r="L3168" s="36" t="s">
        <v>69</v>
      </c>
      <c r="M3168" s="1" t="s">
        <v>69</v>
      </c>
      <c r="N3168" s="1" t="s">
        <v>3383</v>
      </c>
      <c r="O3168" s="1" t="s">
        <v>3780</v>
      </c>
      <c r="P3168" s="1" t="s">
        <v>3385</v>
      </c>
      <c r="Q3168" s="1" t="s">
        <v>3385</v>
      </c>
      <c r="R3168" s="1" t="s">
        <v>46</v>
      </c>
      <c r="S3168" s="1" t="s">
        <v>69</v>
      </c>
      <c r="T3168" s="1" t="s">
        <v>69</v>
      </c>
      <c r="U3168" s="1" t="s">
        <v>46</v>
      </c>
      <c r="V3168" s="1" t="n">
        <v>3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3825</v>
      </c>
      <c r="C3169" s="1" t="s">
        <v>3826</v>
      </c>
      <c r="D3169" s="1" t="s">
        <v>14</v>
      </c>
      <c r="E3169" s="1" t="s">
        <v>3668</v>
      </c>
      <c r="F3169" s="1" t="s">
        <v>3380</v>
      </c>
      <c r="G3169" s="1" t="s">
        <v>3668</v>
      </c>
      <c r="H3169" s="2" t="s">
        <v>3401</v>
      </c>
      <c r="I3169" s="1" t="s">
        <v>3672</v>
      </c>
      <c r="J3169" s="1" t="s">
        <v>52</v>
      </c>
      <c r="K3169" s="1" t="s">
        <v>3401</v>
      </c>
      <c r="L3169" s="36" t="s">
        <v>69</v>
      </c>
      <c r="M3169" s="1" t="s">
        <v>69</v>
      </c>
      <c r="N3169" s="1" t="s">
        <v>3383</v>
      </c>
      <c r="O3169" s="1" t="s">
        <v>3780</v>
      </c>
      <c r="P3169" s="1" t="s">
        <v>3385</v>
      </c>
      <c r="Q3169" s="1" t="s">
        <v>3385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4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3825</v>
      </c>
      <c r="C3170" s="1" t="s">
        <v>3826</v>
      </c>
      <c r="D3170" s="1" t="s">
        <v>14</v>
      </c>
      <c r="E3170" s="1" t="s">
        <v>3668</v>
      </c>
      <c r="F3170" s="1" t="s">
        <v>3380</v>
      </c>
      <c r="G3170" s="1" t="s">
        <v>3668</v>
      </c>
      <c r="H3170" s="2" t="s">
        <v>3403</v>
      </c>
      <c r="I3170" s="1" t="s">
        <v>3673</v>
      </c>
      <c r="J3170" s="1" t="s">
        <v>52</v>
      </c>
      <c r="K3170" s="1" t="s">
        <v>3403</v>
      </c>
      <c r="L3170" s="36" t="s">
        <v>69</v>
      </c>
      <c r="M3170" s="1" t="s">
        <v>69</v>
      </c>
      <c r="N3170" s="1" t="s">
        <v>3383</v>
      </c>
      <c r="O3170" s="1" t="s">
        <v>3780</v>
      </c>
      <c r="P3170" s="1" t="s">
        <v>3385</v>
      </c>
      <c r="Q3170" s="1" t="s">
        <v>3385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5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3825</v>
      </c>
      <c r="C3171" s="1" t="s">
        <v>3826</v>
      </c>
      <c r="D3171" s="1" t="s">
        <v>14</v>
      </c>
      <c r="E3171" s="1" t="s">
        <v>3668</v>
      </c>
      <c r="F3171" s="1" t="s">
        <v>3380</v>
      </c>
      <c r="G3171" s="1" t="s">
        <v>3668</v>
      </c>
      <c r="H3171" s="2" t="s">
        <v>3499</v>
      </c>
      <c r="I3171" s="1" t="s">
        <v>3725</v>
      </c>
      <c r="J3171" s="1" t="s">
        <v>52</v>
      </c>
      <c r="K3171" s="1" t="s">
        <v>3499</v>
      </c>
      <c r="L3171" s="36" t="s">
        <v>69</v>
      </c>
      <c r="M3171" s="1" t="s">
        <v>69</v>
      </c>
      <c r="N3171" s="1" t="s">
        <v>3383</v>
      </c>
      <c r="O3171" s="1" t="s">
        <v>3781</v>
      </c>
      <c r="P3171" s="1" t="s">
        <v>3385</v>
      </c>
      <c r="Q3171" s="1" t="s">
        <v>3385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1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3825</v>
      </c>
      <c r="C3172" s="1" t="s">
        <v>3826</v>
      </c>
      <c r="D3172" s="1" t="s">
        <v>14</v>
      </c>
      <c r="E3172" s="1" t="s">
        <v>3668</v>
      </c>
      <c r="F3172" s="1" t="s">
        <v>3380</v>
      </c>
      <c r="G3172" s="1" t="s">
        <v>3668</v>
      </c>
      <c r="H3172" s="2" t="s">
        <v>3502</v>
      </c>
      <c r="I3172" s="1" t="s">
        <v>3726</v>
      </c>
      <c r="J3172" s="1" t="s">
        <v>52</v>
      </c>
      <c r="K3172" s="1" t="s">
        <v>3502</v>
      </c>
      <c r="L3172" s="36" t="s">
        <v>69</v>
      </c>
      <c r="M3172" s="1" t="s">
        <v>69</v>
      </c>
      <c r="N3172" s="1" t="s">
        <v>3383</v>
      </c>
      <c r="O3172" s="1" t="s">
        <v>3781</v>
      </c>
      <c r="P3172" s="1" t="s">
        <v>3385</v>
      </c>
      <c r="Q3172" s="1" t="s">
        <v>3385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2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3825</v>
      </c>
      <c r="C3173" s="1" t="s">
        <v>3826</v>
      </c>
      <c r="D3173" s="1" t="s">
        <v>14</v>
      </c>
      <c r="E3173" s="1" t="s">
        <v>3668</v>
      </c>
      <c r="F3173" s="1" t="s">
        <v>3380</v>
      </c>
      <c r="G3173" s="1" t="s">
        <v>3668</v>
      </c>
      <c r="H3173" s="2" t="s">
        <v>3504</v>
      </c>
      <c r="I3173" s="1" t="s">
        <v>3727</v>
      </c>
      <c r="J3173" s="1" t="s">
        <v>52</v>
      </c>
      <c r="K3173" s="1" t="s">
        <v>3504</v>
      </c>
      <c r="L3173" s="36" t="s">
        <v>69</v>
      </c>
      <c r="M3173" s="1" t="s">
        <v>69</v>
      </c>
      <c r="N3173" s="1" t="s">
        <v>3383</v>
      </c>
      <c r="O3173" s="1" t="s">
        <v>3781</v>
      </c>
      <c r="P3173" s="1" t="s">
        <v>3385</v>
      </c>
      <c r="Q3173" s="1" t="s">
        <v>3385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3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3825</v>
      </c>
      <c r="C3174" s="1" t="s">
        <v>3826</v>
      </c>
      <c r="D3174" s="1" t="s">
        <v>14</v>
      </c>
      <c r="E3174" s="1" t="s">
        <v>3668</v>
      </c>
      <c r="F3174" s="1" t="s">
        <v>3380</v>
      </c>
      <c r="G3174" s="1" t="s">
        <v>3668</v>
      </c>
      <c r="H3174" s="2" t="s">
        <v>3506</v>
      </c>
      <c r="I3174" s="1" t="s">
        <v>3728</v>
      </c>
      <c r="J3174" s="1" t="s">
        <v>52</v>
      </c>
      <c r="K3174" s="1" t="s">
        <v>3506</v>
      </c>
      <c r="L3174" s="36" t="s">
        <v>69</v>
      </c>
      <c r="M3174" s="1" t="s">
        <v>69</v>
      </c>
      <c r="N3174" s="1" t="s">
        <v>3383</v>
      </c>
      <c r="O3174" s="1" t="s">
        <v>3781</v>
      </c>
      <c r="P3174" s="1" t="s">
        <v>3385</v>
      </c>
      <c r="Q3174" s="1" t="s">
        <v>3385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4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3825</v>
      </c>
      <c r="C3175" s="1" t="s">
        <v>3826</v>
      </c>
      <c r="D3175" s="1" t="s">
        <v>14</v>
      </c>
      <c r="E3175" s="1" t="s">
        <v>3668</v>
      </c>
      <c r="F3175" s="1" t="s">
        <v>3380</v>
      </c>
      <c r="G3175" s="1" t="s">
        <v>3668</v>
      </c>
      <c r="H3175" s="2" t="s">
        <v>3508</v>
      </c>
      <c r="I3175" s="1" t="s">
        <v>3729</v>
      </c>
      <c r="J3175" s="1" t="s">
        <v>52</v>
      </c>
      <c r="K3175" s="1" t="s">
        <v>3508</v>
      </c>
      <c r="L3175" s="36" t="s">
        <v>69</v>
      </c>
      <c r="M3175" s="1" t="s">
        <v>69</v>
      </c>
      <c r="N3175" s="1" t="s">
        <v>3383</v>
      </c>
      <c r="O3175" s="1" t="s">
        <v>3781</v>
      </c>
      <c r="P3175" s="1" t="s">
        <v>3385</v>
      </c>
      <c r="Q3175" s="1" t="s">
        <v>3385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5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3825</v>
      </c>
      <c r="C3176" s="1" t="s">
        <v>3826</v>
      </c>
      <c r="D3176" s="1" t="s">
        <v>14</v>
      </c>
      <c r="E3176" s="1" t="s">
        <v>3668</v>
      </c>
      <c r="F3176" s="1" t="s">
        <v>3380</v>
      </c>
      <c r="G3176" s="1" t="s">
        <v>3668</v>
      </c>
      <c r="H3176" s="2" t="s">
        <v>3436</v>
      </c>
      <c r="I3176" s="1" t="s">
        <v>3693</v>
      </c>
      <c r="J3176" s="1" t="s">
        <v>52</v>
      </c>
      <c r="K3176" s="1" t="s">
        <v>3436</v>
      </c>
      <c r="L3176" s="36" t="s">
        <v>69</v>
      </c>
      <c r="M3176" s="1" t="s">
        <v>69</v>
      </c>
      <c r="N3176" s="1" t="s">
        <v>1935</v>
      </c>
      <c r="O3176" s="1" t="s">
        <v>46</v>
      </c>
      <c r="P3176" s="1" t="s">
        <v>46</v>
      </c>
      <c r="Q3176" s="1" t="s">
        <v>46</v>
      </c>
      <c r="R3176" s="1" t="s">
        <v>46</v>
      </c>
      <c r="S3176" s="1" t="s">
        <v>46</v>
      </c>
      <c r="T3176" s="1" t="s">
        <v>46</v>
      </c>
      <c r="U3176" s="1" t="s">
        <v>46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3825</v>
      </c>
      <c r="C3177" s="1" t="s">
        <v>3826</v>
      </c>
      <c r="D3177" s="1" t="s">
        <v>14</v>
      </c>
      <c r="E3177" s="1" t="s">
        <v>3668</v>
      </c>
      <c r="F3177" s="1" t="s">
        <v>3380</v>
      </c>
      <c r="G3177" s="1" t="s">
        <v>3668</v>
      </c>
      <c r="H3177" s="2" t="s">
        <v>3438</v>
      </c>
      <c r="I3177" s="1" t="s">
        <v>3694</v>
      </c>
      <c r="J3177" s="1" t="s">
        <v>52</v>
      </c>
      <c r="K3177" s="1" t="s">
        <v>3438</v>
      </c>
      <c r="L3177" s="36" t="s">
        <v>69</v>
      </c>
      <c r="M3177" s="1" t="s">
        <v>69</v>
      </c>
      <c r="N3177" s="1" t="s">
        <v>1935</v>
      </c>
      <c r="O3177" s="1" t="s">
        <v>46</v>
      </c>
      <c r="P3177" s="1" t="s">
        <v>46</v>
      </c>
      <c r="Q3177" s="1" t="s">
        <v>46</v>
      </c>
      <c r="R3177" s="1" t="s">
        <v>46</v>
      </c>
      <c r="S3177" s="1" t="s">
        <v>46</v>
      </c>
      <c r="T3177" s="1" t="s">
        <v>46</v>
      </c>
      <c r="U3177" s="1" t="s">
        <v>46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3825</v>
      </c>
      <c r="C3178" s="1" t="s">
        <v>3826</v>
      </c>
      <c r="D3178" s="1" t="s">
        <v>14</v>
      </c>
      <c r="E3178" s="1" t="s">
        <v>3668</v>
      </c>
      <c r="F3178" s="1" t="s">
        <v>3380</v>
      </c>
      <c r="G3178" s="1" t="s">
        <v>3668</v>
      </c>
      <c r="H3178" s="2" t="s">
        <v>3440</v>
      </c>
      <c r="I3178" s="1" t="s">
        <v>3695</v>
      </c>
      <c r="J3178" s="1" t="s">
        <v>52</v>
      </c>
      <c r="K3178" s="1" t="s">
        <v>3440</v>
      </c>
      <c r="L3178" s="36" t="s">
        <v>69</v>
      </c>
      <c r="M3178" s="1" t="s">
        <v>69</v>
      </c>
      <c r="N3178" s="1" t="s">
        <v>1935</v>
      </c>
      <c r="O3178" s="1" t="s">
        <v>46</v>
      </c>
      <c r="P3178" s="1" t="s">
        <v>46</v>
      </c>
      <c r="Q3178" s="1" t="s">
        <v>46</v>
      </c>
      <c r="R3178" s="1" t="s">
        <v>46</v>
      </c>
      <c r="S3178" s="1" t="s">
        <v>46</v>
      </c>
      <c r="T3178" s="1" t="s">
        <v>46</v>
      </c>
      <c r="U3178" s="1" t="s">
        <v>46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3825</v>
      </c>
      <c r="C3179" s="1" t="s">
        <v>3826</v>
      </c>
      <c r="D3179" s="1" t="s">
        <v>14</v>
      </c>
      <c r="E3179" s="1" t="s">
        <v>3668</v>
      </c>
      <c r="F3179" s="1" t="s">
        <v>3380</v>
      </c>
      <c r="G3179" s="1" t="s">
        <v>3668</v>
      </c>
      <c r="H3179" s="2" t="s">
        <v>3442</v>
      </c>
      <c r="I3179" s="1" t="s">
        <v>3696</v>
      </c>
      <c r="J3179" s="1" t="s">
        <v>52</v>
      </c>
      <c r="K3179" s="1" t="s">
        <v>3442</v>
      </c>
      <c r="L3179" s="36" t="s">
        <v>69</v>
      </c>
      <c r="M3179" s="1" t="s">
        <v>69</v>
      </c>
      <c r="N3179" s="1" t="s">
        <v>1935</v>
      </c>
      <c r="O3179" s="1" t="s">
        <v>46</v>
      </c>
      <c r="P3179" s="1" t="s">
        <v>46</v>
      </c>
      <c r="Q3179" s="1" t="s">
        <v>46</v>
      </c>
      <c r="R3179" s="1" t="s">
        <v>46</v>
      </c>
      <c r="S3179" s="1" t="s">
        <v>46</v>
      </c>
      <c r="T3179" s="1" t="s">
        <v>46</v>
      </c>
      <c r="U3179" s="1" t="s">
        <v>46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3825</v>
      </c>
      <c r="C3180" s="1" t="s">
        <v>3826</v>
      </c>
      <c r="D3180" s="1" t="s">
        <v>14</v>
      </c>
      <c r="E3180" s="1" t="s">
        <v>3668</v>
      </c>
      <c r="F3180" s="1" t="s">
        <v>3380</v>
      </c>
      <c r="G3180" s="1" t="s">
        <v>3668</v>
      </c>
      <c r="H3180" s="2" t="s">
        <v>3444</v>
      </c>
      <c r="I3180" s="1" t="s">
        <v>3697</v>
      </c>
      <c r="J3180" s="1" t="s">
        <v>52</v>
      </c>
      <c r="K3180" s="1" t="s">
        <v>3444</v>
      </c>
      <c r="L3180" s="36" t="s">
        <v>69</v>
      </c>
      <c r="M3180" s="1" t="s">
        <v>69</v>
      </c>
      <c r="N3180" s="1" t="s">
        <v>1935</v>
      </c>
      <c r="O3180" s="1" t="s">
        <v>46</v>
      </c>
      <c r="P3180" s="1" t="s">
        <v>46</v>
      </c>
      <c r="Q3180" s="1" t="s">
        <v>46</v>
      </c>
      <c r="R3180" s="1" t="s">
        <v>46</v>
      </c>
      <c r="S3180" s="1" t="s">
        <v>46</v>
      </c>
      <c r="T3180" s="1" t="s">
        <v>46</v>
      </c>
      <c r="U3180" s="1" t="s">
        <v>46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3825</v>
      </c>
      <c r="C3181" s="1" t="s">
        <v>3826</v>
      </c>
      <c r="D3181" s="1" t="s">
        <v>14</v>
      </c>
      <c r="E3181" s="1" t="s">
        <v>3668</v>
      </c>
      <c r="F3181" s="1" t="s">
        <v>3380</v>
      </c>
      <c r="G3181" s="1" t="s">
        <v>3668</v>
      </c>
      <c r="H3181" s="2" t="s">
        <v>3446</v>
      </c>
      <c r="I3181" s="1" t="s">
        <v>3698</v>
      </c>
      <c r="J3181" s="1" t="s">
        <v>52</v>
      </c>
      <c r="K3181" s="1" t="s">
        <v>3446</v>
      </c>
      <c r="L3181" s="36" t="s">
        <v>69</v>
      </c>
      <c r="M3181" s="1" t="s">
        <v>69</v>
      </c>
      <c r="N3181" s="1" t="s">
        <v>1935</v>
      </c>
      <c r="O3181" s="1" t="s">
        <v>46</v>
      </c>
      <c r="P3181" s="1" t="s">
        <v>46</v>
      </c>
      <c r="Q3181" s="1" t="s">
        <v>46</v>
      </c>
      <c r="R3181" s="1" t="s">
        <v>46</v>
      </c>
      <c r="S3181" s="1" t="s">
        <v>46</v>
      </c>
      <c r="T3181" s="1" t="s">
        <v>46</v>
      </c>
      <c r="U3181" s="1" t="s">
        <v>46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3825</v>
      </c>
      <c r="C3182" s="1" t="s">
        <v>3826</v>
      </c>
      <c r="D3182" s="1" t="s">
        <v>14</v>
      </c>
      <c r="E3182" s="1" t="s">
        <v>3668</v>
      </c>
      <c r="F3182" s="1" t="s">
        <v>3380</v>
      </c>
      <c r="G3182" s="1" t="s">
        <v>3668</v>
      </c>
      <c r="H3182" s="2" t="s">
        <v>3448</v>
      </c>
      <c r="I3182" s="1" t="s">
        <v>3699</v>
      </c>
      <c r="J3182" s="1" t="s">
        <v>52</v>
      </c>
      <c r="K3182" s="1" t="s">
        <v>3448</v>
      </c>
      <c r="L3182" s="36" t="s">
        <v>69</v>
      </c>
      <c r="M3182" s="1" t="s">
        <v>69</v>
      </c>
      <c r="N3182" s="1" t="s">
        <v>1935</v>
      </c>
      <c r="O3182" s="1" t="s">
        <v>46</v>
      </c>
      <c r="P3182" s="1" t="s">
        <v>46</v>
      </c>
      <c r="Q3182" s="1" t="s">
        <v>46</v>
      </c>
      <c r="R3182" s="1" t="s">
        <v>46</v>
      </c>
      <c r="S3182" s="1" t="s">
        <v>46</v>
      </c>
      <c r="T3182" s="1" t="s">
        <v>46</v>
      </c>
      <c r="U3182" s="1" t="s">
        <v>46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3825</v>
      </c>
      <c r="C3183" s="1" t="s">
        <v>3826</v>
      </c>
      <c r="D3183" s="1" t="s">
        <v>14</v>
      </c>
      <c r="E3183" s="1" t="s">
        <v>3668</v>
      </c>
      <c r="F3183" s="1" t="s">
        <v>3380</v>
      </c>
      <c r="G3183" s="1" t="s">
        <v>3668</v>
      </c>
      <c r="H3183" s="2" t="s">
        <v>3450</v>
      </c>
      <c r="I3183" s="1" t="s">
        <v>3700</v>
      </c>
      <c r="J3183" s="1" t="s">
        <v>52</v>
      </c>
      <c r="K3183" s="1" t="s">
        <v>3450</v>
      </c>
      <c r="L3183" s="36" t="s">
        <v>69</v>
      </c>
      <c r="M3183" s="1" t="s">
        <v>69</v>
      </c>
      <c r="N3183" s="1" t="s">
        <v>1935</v>
      </c>
      <c r="O3183" s="1" t="s">
        <v>46</v>
      </c>
      <c r="P3183" s="1" t="s">
        <v>46</v>
      </c>
      <c r="Q3183" s="1" t="s">
        <v>46</v>
      </c>
      <c r="R3183" s="1" t="s">
        <v>46</v>
      </c>
      <c r="S3183" s="1" t="s">
        <v>46</v>
      </c>
      <c r="T3183" s="1" t="s">
        <v>46</v>
      </c>
      <c r="U3183" s="1" t="s">
        <v>46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3825</v>
      </c>
      <c r="C3184" s="1" t="s">
        <v>3826</v>
      </c>
      <c r="D3184" s="1" t="s">
        <v>14</v>
      </c>
      <c r="E3184" s="1" t="s">
        <v>3668</v>
      </c>
      <c r="F3184" s="1" t="s">
        <v>3380</v>
      </c>
      <c r="G3184" s="1" t="s">
        <v>3668</v>
      </c>
      <c r="H3184" s="2" t="s">
        <v>3452</v>
      </c>
      <c r="I3184" s="1" t="s">
        <v>3701</v>
      </c>
      <c r="J3184" s="1" t="s">
        <v>52</v>
      </c>
      <c r="K3184" s="1" t="s">
        <v>3452</v>
      </c>
      <c r="L3184" s="36" t="s">
        <v>69</v>
      </c>
      <c r="M3184" s="1" t="s">
        <v>69</v>
      </c>
      <c r="N3184" s="1" t="s">
        <v>1935</v>
      </c>
      <c r="O3184" s="1" t="s">
        <v>46</v>
      </c>
      <c r="P3184" s="1" t="s">
        <v>46</v>
      </c>
      <c r="Q3184" s="1" t="s">
        <v>46</v>
      </c>
      <c r="R3184" s="1" t="s">
        <v>46</v>
      </c>
      <c r="S3184" s="1" t="s">
        <v>46</v>
      </c>
      <c r="T3184" s="1" t="s">
        <v>46</v>
      </c>
      <c r="U3184" s="1" t="s">
        <v>46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3825</v>
      </c>
      <c r="C3185" s="1" t="s">
        <v>3826</v>
      </c>
      <c r="D3185" s="1" t="s">
        <v>14</v>
      </c>
      <c r="E3185" s="1" t="s">
        <v>3668</v>
      </c>
      <c r="F3185" s="1" t="s">
        <v>3380</v>
      </c>
      <c r="G3185" s="1" t="s">
        <v>3668</v>
      </c>
      <c r="H3185" s="2" t="s">
        <v>3454</v>
      </c>
      <c r="I3185" s="1" t="s">
        <v>3702</v>
      </c>
      <c r="J3185" s="1" t="s">
        <v>52</v>
      </c>
      <c r="K3185" s="1" t="s">
        <v>3454</v>
      </c>
      <c r="L3185" s="36" t="s">
        <v>69</v>
      </c>
      <c r="M3185" s="1" t="s">
        <v>69</v>
      </c>
      <c r="N3185" s="1" t="s">
        <v>1935</v>
      </c>
      <c r="O3185" s="1" t="s">
        <v>46</v>
      </c>
      <c r="P3185" s="1" t="s">
        <v>46</v>
      </c>
      <c r="Q3185" s="1" t="s">
        <v>46</v>
      </c>
      <c r="R3185" s="1" t="s">
        <v>46</v>
      </c>
      <c r="S3185" s="1" t="s">
        <v>46</v>
      </c>
      <c r="T3185" s="1" t="s">
        <v>46</v>
      </c>
      <c r="U3185" s="1" t="s">
        <v>46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3825</v>
      </c>
      <c r="C3186" s="1" t="s">
        <v>3826</v>
      </c>
      <c r="D3186" s="1" t="s">
        <v>14</v>
      </c>
      <c r="E3186" s="1" t="s">
        <v>3668</v>
      </c>
      <c r="F3186" s="1" t="s">
        <v>3380</v>
      </c>
      <c r="G3186" s="1" t="s">
        <v>3668</v>
      </c>
      <c r="H3186" s="2" t="s">
        <v>3456</v>
      </c>
      <c r="I3186" s="1" t="s">
        <v>3703</v>
      </c>
      <c r="J3186" s="1" t="s">
        <v>52</v>
      </c>
      <c r="K3186" s="1" t="s">
        <v>3456</v>
      </c>
      <c r="L3186" s="36" t="s">
        <v>69</v>
      </c>
      <c r="M3186" s="1" t="s">
        <v>69</v>
      </c>
      <c r="N3186" s="1" t="s">
        <v>1935</v>
      </c>
      <c r="O3186" s="1" t="s">
        <v>46</v>
      </c>
      <c r="P3186" s="1" t="s">
        <v>46</v>
      </c>
      <c r="Q3186" s="1" t="s">
        <v>46</v>
      </c>
      <c r="R3186" s="1" t="s">
        <v>46</v>
      </c>
      <c r="S3186" s="1" t="s">
        <v>46</v>
      </c>
      <c r="T3186" s="1" t="s">
        <v>46</v>
      </c>
      <c r="U3186" s="1" t="s">
        <v>46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3825</v>
      </c>
      <c r="C3187" s="1" t="s">
        <v>3826</v>
      </c>
      <c r="D3187" s="1" t="s">
        <v>14</v>
      </c>
      <c r="E3187" s="1" t="s">
        <v>3668</v>
      </c>
      <c r="F3187" s="1" t="s">
        <v>3380</v>
      </c>
      <c r="G3187" s="1" t="s">
        <v>3668</v>
      </c>
      <c r="H3187" s="2" t="s">
        <v>3458</v>
      </c>
      <c r="I3187" s="1" t="s">
        <v>3704</v>
      </c>
      <c r="J3187" s="1" t="s">
        <v>52</v>
      </c>
      <c r="K3187" s="1" t="s">
        <v>3458</v>
      </c>
      <c r="L3187" s="36" t="s">
        <v>69</v>
      </c>
      <c r="M3187" s="1" t="s">
        <v>69</v>
      </c>
      <c r="N3187" s="1" t="s">
        <v>1935</v>
      </c>
      <c r="O3187" s="1" t="s">
        <v>46</v>
      </c>
      <c r="P3187" s="1" t="s">
        <v>46</v>
      </c>
      <c r="Q3187" s="1" t="s">
        <v>46</v>
      </c>
      <c r="R3187" s="1" t="s">
        <v>46</v>
      </c>
      <c r="S3187" s="1" t="s">
        <v>46</v>
      </c>
      <c r="T3187" s="1" t="s">
        <v>46</v>
      </c>
      <c r="U3187" s="1" t="s">
        <v>46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3825</v>
      </c>
      <c r="C3188" s="1" t="s">
        <v>3826</v>
      </c>
      <c r="D3188" s="1" t="s">
        <v>14</v>
      </c>
      <c r="E3188" s="1" t="s">
        <v>3668</v>
      </c>
      <c r="F3188" s="1" t="s">
        <v>3380</v>
      </c>
      <c r="G3188" s="1" t="s">
        <v>3668</v>
      </c>
      <c r="H3188" s="2" t="s">
        <v>3460</v>
      </c>
      <c r="I3188" s="1" t="s">
        <v>3705</v>
      </c>
      <c r="J3188" s="1" t="s">
        <v>52</v>
      </c>
      <c r="K3188" s="1" t="s">
        <v>3460</v>
      </c>
      <c r="L3188" s="36" t="s">
        <v>69</v>
      </c>
      <c r="M3188" s="1" t="s">
        <v>69</v>
      </c>
      <c r="N3188" s="1" t="s">
        <v>1935</v>
      </c>
      <c r="O3188" s="1" t="s">
        <v>46</v>
      </c>
      <c r="P3188" s="1" t="s">
        <v>46</v>
      </c>
      <c r="Q3188" s="1" t="s">
        <v>46</v>
      </c>
      <c r="R3188" s="1" t="s">
        <v>46</v>
      </c>
      <c r="S3188" s="1" t="s">
        <v>46</v>
      </c>
      <c r="T3188" s="1" t="s">
        <v>46</v>
      </c>
      <c r="U3188" s="1" t="s">
        <v>46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3825</v>
      </c>
      <c r="C3189" s="1" t="s">
        <v>3826</v>
      </c>
      <c r="D3189" s="1" t="s">
        <v>14</v>
      </c>
      <c r="E3189" s="1" t="s">
        <v>3668</v>
      </c>
      <c r="F3189" s="1" t="s">
        <v>3380</v>
      </c>
      <c r="G3189" s="1" t="s">
        <v>3668</v>
      </c>
      <c r="H3189" s="2" t="s">
        <v>3462</v>
      </c>
      <c r="I3189" s="1" t="s">
        <v>3706</v>
      </c>
      <c r="J3189" s="1" t="s">
        <v>52</v>
      </c>
      <c r="K3189" s="1" t="s">
        <v>3462</v>
      </c>
      <c r="L3189" s="36" t="s">
        <v>69</v>
      </c>
      <c r="M3189" s="1" t="s">
        <v>69</v>
      </c>
      <c r="N3189" s="1" t="s">
        <v>1935</v>
      </c>
      <c r="O3189" s="1" t="s">
        <v>46</v>
      </c>
      <c r="P3189" s="1" t="s">
        <v>46</v>
      </c>
      <c r="Q3189" s="1" t="s">
        <v>46</v>
      </c>
      <c r="R3189" s="1" t="s">
        <v>46</v>
      </c>
      <c r="S3189" s="1" t="s">
        <v>46</v>
      </c>
      <c r="T3189" s="1" t="s">
        <v>46</v>
      </c>
      <c r="U3189" s="1" t="s">
        <v>46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3825</v>
      </c>
      <c r="C3190" s="1" t="s">
        <v>3826</v>
      </c>
      <c r="D3190" s="1" t="s">
        <v>14</v>
      </c>
      <c r="E3190" s="1" t="s">
        <v>3668</v>
      </c>
      <c r="F3190" s="1" t="s">
        <v>3380</v>
      </c>
      <c r="G3190" s="1" t="s">
        <v>3668</v>
      </c>
      <c r="H3190" s="2" t="s">
        <v>3464</v>
      </c>
      <c r="I3190" s="1" t="s">
        <v>3707</v>
      </c>
      <c r="J3190" s="1" t="s">
        <v>52</v>
      </c>
      <c r="K3190" s="1" t="s">
        <v>3464</v>
      </c>
      <c r="L3190" s="36" t="s">
        <v>69</v>
      </c>
      <c r="M3190" s="1" t="s">
        <v>69</v>
      </c>
      <c r="N3190" s="1" t="s">
        <v>1935</v>
      </c>
      <c r="O3190" s="1" t="s">
        <v>46</v>
      </c>
      <c r="P3190" s="1" t="s">
        <v>46</v>
      </c>
      <c r="Q3190" s="1" t="s">
        <v>46</v>
      </c>
      <c r="R3190" s="1" t="s">
        <v>46</v>
      </c>
      <c r="S3190" s="1" t="s">
        <v>46</v>
      </c>
      <c r="T3190" s="1" t="s">
        <v>46</v>
      </c>
      <c r="U3190" s="1" t="s">
        <v>46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3825</v>
      </c>
      <c r="C3191" s="1" t="s">
        <v>3826</v>
      </c>
      <c r="D3191" s="1" t="s">
        <v>14</v>
      </c>
      <c r="E3191" s="1" t="s">
        <v>3668</v>
      </c>
      <c r="F3191" s="1" t="s">
        <v>3380</v>
      </c>
      <c r="G3191" s="1" t="s">
        <v>3668</v>
      </c>
      <c r="H3191" s="2" t="s">
        <v>3466</v>
      </c>
      <c r="I3191" s="1" t="s">
        <v>3708</v>
      </c>
      <c r="J3191" s="1" t="s">
        <v>52</v>
      </c>
      <c r="K3191" s="1" t="s">
        <v>3466</v>
      </c>
      <c r="L3191" s="36" t="s">
        <v>69</v>
      </c>
      <c r="M3191" s="1" t="s">
        <v>69</v>
      </c>
      <c r="N3191" s="1" t="s">
        <v>3468</v>
      </c>
      <c r="O3191" s="1" t="s">
        <v>46</v>
      </c>
      <c r="P3191" s="1" t="s">
        <v>46</v>
      </c>
      <c r="Q3191" s="1" t="s">
        <v>46</v>
      </c>
      <c r="R3191" s="1" t="s">
        <v>46</v>
      </c>
      <c r="S3191" s="1" t="s">
        <v>46</v>
      </c>
      <c r="T3191" s="1" t="s">
        <v>46</v>
      </c>
      <c r="U3191" s="1" t="s">
        <v>46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3825</v>
      </c>
      <c r="C3192" s="1" t="s">
        <v>3826</v>
      </c>
      <c r="D3192" s="1" t="s">
        <v>14</v>
      </c>
      <c r="E3192" s="1" t="s">
        <v>3668</v>
      </c>
      <c r="F3192" s="1" t="s">
        <v>3380</v>
      </c>
      <c r="G3192" s="1" t="s">
        <v>3668</v>
      </c>
      <c r="H3192" s="2" t="s">
        <v>3469</v>
      </c>
      <c r="I3192" s="1" t="s">
        <v>3709</v>
      </c>
      <c r="J3192" s="1" t="s">
        <v>52</v>
      </c>
      <c r="K3192" s="1" t="s">
        <v>3469</v>
      </c>
      <c r="L3192" s="36" t="s">
        <v>69</v>
      </c>
      <c r="M3192" s="1" t="s">
        <v>69</v>
      </c>
      <c r="N3192" s="1" t="s">
        <v>3468</v>
      </c>
      <c r="O3192" s="1" t="s">
        <v>46</v>
      </c>
      <c r="P3192" s="1" t="s">
        <v>46</v>
      </c>
      <c r="Q3192" s="1" t="s">
        <v>46</v>
      </c>
      <c r="R3192" s="1" t="s">
        <v>46</v>
      </c>
      <c r="S3192" s="1" t="s">
        <v>46</v>
      </c>
      <c r="T3192" s="1" t="s">
        <v>46</v>
      </c>
      <c r="U3192" s="1" t="s">
        <v>46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3825</v>
      </c>
      <c r="C3193" s="1" t="s">
        <v>3826</v>
      </c>
      <c r="D3193" s="1" t="s">
        <v>14</v>
      </c>
      <c r="E3193" s="1" t="s">
        <v>3668</v>
      </c>
      <c r="F3193" s="1" t="s">
        <v>3380</v>
      </c>
      <c r="G3193" s="1" t="s">
        <v>3668</v>
      </c>
      <c r="H3193" s="2" t="s">
        <v>3471</v>
      </c>
      <c r="I3193" s="1" t="s">
        <v>3710</v>
      </c>
      <c r="J3193" s="1" t="s">
        <v>52</v>
      </c>
      <c r="K3193" s="1" t="s">
        <v>3471</v>
      </c>
      <c r="L3193" s="36" t="s">
        <v>69</v>
      </c>
      <c r="M3193" s="1" t="s">
        <v>69</v>
      </c>
      <c r="N3193" s="1" t="s">
        <v>3468</v>
      </c>
      <c r="O3193" s="1" t="s">
        <v>46</v>
      </c>
      <c r="P3193" s="1" t="s">
        <v>46</v>
      </c>
      <c r="Q3193" s="1" t="s">
        <v>46</v>
      </c>
      <c r="R3193" s="1" t="s">
        <v>46</v>
      </c>
      <c r="S3193" s="1" t="s">
        <v>46</v>
      </c>
      <c r="T3193" s="1" t="s">
        <v>46</v>
      </c>
      <c r="U3193" s="1" t="s">
        <v>46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3825</v>
      </c>
      <c r="C3194" s="1" t="s">
        <v>3826</v>
      </c>
      <c r="D3194" s="1" t="s">
        <v>14</v>
      </c>
      <c r="E3194" s="1" t="s">
        <v>3668</v>
      </c>
      <c r="F3194" s="1" t="s">
        <v>3380</v>
      </c>
      <c r="G3194" s="1" t="s">
        <v>3668</v>
      </c>
      <c r="H3194" s="2" t="s">
        <v>3473</v>
      </c>
      <c r="I3194" s="1" t="s">
        <v>3711</v>
      </c>
      <c r="J3194" s="1" t="s">
        <v>52</v>
      </c>
      <c r="K3194" s="1" t="s">
        <v>3473</v>
      </c>
      <c r="L3194" s="36" t="s">
        <v>69</v>
      </c>
      <c r="M3194" s="1" t="s">
        <v>69</v>
      </c>
      <c r="N3194" s="1" t="s">
        <v>3468</v>
      </c>
      <c r="O3194" s="1" t="s">
        <v>46</v>
      </c>
      <c r="P3194" s="1" t="s">
        <v>46</v>
      </c>
      <c r="Q3194" s="1" t="s">
        <v>46</v>
      </c>
      <c r="R3194" s="1" t="s">
        <v>46</v>
      </c>
      <c r="S3194" s="1" t="s">
        <v>46</v>
      </c>
      <c r="T3194" s="1" t="s">
        <v>46</v>
      </c>
      <c r="U3194" s="1" t="s">
        <v>46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3825</v>
      </c>
      <c r="C3195" s="1" t="s">
        <v>3826</v>
      </c>
      <c r="D3195" s="1" t="s">
        <v>14</v>
      </c>
      <c r="E3195" s="1" t="s">
        <v>3668</v>
      </c>
      <c r="F3195" s="1" t="s">
        <v>3380</v>
      </c>
      <c r="G3195" s="1" t="s">
        <v>3668</v>
      </c>
      <c r="H3195" s="2" t="s">
        <v>3475</v>
      </c>
      <c r="I3195" s="1" t="s">
        <v>3712</v>
      </c>
      <c r="J3195" s="1" t="s">
        <v>52</v>
      </c>
      <c r="K3195" s="1" t="s">
        <v>3475</v>
      </c>
      <c r="L3195" s="36" t="s">
        <v>69</v>
      </c>
      <c r="M3195" s="1" t="s">
        <v>69</v>
      </c>
      <c r="N3195" s="1" t="s">
        <v>3468</v>
      </c>
      <c r="O3195" s="1" t="s">
        <v>46</v>
      </c>
      <c r="P3195" s="1" t="s">
        <v>46</v>
      </c>
      <c r="Q3195" s="1" t="s">
        <v>46</v>
      </c>
      <c r="R3195" s="1" t="s">
        <v>46</v>
      </c>
      <c r="S3195" s="1" t="s">
        <v>46</v>
      </c>
      <c r="T3195" s="1" t="s">
        <v>46</v>
      </c>
      <c r="U3195" s="1" t="s">
        <v>46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3825</v>
      </c>
      <c r="C3196" s="1" t="s">
        <v>3826</v>
      </c>
      <c r="D3196" s="1" t="s">
        <v>14</v>
      </c>
      <c r="E3196" s="1" t="s">
        <v>3668</v>
      </c>
      <c r="F3196" s="1" t="s">
        <v>3380</v>
      </c>
      <c r="G3196" s="1" t="s">
        <v>3668</v>
      </c>
      <c r="H3196" s="2" t="s">
        <v>3477</v>
      </c>
      <c r="I3196" s="1" t="s">
        <v>3713</v>
      </c>
      <c r="J3196" s="1" t="s">
        <v>52</v>
      </c>
      <c r="K3196" s="1" t="s">
        <v>3477</v>
      </c>
      <c r="L3196" s="36" t="s">
        <v>69</v>
      </c>
      <c r="M3196" s="1" t="s">
        <v>69</v>
      </c>
      <c r="N3196" s="1" t="s">
        <v>3468</v>
      </c>
      <c r="O3196" s="1" t="s">
        <v>46</v>
      </c>
      <c r="P3196" s="1" t="s">
        <v>46</v>
      </c>
      <c r="Q3196" s="1" t="s">
        <v>46</v>
      </c>
      <c r="R3196" s="1" t="s">
        <v>46</v>
      </c>
      <c r="S3196" s="1" t="s">
        <v>46</v>
      </c>
      <c r="T3196" s="1" t="s">
        <v>46</v>
      </c>
      <c r="U3196" s="1" t="s">
        <v>46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3825</v>
      </c>
      <c r="C3197" s="1" t="s">
        <v>3826</v>
      </c>
      <c r="D3197" s="1" t="s">
        <v>14</v>
      </c>
      <c r="E3197" s="1" t="s">
        <v>3668</v>
      </c>
      <c r="F3197" s="1" t="s">
        <v>3380</v>
      </c>
      <c r="G3197" s="1" t="s">
        <v>3668</v>
      </c>
      <c r="H3197" s="2" t="s">
        <v>3479</v>
      </c>
      <c r="I3197" s="1" t="s">
        <v>3714</v>
      </c>
      <c r="J3197" s="1" t="s">
        <v>52</v>
      </c>
      <c r="K3197" s="1" t="s">
        <v>3479</v>
      </c>
      <c r="L3197" s="36" t="s">
        <v>69</v>
      </c>
      <c r="M3197" s="1" t="s">
        <v>69</v>
      </c>
      <c r="N3197" s="1" t="s">
        <v>3468</v>
      </c>
      <c r="O3197" s="1" t="s">
        <v>46</v>
      </c>
      <c r="P3197" s="1" t="s">
        <v>46</v>
      </c>
      <c r="Q3197" s="1" t="s">
        <v>46</v>
      </c>
      <c r="R3197" s="1" t="s">
        <v>46</v>
      </c>
      <c r="S3197" s="1" t="s">
        <v>46</v>
      </c>
      <c r="T3197" s="1" t="s">
        <v>46</v>
      </c>
      <c r="U3197" s="1" t="s">
        <v>46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3825</v>
      </c>
      <c r="C3198" s="1" t="s">
        <v>3826</v>
      </c>
      <c r="D3198" s="1" t="s">
        <v>14</v>
      </c>
      <c r="E3198" s="1" t="s">
        <v>3668</v>
      </c>
      <c r="F3198" s="1" t="s">
        <v>3380</v>
      </c>
      <c r="G3198" s="1" t="s">
        <v>3668</v>
      </c>
      <c r="H3198" s="2" t="s">
        <v>3481</v>
      </c>
      <c r="I3198" s="1" t="s">
        <v>3715</v>
      </c>
      <c r="J3198" s="1" t="s">
        <v>52</v>
      </c>
      <c r="K3198" s="1" t="s">
        <v>3481</v>
      </c>
      <c r="L3198" s="36" t="s">
        <v>69</v>
      </c>
      <c r="M3198" s="1" t="s">
        <v>69</v>
      </c>
      <c r="N3198" s="1" t="s">
        <v>3468</v>
      </c>
      <c r="O3198" s="1" t="s">
        <v>46</v>
      </c>
      <c r="P3198" s="1" t="s">
        <v>46</v>
      </c>
      <c r="Q3198" s="1" t="s">
        <v>46</v>
      </c>
      <c r="R3198" s="1" t="s">
        <v>46</v>
      </c>
      <c r="S3198" s="1" t="s">
        <v>46</v>
      </c>
      <c r="T3198" s="1" t="s">
        <v>46</v>
      </c>
      <c r="U3198" s="1" t="s">
        <v>46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3825</v>
      </c>
      <c r="C3199" s="1" t="s">
        <v>3826</v>
      </c>
      <c r="D3199" s="1" t="s">
        <v>14</v>
      </c>
      <c r="E3199" s="1" t="s">
        <v>3668</v>
      </c>
      <c r="F3199" s="1" t="s">
        <v>3380</v>
      </c>
      <c r="G3199" s="1" t="s">
        <v>3668</v>
      </c>
      <c r="H3199" s="2" t="s">
        <v>3483</v>
      </c>
      <c r="I3199" s="1" t="s">
        <v>3716</v>
      </c>
      <c r="J3199" s="1" t="s">
        <v>52</v>
      </c>
      <c r="K3199" s="1" t="s">
        <v>3483</v>
      </c>
      <c r="L3199" s="36" t="s">
        <v>69</v>
      </c>
      <c r="M3199" s="1" t="s">
        <v>69</v>
      </c>
      <c r="N3199" s="1" t="s">
        <v>3468</v>
      </c>
      <c r="O3199" s="1" t="s">
        <v>46</v>
      </c>
      <c r="P3199" s="1" t="s">
        <v>46</v>
      </c>
      <c r="Q3199" s="1" t="s">
        <v>46</v>
      </c>
      <c r="R3199" s="1" t="s">
        <v>46</v>
      </c>
      <c r="S3199" s="1" t="s">
        <v>46</v>
      </c>
      <c r="T3199" s="1" t="s">
        <v>46</v>
      </c>
      <c r="U3199" s="1" t="s">
        <v>46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3825</v>
      </c>
      <c r="C3200" s="1" t="s">
        <v>3826</v>
      </c>
      <c r="D3200" s="1" t="s">
        <v>14</v>
      </c>
      <c r="E3200" s="1" t="s">
        <v>3668</v>
      </c>
      <c r="F3200" s="1" t="s">
        <v>3380</v>
      </c>
      <c r="G3200" s="1" t="s">
        <v>3668</v>
      </c>
      <c r="H3200" s="2" t="s">
        <v>3485</v>
      </c>
      <c r="I3200" s="1" t="s">
        <v>3717</v>
      </c>
      <c r="J3200" s="1" t="s">
        <v>52</v>
      </c>
      <c r="K3200" s="1" t="s">
        <v>3485</v>
      </c>
      <c r="L3200" s="36" t="s">
        <v>69</v>
      </c>
      <c r="M3200" s="1" t="s">
        <v>69</v>
      </c>
      <c r="N3200" s="1" t="s">
        <v>3468</v>
      </c>
      <c r="O3200" s="1" t="s">
        <v>46</v>
      </c>
      <c r="P3200" s="1" t="s">
        <v>46</v>
      </c>
      <c r="Q3200" s="1" t="s">
        <v>46</v>
      </c>
      <c r="R3200" s="1" t="s">
        <v>46</v>
      </c>
      <c r="S3200" s="1" t="s">
        <v>46</v>
      </c>
      <c r="T3200" s="1" t="s">
        <v>46</v>
      </c>
      <c r="U3200" s="1" t="s">
        <v>46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3825</v>
      </c>
      <c r="C3201" s="1" t="s">
        <v>3826</v>
      </c>
      <c r="D3201" s="1" t="s">
        <v>14</v>
      </c>
      <c r="E3201" s="1" t="s">
        <v>3668</v>
      </c>
      <c r="F3201" s="1" t="s">
        <v>3380</v>
      </c>
      <c r="G3201" s="1" t="s">
        <v>3668</v>
      </c>
      <c r="H3201" s="2" t="s">
        <v>3487</v>
      </c>
      <c r="I3201" s="1" t="s">
        <v>3718</v>
      </c>
      <c r="J3201" s="1" t="s">
        <v>52</v>
      </c>
      <c r="K3201" s="1" t="s">
        <v>3487</v>
      </c>
      <c r="L3201" s="36" t="s">
        <v>69</v>
      </c>
      <c r="M3201" s="1" t="s">
        <v>69</v>
      </c>
      <c r="N3201" s="1" t="s">
        <v>3468</v>
      </c>
      <c r="O3201" s="1" t="s">
        <v>46</v>
      </c>
      <c r="P3201" s="1" t="s">
        <v>46</v>
      </c>
      <c r="Q3201" s="1" t="s">
        <v>46</v>
      </c>
      <c r="R3201" s="1" t="s">
        <v>46</v>
      </c>
      <c r="S3201" s="1" t="s">
        <v>46</v>
      </c>
      <c r="T3201" s="1" t="s">
        <v>46</v>
      </c>
      <c r="U3201" s="1" t="s">
        <v>46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3825</v>
      </c>
      <c r="C3202" s="1" t="s">
        <v>3826</v>
      </c>
      <c r="D3202" s="1" t="s">
        <v>14</v>
      </c>
      <c r="E3202" s="1" t="s">
        <v>3668</v>
      </c>
      <c r="F3202" s="1" t="s">
        <v>3380</v>
      </c>
      <c r="G3202" s="1" t="s">
        <v>3668</v>
      </c>
      <c r="H3202" s="2" t="s">
        <v>3489</v>
      </c>
      <c r="I3202" s="1" t="s">
        <v>3719</v>
      </c>
      <c r="J3202" s="1" t="s">
        <v>52</v>
      </c>
      <c r="K3202" s="1" t="s">
        <v>3489</v>
      </c>
      <c r="L3202" s="36" t="s">
        <v>69</v>
      </c>
      <c r="M3202" s="1" t="s">
        <v>69</v>
      </c>
      <c r="N3202" s="1" t="s">
        <v>3468</v>
      </c>
      <c r="O3202" s="1" t="s">
        <v>46</v>
      </c>
      <c r="P3202" s="1" t="s">
        <v>46</v>
      </c>
      <c r="Q3202" s="1" t="s">
        <v>46</v>
      </c>
      <c r="R3202" s="1" t="s">
        <v>46</v>
      </c>
      <c r="S3202" s="1" t="s">
        <v>46</v>
      </c>
      <c r="T3202" s="1" t="s">
        <v>46</v>
      </c>
      <c r="U3202" s="1" t="s">
        <v>46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3825</v>
      </c>
      <c r="C3203" s="1" t="s">
        <v>3826</v>
      </c>
      <c r="D3203" s="1" t="s">
        <v>14</v>
      </c>
      <c r="E3203" s="1" t="s">
        <v>3668</v>
      </c>
      <c r="F3203" s="1" t="s">
        <v>3380</v>
      </c>
      <c r="G3203" s="1" t="s">
        <v>3668</v>
      </c>
      <c r="H3203" s="2" t="s">
        <v>3491</v>
      </c>
      <c r="I3203" s="1" t="s">
        <v>3720</v>
      </c>
      <c r="J3203" s="1" t="s">
        <v>52</v>
      </c>
      <c r="K3203" s="1" t="s">
        <v>3491</v>
      </c>
      <c r="L3203" s="36" t="s">
        <v>69</v>
      </c>
      <c r="M3203" s="1" t="s">
        <v>69</v>
      </c>
      <c r="N3203" s="1" t="s">
        <v>3468</v>
      </c>
      <c r="O3203" s="1" t="s">
        <v>46</v>
      </c>
      <c r="P3203" s="1" t="s">
        <v>46</v>
      </c>
      <c r="Q3203" s="1" t="s">
        <v>46</v>
      </c>
      <c r="R3203" s="1" t="s">
        <v>46</v>
      </c>
      <c r="S3203" s="1" t="s">
        <v>46</v>
      </c>
      <c r="T3203" s="1" t="s">
        <v>46</v>
      </c>
      <c r="U3203" s="1" t="s">
        <v>46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3825</v>
      </c>
      <c r="C3204" s="1" t="s">
        <v>3826</v>
      </c>
      <c r="D3204" s="1" t="s">
        <v>14</v>
      </c>
      <c r="E3204" s="1" t="s">
        <v>3668</v>
      </c>
      <c r="F3204" s="1" t="s">
        <v>3380</v>
      </c>
      <c r="G3204" s="1" t="s">
        <v>3668</v>
      </c>
      <c r="H3204" s="2" t="s">
        <v>3493</v>
      </c>
      <c r="I3204" s="1" t="s">
        <v>3721</v>
      </c>
      <c r="J3204" s="1" t="s">
        <v>52</v>
      </c>
      <c r="K3204" s="1" t="s">
        <v>3493</v>
      </c>
      <c r="L3204" s="36" t="s">
        <v>69</v>
      </c>
      <c r="M3204" s="1" t="s">
        <v>69</v>
      </c>
      <c r="N3204" s="1" t="s">
        <v>3468</v>
      </c>
      <c r="O3204" s="1" t="s">
        <v>46</v>
      </c>
      <c r="P3204" s="1" t="s">
        <v>46</v>
      </c>
      <c r="Q3204" s="1" t="s">
        <v>46</v>
      </c>
      <c r="R3204" s="1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3825</v>
      </c>
      <c r="C3205" s="1" t="s">
        <v>3826</v>
      </c>
      <c r="D3205" s="1" t="s">
        <v>14</v>
      </c>
      <c r="E3205" s="1" t="s">
        <v>3668</v>
      </c>
      <c r="F3205" s="1" t="s">
        <v>3380</v>
      </c>
      <c r="G3205" s="1" t="s">
        <v>3668</v>
      </c>
      <c r="H3205" s="2" t="s">
        <v>3495</v>
      </c>
      <c r="I3205" s="1" t="s">
        <v>3722</v>
      </c>
      <c r="J3205" s="1" t="s">
        <v>52</v>
      </c>
      <c r="K3205" s="1" t="s">
        <v>3495</v>
      </c>
      <c r="L3205" s="36" t="s">
        <v>69</v>
      </c>
      <c r="M3205" s="1" t="s">
        <v>69</v>
      </c>
      <c r="N3205" s="1" t="s">
        <v>3468</v>
      </c>
      <c r="O3205" s="1" t="s">
        <v>46</v>
      </c>
      <c r="P3205" s="1" t="s">
        <v>46</v>
      </c>
      <c r="Q3205" s="1" t="s">
        <v>46</v>
      </c>
      <c r="R3205" s="1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3827</v>
      </c>
      <c r="C3206" s="1" t="s">
        <v>3828</v>
      </c>
      <c r="D3206" s="1" t="s">
        <v>14</v>
      </c>
      <c r="E3206" s="1" t="s">
        <v>3668</v>
      </c>
      <c r="F3206" s="1" t="s">
        <v>3380</v>
      </c>
      <c r="G3206" s="1" t="s">
        <v>3668</v>
      </c>
      <c r="H3206" s="2" t="s">
        <v>3405</v>
      </c>
      <c r="I3206" s="1" t="s">
        <v>3674</v>
      </c>
      <c r="J3206" s="1" t="s">
        <v>52</v>
      </c>
      <c r="K3206" s="1" t="s">
        <v>3405</v>
      </c>
      <c r="L3206" s="36" t="s">
        <v>69</v>
      </c>
      <c r="M3206" s="1" t="s">
        <v>69</v>
      </c>
      <c r="N3206" s="1" t="s">
        <v>3383</v>
      </c>
      <c r="O3206" s="1" t="s">
        <v>3780</v>
      </c>
      <c r="P3206" s="1" t="s">
        <v>3385</v>
      </c>
      <c r="Q3206" s="1" t="s">
        <v>3385</v>
      </c>
      <c r="R3206" s="1" t="s">
        <v>46</v>
      </c>
      <c r="S3206" s="1" t="s">
        <v>69</v>
      </c>
      <c r="T3206" s="1" t="s">
        <v>69</v>
      </c>
      <c r="U3206" s="1" t="s">
        <v>46</v>
      </c>
      <c r="V3206" s="1" t="n">
        <v>1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3827</v>
      </c>
      <c r="C3207" s="1" t="s">
        <v>3828</v>
      </c>
      <c r="D3207" s="1" t="s">
        <v>14</v>
      </c>
      <c r="E3207" s="1" t="s">
        <v>3668</v>
      </c>
      <c r="F3207" s="1" t="s">
        <v>3380</v>
      </c>
      <c r="G3207" s="1" t="s">
        <v>3668</v>
      </c>
      <c r="H3207" s="2" t="s">
        <v>3408</v>
      </c>
      <c r="I3207" s="1" t="s">
        <v>3675</v>
      </c>
      <c r="J3207" s="1" t="s">
        <v>52</v>
      </c>
      <c r="K3207" s="1" t="s">
        <v>3408</v>
      </c>
      <c r="L3207" s="36" t="s">
        <v>69</v>
      </c>
      <c r="M3207" s="1" t="s">
        <v>69</v>
      </c>
      <c r="N3207" s="1" t="s">
        <v>3383</v>
      </c>
      <c r="O3207" s="1" t="s">
        <v>3780</v>
      </c>
      <c r="P3207" s="1" t="s">
        <v>3385</v>
      </c>
      <c r="Q3207" s="1" t="s">
        <v>3385</v>
      </c>
      <c r="R3207" s="1" t="s">
        <v>46</v>
      </c>
      <c r="S3207" s="1" t="s">
        <v>69</v>
      </c>
      <c r="T3207" s="1" t="s">
        <v>69</v>
      </c>
      <c r="U3207" s="1" t="s">
        <v>46</v>
      </c>
      <c r="V3207" s="1" t="n">
        <v>2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3827</v>
      </c>
      <c r="C3208" s="1" t="s">
        <v>3828</v>
      </c>
      <c r="D3208" s="1" t="s">
        <v>14</v>
      </c>
      <c r="E3208" s="1" t="s">
        <v>3668</v>
      </c>
      <c r="F3208" s="1" t="s">
        <v>3380</v>
      </c>
      <c r="G3208" s="1" t="s">
        <v>3668</v>
      </c>
      <c r="H3208" s="2" t="s">
        <v>3410</v>
      </c>
      <c r="I3208" s="1" t="s">
        <v>3676</v>
      </c>
      <c r="J3208" s="1" t="s">
        <v>52</v>
      </c>
      <c r="K3208" s="1" t="s">
        <v>3410</v>
      </c>
      <c r="L3208" s="36" t="s">
        <v>69</v>
      </c>
      <c r="M3208" s="1" t="s">
        <v>69</v>
      </c>
      <c r="N3208" s="1" t="s">
        <v>3383</v>
      </c>
      <c r="O3208" s="1" t="s">
        <v>3780</v>
      </c>
      <c r="P3208" s="1" t="s">
        <v>3385</v>
      </c>
      <c r="Q3208" s="1" t="s">
        <v>3385</v>
      </c>
      <c r="R3208" s="1" t="s">
        <v>46</v>
      </c>
      <c r="S3208" s="1" t="s">
        <v>69</v>
      </c>
      <c r="T3208" s="1" t="s">
        <v>69</v>
      </c>
      <c r="U3208" s="1" t="s">
        <v>46</v>
      </c>
      <c r="V3208" s="1" t="n">
        <v>3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3827</v>
      </c>
      <c r="C3209" s="1" t="s">
        <v>3828</v>
      </c>
      <c r="D3209" s="1" t="s">
        <v>14</v>
      </c>
      <c r="E3209" s="1" t="s">
        <v>3668</v>
      </c>
      <c r="F3209" s="1" t="s">
        <v>3380</v>
      </c>
      <c r="G3209" s="1" t="s">
        <v>3668</v>
      </c>
      <c r="H3209" s="2" t="s">
        <v>3412</v>
      </c>
      <c r="I3209" s="1" t="s">
        <v>3677</v>
      </c>
      <c r="J3209" s="1" t="s">
        <v>52</v>
      </c>
      <c r="K3209" s="1" t="s">
        <v>3412</v>
      </c>
      <c r="L3209" s="36" t="s">
        <v>69</v>
      </c>
      <c r="M3209" s="1" t="s">
        <v>69</v>
      </c>
      <c r="N3209" s="1" t="s">
        <v>3383</v>
      </c>
      <c r="O3209" s="1" t="s">
        <v>3780</v>
      </c>
      <c r="P3209" s="1" t="s">
        <v>3385</v>
      </c>
      <c r="Q3209" s="1" t="s">
        <v>3385</v>
      </c>
      <c r="R3209" s="1" t="s">
        <v>46</v>
      </c>
      <c r="S3209" s="1" t="s">
        <v>69</v>
      </c>
      <c r="T3209" s="1" t="s">
        <v>69</v>
      </c>
      <c r="U3209" s="1" t="s">
        <v>46</v>
      </c>
      <c r="V3209" s="1" t="n">
        <v>4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3827</v>
      </c>
      <c r="C3210" s="1" t="s">
        <v>3828</v>
      </c>
      <c r="D3210" s="1" t="s">
        <v>14</v>
      </c>
      <c r="E3210" s="1" t="s">
        <v>3668</v>
      </c>
      <c r="F3210" s="1" t="s">
        <v>3380</v>
      </c>
      <c r="G3210" s="1" t="s">
        <v>3668</v>
      </c>
      <c r="H3210" s="2" t="s">
        <v>3510</v>
      </c>
      <c r="I3210" s="1" t="s">
        <v>3730</v>
      </c>
      <c r="J3210" s="1" t="s">
        <v>52</v>
      </c>
      <c r="K3210" s="1" t="s">
        <v>3510</v>
      </c>
      <c r="L3210" s="36" t="s">
        <v>69</v>
      </c>
      <c r="M3210" s="1" t="s">
        <v>69</v>
      </c>
      <c r="N3210" s="1" t="s">
        <v>3383</v>
      </c>
      <c r="O3210" s="1" t="s">
        <v>3781</v>
      </c>
      <c r="P3210" s="1" t="s">
        <v>3385</v>
      </c>
      <c r="Q3210" s="1" t="s">
        <v>3385</v>
      </c>
      <c r="R3210" s="1" t="s">
        <v>46</v>
      </c>
      <c r="S3210" s="1" t="s">
        <v>69</v>
      </c>
      <c r="T3210" s="1" t="s">
        <v>69</v>
      </c>
      <c r="U3210" s="1" t="s">
        <v>46</v>
      </c>
      <c r="V3210" s="1" t="n">
        <v>1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3827</v>
      </c>
      <c r="C3211" s="1" t="s">
        <v>3828</v>
      </c>
      <c r="D3211" s="1" t="s">
        <v>14</v>
      </c>
      <c r="E3211" s="1" t="s">
        <v>3668</v>
      </c>
      <c r="F3211" s="1" t="s">
        <v>3380</v>
      </c>
      <c r="G3211" s="1" t="s">
        <v>3668</v>
      </c>
      <c r="H3211" s="2" t="s">
        <v>3513</v>
      </c>
      <c r="I3211" s="1" t="s">
        <v>3731</v>
      </c>
      <c r="J3211" s="1" t="s">
        <v>52</v>
      </c>
      <c r="K3211" s="1" t="s">
        <v>3513</v>
      </c>
      <c r="L3211" s="36" t="s">
        <v>69</v>
      </c>
      <c r="M3211" s="1" t="s">
        <v>69</v>
      </c>
      <c r="N3211" s="1" t="s">
        <v>3383</v>
      </c>
      <c r="O3211" s="1" t="s">
        <v>3781</v>
      </c>
      <c r="P3211" s="1" t="s">
        <v>3385</v>
      </c>
      <c r="Q3211" s="1" t="s">
        <v>3385</v>
      </c>
      <c r="R3211" s="1" t="s">
        <v>46</v>
      </c>
      <c r="S3211" s="1" t="s">
        <v>69</v>
      </c>
      <c r="T3211" s="1" t="s">
        <v>69</v>
      </c>
      <c r="U3211" s="1" t="s">
        <v>46</v>
      </c>
      <c r="V3211" s="1" t="n">
        <v>2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3827</v>
      </c>
      <c r="C3212" s="1" t="s">
        <v>3828</v>
      </c>
      <c r="D3212" s="1" t="s">
        <v>14</v>
      </c>
      <c r="E3212" s="1" t="s">
        <v>3668</v>
      </c>
      <c r="F3212" s="1" t="s">
        <v>3380</v>
      </c>
      <c r="G3212" s="1" t="s">
        <v>3668</v>
      </c>
      <c r="H3212" s="2" t="s">
        <v>3515</v>
      </c>
      <c r="I3212" s="1" t="s">
        <v>3732</v>
      </c>
      <c r="J3212" s="1" t="s">
        <v>52</v>
      </c>
      <c r="K3212" s="1" t="s">
        <v>3515</v>
      </c>
      <c r="L3212" s="36" t="s">
        <v>69</v>
      </c>
      <c r="M3212" s="1" t="s">
        <v>69</v>
      </c>
      <c r="N3212" s="1" t="s">
        <v>3383</v>
      </c>
      <c r="O3212" s="1" t="s">
        <v>3781</v>
      </c>
      <c r="P3212" s="1" t="s">
        <v>3385</v>
      </c>
      <c r="Q3212" s="1" t="s">
        <v>3385</v>
      </c>
      <c r="R3212" s="1" t="s">
        <v>46</v>
      </c>
      <c r="S3212" s="1" t="s">
        <v>69</v>
      </c>
      <c r="T3212" s="1" t="s">
        <v>69</v>
      </c>
      <c r="U3212" s="1" t="s">
        <v>46</v>
      </c>
      <c r="V3212" s="1" t="n">
        <v>3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3827</v>
      </c>
      <c r="C3213" s="1" t="s">
        <v>3828</v>
      </c>
      <c r="D3213" s="1" t="s">
        <v>14</v>
      </c>
      <c r="E3213" s="1" t="s">
        <v>3668</v>
      </c>
      <c r="F3213" s="1" t="s">
        <v>3380</v>
      </c>
      <c r="G3213" s="1" t="s">
        <v>3668</v>
      </c>
      <c r="H3213" s="2" t="s">
        <v>3517</v>
      </c>
      <c r="I3213" s="1" t="s">
        <v>3733</v>
      </c>
      <c r="J3213" s="1" t="s">
        <v>52</v>
      </c>
      <c r="K3213" s="1" t="s">
        <v>3517</v>
      </c>
      <c r="L3213" s="36" t="s">
        <v>69</v>
      </c>
      <c r="M3213" s="1" t="s">
        <v>69</v>
      </c>
      <c r="N3213" s="1" t="s">
        <v>3383</v>
      </c>
      <c r="O3213" s="1" t="s">
        <v>3781</v>
      </c>
      <c r="P3213" s="1" t="s">
        <v>3385</v>
      </c>
      <c r="Q3213" s="1" t="s">
        <v>3385</v>
      </c>
      <c r="R3213" s="1" t="s">
        <v>46</v>
      </c>
      <c r="S3213" s="1" t="s">
        <v>69</v>
      </c>
      <c r="T3213" s="1" t="s">
        <v>69</v>
      </c>
      <c r="U3213" s="1" t="s">
        <v>46</v>
      </c>
      <c r="V3213" s="1" t="n">
        <v>4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3827</v>
      </c>
      <c r="C3214" s="1" t="s">
        <v>3828</v>
      </c>
      <c r="D3214" s="1" t="s">
        <v>14</v>
      </c>
      <c r="E3214" s="1" t="s">
        <v>3668</v>
      </c>
      <c r="F3214" s="1" t="s">
        <v>3380</v>
      </c>
      <c r="G3214" s="1" t="s">
        <v>3668</v>
      </c>
      <c r="H3214" s="2" t="s">
        <v>3436</v>
      </c>
      <c r="I3214" s="1" t="s">
        <v>3693</v>
      </c>
      <c r="J3214" s="1" t="s">
        <v>52</v>
      </c>
      <c r="K3214" s="1" t="s">
        <v>3436</v>
      </c>
      <c r="L3214" s="36" t="s">
        <v>69</v>
      </c>
      <c r="M3214" s="1" t="s">
        <v>69</v>
      </c>
      <c r="N3214" s="1" t="s">
        <v>1935</v>
      </c>
      <c r="O3214" s="1" t="s">
        <v>46</v>
      </c>
      <c r="P3214" s="1" t="s">
        <v>46</v>
      </c>
      <c r="Q3214" s="1" t="s">
        <v>46</v>
      </c>
      <c r="R3214" s="1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3827</v>
      </c>
      <c r="C3215" s="1" t="s">
        <v>3828</v>
      </c>
      <c r="D3215" s="1" t="s">
        <v>14</v>
      </c>
      <c r="E3215" s="1" t="s">
        <v>3668</v>
      </c>
      <c r="F3215" s="1" t="s">
        <v>3380</v>
      </c>
      <c r="G3215" s="1" t="s">
        <v>3668</v>
      </c>
      <c r="H3215" s="2" t="s">
        <v>3438</v>
      </c>
      <c r="I3215" s="1" t="s">
        <v>3694</v>
      </c>
      <c r="J3215" s="1" t="s">
        <v>52</v>
      </c>
      <c r="K3215" s="1" t="s">
        <v>3438</v>
      </c>
      <c r="L3215" s="36" t="s">
        <v>69</v>
      </c>
      <c r="M3215" s="1" t="s">
        <v>69</v>
      </c>
      <c r="N3215" s="1" t="s">
        <v>1935</v>
      </c>
      <c r="O3215" s="1" t="s">
        <v>46</v>
      </c>
      <c r="P3215" s="1" t="s">
        <v>46</v>
      </c>
      <c r="Q3215" s="1" t="s">
        <v>46</v>
      </c>
      <c r="R3215" s="1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3827</v>
      </c>
      <c r="C3216" s="1" t="s">
        <v>3828</v>
      </c>
      <c r="D3216" s="1" t="s">
        <v>14</v>
      </c>
      <c r="E3216" s="1" t="s">
        <v>3668</v>
      </c>
      <c r="F3216" s="1" t="s">
        <v>3380</v>
      </c>
      <c r="G3216" s="1" t="s">
        <v>3668</v>
      </c>
      <c r="H3216" s="2" t="s">
        <v>3440</v>
      </c>
      <c r="I3216" s="1" t="s">
        <v>3695</v>
      </c>
      <c r="J3216" s="1" t="s">
        <v>52</v>
      </c>
      <c r="K3216" s="1" t="s">
        <v>3440</v>
      </c>
      <c r="L3216" s="36" t="s">
        <v>69</v>
      </c>
      <c r="M3216" s="1" t="s">
        <v>69</v>
      </c>
      <c r="N3216" s="1" t="s">
        <v>1935</v>
      </c>
      <c r="O3216" s="1" t="s">
        <v>46</v>
      </c>
      <c r="P3216" s="1" t="s">
        <v>46</v>
      </c>
      <c r="Q3216" s="1" t="s">
        <v>46</v>
      </c>
      <c r="R3216" s="1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3827</v>
      </c>
      <c r="C3217" s="1" t="s">
        <v>3828</v>
      </c>
      <c r="D3217" s="1" t="s">
        <v>14</v>
      </c>
      <c r="E3217" s="1" t="s">
        <v>3668</v>
      </c>
      <c r="F3217" s="1" t="s">
        <v>3380</v>
      </c>
      <c r="G3217" s="1" t="s">
        <v>3668</v>
      </c>
      <c r="H3217" s="2" t="s">
        <v>3442</v>
      </c>
      <c r="I3217" s="1" t="s">
        <v>3696</v>
      </c>
      <c r="J3217" s="1" t="s">
        <v>52</v>
      </c>
      <c r="K3217" s="1" t="s">
        <v>3442</v>
      </c>
      <c r="L3217" s="36" t="s">
        <v>69</v>
      </c>
      <c r="M3217" s="1" t="s">
        <v>69</v>
      </c>
      <c r="N3217" s="1" t="s">
        <v>1935</v>
      </c>
      <c r="O3217" s="1" t="s">
        <v>46</v>
      </c>
      <c r="P3217" s="1" t="s">
        <v>46</v>
      </c>
      <c r="Q3217" s="1" t="s">
        <v>46</v>
      </c>
      <c r="R3217" s="1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3827</v>
      </c>
      <c r="C3218" s="1" t="s">
        <v>3828</v>
      </c>
      <c r="D3218" s="1" t="s">
        <v>14</v>
      </c>
      <c r="E3218" s="1" t="s">
        <v>3668</v>
      </c>
      <c r="F3218" s="1" t="s">
        <v>3380</v>
      </c>
      <c r="G3218" s="1" t="s">
        <v>3668</v>
      </c>
      <c r="H3218" s="2" t="s">
        <v>3444</v>
      </c>
      <c r="I3218" s="1" t="s">
        <v>3697</v>
      </c>
      <c r="J3218" s="1" t="s">
        <v>52</v>
      </c>
      <c r="K3218" s="1" t="s">
        <v>3444</v>
      </c>
      <c r="L3218" s="36" t="s">
        <v>69</v>
      </c>
      <c r="M3218" s="1" t="s">
        <v>69</v>
      </c>
      <c r="N3218" s="1" t="s">
        <v>1935</v>
      </c>
      <c r="O3218" s="1" t="s">
        <v>46</v>
      </c>
      <c r="P3218" s="1" t="s">
        <v>46</v>
      </c>
      <c r="Q3218" s="1" t="s">
        <v>46</v>
      </c>
      <c r="R3218" s="1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3827</v>
      </c>
      <c r="C3219" s="1" t="s">
        <v>3828</v>
      </c>
      <c r="D3219" s="1" t="s">
        <v>14</v>
      </c>
      <c r="E3219" s="1" t="s">
        <v>3668</v>
      </c>
      <c r="F3219" s="1" t="s">
        <v>3380</v>
      </c>
      <c r="G3219" s="1" t="s">
        <v>3668</v>
      </c>
      <c r="H3219" s="2" t="s">
        <v>3446</v>
      </c>
      <c r="I3219" s="1" t="s">
        <v>3698</v>
      </c>
      <c r="J3219" s="1" t="s">
        <v>52</v>
      </c>
      <c r="K3219" s="1" t="s">
        <v>3446</v>
      </c>
      <c r="L3219" s="36" t="s">
        <v>69</v>
      </c>
      <c r="M3219" s="1" t="s">
        <v>69</v>
      </c>
      <c r="N3219" s="1" t="s">
        <v>1935</v>
      </c>
      <c r="O3219" s="1" t="s">
        <v>46</v>
      </c>
      <c r="P3219" s="1" t="s">
        <v>46</v>
      </c>
      <c r="Q3219" s="1" t="s">
        <v>46</v>
      </c>
      <c r="R3219" s="1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3827</v>
      </c>
      <c r="C3220" s="1" t="s">
        <v>3828</v>
      </c>
      <c r="D3220" s="1" t="s">
        <v>14</v>
      </c>
      <c r="E3220" s="1" t="s">
        <v>3668</v>
      </c>
      <c r="F3220" s="1" t="s">
        <v>3380</v>
      </c>
      <c r="G3220" s="1" t="s">
        <v>3668</v>
      </c>
      <c r="H3220" s="2" t="s">
        <v>3448</v>
      </c>
      <c r="I3220" s="1" t="s">
        <v>3699</v>
      </c>
      <c r="J3220" s="1" t="s">
        <v>52</v>
      </c>
      <c r="K3220" s="1" t="s">
        <v>3448</v>
      </c>
      <c r="L3220" s="36" t="s">
        <v>69</v>
      </c>
      <c r="M3220" s="1" t="s">
        <v>69</v>
      </c>
      <c r="N3220" s="1" t="s">
        <v>1935</v>
      </c>
      <c r="O3220" s="1" t="s">
        <v>46</v>
      </c>
      <c r="P3220" s="1" t="s">
        <v>46</v>
      </c>
      <c r="Q3220" s="1" t="s">
        <v>46</v>
      </c>
      <c r="R3220" s="1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3827</v>
      </c>
      <c r="C3221" s="1" t="s">
        <v>3828</v>
      </c>
      <c r="D3221" s="1" t="s">
        <v>14</v>
      </c>
      <c r="E3221" s="1" t="s">
        <v>3668</v>
      </c>
      <c r="F3221" s="1" t="s">
        <v>3380</v>
      </c>
      <c r="G3221" s="1" t="s">
        <v>3668</v>
      </c>
      <c r="H3221" s="2" t="s">
        <v>3450</v>
      </c>
      <c r="I3221" s="1" t="s">
        <v>3700</v>
      </c>
      <c r="J3221" s="1" t="s">
        <v>52</v>
      </c>
      <c r="K3221" s="1" t="s">
        <v>3450</v>
      </c>
      <c r="L3221" s="36" t="s">
        <v>69</v>
      </c>
      <c r="M3221" s="1" t="s">
        <v>69</v>
      </c>
      <c r="N3221" s="1" t="s">
        <v>1935</v>
      </c>
      <c r="O3221" s="1" t="s">
        <v>46</v>
      </c>
      <c r="P3221" s="1" t="s">
        <v>46</v>
      </c>
      <c r="Q3221" s="1" t="s">
        <v>46</v>
      </c>
      <c r="R3221" s="1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3827</v>
      </c>
      <c r="C3222" s="1" t="s">
        <v>3828</v>
      </c>
      <c r="D3222" s="1" t="s">
        <v>14</v>
      </c>
      <c r="E3222" s="1" t="s">
        <v>3668</v>
      </c>
      <c r="F3222" s="1" t="s">
        <v>3380</v>
      </c>
      <c r="G3222" s="1" t="s">
        <v>3668</v>
      </c>
      <c r="H3222" s="2" t="s">
        <v>3452</v>
      </c>
      <c r="I3222" s="1" t="s">
        <v>3701</v>
      </c>
      <c r="J3222" s="1" t="s">
        <v>52</v>
      </c>
      <c r="K3222" s="1" t="s">
        <v>3452</v>
      </c>
      <c r="L3222" s="36" t="s">
        <v>69</v>
      </c>
      <c r="M3222" s="1" t="s">
        <v>69</v>
      </c>
      <c r="N3222" s="1" t="s">
        <v>1935</v>
      </c>
      <c r="O3222" s="1" t="s">
        <v>46</v>
      </c>
      <c r="P3222" s="1" t="s">
        <v>46</v>
      </c>
      <c r="Q3222" s="1" t="s">
        <v>46</v>
      </c>
      <c r="R3222" s="1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3827</v>
      </c>
      <c r="C3223" s="1" t="s">
        <v>3828</v>
      </c>
      <c r="D3223" s="1" t="s">
        <v>14</v>
      </c>
      <c r="E3223" s="1" t="s">
        <v>3668</v>
      </c>
      <c r="F3223" s="1" t="s">
        <v>3380</v>
      </c>
      <c r="G3223" s="1" t="s">
        <v>3668</v>
      </c>
      <c r="H3223" s="2" t="s">
        <v>3454</v>
      </c>
      <c r="I3223" s="1" t="s">
        <v>3702</v>
      </c>
      <c r="J3223" s="1" t="s">
        <v>52</v>
      </c>
      <c r="K3223" s="1" t="s">
        <v>3454</v>
      </c>
      <c r="L3223" s="36" t="s">
        <v>69</v>
      </c>
      <c r="M3223" s="1" t="s">
        <v>69</v>
      </c>
      <c r="N3223" s="1" t="s">
        <v>1935</v>
      </c>
      <c r="O3223" s="1" t="s">
        <v>46</v>
      </c>
      <c r="P3223" s="1" t="s">
        <v>46</v>
      </c>
      <c r="Q3223" s="1" t="s">
        <v>46</v>
      </c>
      <c r="R3223" s="1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3224" customFormat="false" ht="13.8" hidden="false" customHeight="false" outlineLevel="0" collapsed="false">
      <c r="A3224" s="1" t="s">
        <v>3827</v>
      </c>
      <c r="C3224" s="1" t="s">
        <v>3828</v>
      </c>
      <c r="D3224" s="1" t="s">
        <v>14</v>
      </c>
      <c r="E3224" s="1" t="s">
        <v>3668</v>
      </c>
      <c r="F3224" s="1" t="s">
        <v>3380</v>
      </c>
      <c r="G3224" s="1" t="s">
        <v>3668</v>
      </c>
      <c r="H3224" s="2" t="s">
        <v>3456</v>
      </c>
      <c r="I3224" s="1" t="s">
        <v>3703</v>
      </c>
      <c r="J3224" s="1" t="s">
        <v>52</v>
      </c>
      <c r="K3224" s="1" t="s">
        <v>3456</v>
      </c>
      <c r="L3224" s="36" t="s">
        <v>69</v>
      </c>
      <c r="M3224" s="1" t="s">
        <v>69</v>
      </c>
      <c r="N3224" s="1" t="s">
        <v>1935</v>
      </c>
      <c r="O3224" s="1" t="s">
        <v>46</v>
      </c>
      <c r="P3224" s="1" t="s">
        <v>46</v>
      </c>
      <c r="Q3224" s="1" t="s">
        <v>46</v>
      </c>
      <c r="R3224" s="1" t="s">
        <v>46</v>
      </c>
      <c r="S3224" s="1" t="s">
        <v>46</v>
      </c>
      <c r="T3224" s="1" t="s">
        <v>46</v>
      </c>
      <c r="U3224" s="1" t="s">
        <v>46</v>
      </c>
      <c r="W3224" s="1" t="s">
        <v>46</v>
      </c>
      <c r="X3224" s="1" t="s">
        <v>2640</v>
      </c>
      <c r="Y3224" s="1" t="n">
        <v>5500</v>
      </c>
    </row>
    <row r="3225" customFormat="false" ht="13.8" hidden="false" customHeight="false" outlineLevel="0" collapsed="false">
      <c r="A3225" s="1" t="s">
        <v>3827</v>
      </c>
      <c r="C3225" s="1" t="s">
        <v>3828</v>
      </c>
      <c r="D3225" s="1" t="s">
        <v>14</v>
      </c>
      <c r="E3225" s="1" t="s">
        <v>3668</v>
      </c>
      <c r="F3225" s="1" t="s">
        <v>3380</v>
      </c>
      <c r="G3225" s="1" t="s">
        <v>3668</v>
      </c>
      <c r="H3225" s="2" t="s">
        <v>3458</v>
      </c>
      <c r="I3225" s="1" t="s">
        <v>3704</v>
      </c>
      <c r="J3225" s="1" t="s">
        <v>52</v>
      </c>
      <c r="K3225" s="1" t="s">
        <v>3458</v>
      </c>
      <c r="L3225" s="36" t="s">
        <v>69</v>
      </c>
      <c r="M3225" s="1" t="s">
        <v>69</v>
      </c>
      <c r="N3225" s="1" t="s">
        <v>1935</v>
      </c>
      <c r="O3225" s="1" t="s">
        <v>46</v>
      </c>
      <c r="P3225" s="1" t="s">
        <v>46</v>
      </c>
      <c r="Q3225" s="1" t="s">
        <v>46</v>
      </c>
      <c r="R3225" s="1" t="s">
        <v>46</v>
      </c>
      <c r="S3225" s="1" t="s">
        <v>46</v>
      </c>
      <c r="T3225" s="1" t="s">
        <v>46</v>
      </c>
      <c r="U3225" s="1" t="s">
        <v>46</v>
      </c>
      <c r="W3225" s="1" t="s">
        <v>46</v>
      </c>
      <c r="X3225" s="1" t="s">
        <v>2640</v>
      </c>
      <c r="Y3225" s="1" t="n">
        <v>5500</v>
      </c>
    </row>
    <row r="3226" customFormat="false" ht="13.8" hidden="false" customHeight="false" outlineLevel="0" collapsed="false">
      <c r="A3226" s="1" t="s">
        <v>3827</v>
      </c>
      <c r="C3226" s="1" t="s">
        <v>3828</v>
      </c>
      <c r="D3226" s="1" t="s">
        <v>14</v>
      </c>
      <c r="E3226" s="1" t="s">
        <v>3668</v>
      </c>
      <c r="F3226" s="1" t="s">
        <v>3380</v>
      </c>
      <c r="G3226" s="1" t="s">
        <v>3668</v>
      </c>
      <c r="H3226" s="2" t="s">
        <v>3460</v>
      </c>
      <c r="I3226" s="1" t="s">
        <v>3705</v>
      </c>
      <c r="J3226" s="1" t="s">
        <v>52</v>
      </c>
      <c r="K3226" s="1" t="s">
        <v>3460</v>
      </c>
      <c r="L3226" s="36" t="s">
        <v>69</v>
      </c>
      <c r="M3226" s="1" t="s">
        <v>69</v>
      </c>
      <c r="N3226" s="1" t="s">
        <v>1935</v>
      </c>
      <c r="O3226" s="1" t="s">
        <v>46</v>
      </c>
      <c r="P3226" s="1" t="s">
        <v>46</v>
      </c>
      <c r="Q3226" s="1" t="s">
        <v>46</v>
      </c>
      <c r="R3226" s="1" t="s">
        <v>46</v>
      </c>
      <c r="S3226" s="1" t="s">
        <v>46</v>
      </c>
      <c r="T3226" s="1" t="s">
        <v>46</v>
      </c>
      <c r="U3226" s="1" t="s">
        <v>46</v>
      </c>
      <c r="W3226" s="1" t="s">
        <v>46</v>
      </c>
      <c r="X3226" s="1" t="s">
        <v>2640</v>
      </c>
      <c r="Y3226" s="1" t="n">
        <v>5500</v>
      </c>
    </row>
    <row r="3227" customFormat="false" ht="13.8" hidden="false" customHeight="false" outlineLevel="0" collapsed="false">
      <c r="A3227" s="1" t="s">
        <v>3827</v>
      </c>
      <c r="C3227" s="1" t="s">
        <v>3828</v>
      </c>
      <c r="D3227" s="1" t="s">
        <v>14</v>
      </c>
      <c r="E3227" s="1" t="s">
        <v>3668</v>
      </c>
      <c r="F3227" s="1" t="s">
        <v>3380</v>
      </c>
      <c r="G3227" s="1" t="s">
        <v>3668</v>
      </c>
      <c r="H3227" s="2" t="s">
        <v>3462</v>
      </c>
      <c r="I3227" s="1" t="s">
        <v>3706</v>
      </c>
      <c r="J3227" s="1" t="s">
        <v>52</v>
      </c>
      <c r="K3227" s="1" t="s">
        <v>3462</v>
      </c>
      <c r="L3227" s="36" t="s">
        <v>69</v>
      </c>
      <c r="M3227" s="1" t="s">
        <v>69</v>
      </c>
      <c r="N3227" s="1" t="s">
        <v>1935</v>
      </c>
      <c r="O3227" s="1" t="s">
        <v>46</v>
      </c>
      <c r="P3227" s="1" t="s">
        <v>46</v>
      </c>
      <c r="Q3227" s="1" t="s">
        <v>46</v>
      </c>
      <c r="R3227" s="1" t="s">
        <v>46</v>
      </c>
      <c r="S3227" s="1" t="s">
        <v>46</v>
      </c>
      <c r="T3227" s="1" t="s">
        <v>46</v>
      </c>
      <c r="U3227" s="1" t="s">
        <v>46</v>
      </c>
      <c r="W3227" s="1" t="s">
        <v>46</v>
      </c>
      <c r="X3227" s="1" t="s">
        <v>2640</v>
      </c>
      <c r="Y3227" s="1" t="n">
        <v>5500</v>
      </c>
    </row>
    <row r="3228" customFormat="false" ht="13.8" hidden="false" customHeight="false" outlineLevel="0" collapsed="false">
      <c r="A3228" s="1" t="s">
        <v>3827</v>
      </c>
      <c r="C3228" s="1" t="s">
        <v>3828</v>
      </c>
      <c r="D3228" s="1" t="s">
        <v>14</v>
      </c>
      <c r="E3228" s="1" t="s">
        <v>3668</v>
      </c>
      <c r="F3228" s="1" t="s">
        <v>3380</v>
      </c>
      <c r="G3228" s="1" t="s">
        <v>3668</v>
      </c>
      <c r="H3228" s="2" t="s">
        <v>3464</v>
      </c>
      <c r="I3228" s="1" t="s">
        <v>3707</v>
      </c>
      <c r="J3228" s="1" t="s">
        <v>52</v>
      </c>
      <c r="K3228" s="1" t="s">
        <v>3464</v>
      </c>
      <c r="L3228" s="36" t="s">
        <v>69</v>
      </c>
      <c r="M3228" s="1" t="s">
        <v>69</v>
      </c>
      <c r="N3228" s="1" t="s">
        <v>1935</v>
      </c>
      <c r="O3228" s="1" t="s">
        <v>46</v>
      </c>
      <c r="P3228" s="1" t="s">
        <v>46</v>
      </c>
      <c r="Q3228" s="1" t="s">
        <v>46</v>
      </c>
      <c r="R3228" s="1" t="s">
        <v>46</v>
      </c>
      <c r="S3228" s="1" t="s">
        <v>46</v>
      </c>
      <c r="T3228" s="1" t="s">
        <v>46</v>
      </c>
      <c r="U3228" s="1" t="s">
        <v>46</v>
      </c>
      <c r="W3228" s="1" t="s">
        <v>46</v>
      </c>
      <c r="X3228" s="1" t="s">
        <v>2640</v>
      </c>
      <c r="Y3228" s="1" t="n">
        <v>5500</v>
      </c>
    </row>
    <row r="3229" customFormat="false" ht="13.8" hidden="false" customHeight="false" outlineLevel="0" collapsed="false">
      <c r="A3229" s="1" t="s">
        <v>3827</v>
      </c>
      <c r="C3229" s="1" t="s">
        <v>3828</v>
      </c>
      <c r="D3229" s="1" t="s">
        <v>14</v>
      </c>
      <c r="E3229" s="1" t="s">
        <v>3668</v>
      </c>
      <c r="F3229" s="1" t="s">
        <v>3380</v>
      </c>
      <c r="G3229" s="1" t="s">
        <v>3668</v>
      </c>
      <c r="H3229" s="2" t="s">
        <v>3466</v>
      </c>
      <c r="I3229" s="1" t="s">
        <v>3708</v>
      </c>
      <c r="J3229" s="1" t="s">
        <v>52</v>
      </c>
      <c r="K3229" s="1" t="s">
        <v>3466</v>
      </c>
      <c r="L3229" s="36" t="s">
        <v>69</v>
      </c>
      <c r="M3229" s="1" t="s">
        <v>69</v>
      </c>
      <c r="N3229" s="1" t="s">
        <v>3468</v>
      </c>
      <c r="O3229" s="1" t="s">
        <v>46</v>
      </c>
      <c r="P3229" s="1" t="s">
        <v>46</v>
      </c>
      <c r="Q3229" s="1" t="s">
        <v>46</v>
      </c>
      <c r="R3229" s="1" t="s">
        <v>46</v>
      </c>
      <c r="S3229" s="1" t="s">
        <v>46</v>
      </c>
      <c r="T3229" s="1" t="s">
        <v>46</v>
      </c>
      <c r="U3229" s="1" t="s">
        <v>46</v>
      </c>
      <c r="W3229" s="1" t="s">
        <v>46</v>
      </c>
      <c r="X3229" s="1" t="s">
        <v>2640</v>
      </c>
      <c r="Y3229" s="1" t="n">
        <v>5500</v>
      </c>
    </row>
    <row r="3230" customFormat="false" ht="13.8" hidden="false" customHeight="false" outlineLevel="0" collapsed="false">
      <c r="A3230" s="1" t="s">
        <v>3827</v>
      </c>
      <c r="C3230" s="1" t="s">
        <v>3828</v>
      </c>
      <c r="D3230" s="1" t="s">
        <v>14</v>
      </c>
      <c r="E3230" s="1" t="s">
        <v>3668</v>
      </c>
      <c r="F3230" s="1" t="s">
        <v>3380</v>
      </c>
      <c r="G3230" s="1" t="s">
        <v>3668</v>
      </c>
      <c r="H3230" s="2" t="s">
        <v>3469</v>
      </c>
      <c r="I3230" s="1" t="s">
        <v>3709</v>
      </c>
      <c r="J3230" s="1" t="s">
        <v>52</v>
      </c>
      <c r="K3230" s="1" t="s">
        <v>3469</v>
      </c>
      <c r="L3230" s="36" t="s">
        <v>69</v>
      </c>
      <c r="M3230" s="1" t="s">
        <v>69</v>
      </c>
      <c r="N3230" s="1" t="s">
        <v>3468</v>
      </c>
      <c r="O3230" s="1" t="s">
        <v>46</v>
      </c>
      <c r="P3230" s="1" t="s">
        <v>46</v>
      </c>
      <c r="Q3230" s="1" t="s">
        <v>46</v>
      </c>
      <c r="R3230" s="1" t="s">
        <v>46</v>
      </c>
      <c r="S3230" s="1" t="s">
        <v>46</v>
      </c>
      <c r="T3230" s="1" t="s">
        <v>46</v>
      </c>
      <c r="U3230" s="1" t="s">
        <v>46</v>
      </c>
      <c r="W3230" s="1" t="s">
        <v>46</v>
      </c>
      <c r="X3230" s="1" t="s">
        <v>2640</v>
      </c>
      <c r="Y3230" s="1" t="n">
        <v>5500</v>
      </c>
    </row>
    <row r="3231" customFormat="false" ht="13.8" hidden="false" customHeight="false" outlineLevel="0" collapsed="false">
      <c r="A3231" s="1" t="s">
        <v>3827</v>
      </c>
      <c r="C3231" s="1" t="s">
        <v>3828</v>
      </c>
      <c r="D3231" s="1" t="s">
        <v>14</v>
      </c>
      <c r="E3231" s="1" t="s">
        <v>3668</v>
      </c>
      <c r="F3231" s="1" t="s">
        <v>3380</v>
      </c>
      <c r="G3231" s="1" t="s">
        <v>3668</v>
      </c>
      <c r="H3231" s="2" t="s">
        <v>3471</v>
      </c>
      <c r="I3231" s="1" t="s">
        <v>3710</v>
      </c>
      <c r="J3231" s="1" t="s">
        <v>52</v>
      </c>
      <c r="K3231" s="1" t="s">
        <v>3471</v>
      </c>
      <c r="L3231" s="36" t="s">
        <v>69</v>
      </c>
      <c r="M3231" s="1" t="s">
        <v>69</v>
      </c>
      <c r="N3231" s="1" t="s">
        <v>3468</v>
      </c>
      <c r="O3231" s="1" t="s">
        <v>46</v>
      </c>
      <c r="P3231" s="1" t="s">
        <v>46</v>
      </c>
      <c r="Q3231" s="1" t="s">
        <v>46</v>
      </c>
      <c r="R3231" s="1" t="s">
        <v>46</v>
      </c>
      <c r="S3231" s="1" t="s">
        <v>46</v>
      </c>
      <c r="T3231" s="1" t="s">
        <v>46</v>
      </c>
      <c r="U3231" s="1" t="s">
        <v>46</v>
      </c>
      <c r="W3231" s="1" t="s">
        <v>46</v>
      </c>
      <c r="X3231" s="1" t="s">
        <v>2640</v>
      </c>
      <c r="Y3231" s="1" t="n">
        <v>5500</v>
      </c>
    </row>
    <row r="3232" customFormat="false" ht="13.8" hidden="false" customHeight="false" outlineLevel="0" collapsed="false">
      <c r="A3232" s="1" t="s">
        <v>3827</v>
      </c>
      <c r="C3232" s="1" t="s">
        <v>3828</v>
      </c>
      <c r="D3232" s="1" t="s">
        <v>14</v>
      </c>
      <c r="E3232" s="1" t="s">
        <v>3668</v>
      </c>
      <c r="F3232" s="1" t="s">
        <v>3380</v>
      </c>
      <c r="G3232" s="1" t="s">
        <v>3668</v>
      </c>
      <c r="H3232" s="2" t="s">
        <v>3473</v>
      </c>
      <c r="I3232" s="1" t="s">
        <v>3711</v>
      </c>
      <c r="J3232" s="1" t="s">
        <v>52</v>
      </c>
      <c r="K3232" s="1" t="s">
        <v>3473</v>
      </c>
      <c r="L3232" s="36" t="s">
        <v>69</v>
      </c>
      <c r="M3232" s="1" t="s">
        <v>69</v>
      </c>
      <c r="N3232" s="1" t="s">
        <v>3468</v>
      </c>
      <c r="O3232" s="1" t="s">
        <v>46</v>
      </c>
      <c r="P3232" s="1" t="s">
        <v>46</v>
      </c>
      <c r="Q3232" s="1" t="s">
        <v>46</v>
      </c>
      <c r="R3232" s="1" t="s">
        <v>46</v>
      </c>
      <c r="S3232" s="1" t="s">
        <v>46</v>
      </c>
      <c r="T3232" s="1" t="s">
        <v>46</v>
      </c>
      <c r="U3232" s="1" t="s">
        <v>46</v>
      </c>
      <c r="W3232" s="1" t="s">
        <v>46</v>
      </c>
      <c r="X3232" s="1" t="s">
        <v>2640</v>
      </c>
      <c r="Y3232" s="1" t="n">
        <v>5500</v>
      </c>
    </row>
    <row r="3233" customFormat="false" ht="13.8" hidden="false" customHeight="false" outlineLevel="0" collapsed="false">
      <c r="A3233" s="1" t="s">
        <v>3827</v>
      </c>
      <c r="C3233" s="1" t="s">
        <v>3828</v>
      </c>
      <c r="D3233" s="1" t="s">
        <v>14</v>
      </c>
      <c r="E3233" s="1" t="s">
        <v>3668</v>
      </c>
      <c r="F3233" s="1" t="s">
        <v>3380</v>
      </c>
      <c r="G3233" s="1" t="s">
        <v>3668</v>
      </c>
      <c r="H3233" s="2" t="s">
        <v>3475</v>
      </c>
      <c r="I3233" s="1" t="s">
        <v>3712</v>
      </c>
      <c r="J3233" s="1" t="s">
        <v>52</v>
      </c>
      <c r="K3233" s="1" t="s">
        <v>3475</v>
      </c>
      <c r="L3233" s="36" t="s">
        <v>69</v>
      </c>
      <c r="M3233" s="1" t="s">
        <v>69</v>
      </c>
      <c r="N3233" s="1" t="s">
        <v>3468</v>
      </c>
      <c r="O3233" s="1" t="s">
        <v>46</v>
      </c>
      <c r="P3233" s="1" t="s">
        <v>46</v>
      </c>
      <c r="Q3233" s="1" t="s">
        <v>46</v>
      </c>
      <c r="R3233" s="1" t="s">
        <v>46</v>
      </c>
      <c r="S3233" s="1" t="s">
        <v>46</v>
      </c>
      <c r="T3233" s="1" t="s">
        <v>46</v>
      </c>
      <c r="U3233" s="1" t="s">
        <v>46</v>
      </c>
      <c r="W3233" s="1" t="s">
        <v>46</v>
      </c>
      <c r="X3233" s="1" t="s">
        <v>2640</v>
      </c>
      <c r="Y3233" s="1" t="n">
        <v>5500</v>
      </c>
    </row>
    <row r="3234" customFormat="false" ht="13.8" hidden="false" customHeight="false" outlineLevel="0" collapsed="false">
      <c r="A3234" s="1" t="s">
        <v>3827</v>
      </c>
      <c r="C3234" s="1" t="s">
        <v>3828</v>
      </c>
      <c r="D3234" s="1" t="s">
        <v>14</v>
      </c>
      <c r="E3234" s="1" t="s">
        <v>3668</v>
      </c>
      <c r="F3234" s="1" t="s">
        <v>3380</v>
      </c>
      <c r="G3234" s="1" t="s">
        <v>3668</v>
      </c>
      <c r="H3234" s="2" t="s">
        <v>3477</v>
      </c>
      <c r="I3234" s="1" t="s">
        <v>3713</v>
      </c>
      <c r="J3234" s="1" t="s">
        <v>52</v>
      </c>
      <c r="K3234" s="1" t="s">
        <v>3477</v>
      </c>
      <c r="L3234" s="36" t="s">
        <v>69</v>
      </c>
      <c r="M3234" s="1" t="s">
        <v>69</v>
      </c>
      <c r="N3234" s="1" t="s">
        <v>3468</v>
      </c>
      <c r="O3234" s="1" t="s">
        <v>46</v>
      </c>
      <c r="P3234" s="1" t="s">
        <v>46</v>
      </c>
      <c r="Q3234" s="1" t="s">
        <v>46</v>
      </c>
      <c r="R3234" s="1" t="s">
        <v>46</v>
      </c>
      <c r="S3234" s="1" t="s">
        <v>46</v>
      </c>
      <c r="T3234" s="1" t="s">
        <v>46</v>
      </c>
      <c r="U3234" s="1" t="s">
        <v>46</v>
      </c>
      <c r="W3234" s="1" t="s">
        <v>46</v>
      </c>
      <c r="X3234" s="1" t="s">
        <v>2640</v>
      </c>
      <c r="Y3234" s="1" t="n">
        <v>5500</v>
      </c>
    </row>
    <row r="3235" customFormat="false" ht="13.8" hidden="false" customHeight="false" outlineLevel="0" collapsed="false">
      <c r="A3235" s="1" t="s">
        <v>3827</v>
      </c>
      <c r="C3235" s="1" t="s">
        <v>3828</v>
      </c>
      <c r="D3235" s="1" t="s">
        <v>14</v>
      </c>
      <c r="E3235" s="1" t="s">
        <v>3668</v>
      </c>
      <c r="F3235" s="1" t="s">
        <v>3380</v>
      </c>
      <c r="G3235" s="1" t="s">
        <v>3668</v>
      </c>
      <c r="H3235" s="2" t="s">
        <v>3479</v>
      </c>
      <c r="I3235" s="1" t="s">
        <v>3714</v>
      </c>
      <c r="J3235" s="1" t="s">
        <v>52</v>
      </c>
      <c r="K3235" s="1" t="s">
        <v>3479</v>
      </c>
      <c r="L3235" s="36" t="s">
        <v>69</v>
      </c>
      <c r="M3235" s="1" t="s">
        <v>69</v>
      </c>
      <c r="N3235" s="1" t="s">
        <v>3468</v>
      </c>
      <c r="O3235" s="1" t="s">
        <v>46</v>
      </c>
      <c r="P3235" s="1" t="s">
        <v>46</v>
      </c>
      <c r="Q3235" s="1" t="s">
        <v>46</v>
      </c>
      <c r="R3235" s="1" t="s">
        <v>46</v>
      </c>
      <c r="S3235" s="1" t="s">
        <v>46</v>
      </c>
      <c r="T3235" s="1" t="s">
        <v>46</v>
      </c>
      <c r="U3235" s="1" t="s">
        <v>46</v>
      </c>
      <c r="W3235" s="1" t="s">
        <v>46</v>
      </c>
      <c r="X3235" s="1" t="s">
        <v>2640</v>
      </c>
      <c r="Y3235" s="1" t="n">
        <v>5500</v>
      </c>
    </row>
    <row r="3236" customFormat="false" ht="13.8" hidden="false" customHeight="false" outlineLevel="0" collapsed="false">
      <c r="A3236" s="1" t="s">
        <v>3827</v>
      </c>
      <c r="C3236" s="1" t="s">
        <v>3828</v>
      </c>
      <c r="D3236" s="1" t="s">
        <v>14</v>
      </c>
      <c r="E3236" s="1" t="s">
        <v>3668</v>
      </c>
      <c r="F3236" s="1" t="s">
        <v>3380</v>
      </c>
      <c r="G3236" s="1" t="s">
        <v>3668</v>
      </c>
      <c r="H3236" s="2" t="s">
        <v>3481</v>
      </c>
      <c r="I3236" s="1" t="s">
        <v>3715</v>
      </c>
      <c r="J3236" s="1" t="s">
        <v>52</v>
      </c>
      <c r="K3236" s="1" t="s">
        <v>3481</v>
      </c>
      <c r="L3236" s="36" t="s">
        <v>69</v>
      </c>
      <c r="M3236" s="1" t="s">
        <v>69</v>
      </c>
      <c r="N3236" s="1" t="s">
        <v>3468</v>
      </c>
      <c r="O3236" s="1" t="s">
        <v>46</v>
      </c>
      <c r="P3236" s="1" t="s">
        <v>46</v>
      </c>
      <c r="Q3236" s="1" t="s">
        <v>46</v>
      </c>
      <c r="R3236" s="1" t="s">
        <v>46</v>
      </c>
      <c r="S3236" s="1" t="s">
        <v>46</v>
      </c>
      <c r="T3236" s="1" t="s">
        <v>46</v>
      </c>
      <c r="U3236" s="1" t="s">
        <v>46</v>
      </c>
      <c r="W3236" s="1" t="s">
        <v>46</v>
      </c>
      <c r="X3236" s="1" t="s">
        <v>2640</v>
      </c>
      <c r="Y3236" s="1" t="n">
        <v>5500</v>
      </c>
    </row>
    <row r="3237" customFormat="false" ht="13.8" hidden="false" customHeight="false" outlineLevel="0" collapsed="false">
      <c r="A3237" s="1" t="s">
        <v>3827</v>
      </c>
      <c r="C3237" s="1" t="s">
        <v>3828</v>
      </c>
      <c r="D3237" s="1" t="s">
        <v>14</v>
      </c>
      <c r="E3237" s="1" t="s">
        <v>3668</v>
      </c>
      <c r="F3237" s="1" t="s">
        <v>3380</v>
      </c>
      <c r="G3237" s="1" t="s">
        <v>3668</v>
      </c>
      <c r="H3237" s="2" t="s">
        <v>3483</v>
      </c>
      <c r="I3237" s="1" t="s">
        <v>3716</v>
      </c>
      <c r="J3237" s="1" t="s">
        <v>52</v>
      </c>
      <c r="K3237" s="1" t="s">
        <v>3483</v>
      </c>
      <c r="L3237" s="36" t="s">
        <v>69</v>
      </c>
      <c r="M3237" s="1" t="s">
        <v>69</v>
      </c>
      <c r="N3237" s="1" t="s">
        <v>3468</v>
      </c>
      <c r="O3237" s="1" t="s">
        <v>46</v>
      </c>
      <c r="P3237" s="1" t="s">
        <v>46</v>
      </c>
      <c r="Q3237" s="1" t="s">
        <v>46</v>
      </c>
      <c r="R3237" s="1" t="s">
        <v>46</v>
      </c>
      <c r="S3237" s="1" t="s">
        <v>46</v>
      </c>
      <c r="T3237" s="1" t="s">
        <v>46</v>
      </c>
      <c r="U3237" s="1" t="s">
        <v>46</v>
      </c>
      <c r="W3237" s="1" t="s">
        <v>46</v>
      </c>
      <c r="X3237" s="1" t="s">
        <v>2640</v>
      </c>
      <c r="Y3237" s="1" t="n">
        <v>5500</v>
      </c>
    </row>
    <row r="3238" customFormat="false" ht="13.8" hidden="false" customHeight="false" outlineLevel="0" collapsed="false">
      <c r="A3238" s="1" t="s">
        <v>3827</v>
      </c>
      <c r="C3238" s="1" t="s">
        <v>3828</v>
      </c>
      <c r="D3238" s="1" t="s">
        <v>14</v>
      </c>
      <c r="E3238" s="1" t="s">
        <v>3668</v>
      </c>
      <c r="F3238" s="1" t="s">
        <v>3380</v>
      </c>
      <c r="G3238" s="1" t="s">
        <v>3668</v>
      </c>
      <c r="H3238" s="2" t="s">
        <v>3485</v>
      </c>
      <c r="I3238" s="1" t="s">
        <v>3717</v>
      </c>
      <c r="J3238" s="1" t="s">
        <v>52</v>
      </c>
      <c r="K3238" s="1" t="s">
        <v>3485</v>
      </c>
      <c r="L3238" s="36" t="s">
        <v>69</v>
      </c>
      <c r="M3238" s="1" t="s">
        <v>69</v>
      </c>
      <c r="N3238" s="1" t="s">
        <v>3468</v>
      </c>
      <c r="O3238" s="1" t="s">
        <v>46</v>
      </c>
      <c r="P3238" s="1" t="s">
        <v>46</v>
      </c>
      <c r="Q3238" s="1" t="s">
        <v>46</v>
      </c>
      <c r="R3238" s="1" t="s">
        <v>46</v>
      </c>
      <c r="S3238" s="1" t="s">
        <v>46</v>
      </c>
      <c r="T3238" s="1" t="s">
        <v>46</v>
      </c>
      <c r="U3238" s="1" t="s">
        <v>46</v>
      </c>
      <c r="W3238" s="1" t="s">
        <v>46</v>
      </c>
      <c r="X3238" s="1" t="s">
        <v>2640</v>
      </c>
      <c r="Y3238" s="1" t="n">
        <v>5500</v>
      </c>
    </row>
    <row r="3239" customFormat="false" ht="13.8" hidden="false" customHeight="false" outlineLevel="0" collapsed="false">
      <c r="A3239" s="1" t="s">
        <v>3827</v>
      </c>
      <c r="C3239" s="1" t="s">
        <v>3828</v>
      </c>
      <c r="D3239" s="1" t="s">
        <v>14</v>
      </c>
      <c r="E3239" s="1" t="s">
        <v>3668</v>
      </c>
      <c r="F3239" s="1" t="s">
        <v>3380</v>
      </c>
      <c r="G3239" s="1" t="s">
        <v>3668</v>
      </c>
      <c r="H3239" s="2" t="s">
        <v>3487</v>
      </c>
      <c r="I3239" s="1" t="s">
        <v>3718</v>
      </c>
      <c r="J3239" s="1" t="s">
        <v>52</v>
      </c>
      <c r="K3239" s="1" t="s">
        <v>3487</v>
      </c>
      <c r="L3239" s="36" t="s">
        <v>69</v>
      </c>
      <c r="M3239" s="1" t="s">
        <v>69</v>
      </c>
      <c r="N3239" s="1" t="s">
        <v>3468</v>
      </c>
      <c r="O3239" s="1" t="s">
        <v>46</v>
      </c>
      <c r="P3239" s="1" t="s">
        <v>46</v>
      </c>
      <c r="Q3239" s="1" t="s">
        <v>46</v>
      </c>
      <c r="R3239" s="1" t="s">
        <v>46</v>
      </c>
      <c r="S3239" s="1" t="s">
        <v>46</v>
      </c>
      <c r="T3239" s="1" t="s">
        <v>46</v>
      </c>
      <c r="U3239" s="1" t="s">
        <v>46</v>
      </c>
      <c r="W3239" s="1" t="s">
        <v>46</v>
      </c>
      <c r="X3239" s="1" t="s">
        <v>2640</v>
      </c>
      <c r="Y3239" s="1" t="n">
        <v>5500</v>
      </c>
    </row>
    <row r="3240" customFormat="false" ht="13.8" hidden="false" customHeight="false" outlineLevel="0" collapsed="false">
      <c r="A3240" s="1" t="s">
        <v>3827</v>
      </c>
      <c r="C3240" s="1" t="s">
        <v>3828</v>
      </c>
      <c r="D3240" s="1" t="s">
        <v>14</v>
      </c>
      <c r="E3240" s="1" t="s">
        <v>3668</v>
      </c>
      <c r="F3240" s="1" t="s">
        <v>3380</v>
      </c>
      <c r="G3240" s="1" t="s">
        <v>3668</v>
      </c>
      <c r="H3240" s="2" t="s">
        <v>3489</v>
      </c>
      <c r="I3240" s="1" t="s">
        <v>3719</v>
      </c>
      <c r="J3240" s="1" t="s">
        <v>52</v>
      </c>
      <c r="K3240" s="1" t="s">
        <v>3489</v>
      </c>
      <c r="L3240" s="36" t="s">
        <v>69</v>
      </c>
      <c r="M3240" s="1" t="s">
        <v>69</v>
      </c>
      <c r="N3240" s="1" t="s">
        <v>3468</v>
      </c>
      <c r="O3240" s="1" t="s">
        <v>46</v>
      </c>
      <c r="P3240" s="1" t="s">
        <v>46</v>
      </c>
      <c r="Q3240" s="1" t="s">
        <v>46</v>
      </c>
      <c r="R3240" s="1" t="s">
        <v>46</v>
      </c>
      <c r="S3240" s="1" t="s">
        <v>46</v>
      </c>
      <c r="T3240" s="1" t="s">
        <v>46</v>
      </c>
      <c r="U3240" s="1" t="s">
        <v>46</v>
      </c>
      <c r="W3240" s="1" t="s">
        <v>46</v>
      </c>
      <c r="X3240" s="1" t="s">
        <v>2640</v>
      </c>
      <c r="Y3240" s="1" t="n">
        <v>5500</v>
      </c>
    </row>
    <row r="3241" customFormat="false" ht="13.8" hidden="false" customHeight="false" outlineLevel="0" collapsed="false">
      <c r="A3241" s="1" t="s">
        <v>3827</v>
      </c>
      <c r="C3241" s="1" t="s">
        <v>3828</v>
      </c>
      <c r="D3241" s="1" t="s">
        <v>14</v>
      </c>
      <c r="E3241" s="1" t="s">
        <v>3668</v>
      </c>
      <c r="F3241" s="1" t="s">
        <v>3380</v>
      </c>
      <c r="G3241" s="1" t="s">
        <v>3668</v>
      </c>
      <c r="H3241" s="2" t="s">
        <v>3491</v>
      </c>
      <c r="I3241" s="1" t="s">
        <v>3720</v>
      </c>
      <c r="J3241" s="1" t="s">
        <v>52</v>
      </c>
      <c r="K3241" s="1" t="s">
        <v>3491</v>
      </c>
      <c r="L3241" s="36" t="s">
        <v>69</v>
      </c>
      <c r="M3241" s="1" t="s">
        <v>69</v>
      </c>
      <c r="N3241" s="1" t="s">
        <v>3468</v>
      </c>
      <c r="O3241" s="1" t="s">
        <v>46</v>
      </c>
      <c r="P3241" s="1" t="s">
        <v>46</v>
      </c>
      <c r="Q3241" s="1" t="s">
        <v>46</v>
      </c>
      <c r="R3241" s="1" t="s">
        <v>46</v>
      </c>
      <c r="S3241" s="1" t="s">
        <v>46</v>
      </c>
      <c r="T3241" s="1" t="s">
        <v>46</v>
      </c>
      <c r="U3241" s="1" t="s">
        <v>46</v>
      </c>
      <c r="W3241" s="1" t="s">
        <v>46</v>
      </c>
      <c r="X3241" s="1" t="s">
        <v>2640</v>
      </c>
      <c r="Y3241" s="1" t="n">
        <v>5500</v>
      </c>
    </row>
    <row r="3242" customFormat="false" ht="13.8" hidden="false" customHeight="false" outlineLevel="0" collapsed="false">
      <c r="A3242" s="1" t="s">
        <v>3827</v>
      </c>
      <c r="C3242" s="1" t="s">
        <v>3828</v>
      </c>
      <c r="D3242" s="1" t="s">
        <v>14</v>
      </c>
      <c r="E3242" s="1" t="s">
        <v>3668</v>
      </c>
      <c r="F3242" s="1" t="s">
        <v>3380</v>
      </c>
      <c r="G3242" s="1" t="s">
        <v>3668</v>
      </c>
      <c r="H3242" s="2" t="s">
        <v>3493</v>
      </c>
      <c r="I3242" s="1" t="s">
        <v>3721</v>
      </c>
      <c r="J3242" s="1" t="s">
        <v>52</v>
      </c>
      <c r="K3242" s="1" t="s">
        <v>3493</v>
      </c>
      <c r="L3242" s="36" t="s">
        <v>69</v>
      </c>
      <c r="M3242" s="1" t="s">
        <v>69</v>
      </c>
      <c r="N3242" s="1" t="s">
        <v>3468</v>
      </c>
      <c r="O3242" s="1" t="s">
        <v>46</v>
      </c>
      <c r="P3242" s="1" t="s">
        <v>46</v>
      </c>
      <c r="Q3242" s="1" t="s">
        <v>46</v>
      </c>
      <c r="R3242" s="1" t="s">
        <v>46</v>
      </c>
      <c r="S3242" s="1" t="s">
        <v>46</v>
      </c>
      <c r="T3242" s="1" t="s">
        <v>46</v>
      </c>
      <c r="U3242" s="1" t="s">
        <v>46</v>
      </c>
      <c r="W3242" s="1" t="s">
        <v>46</v>
      </c>
      <c r="X3242" s="1" t="s">
        <v>2640</v>
      </c>
      <c r="Y3242" s="1" t="n">
        <v>5500</v>
      </c>
    </row>
    <row r="3243" customFormat="false" ht="13.8" hidden="false" customHeight="false" outlineLevel="0" collapsed="false">
      <c r="A3243" s="1" t="s">
        <v>3827</v>
      </c>
      <c r="C3243" s="1" t="s">
        <v>3828</v>
      </c>
      <c r="D3243" s="1" t="s">
        <v>14</v>
      </c>
      <c r="E3243" s="1" t="s">
        <v>3668</v>
      </c>
      <c r="F3243" s="1" t="s">
        <v>3380</v>
      </c>
      <c r="G3243" s="1" t="s">
        <v>3668</v>
      </c>
      <c r="H3243" s="2" t="s">
        <v>3495</v>
      </c>
      <c r="I3243" s="1" t="s">
        <v>3722</v>
      </c>
      <c r="J3243" s="1" t="s">
        <v>52</v>
      </c>
      <c r="K3243" s="1" t="s">
        <v>3495</v>
      </c>
      <c r="L3243" s="36" t="s">
        <v>69</v>
      </c>
      <c r="M3243" s="1" t="s">
        <v>69</v>
      </c>
      <c r="N3243" s="1" t="s">
        <v>3468</v>
      </c>
      <c r="O3243" s="1" t="s">
        <v>46</v>
      </c>
      <c r="P3243" s="1" t="s">
        <v>46</v>
      </c>
      <c r="Q3243" s="1" t="s">
        <v>46</v>
      </c>
      <c r="R3243" s="1" t="s">
        <v>46</v>
      </c>
      <c r="S3243" s="1" t="s">
        <v>46</v>
      </c>
      <c r="T3243" s="1" t="s">
        <v>46</v>
      </c>
      <c r="U3243" s="1" t="s">
        <v>46</v>
      </c>
      <c r="W3243" s="1" t="s">
        <v>46</v>
      </c>
      <c r="X3243" s="1" t="s">
        <v>2640</v>
      </c>
      <c r="Y3243" s="1" t="n">
        <v>5500</v>
      </c>
    </row>
    <row r="3244" customFormat="false" ht="13.8" hidden="false" customHeight="false" outlineLevel="0" collapsed="false">
      <c r="A3244" s="1" t="s">
        <v>3829</v>
      </c>
      <c r="C3244" s="1" t="s">
        <v>3830</v>
      </c>
      <c r="D3244" s="1" t="s">
        <v>14</v>
      </c>
      <c r="E3244" s="1" t="s">
        <v>3668</v>
      </c>
      <c r="F3244" s="1" t="s">
        <v>3380</v>
      </c>
      <c r="G3244" s="1" t="s">
        <v>3668</v>
      </c>
      <c r="H3244" s="2" t="s">
        <v>3414</v>
      </c>
      <c r="I3244" s="1" t="s">
        <v>3678</v>
      </c>
      <c r="J3244" s="1" t="s">
        <v>52</v>
      </c>
      <c r="K3244" s="1" t="s">
        <v>3414</v>
      </c>
      <c r="L3244" s="36" t="s">
        <v>69</v>
      </c>
      <c r="M3244" s="1" t="s">
        <v>69</v>
      </c>
      <c r="N3244" s="1" t="s">
        <v>3383</v>
      </c>
      <c r="O3244" s="1" t="s">
        <v>3780</v>
      </c>
      <c r="P3244" s="1" t="s">
        <v>3385</v>
      </c>
      <c r="Q3244" s="1" t="s">
        <v>3385</v>
      </c>
      <c r="R3244" s="1" t="s">
        <v>46</v>
      </c>
      <c r="S3244" s="1" t="s">
        <v>69</v>
      </c>
      <c r="T3244" s="1" t="s">
        <v>69</v>
      </c>
      <c r="U3244" s="1" t="s">
        <v>46</v>
      </c>
      <c r="V3244" s="1" t="n">
        <v>1</v>
      </c>
      <c r="W3244" s="1" t="s">
        <v>46</v>
      </c>
      <c r="X3244" s="1" t="s">
        <v>2640</v>
      </c>
      <c r="Y3244" s="1" t="n">
        <v>5500</v>
      </c>
    </row>
    <row r="3245" customFormat="false" ht="13.8" hidden="false" customHeight="false" outlineLevel="0" collapsed="false">
      <c r="A3245" s="1" t="s">
        <v>3829</v>
      </c>
      <c r="C3245" s="1" t="s">
        <v>3830</v>
      </c>
      <c r="D3245" s="1" t="s">
        <v>14</v>
      </c>
      <c r="E3245" s="1" t="s">
        <v>3668</v>
      </c>
      <c r="F3245" s="1" t="s">
        <v>3380</v>
      </c>
      <c r="G3245" s="1" t="s">
        <v>3668</v>
      </c>
      <c r="H3245" s="2" t="s">
        <v>3417</v>
      </c>
      <c r="I3245" s="1" t="s">
        <v>3679</v>
      </c>
      <c r="J3245" s="1" t="s">
        <v>52</v>
      </c>
      <c r="K3245" s="1" t="s">
        <v>3417</v>
      </c>
      <c r="L3245" s="36" t="s">
        <v>69</v>
      </c>
      <c r="M3245" s="1" t="s">
        <v>69</v>
      </c>
      <c r="N3245" s="1" t="s">
        <v>3383</v>
      </c>
      <c r="O3245" s="1" t="s">
        <v>3780</v>
      </c>
      <c r="P3245" s="1" t="s">
        <v>3385</v>
      </c>
      <c r="Q3245" s="1" t="s">
        <v>3385</v>
      </c>
      <c r="R3245" s="1" t="s">
        <v>46</v>
      </c>
      <c r="S3245" s="1" t="s">
        <v>69</v>
      </c>
      <c r="T3245" s="1" t="s">
        <v>69</v>
      </c>
      <c r="U3245" s="1" t="s">
        <v>46</v>
      </c>
      <c r="V3245" s="1" t="n">
        <v>2</v>
      </c>
      <c r="W3245" s="1" t="s">
        <v>46</v>
      </c>
      <c r="X3245" s="1" t="s">
        <v>2640</v>
      </c>
      <c r="Y3245" s="1" t="n">
        <v>5500</v>
      </c>
    </row>
    <row r="3246" customFormat="false" ht="13.8" hidden="false" customHeight="false" outlineLevel="0" collapsed="false">
      <c r="A3246" s="1" t="s">
        <v>3829</v>
      </c>
      <c r="C3246" s="1" t="s">
        <v>3830</v>
      </c>
      <c r="D3246" s="1" t="s">
        <v>14</v>
      </c>
      <c r="E3246" s="1" t="s">
        <v>3668</v>
      </c>
      <c r="F3246" s="1" t="s">
        <v>3380</v>
      </c>
      <c r="G3246" s="1" t="s">
        <v>3668</v>
      </c>
      <c r="H3246" s="2" t="s">
        <v>3419</v>
      </c>
      <c r="I3246" s="1" t="s">
        <v>3680</v>
      </c>
      <c r="J3246" s="1" t="s">
        <v>52</v>
      </c>
      <c r="K3246" s="1" t="s">
        <v>3419</v>
      </c>
      <c r="L3246" s="36" t="s">
        <v>69</v>
      </c>
      <c r="M3246" s="1" t="s">
        <v>69</v>
      </c>
      <c r="N3246" s="1" t="s">
        <v>3383</v>
      </c>
      <c r="O3246" s="1" t="s">
        <v>3780</v>
      </c>
      <c r="P3246" s="1" t="s">
        <v>3385</v>
      </c>
      <c r="Q3246" s="1" t="s">
        <v>3385</v>
      </c>
      <c r="R3246" s="1" t="s">
        <v>46</v>
      </c>
      <c r="S3246" s="1" t="s">
        <v>69</v>
      </c>
      <c r="T3246" s="1" t="s">
        <v>69</v>
      </c>
      <c r="U3246" s="1" t="s">
        <v>46</v>
      </c>
      <c r="V3246" s="1" t="n">
        <v>3</v>
      </c>
      <c r="W3246" s="1" t="s">
        <v>46</v>
      </c>
      <c r="X3246" s="1" t="s">
        <v>2640</v>
      </c>
      <c r="Y3246" s="1" t="n">
        <v>5500</v>
      </c>
    </row>
    <row r="3247" customFormat="false" ht="13.8" hidden="false" customHeight="false" outlineLevel="0" collapsed="false">
      <c r="A3247" s="1" t="s">
        <v>3829</v>
      </c>
      <c r="C3247" s="1" t="s">
        <v>3830</v>
      </c>
      <c r="D3247" s="1" t="s">
        <v>14</v>
      </c>
      <c r="E3247" s="1" t="s">
        <v>3668</v>
      </c>
      <c r="F3247" s="1" t="s">
        <v>3380</v>
      </c>
      <c r="G3247" s="1" t="s">
        <v>3668</v>
      </c>
      <c r="H3247" s="2" t="s">
        <v>3421</v>
      </c>
      <c r="I3247" s="1" t="s">
        <v>3681</v>
      </c>
      <c r="J3247" s="1" t="s">
        <v>52</v>
      </c>
      <c r="K3247" s="1" t="s">
        <v>3421</v>
      </c>
      <c r="L3247" s="36" t="s">
        <v>69</v>
      </c>
      <c r="M3247" s="1" t="s">
        <v>69</v>
      </c>
      <c r="N3247" s="1" t="s">
        <v>3383</v>
      </c>
      <c r="O3247" s="1" t="s">
        <v>3780</v>
      </c>
      <c r="P3247" s="1" t="s">
        <v>3385</v>
      </c>
      <c r="Q3247" s="1" t="s">
        <v>3385</v>
      </c>
      <c r="R3247" s="1" t="s">
        <v>46</v>
      </c>
      <c r="S3247" s="1" t="s">
        <v>69</v>
      </c>
      <c r="T3247" s="1" t="s">
        <v>69</v>
      </c>
      <c r="U3247" s="1" t="s">
        <v>46</v>
      </c>
      <c r="V3247" s="1" t="n">
        <v>4</v>
      </c>
      <c r="W3247" s="1" t="s">
        <v>46</v>
      </c>
      <c r="X3247" s="1" t="s">
        <v>2640</v>
      </c>
      <c r="Y3247" s="1" t="n">
        <v>5500</v>
      </c>
    </row>
    <row r="3248" customFormat="false" ht="13.8" hidden="false" customHeight="false" outlineLevel="0" collapsed="false">
      <c r="A3248" s="1" t="s">
        <v>3829</v>
      </c>
      <c r="C3248" s="1" t="s">
        <v>3830</v>
      </c>
      <c r="D3248" s="1" t="s">
        <v>14</v>
      </c>
      <c r="E3248" s="1" t="s">
        <v>3668</v>
      </c>
      <c r="F3248" s="1" t="s">
        <v>3380</v>
      </c>
      <c r="G3248" s="1" t="s">
        <v>3668</v>
      </c>
      <c r="H3248" s="2" t="s">
        <v>3423</v>
      </c>
      <c r="I3248" s="1" t="s">
        <v>3682</v>
      </c>
      <c r="J3248" s="1" t="s">
        <v>52</v>
      </c>
      <c r="K3248" s="1" t="s">
        <v>3423</v>
      </c>
      <c r="L3248" s="36" t="s">
        <v>69</v>
      </c>
      <c r="M3248" s="1" t="s">
        <v>69</v>
      </c>
      <c r="N3248" s="1" t="s">
        <v>3383</v>
      </c>
      <c r="O3248" s="1" t="s">
        <v>3780</v>
      </c>
      <c r="P3248" s="1" t="s">
        <v>3385</v>
      </c>
      <c r="Q3248" s="1" t="s">
        <v>3385</v>
      </c>
      <c r="R3248" s="1" t="s">
        <v>46</v>
      </c>
      <c r="S3248" s="1" t="s">
        <v>69</v>
      </c>
      <c r="T3248" s="1" t="s">
        <v>69</v>
      </c>
      <c r="U3248" s="1" t="s">
        <v>46</v>
      </c>
      <c r="V3248" s="1" t="n">
        <v>5</v>
      </c>
      <c r="W3248" s="1" t="s">
        <v>46</v>
      </c>
      <c r="X3248" s="1" t="s">
        <v>2640</v>
      </c>
      <c r="Y3248" s="1" t="n">
        <v>5500</v>
      </c>
    </row>
    <row r="3249" customFormat="false" ht="13.8" hidden="false" customHeight="false" outlineLevel="0" collapsed="false">
      <c r="A3249" s="1" t="s">
        <v>3829</v>
      </c>
      <c r="C3249" s="1" t="s">
        <v>3830</v>
      </c>
      <c r="D3249" s="1" t="s">
        <v>14</v>
      </c>
      <c r="E3249" s="1" t="s">
        <v>3668</v>
      </c>
      <c r="F3249" s="1" t="s">
        <v>3380</v>
      </c>
      <c r="G3249" s="1" t="s">
        <v>3668</v>
      </c>
      <c r="H3249" s="2" t="s">
        <v>3519</v>
      </c>
      <c r="I3249" s="1" t="s">
        <v>3734</v>
      </c>
      <c r="J3249" s="1" t="s">
        <v>52</v>
      </c>
      <c r="K3249" s="1" t="s">
        <v>3519</v>
      </c>
      <c r="L3249" s="36" t="s">
        <v>69</v>
      </c>
      <c r="M3249" s="1" t="s">
        <v>69</v>
      </c>
      <c r="N3249" s="1" t="s">
        <v>3383</v>
      </c>
      <c r="O3249" s="1" t="s">
        <v>3781</v>
      </c>
      <c r="P3249" s="1" t="s">
        <v>3385</v>
      </c>
      <c r="Q3249" s="1" t="s">
        <v>3385</v>
      </c>
      <c r="R3249" s="1" t="s">
        <v>46</v>
      </c>
      <c r="S3249" s="1" t="s">
        <v>69</v>
      </c>
      <c r="T3249" s="1" t="s">
        <v>69</v>
      </c>
      <c r="U3249" s="1" t="s">
        <v>46</v>
      </c>
      <c r="V3249" s="1" t="n">
        <v>1</v>
      </c>
      <c r="W3249" s="1" t="s">
        <v>46</v>
      </c>
      <c r="X3249" s="1" t="s">
        <v>2640</v>
      </c>
      <c r="Y3249" s="1" t="n">
        <v>5500</v>
      </c>
    </row>
    <row r="3250" customFormat="false" ht="13.8" hidden="false" customHeight="false" outlineLevel="0" collapsed="false">
      <c r="A3250" s="1" t="s">
        <v>3829</v>
      </c>
      <c r="C3250" s="1" t="s">
        <v>3830</v>
      </c>
      <c r="D3250" s="1" t="s">
        <v>14</v>
      </c>
      <c r="E3250" s="1" t="s">
        <v>3668</v>
      </c>
      <c r="F3250" s="1" t="s">
        <v>3380</v>
      </c>
      <c r="G3250" s="1" t="s">
        <v>3668</v>
      </c>
      <c r="H3250" s="2" t="s">
        <v>3522</v>
      </c>
      <c r="I3250" s="1" t="s">
        <v>3735</v>
      </c>
      <c r="J3250" s="1" t="s">
        <v>52</v>
      </c>
      <c r="K3250" s="1" t="s">
        <v>3522</v>
      </c>
      <c r="L3250" s="36" t="s">
        <v>69</v>
      </c>
      <c r="M3250" s="1" t="s">
        <v>69</v>
      </c>
      <c r="N3250" s="1" t="s">
        <v>3383</v>
      </c>
      <c r="O3250" s="1" t="s">
        <v>3781</v>
      </c>
      <c r="P3250" s="1" t="s">
        <v>3385</v>
      </c>
      <c r="Q3250" s="1" t="s">
        <v>3385</v>
      </c>
      <c r="R3250" s="1" t="s">
        <v>46</v>
      </c>
      <c r="S3250" s="1" t="s">
        <v>69</v>
      </c>
      <c r="T3250" s="1" t="s">
        <v>69</v>
      </c>
      <c r="U3250" s="1" t="s">
        <v>46</v>
      </c>
      <c r="V3250" s="1" t="n">
        <v>2</v>
      </c>
      <c r="W3250" s="1" t="s">
        <v>46</v>
      </c>
      <c r="X3250" s="1" t="s">
        <v>2640</v>
      </c>
      <c r="Y3250" s="1" t="n">
        <v>5500</v>
      </c>
    </row>
    <row r="3251" customFormat="false" ht="13.8" hidden="false" customHeight="false" outlineLevel="0" collapsed="false">
      <c r="A3251" s="1" t="s">
        <v>3829</v>
      </c>
      <c r="C3251" s="1" t="s">
        <v>3830</v>
      </c>
      <c r="D3251" s="1" t="s">
        <v>14</v>
      </c>
      <c r="E3251" s="1" t="s">
        <v>3668</v>
      </c>
      <c r="F3251" s="1" t="s">
        <v>3380</v>
      </c>
      <c r="G3251" s="1" t="s">
        <v>3668</v>
      </c>
      <c r="H3251" s="2" t="s">
        <v>3524</v>
      </c>
      <c r="I3251" s="1" t="s">
        <v>3736</v>
      </c>
      <c r="J3251" s="1" t="s">
        <v>52</v>
      </c>
      <c r="K3251" s="1" t="s">
        <v>3524</v>
      </c>
      <c r="L3251" s="36" t="s">
        <v>69</v>
      </c>
      <c r="M3251" s="1" t="s">
        <v>69</v>
      </c>
      <c r="N3251" s="1" t="s">
        <v>3383</v>
      </c>
      <c r="O3251" s="1" t="s">
        <v>3781</v>
      </c>
      <c r="P3251" s="1" t="s">
        <v>3385</v>
      </c>
      <c r="Q3251" s="1" t="s">
        <v>3385</v>
      </c>
      <c r="R3251" s="1" t="s">
        <v>46</v>
      </c>
      <c r="S3251" s="1" t="s">
        <v>69</v>
      </c>
      <c r="T3251" s="1" t="s">
        <v>69</v>
      </c>
      <c r="U3251" s="1" t="s">
        <v>46</v>
      </c>
      <c r="V3251" s="1" t="n">
        <v>3</v>
      </c>
      <c r="W3251" s="1" t="s">
        <v>46</v>
      </c>
      <c r="X3251" s="1" t="s">
        <v>2640</v>
      </c>
      <c r="Y3251" s="1" t="n">
        <v>5500</v>
      </c>
    </row>
    <row r="3252" customFormat="false" ht="13.8" hidden="false" customHeight="false" outlineLevel="0" collapsed="false">
      <c r="A3252" s="1" t="s">
        <v>3829</v>
      </c>
      <c r="C3252" s="1" t="s">
        <v>3830</v>
      </c>
      <c r="D3252" s="1" t="s">
        <v>14</v>
      </c>
      <c r="E3252" s="1" t="s">
        <v>3668</v>
      </c>
      <c r="F3252" s="1" t="s">
        <v>3380</v>
      </c>
      <c r="G3252" s="1" t="s">
        <v>3668</v>
      </c>
      <c r="H3252" s="2" t="s">
        <v>3526</v>
      </c>
      <c r="I3252" s="1" t="s">
        <v>3737</v>
      </c>
      <c r="J3252" s="1" t="s">
        <v>52</v>
      </c>
      <c r="K3252" s="1" t="s">
        <v>3526</v>
      </c>
      <c r="L3252" s="36" t="s">
        <v>69</v>
      </c>
      <c r="M3252" s="1" t="s">
        <v>69</v>
      </c>
      <c r="N3252" s="1" t="s">
        <v>3383</v>
      </c>
      <c r="O3252" s="1" t="s">
        <v>3781</v>
      </c>
      <c r="P3252" s="1" t="s">
        <v>3385</v>
      </c>
      <c r="Q3252" s="1" t="s">
        <v>3385</v>
      </c>
      <c r="R3252" s="1" t="s">
        <v>46</v>
      </c>
      <c r="S3252" s="1" t="s">
        <v>69</v>
      </c>
      <c r="T3252" s="1" t="s">
        <v>69</v>
      </c>
      <c r="U3252" s="1" t="s">
        <v>46</v>
      </c>
      <c r="V3252" s="1" t="n">
        <v>4</v>
      </c>
      <c r="W3252" s="1" t="s">
        <v>46</v>
      </c>
      <c r="X3252" s="1" t="s">
        <v>2640</v>
      </c>
      <c r="Y3252" s="1" t="n">
        <v>5500</v>
      </c>
    </row>
    <row r="3253" customFormat="false" ht="13.8" hidden="false" customHeight="false" outlineLevel="0" collapsed="false">
      <c r="A3253" s="1" t="s">
        <v>3829</v>
      </c>
      <c r="C3253" s="1" t="s">
        <v>3830</v>
      </c>
      <c r="D3253" s="1" t="s">
        <v>14</v>
      </c>
      <c r="E3253" s="1" t="s">
        <v>3668</v>
      </c>
      <c r="F3253" s="1" t="s">
        <v>3380</v>
      </c>
      <c r="G3253" s="1" t="s">
        <v>3668</v>
      </c>
      <c r="H3253" s="2" t="s">
        <v>3528</v>
      </c>
      <c r="I3253" s="1" t="s">
        <v>3738</v>
      </c>
      <c r="J3253" s="1" t="s">
        <v>52</v>
      </c>
      <c r="K3253" s="1" t="s">
        <v>3528</v>
      </c>
      <c r="L3253" s="36" t="s">
        <v>69</v>
      </c>
      <c r="M3253" s="1" t="s">
        <v>69</v>
      </c>
      <c r="N3253" s="1" t="s">
        <v>3383</v>
      </c>
      <c r="O3253" s="1" t="s">
        <v>3781</v>
      </c>
      <c r="P3253" s="1" t="s">
        <v>3385</v>
      </c>
      <c r="Q3253" s="1" t="s">
        <v>3385</v>
      </c>
      <c r="R3253" s="1" t="s">
        <v>46</v>
      </c>
      <c r="S3253" s="1" t="s">
        <v>69</v>
      </c>
      <c r="T3253" s="1" t="s">
        <v>69</v>
      </c>
      <c r="U3253" s="1" t="s">
        <v>46</v>
      </c>
      <c r="V3253" s="1" t="n">
        <v>5</v>
      </c>
      <c r="W3253" s="1" t="s">
        <v>46</v>
      </c>
      <c r="X3253" s="1" t="s">
        <v>2640</v>
      </c>
      <c r="Y3253" s="1" t="n">
        <v>5500</v>
      </c>
    </row>
    <row r="3254" customFormat="false" ht="13.8" hidden="false" customHeight="false" outlineLevel="0" collapsed="false">
      <c r="A3254" s="1" t="s">
        <v>3829</v>
      </c>
      <c r="C3254" s="1" t="s">
        <v>3830</v>
      </c>
      <c r="D3254" s="1" t="s">
        <v>14</v>
      </c>
      <c r="E3254" s="1" t="s">
        <v>3668</v>
      </c>
      <c r="F3254" s="1" t="s">
        <v>3380</v>
      </c>
      <c r="G3254" s="1" t="s">
        <v>3668</v>
      </c>
      <c r="H3254" s="2" t="s">
        <v>3436</v>
      </c>
      <c r="I3254" s="1" t="s">
        <v>3693</v>
      </c>
      <c r="J3254" s="1" t="s">
        <v>52</v>
      </c>
      <c r="K3254" s="1" t="s">
        <v>3436</v>
      </c>
      <c r="L3254" s="36" t="s">
        <v>69</v>
      </c>
      <c r="M3254" s="1" t="s">
        <v>69</v>
      </c>
      <c r="N3254" s="1" t="s">
        <v>1935</v>
      </c>
      <c r="O3254" s="1" t="s">
        <v>46</v>
      </c>
      <c r="P3254" s="1" t="s">
        <v>46</v>
      </c>
      <c r="Q3254" s="1" t="s">
        <v>46</v>
      </c>
      <c r="R3254" s="1" t="s">
        <v>46</v>
      </c>
      <c r="S3254" s="1" t="s">
        <v>46</v>
      </c>
      <c r="T3254" s="1" t="s">
        <v>46</v>
      </c>
      <c r="U3254" s="1" t="s">
        <v>46</v>
      </c>
      <c r="W3254" s="1" t="s">
        <v>46</v>
      </c>
      <c r="X3254" s="1" t="s">
        <v>2640</v>
      </c>
      <c r="Y3254" s="1" t="n">
        <v>5500</v>
      </c>
    </row>
    <row r="3255" customFormat="false" ht="13.8" hidden="false" customHeight="false" outlineLevel="0" collapsed="false">
      <c r="A3255" s="1" t="s">
        <v>3829</v>
      </c>
      <c r="C3255" s="1" t="s">
        <v>3830</v>
      </c>
      <c r="D3255" s="1" t="s">
        <v>14</v>
      </c>
      <c r="E3255" s="1" t="s">
        <v>3668</v>
      </c>
      <c r="F3255" s="1" t="s">
        <v>3380</v>
      </c>
      <c r="G3255" s="1" t="s">
        <v>3668</v>
      </c>
      <c r="H3255" s="2" t="s">
        <v>3438</v>
      </c>
      <c r="I3255" s="1" t="s">
        <v>3694</v>
      </c>
      <c r="J3255" s="1" t="s">
        <v>52</v>
      </c>
      <c r="K3255" s="1" t="s">
        <v>3438</v>
      </c>
      <c r="L3255" s="36" t="s">
        <v>69</v>
      </c>
      <c r="M3255" s="1" t="s">
        <v>69</v>
      </c>
      <c r="N3255" s="1" t="s">
        <v>1935</v>
      </c>
      <c r="O3255" s="1" t="s">
        <v>46</v>
      </c>
      <c r="P3255" s="1" t="s">
        <v>46</v>
      </c>
      <c r="Q3255" s="1" t="s">
        <v>46</v>
      </c>
      <c r="R3255" s="1" t="s">
        <v>46</v>
      </c>
      <c r="S3255" s="1" t="s">
        <v>46</v>
      </c>
      <c r="T3255" s="1" t="s">
        <v>46</v>
      </c>
      <c r="U3255" s="1" t="s">
        <v>46</v>
      </c>
      <c r="W3255" s="1" t="s">
        <v>46</v>
      </c>
      <c r="X3255" s="1" t="s">
        <v>2640</v>
      </c>
      <c r="Y3255" s="1" t="n">
        <v>5500</v>
      </c>
    </row>
    <row r="3256" customFormat="false" ht="13.8" hidden="false" customHeight="false" outlineLevel="0" collapsed="false">
      <c r="A3256" s="1" t="s">
        <v>3829</v>
      </c>
      <c r="C3256" s="1" t="s">
        <v>3830</v>
      </c>
      <c r="D3256" s="1" t="s">
        <v>14</v>
      </c>
      <c r="E3256" s="1" t="s">
        <v>3668</v>
      </c>
      <c r="F3256" s="1" t="s">
        <v>3380</v>
      </c>
      <c r="G3256" s="1" t="s">
        <v>3668</v>
      </c>
      <c r="H3256" s="2" t="s">
        <v>3440</v>
      </c>
      <c r="I3256" s="1" t="s">
        <v>3695</v>
      </c>
      <c r="J3256" s="1" t="s">
        <v>52</v>
      </c>
      <c r="K3256" s="1" t="s">
        <v>3440</v>
      </c>
      <c r="L3256" s="36" t="s">
        <v>69</v>
      </c>
      <c r="M3256" s="1" t="s">
        <v>69</v>
      </c>
      <c r="N3256" s="1" t="s">
        <v>1935</v>
      </c>
      <c r="O3256" s="1" t="s">
        <v>46</v>
      </c>
      <c r="P3256" s="1" t="s">
        <v>46</v>
      </c>
      <c r="Q3256" s="1" t="s">
        <v>46</v>
      </c>
      <c r="R3256" s="1" t="s">
        <v>46</v>
      </c>
      <c r="S3256" s="1" t="s">
        <v>46</v>
      </c>
      <c r="T3256" s="1" t="s">
        <v>46</v>
      </c>
      <c r="U3256" s="1" t="s">
        <v>46</v>
      </c>
      <c r="W3256" s="1" t="s">
        <v>46</v>
      </c>
      <c r="X3256" s="1" t="s">
        <v>2640</v>
      </c>
      <c r="Y3256" s="1" t="n">
        <v>5500</v>
      </c>
    </row>
    <row r="3257" customFormat="false" ht="13.8" hidden="false" customHeight="false" outlineLevel="0" collapsed="false">
      <c r="A3257" s="1" t="s">
        <v>3829</v>
      </c>
      <c r="C3257" s="1" t="s">
        <v>3830</v>
      </c>
      <c r="D3257" s="1" t="s">
        <v>14</v>
      </c>
      <c r="E3257" s="1" t="s">
        <v>3668</v>
      </c>
      <c r="F3257" s="1" t="s">
        <v>3380</v>
      </c>
      <c r="G3257" s="1" t="s">
        <v>3668</v>
      </c>
      <c r="H3257" s="2" t="s">
        <v>3442</v>
      </c>
      <c r="I3257" s="1" t="s">
        <v>3696</v>
      </c>
      <c r="J3257" s="1" t="s">
        <v>52</v>
      </c>
      <c r="K3257" s="1" t="s">
        <v>3442</v>
      </c>
      <c r="L3257" s="36" t="s">
        <v>69</v>
      </c>
      <c r="M3257" s="1" t="s">
        <v>69</v>
      </c>
      <c r="N3257" s="1" t="s">
        <v>1935</v>
      </c>
      <c r="O3257" s="1" t="s">
        <v>46</v>
      </c>
      <c r="P3257" s="1" t="s">
        <v>46</v>
      </c>
      <c r="Q3257" s="1" t="s">
        <v>46</v>
      </c>
      <c r="R3257" s="1" t="s">
        <v>46</v>
      </c>
      <c r="S3257" s="1" t="s">
        <v>46</v>
      </c>
      <c r="T3257" s="1" t="s">
        <v>46</v>
      </c>
      <c r="U3257" s="1" t="s">
        <v>46</v>
      </c>
      <c r="W3257" s="1" t="s">
        <v>46</v>
      </c>
      <c r="X3257" s="1" t="s">
        <v>2640</v>
      </c>
      <c r="Y3257" s="1" t="n">
        <v>5500</v>
      </c>
    </row>
    <row r="3258" customFormat="false" ht="13.8" hidden="false" customHeight="false" outlineLevel="0" collapsed="false">
      <c r="A3258" s="1" t="s">
        <v>3829</v>
      </c>
      <c r="C3258" s="1" t="s">
        <v>3830</v>
      </c>
      <c r="D3258" s="1" t="s">
        <v>14</v>
      </c>
      <c r="E3258" s="1" t="s">
        <v>3668</v>
      </c>
      <c r="F3258" s="1" t="s">
        <v>3380</v>
      </c>
      <c r="G3258" s="1" t="s">
        <v>3668</v>
      </c>
      <c r="H3258" s="2" t="s">
        <v>3444</v>
      </c>
      <c r="I3258" s="1" t="s">
        <v>3697</v>
      </c>
      <c r="J3258" s="1" t="s">
        <v>52</v>
      </c>
      <c r="K3258" s="1" t="s">
        <v>3444</v>
      </c>
      <c r="L3258" s="36" t="s">
        <v>69</v>
      </c>
      <c r="M3258" s="1" t="s">
        <v>69</v>
      </c>
      <c r="N3258" s="1" t="s">
        <v>1935</v>
      </c>
      <c r="O3258" s="1" t="s">
        <v>46</v>
      </c>
      <c r="P3258" s="1" t="s">
        <v>46</v>
      </c>
      <c r="Q3258" s="1" t="s">
        <v>46</v>
      </c>
      <c r="R3258" s="1" t="s">
        <v>46</v>
      </c>
      <c r="S3258" s="1" t="s">
        <v>46</v>
      </c>
      <c r="T3258" s="1" t="s">
        <v>46</v>
      </c>
      <c r="U3258" s="1" t="s">
        <v>46</v>
      </c>
      <c r="W3258" s="1" t="s">
        <v>46</v>
      </c>
      <c r="X3258" s="1" t="s">
        <v>2640</v>
      </c>
      <c r="Y3258" s="1" t="n">
        <v>5500</v>
      </c>
    </row>
    <row r="3259" customFormat="false" ht="13.8" hidden="false" customHeight="false" outlineLevel="0" collapsed="false">
      <c r="A3259" s="1" t="s">
        <v>3829</v>
      </c>
      <c r="C3259" s="1" t="s">
        <v>3830</v>
      </c>
      <c r="D3259" s="1" t="s">
        <v>14</v>
      </c>
      <c r="E3259" s="1" t="s">
        <v>3668</v>
      </c>
      <c r="F3259" s="1" t="s">
        <v>3380</v>
      </c>
      <c r="G3259" s="1" t="s">
        <v>3668</v>
      </c>
      <c r="H3259" s="2" t="s">
        <v>3446</v>
      </c>
      <c r="I3259" s="1" t="s">
        <v>3698</v>
      </c>
      <c r="J3259" s="1" t="s">
        <v>52</v>
      </c>
      <c r="K3259" s="1" t="s">
        <v>3446</v>
      </c>
      <c r="L3259" s="36" t="s">
        <v>69</v>
      </c>
      <c r="M3259" s="1" t="s">
        <v>69</v>
      </c>
      <c r="N3259" s="1" t="s">
        <v>1935</v>
      </c>
      <c r="O3259" s="1" t="s">
        <v>46</v>
      </c>
      <c r="P3259" s="1" t="s">
        <v>46</v>
      </c>
      <c r="Q3259" s="1" t="s">
        <v>46</v>
      </c>
      <c r="R3259" s="1" t="s">
        <v>46</v>
      </c>
      <c r="S3259" s="1" t="s">
        <v>46</v>
      </c>
      <c r="T3259" s="1" t="s">
        <v>46</v>
      </c>
      <c r="U3259" s="1" t="s">
        <v>46</v>
      </c>
      <c r="W3259" s="1" t="s">
        <v>46</v>
      </c>
      <c r="X3259" s="1" t="s">
        <v>2640</v>
      </c>
      <c r="Y3259" s="1" t="n">
        <v>5500</v>
      </c>
    </row>
    <row r="3260" customFormat="false" ht="13.8" hidden="false" customHeight="false" outlineLevel="0" collapsed="false">
      <c r="A3260" s="1" t="s">
        <v>3829</v>
      </c>
      <c r="C3260" s="1" t="s">
        <v>3830</v>
      </c>
      <c r="D3260" s="1" t="s">
        <v>14</v>
      </c>
      <c r="E3260" s="1" t="s">
        <v>3668</v>
      </c>
      <c r="F3260" s="1" t="s">
        <v>3380</v>
      </c>
      <c r="G3260" s="1" t="s">
        <v>3668</v>
      </c>
      <c r="H3260" s="2" t="s">
        <v>3448</v>
      </c>
      <c r="I3260" s="1" t="s">
        <v>3699</v>
      </c>
      <c r="J3260" s="1" t="s">
        <v>52</v>
      </c>
      <c r="K3260" s="1" t="s">
        <v>3448</v>
      </c>
      <c r="L3260" s="36" t="s">
        <v>69</v>
      </c>
      <c r="M3260" s="1" t="s">
        <v>69</v>
      </c>
      <c r="N3260" s="1" t="s">
        <v>1935</v>
      </c>
      <c r="O3260" s="1" t="s">
        <v>46</v>
      </c>
      <c r="P3260" s="1" t="s">
        <v>46</v>
      </c>
      <c r="Q3260" s="1" t="s">
        <v>46</v>
      </c>
      <c r="R3260" s="1" t="s">
        <v>46</v>
      </c>
      <c r="S3260" s="1" t="s">
        <v>46</v>
      </c>
      <c r="T3260" s="1" t="s">
        <v>46</v>
      </c>
      <c r="U3260" s="1" t="s">
        <v>46</v>
      </c>
      <c r="W3260" s="1" t="s">
        <v>46</v>
      </c>
      <c r="X3260" s="1" t="s">
        <v>2640</v>
      </c>
      <c r="Y3260" s="1" t="n">
        <v>5500</v>
      </c>
    </row>
    <row r="3261" customFormat="false" ht="13.8" hidden="false" customHeight="false" outlineLevel="0" collapsed="false">
      <c r="A3261" s="1" t="s">
        <v>3829</v>
      </c>
      <c r="C3261" s="1" t="s">
        <v>3830</v>
      </c>
      <c r="D3261" s="1" t="s">
        <v>14</v>
      </c>
      <c r="E3261" s="1" t="s">
        <v>3668</v>
      </c>
      <c r="F3261" s="1" t="s">
        <v>3380</v>
      </c>
      <c r="G3261" s="1" t="s">
        <v>3668</v>
      </c>
      <c r="H3261" s="2" t="s">
        <v>3450</v>
      </c>
      <c r="I3261" s="1" t="s">
        <v>3700</v>
      </c>
      <c r="J3261" s="1" t="s">
        <v>52</v>
      </c>
      <c r="K3261" s="1" t="s">
        <v>3450</v>
      </c>
      <c r="L3261" s="36" t="s">
        <v>69</v>
      </c>
      <c r="M3261" s="1" t="s">
        <v>69</v>
      </c>
      <c r="N3261" s="1" t="s">
        <v>1935</v>
      </c>
      <c r="O3261" s="1" t="s">
        <v>46</v>
      </c>
      <c r="P3261" s="1" t="s">
        <v>46</v>
      </c>
      <c r="Q3261" s="1" t="s">
        <v>46</v>
      </c>
      <c r="R3261" s="1" t="s">
        <v>46</v>
      </c>
      <c r="S3261" s="1" t="s">
        <v>46</v>
      </c>
      <c r="T3261" s="1" t="s">
        <v>46</v>
      </c>
      <c r="U3261" s="1" t="s">
        <v>46</v>
      </c>
      <c r="W3261" s="1" t="s">
        <v>46</v>
      </c>
      <c r="X3261" s="1" t="s">
        <v>2640</v>
      </c>
      <c r="Y3261" s="1" t="n">
        <v>5500</v>
      </c>
    </row>
    <row r="3262" customFormat="false" ht="13.8" hidden="false" customHeight="false" outlineLevel="0" collapsed="false">
      <c r="A3262" s="1" t="s">
        <v>3829</v>
      </c>
      <c r="C3262" s="1" t="s">
        <v>3830</v>
      </c>
      <c r="D3262" s="1" t="s">
        <v>14</v>
      </c>
      <c r="E3262" s="1" t="s">
        <v>3668</v>
      </c>
      <c r="F3262" s="1" t="s">
        <v>3380</v>
      </c>
      <c r="G3262" s="1" t="s">
        <v>3668</v>
      </c>
      <c r="H3262" s="2" t="s">
        <v>3452</v>
      </c>
      <c r="I3262" s="1" t="s">
        <v>3701</v>
      </c>
      <c r="J3262" s="1" t="s">
        <v>52</v>
      </c>
      <c r="K3262" s="1" t="s">
        <v>3452</v>
      </c>
      <c r="L3262" s="36" t="s">
        <v>69</v>
      </c>
      <c r="M3262" s="1" t="s">
        <v>69</v>
      </c>
      <c r="N3262" s="1" t="s">
        <v>1935</v>
      </c>
      <c r="O3262" s="1" t="s">
        <v>46</v>
      </c>
      <c r="P3262" s="1" t="s">
        <v>46</v>
      </c>
      <c r="Q3262" s="1" t="s">
        <v>46</v>
      </c>
      <c r="R3262" s="1" t="s">
        <v>46</v>
      </c>
      <c r="S3262" s="1" t="s">
        <v>46</v>
      </c>
      <c r="T3262" s="1" t="s">
        <v>46</v>
      </c>
      <c r="U3262" s="1" t="s">
        <v>46</v>
      </c>
      <c r="W3262" s="1" t="s">
        <v>46</v>
      </c>
      <c r="X3262" s="1" t="s">
        <v>2640</v>
      </c>
      <c r="Y3262" s="1" t="n">
        <v>5500</v>
      </c>
    </row>
    <row r="3263" customFormat="false" ht="13.8" hidden="false" customHeight="false" outlineLevel="0" collapsed="false">
      <c r="A3263" s="1" t="s">
        <v>3829</v>
      </c>
      <c r="C3263" s="1" t="s">
        <v>3830</v>
      </c>
      <c r="D3263" s="1" t="s">
        <v>14</v>
      </c>
      <c r="E3263" s="1" t="s">
        <v>3668</v>
      </c>
      <c r="F3263" s="1" t="s">
        <v>3380</v>
      </c>
      <c r="G3263" s="1" t="s">
        <v>3668</v>
      </c>
      <c r="H3263" s="2" t="s">
        <v>3454</v>
      </c>
      <c r="I3263" s="1" t="s">
        <v>3702</v>
      </c>
      <c r="J3263" s="1" t="s">
        <v>52</v>
      </c>
      <c r="K3263" s="1" t="s">
        <v>3454</v>
      </c>
      <c r="L3263" s="36" t="s">
        <v>69</v>
      </c>
      <c r="M3263" s="1" t="s">
        <v>69</v>
      </c>
      <c r="N3263" s="1" t="s">
        <v>1935</v>
      </c>
      <c r="O3263" s="1" t="s">
        <v>46</v>
      </c>
      <c r="P3263" s="1" t="s">
        <v>46</v>
      </c>
      <c r="Q3263" s="1" t="s">
        <v>46</v>
      </c>
      <c r="R3263" s="1" t="s">
        <v>46</v>
      </c>
      <c r="S3263" s="1" t="s">
        <v>46</v>
      </c>
      <c r="T3263" s="1" t="s">
        <v>46</v>
      </c>
      <c r="U3263" s="1" t="s">
        <v>46</v>
      </c>
      <c r="W3263" s="1" t="s">
        <v>46</v>
      </c>
      <c r="X3263" s="1" t="s">
        <v>2640</v>
      </c>
      <c r="Y3263" s="1" t="n">
        <v>5500</v>
      </c>
    </row>
    <row r="3264" customFormat="false" ht="13.8" hidden="false" customHeight="false" outlineLevel="0" collapsed="false">
      <c r="A3264" s="1" t="s">
        <v>3829</v>
      </c>
      <c r="C3264" s="1" t="s">
        <v>3830</v>
      </c>
      <c r="D3264" s="1" t="s">
        <v>14</v>
      </c>
      <c r="E3264" s="1" t="s">
        <v>3668</v>
      </c>
      <c r="F3264" s="1" t="s">
        <v>3380</v>
      </c>
      <c r="G3264" s="1" t="s">
        <v>3668</v>
      </c>
      <c r="H3264" s="2" t="s">
        <v>3456</v>
      </c>
      <c r="I3264" s="1" t="s">
        <v>3703</v>
      </c>
      <c r="J3264" s="1" t="s">
        <v>52</v>
      </c>
      <c r="K3264" s="1" t="s">
        <v>3456</v>
      </c>
      <c r="L3264" s="36" t="s">
        <v>69</v>
      </c>
      <c r="M3264" s="1" t="s">
        <v>69</v>
      </c>
      <c r="N3264" s="1" t="s">
        <v>1935</v>
      </c>
      <c r="O3264" s="1" t="s">
        <v>46</v>
      </c>
      <c r="P3264" s="1" t="s">
        <v>46</v>
      </c>
      <c r="Q3264" s="1" t="s">
        <v>46</v>
      </c>
      <c r="R3264" s="1" t="s">
        <v>46</v>
      </c>
      <c r="S3264" s="1" t="s">
        <v>46</v>
      </c>
      <c r="T3264" s="1" t="s">
        <v>46</v>
      </c>
      <c r="U3264" s="1" t="s">
        <v>46</v>
      </c>
      <c r="W3264" s="1" t="s">
        <v>46</v>
      </c>
      <c r="X3264" s="1" t="s">
        <v>2640</v>
      </c>
      <c r="Y3264" s="1" t="n">
        <v>5500</v>
      </c>
    </row>
    <row r="3265" customFormat="false" ht="13.8" hidden="false" customHeight="false" outlineLevel="0" collapsed="false">
      <c r="A3265" s="1" t="s">
        <v>3829</v>
      </c>
      <c r="C3265" s="1" t="s">
        <v>3830</v>
      </c>
      <c r="D3265" s="1" t="s">
        <v>14</v>
      </c>
      <c r="E3265" s="1" t="s">
        <v>3668</v>
      </c>
      <c r="F3265" s="1" t="s">
        <v>3380</v>
      </c>
      <c r="G3265" s="1" t="s">
        <v>3668</v>
      </c>
      <c r="H3265" s="2" t="s">
        <v>3458</v>
      </c>
      <c r="I3265" s="1" t="s">
        <v>3704</v>
      </c>
      <c r="J3265" s="1" t="s">
        <v>52</v>
      </c>
      <c r="K3265" s="1" t="s">
        <v>3458</v>
      </c>
      <c r="L3265" s="36" t="s">
        <v>69</v>
      </c>
      <c r="M3265" s="1" t="s">
        <v>69</v>
      </c>
      <c r="N3265" s="1" t="s">
        <v>1935</v>
      </c>
      <c r="O3265" s="1" t="s">
        <v>46</v>
      </c>
      <c r="P3265" s="1" t="s">
        <v>46</v>
      </c>
      <c r="Q3265" s="1" t="s">
        <v>46</v>
      </c>
      <c r="R3265" s="1" t="s">
        <v>46</v>
      </c>
      <c r="S3265" s="1" t="s">
        <v>46</v>
      </c>
      <c r="T3265" s="1" t="s">
        <v>46</v>
      </c>
      <c r="U3265" s="1" t="s">
        <v>46</v>
      </c>
      <c r="W3265" s="1" t="s">
        <v>46</v>
      </c>
      <c r="X3265" s="1" t="s">
        <v>2640</v>
      </c>
      <c r="Y3265" s="1" t="n">
        <v>5500</v>
      </c>
    </row>
    <row r="3266" customFormat="false" ht="13.8" hidden="false" customHeight="false" outlineLevel="0" collapsed="false">
      <c r="A3266" s="1" t="s">
        <v>3829</v>
      </c>
      <c r="C3266" s="1" t="s">
        <v>3830</v>
      </c>
      <c r="D3266" s="1" t="s">
        <v>14</v>
      </c>
      <c r="E3266" s="1" t="s">
        <v>3668</v>
      </c>
      <c r="F3266" s="1" t="s">
        <v>3380</v>
      </c>
      <c r="G3266" s="1" t="s">
        <v>3668</v>
      </c>
      <c r="H3266" s="2" t="s">
        <v>3460</v>
      </c>
      <c r="I3266" s="1" t="s">
        <v>3705</v>
      </c>
      <c r="J3266" s="1" t="s">
        <v>52</v>
      </c>
      <c r="K3266" s="1" t="s">
        <v>3460</v>
      </c>
      <c r="L3266" s="36" t="s">
        <v>69</v>
      </c>
      <c r="M3266" s="1" t="s">
        <v>69</v>
      </c>
      <c r="N3266" s="1" t="s">
        <v>1935</v>
      </c>
      <c r="O3266" s="1" t="s">
        <v>46</v>
      </c>
      <c r="P3266" s="1" t="s">
        <v>46</v>
      </c>
      <c r="Q3266" s="1" t="s">
        <v>46</v>
      </c>
      <c r="R3266" s="1" t="s">
        <v>46</v>
      </c>
      <c r="S3266" s="1" t="s">
        <v>46</v>
      </c>
      <c r="T3266" s="1" t="s">
        <v>46</v>
      </c>
      <c r="U3266" s="1" t="s">
        <v>46</v>
      </c>
      <c r="W3266" s="1" t="s">
        <v>46</v>
      </c>
      <c r="X3266" s="1" t="s">
        <v>2640</v>
      </c>
      <c r="Y3266" s="1" t="n">
        <v>5500</v>
      </c>
    </row>
    <row r="3267" customFormat="false" ht="13.8" hidden="false" customHeight="false" outlineLevel="0" collapsed="false">
      <c r="A3267" s="1" t="s">
        <v>3829</v>
      </c>
      <c r="C3267" s="1" t="s">
        <v>3830</v>
      </c>
      <c r="D3267" s="1" t="s">
        <v>14</v>
      </c>
      <c r="E3267" s="1" t="s">
        <v>3668</v>
      </c>
      <c r="F3267" s="1" t="s">
        <v>3380</v>
      </c>
      <c r="G3267" s="1" t="s">
        <v>3668</v>
      </c>
      <c r="H3267" s="2" t="s">
        <v>3462</v>
      </c>
      <c r="I3267" s="1" t="s">
        <v>3706</v>
      </c>
      <c r="J3267" s="1" t="s">
        <v>52</v>
      </c>
      <c r="K3267" s="1" t="s">
        <v>3462</v>
      </c>
      <c r="L3267" s="36" t="s">
        <v>69</v>
      </c>
      <c r="M3267" s="1" t="s">
        <v>69</v>
      </c>
      <c r="N3267" s="1" t="s">
        <v>1935</v>
      </c>
      <c r="O3267" s="1" t="s">
        <v>46</v>
      </c>
      <c r="P3267" s="1" t="s">
        <v>46</v>
      </c>
      <c r="Q3267" s="1" t="s">
        <v>46</v>
      </c>
      <c r="R3267" s="1" t="s">
        <v>46</v>
      </c>
      <c r="S3267" s="1" t="s">
        <v>46</v>
      </c>
      <c r="T3267" s="1" t="s">
        <v>46</v>
      </c>
      <c r="U3267" s="1" t="s">
        <v>46</v>
      </c>
      <c r="W3267" s="1" t="s">
        <v>46</v>
      </c>
      <c r="X3267" s="1" t="s">
        <v>2640</v>
      </c>
      <c r="Y3267" s="1" t="n">
        <v>5500</v>
      </c>
    </row>
    <row r="3268" customFormat="false" ht="13.8" hidden="false" customHeight="false" outlineLevel="0" collapsed="false">
      <c r="A3268" s="1" t="s">
        <v>3829</v>
      </c>
      <c r="C3268" s="1" t="s">
        <v>3830</v>
      </c>
      <c r="D3268" s="1" t="s">
        <v>14</v>
      </c>
      <c r="E3268" s="1" t="s">
        <v>3668</v>
      </c>
      <c r="F3268" s="1" t="s">
        <v>3380</v>
      </c>
      <c r="G3268" s="1" t="s">
        <v>3668</v>
      </c>
      <c r="H3268" s="2" t="s">
        <v>3464</v>
      </c>
      <c r="I3268" s="1" t="s">
        <v>3707</v>
      </c>
      <c r="J3268" s="1" t="s">
        <v>52</v>
      </c>
      <c r="K3268" s="1" t="s">
        <v>3464</v>
      </c>
      <c r="L3268" s="36" t="s">
        <v>69</v>
      </c>
      <c r="M3268" s="1" t="s">
        <v>69</v>
      </c>
      <c r="N3268" s="1" t="s">
        <v>1935</v>
      </c>
      <c r="O3268" s="1" t="s">
        <v>46</v>
      </c>
      <c r="P3268" s="1" t="s">
        <v>46</v>
      </c>
      <c r="Q3268" s="1" t="s">
        <v>46</v>
      </c>
      <c r="R3268" s="1" t="s">
        <v>46</v>
      </c>
      <c r="S3268" s="1" t="s">
        <v>46</v>
      </c>
      <c r="T3268" s="1" t="s">
        <v>46</v>
      </c>
      <c r="U3268" s="1" t="s">
        <v>46</v>
      </c>
      <c r="W3268" s="1" t="s">
        <v>46</v>
      </c>
      <c r="X3268" s="1" t="s">
        <v>2640</v>
      </c>
      <c r="Y3268" s="1" t="n">
        <v>5500</v>
      </c>
    </row>
    <row r="3269" customFormat="false" ht="13.8" hidden="false" customHeight="false" outlineLevel="0" collapsed="false">
      <c r="A3269" s="1" t="s">
        <v>3829</v>
      </c>
      <c r="C3269" s="1" t="s">
        <v>3830</v>
      </c>
      <c r="D3269" s="1" t="s">
        <v>14</v>
      </c>
      <c r="E3269" s="1" t="s">
        <v>3668</v>
      </c>
      <c r="F3269" s="1" t="s">
        <v>3380</v>
      </c>
      <c r="G3269" s="1" t="s">
        <v>3668</v>
      </c>
      <c r="H3269" s="2" t="s">
        <v>3466</v>
      </c>
      <c r="I3269" s="1" t="s">
        <v>3708</v>
      </c>
      <c r="J3269" s="1" t="s">
        <v>52</v>
      </c>
      <c r="K3269" s="1" t="s">
        <v>3466</v>
      </c>
      <c r="L3269" s="36" t="s">
        <v>69</v>
      </c>
      <c r="M3269" s="1" t="s">
        <v>69</v>
      </c>
      <c r="N3269" s="1" t="s">
        <v>3468</v>
      </c>
      <c r="O3269" s="1" t="s">
        <v>46</v>
      </c>
      <c r="P3269" s="1" t="s">
        <v>46</v>
      </c>
      <c r="Q3269" s="1" t="s">
        <v>46</v>
      </c>
      <c r="R3269" s="1" t="s">
        <v>46</v>
      </c>
      <c r="S3269" s="1" t="s">
        <v>46</v>
      </c>
      <c r="T3269" s="1" t="s">
        <v>46</v>
      </c>
      <c r="U3269" s="1" t="s">
        <v>46</v>
      </c>
      <c r="W3269" s="1" t="s">
        <v>46</v>
      </c>
      <c r="X3269" s="1" t="s">
        <v>2640</v>
      </c>
      <c r="Y3269" s="1" t="n">
        <v>5500</v>
      </c>
    </row>
    <row r="3270" customFormat="false" ht="13.8" hidden="false" customHeight="false" outlineLevel="0" collapsed="false">
      <c r="A3270" s="1" t="s">
        <v>3829</v>
      </c>
      <c r="C3270" s="1" t="s">
        <v>3830</v>
      </c>
      <c r="D3270" s="1" t="s">
        <v>14</v>
      </c>
      <c r="E3270" s="1" t="s">
        <v>3668</v>
      </c>
      <c r="F3270" s="1" t="s">
        <v>3380</v>
      </c>
      <c r="G3270" s="1" t="s">
        <v>3668</v>
      </c>
      <c r="H3270" s="2" t="s">
        <v>3469</v>
      </c>
      <c r="I3270" s="1" t="s">
        <v>3709</v>
      </c>
      <c r="J3270" s="1" t="s">
        <v>52</v>
      </c>
      <c r="K3270" s="1" t="s">
        <v>3469</v>
      </c>
      <c r="L3270" s="36" t="s">
        <v>69</v>
      </c>
      <c r="M3270" s="1" t="s">
        <v>69</v>
      </c>
      <c r="N3270" s="1" t="s">
        <v>3468</v>
      </c>
      <c r="O3270" s="1" t="s">
        <v>46</v>
      </c>
      <c r="P3270" s="1" t="s">
        <v>46</v>
      </c>
      <c r="Q3270" s="1" t="s">
        <v>46</v>
      </c>
      <c r="R3270" s="1" t="s">
        <v>46</v>
      </c>
      <c r="S3270" s="1" t="s">
        <v>46</v>
      </c>
      <c r="T3270" s="1" t="s">
        <v>46</v>
      </c>
      <c r="U3270" s="1" t="s">
        <v>46</v>
      </c>
      <c r="W3270" s="1" t="s">
        <v>46</v>
      </c>
      <c r="X3270" s="1" t="s">
        <v>2640</v>
      </c>
      <c r="Y3270" s="1" t="n">
        <v>5500</v>
      </c>
    </row>
    <row r="3271" customFormat="false" ht="13.8" hidden="false" customHeight="false" outlineLevel="0" collapsed="false">
      <c r="A3271" s="1" t="s">
        <v>3829</v>
      </c>
      <c r="C3271" s="1" t="s">
        <v>3830</v>
      </c>
      <c r="D3271" s="1" t="s">
        <v>14</v>
      </c>
      <c r="E3271" s="1" t="s">
        <v>3668</v>
      </c>
      <c r="F3271" s="1" t="s">
        <v>3380</v>
      </c>
      <c r="G3271" s="1" t="s">
        <v>3668</v>
      </c>
      <c r="H3271" s="2" t="s">
        <v>3471</v>
      </c>
      <c r="I3271" s="1" t="s">
        <v>3710</v>
      </c>
      <c r="J3271" s="1" t="s">
        <v>52</v>
      </c>
      <c r="K3271" s="1" t="s">
        <v>3471</v>
      </c>
      <c r="L3271" s="36" t="s">
        <v>69</v>
      </c>
      <c r="M3271" s="1" t="s">
        <v>69</v>
      </c>
      <c r="N3271" s="1" t="s">
        <v>3468</v>
      </c>
      <c r="O3271" s="1" t="s">
        <v>46</v>
      </c>
      <c r="P3271" s="1" t="s">
        <v>46</v>
      </c>
      <c r="Q3271" s="1" t="s">
        <v>46</v>
      </c>
      <c r="R3271" s="1" t="s">
        <v>46</v>
      </c>
      <c r="S3271" s="1" t="s">
        <v>46</v>
      </c>
      <c r="T3271" s="1" t="s">
        <v>46</v>
      </c>
      <c r="U3271" s="1" t="s">
        <v>46</v>
      </c>
      <c r="W3271" s="1" t="s">
        <v>46</v>
      </c>
      <c r="X3271" s="1" t="s">
        <v>2640</v>
      </c>
      <c r="Y3271" s="1" t="n">
        <v>5500</v>
      </c>
    </row>
    <row r="3272" customFormat="false" ht="13.8" hidden="false" customHeight="false" outlineLevel="0" collapsed="false">
      <c r="A3272" s="1" t="s">
        <v>3829</v>
      </c>
      <c r="C3272" s="1" t="s">
        <v>3830</v>
      </c>
      <c r="D3272" s="1" t="s">
        <v>14</v>
      </c>
      <c r="E3272" s="1" t="s">
        <v>3668</v>
      </c>
      <c r="F3272" s="1" t="s">
        <v>3380</v>
      </c>
      <c r="G3272" s="1" t="s">
        <v>3668</v>
      </c>
      <c r="H3272" s="2" t="s">
        <v>3473</v>
      </c>
      <c r="I3272" s="1" t="s">
        <v>3711</v>
      </c>
      <c r="J3272" s="1" t="s">
        <v>52</v>
      </c>
      <c r="K3272" s="1" t="s">
        <v>3473</v>
      </c>
      <c r="L3272" s="36" t="s">
        <v>69</v>
      </c>
      <c r="M3272" s="1" t="s">
        <v>69</v>
      </c>
      <c r="N3272" s="1" t="s">
        <v>3468</v>
      </c>
      <c r="O3272" s="1" t="s">
        <v>46</v>
      </c>
      <c r="P3272" s="1" t="s">
        <v>46</v>
      </c>
      <c r="Q3272" s="1" t="s">
        <v>46</v>
      </c>
      <c r="R3272" s="1" t="s">
        <v>46</v>
      </c>
      <c r="S3272" s="1" t="s">
        <v>46</v>
      </c>
      <c r="T3272" s="1" t="s">
        <v>46</v>
      </c>
      <c r="U3272" s="1" t="s">
        <v>46</v>
      </c>
      <c r="W3272" s="1" t="s">
        <v>46</v>
      </c>
      <c r="X3272" s="1" t="s">
        <v>2640</v>
      </c>
      <c r="Y3272" s="1" t="n">
        <v>5500</v>
      </c>
    </row>
    <row r="3273" customFormat="false" ht="13.8" hidden="false" customHeight="false" outlineLevel="0" collapsed="false">
      <c r="A3273" s="1" t="s">
        <v>3829</v>
      </c>
      <c r="C3273" s="1" t="s">
        <v>3830</v>
      </c>
      <c r="D3273" s="1" t="s">
        <v>14</v>
      </c>
      <c r="E3273" s="1" t="s">
        <v>3668</v>
      </c>
      <c r="F3273" s="1" t="s">
        <v>3380</v>
      </c>
      <c r="G3273" s="1" t="s">
        <v>3668</v>
      </c>
      <c r="H3273" s="2" t="s">
        <v>3475</v>
      </c>
      <c r="I3273" s="1" t="s">
        <v>3712</v>
      </c>
      <c r="J3273" s="1" t="s">
        <v>52</v>
      </c>
      <c r="K3273" s="1" t="s">
        <v>3475</v>
      </c>
      <c r="L3273" s="36" t="s">
        <v>69</v>
      </c>
      <c r="M3273" s="1" t="s">
        <v>69</v>
      </c>
      <c r="N3273" s="1" t="s">
        <v>3468</v>
      </c>
      <c r="O3273" s="1" t="s">
        <v>46</v>
      </c>
      <c r="P3273" s="1" t="s">
        <v>46</v>
      </c>
      <c r="Q3273" s="1" t="s">
        <v>46</v>
      </c>
      <c r="R3273" s="1" t="s">
        <v>46</v>
      </c>
      <c r="S3273" s="1" t="s">
        <v>46</v>
      </c>
      <c r="T3273" s="1" t="s">
        <v>46</v>
      </c>
      <c r="U3273" s="1" t="s">
        <v>46</v>
      </c>
      <c r="W3273" s="1" t="s">
        <v>46</v>
      </c>
      <c r="X3273" s="1" t="s">
        <v>2640</v>
      </c>
      <c r="Y3273" s="1" t="n">
        <v>5500</v>
      </c>
    </row>
    <row r="3274" customFormat="false" ht="13.8" hidden="false" customHeight="false" outlineLevel="0" collapsed="false">
      <c r="A3274" s="1" t="s">
        <v>3829</v>
      </c>
      <c r="C3274" s="1" t="s">
        <v>3830</v>
      </c>
      <c r="D3274" s="1" t="s">
        <v>14</v>
      </c>
      <c r="E3274" s="1" t="s">
        <v>3668</v>
      </c>
      <c r="F3274" s="1" t="s">
        <v>3380</v>
      </c>
      <c r="G3274" s="1" t="s">
        <v>3668</v>
      </c>
      <c r="H3274" s="2" t="s">
        <v>3477</v>
      </c>
      <c r="I3274" s="1" t="s">
        <v>3713</v>
      </c>
      <c r="J3274" s="1" t="s">
        <v>52</v>
      </c>
      <c r="K3274" s="1" t="s">
        <v>3477</v>
      </c>
      <c r="L3274" s="36" t="s">
        <v>69</v>
      </c>
      <c r="M3274" s="1" t="s">
        <v>69</v>
      </c>
      <c r="N3274" s="1" t="s">
        <v>3468</v>
      </c>
      <c r="O3274" s="1" t="s">
        <v>46</v>
      </c>
      <c r="P3274" s="1" t="s">
        <v>46</v>
      </c>
      <c r="Q3274" s="1" t="s">
        <v>46</v>
      </c>
      <c r="R3274" s="1" t="s">
        <v>46</v>
      </c>
      <c r="S3274" s="1" t="s">
        <v>46</v>
      </c>
      <c r="T3274" s="1" t="s">
        <v>46</v>
      </c>
      <c r="U3274" s="1" t="s">
        <v>46</v>
      </c>
      <c r="W3274" s="1" t="s">
        <v>46</v>
      </c>
      <c r="X3274" s="1" t="s">
        <v>2640</v>
      </c>
      <c r="Y3274" s="1" t="n">
        <v>5500</v>
      </c>
    </row>
    <row r="3275" customFormat="false" ht="13.8" hidden="false" customHeight="false" outlineLevel="0" collapsed="false">
      <c r="A3275" s="1" t="s">
        <v>3829</v>
      </c>
      <c r="C3275" s="1" t="s">
        <v>3830</v>
      </c>
      <c r="D3275" s="1" t="s">
        <v>14</v>
      </c>
      <c r="E3275" s="1" t="s">
        <v>3668</v>
      </c>
      <c r="F3275" s="1" t="s">
        <v>3380</v>
      </c>
      <c r="G3275" s="1" t="s">
        <v>3668</v>
      </c>
      <c r="H3275" s="2" t="s">
        <v>3479</v>
      </c>
      <c r="I3275" s="1" t="s">
        <v>3714</v>
      </c>
      <c r="J3275" s="1" t="s">
        <v>52</v>
      </c>
      <c r="K3275" s="1" t="s">
        <v>3479</v>
      </c>
      <c r="L3275" s="36" t="s">
        <v>69</v>
      </c>
      <c r="M3275" s="1" t="s">
        <v>69</v>
      </c>
      <c r="N3275" s="1" t="s">
        <v>3468</v>
      </c>
      <c r="O3275" s="1" t="s">
        <v>46</v>
      </c>
      <c r="P3275" s="1" t="s">
        <v>46</v>
      </c>
      <c r="Q3275" s="1" t="s">
        <v>46</v>
      </c>
      <c r="R3275" s="1" t="s">
        <v>46</v>
      </c>
      <c r="S3275" s="1" t="s">
        <v>46</v>
      </c>
      <c r="T3275" s="1" t="s">
        <v>46</v>
      </c>
      <c r="U3275" s="1" t="s">
        <v>46</v>
      </c>
      <c r="W3275" s="1" t="s">
        <v>46</v>
      </c>
      <c r="X3275" s="1" t="s">
        <v>2640</v>
      </c>
      <c r="Y3275" s="1" t="n">
        <v>5500</v>
      </c>
    </row>
    <row r="3276" customFormat="false" ht="13.8" hidden="false" customHeight="false" outlineLevel="0" collapsed="false">
      <c r="A3276" s="1" t="s">
        <v>3829</v>
      </c>
      <c r="C3276" s="1" t="s">
        <v>3830</v>
      </c>
      <c r="D3276" s="1" t="s">
        <v>14</v>
      </c>
      <c r="E3276" s="1" t="s">
        <v>3668</v>
      </c>
      <c r="F3276" s="1" t="s">
        <v>3380</v>
      </c>
      <c r="G3276" s="1" t="s">
        <v>3668</v>
      </c>
      <c r="H3276" s="2" t="s">
        <v>3481</v>
      </c>
      <c r="I3276" s="1" t="s">
        <v>3715</v>
      </c>
      <c r="J3276" s="1" t="s">
        <v>52</v>
      </c>
      <c r="K3276" s="1" t="s">
        <v>3481</v>
      </c>
      <c r="L3276" s="36" t="s">
        <v>69</v>
      </c>
      <c r="M3276" s="1" t="s">
        <v>69</v>
      </c>
      <c r="N3276" s="1" t="s">
        <v>3468</v>
      </c>
      <c r="O3276" s="1" t="s">
        <v>46</v>
      </c>
      <c r="P3276" s="1" t="s">
        <v>46</v>
      </c>
      <c r="Q3276" s="1" t="s">
        <v>46</v>
      </c>
      <c r="R3276" s="1" t="s">
        <v>46</v>
      </c>
      <c r="S3276" s="1" t="s">
        <v>46</v>
      </c>
      <c r="T3276" s="1" t="s">
        <v>46</v>
      </c>
      <c r="U3276" s="1" t="s">
        <v>46</v>
      </c>
      <c r="W3276" s="1" t="s">
        <v>46</v>
      </c>
      <c r="X3276" s="1" t="s">
        <v>2640</v>
      </c>
      <c r="Y3276" s="1" t="n">
        <v>5500</v>
      </c>
    </row>
    <row r="3277" customFormat="false" ht="13.8" hidden="false" customHeight="false" outlineLevel="0" collapsed="false">
      <c r="A3277" s="1" t="s">
        <v>3829</v>
      </c>
      <c r="C3277" s="1" t="s">
        <v>3830</v>
      </c>
      <c r="D3277" s="1" t="s">
        <v>14</v>
      </c>
      <c r="E3277" s="1" t="s">
        <v>3668</v>
      </c>
      <c r="F3277" s="1" t="s">
        <v>3380</v>
      </c>
      <c r="G3277" s="1" t="s">
        <v>3668</v>
      </c>
      <c r="H3277" s="2" t="s">
        <v>3483</v>
      </c>
      <c r="I3277" s="1" t="s">
        <v>3716</v>
      </c>
      <c r="J3277" s="1" t="s">
        <v>52</v>
      </c>
      <c r="K3277" s="1" t="s">
        <v>3483</v>
      </c>
      <c r="L3277" s="36" t="s">
        <v>69</v>
      </c>
      <c r="M3277" s="1" t="s">
        <v>69</v>
      </c>
      <c r="N3277" s="1" t="s">
        <v>3468</v>
      </c>
      <c r="O3277" s="1" t="s">
        <v>46</v>
      </c>
      <c r="P3277" s="1" t="s">
        <v>46</v>
      </c>
      <c r="Q3277" s="1" t="s">
        <v>46</v>
      </c>
      <c r="R3277" s="1" t="s">
        <v>46</v>
      </c>
      <c r="S3277" s="1" t="s">
        <v>46</v>
      </c>
      <c r="T3277" s="1" t="s">
        <v>46</v>
      </c>
      <c r="U3277" s="1" t="s">
        <v>46</v>
      </c>
      <c r="W3277" s="1" t="s">
        <v>46</v>
      </c>
      <c r="X3277" s="1" t="s">
        <v>2640</v>
      </c>
      <c r="Y3277" s="1" t="n">
        <v>5500</v>
      </c>
    </row>
    <row r="3278" customFormat="false" ht="13.8" hidden="false" customHeight="false" outlineLevel="0" collapsed="false">
      <c r="A3278" s="1" t="s">
        <v>3829</v>
      </c>
      <c r="C3278" s="1" t="s">
        <v>3830</v>
      </c>
      <c r="D3278" s="1" t="s">
        <v>14</v>
      </c>
      <c r="E3278" s="1" t="s">
        <v>3668</v>
      </c>
      <c r="F3278" s="1" t="s">
        <v>3380</v>
      </c>
      <c r="G3278" s="1" t="s">
        <v>3668</v>
      </c>
      <c r="H3278" s="2" t="s">
        <v>3485</v>
      </c>
      <c r="I3278" s="1" t="s">
        <v>3717</v>
      </c>
      <c r="J3278" s="1" t="s">
        <v>52</v>
      </c>
      <c r="K3278" s="1" t="s">
        <v>3485</v>
      </c>
      <c r="L3278" s="36" t="s">
        <v>69</v>
      </c>
      <c r="M3278" s="1" t="s">
        <v>69</v>
      </c>
      <c r="N3278" s="1" t="s">
        <v>3468</v>
      </c>
      <c r="O3278" s="1" t="s">
        <v>46</v>
      </c>
      <c r="P3278" s="1" t="s">
        <v>46</v>
      </c>
      <c r="Q3278" s="1" t="s">
        <v>46</v>
      </c>
      <c r="R3278" s="1" t="s">
        <v>46</v>
      </c>
      <c r="S3278" s="1" t="s">
        <v>46</v>
      </c>
      <c r="T3278" s="1" t="s">
        <v>46</v>
      </c>
      <c r="U3278" s="1" t="s">
        <v>46</v>
      </c>
      <c r="W3278" s="1" t="s">
        <v>46</v>
      </c>
      <c r="X3278" s="1" t="s">
        <v>2640</v>
      </c>
      <c r="Y3278" s="1" t="n">
        <v>5500</v>
      </c>
    </row>
    <row r="3279" customFormat="false" ht="13.8" hidden="false" customHeight="false" outlineLevel="0" collapsed="false">
      <c r="A3279" s="1" t="s">
        <v>3829</v>
      </c>
      <c r="C3279" s="1" t="s">
        <v>3830</v>
      </c>
      <c r="D3279" s="1" t="s">
        <v>14</v>
      </c>
      <c r="E3279" s="1" t="s">
        <v>3668</v>
      </c>
      <c r="F3279" s="1" t="s">
        <v>3380</v>
      </c>
      <c r="G3279" s="1" t="s">
        <v>3668</v>
      </c>
      <c r="H3279" s="2" t="s">
        <v>3487</v>
      </c>
      <c r="I3279" s="1" t="s">
        <v>3718</v>
      </c>
      <c r="J3279" s="1" t="s">
        <v>52</v>
      </c>
      <c r="K3279" s="1" t="s">
        <v>3487</v>
      </c>
      <c r="L3279" s="36" t="s">
        <v>69</v>
      </c>
      <c r="M3279" s="1" t="s">
        <v>69</v>
      </c>
      <c r="N3279" s="1" t="s">
        <v>3468</v>
      </c>
      <c r="O3279" s="1" t="s">
        <v>46</v>
      </c>
      <c r="P3279" s="1" t="s">
        <v>46</v>
      </c>
      <c r="Q3279" s="1" t="s">
        <v>46</v>
      </c>
      <c r="R3279" s="1" t="s">
        <v>46</v>
      </c>
      <c r="S3279" s="1" t="s">
        <v>46</v>
      </c>
      <c r="T3279" s="1" t="s">
        <v>46</v>
      </c>
      <c r="U3279" s="1" t="s">
        <v>46</v>
      </c>
      <c r="W3279" s="1" t="s">
        <v>46</v>
      </c>
      <c r="X3279" s="1" t="s">
        <v>2640</v>
      </c>
      <c r="Y3279" s="1" t="n">
        <v>5500</v>
      </c>
    </row>
    <row r="3280" customFormat="false" ht="13.8" hidden="false" customHeight="false" outlineLevel="0" collapsed="false">
      <c r="A3280" s="1" t="s">
        <v>3829</v>
      </c>
      <c r="C3280" s="1" t="s">
        <v>3830</v>
      </c>
      <c r="D3280" s="1" t="s">
        <v>14</v>
      </c>
      <c r="E3280" s="1" t="s">
        <v>3668</v>
      </c>
      <c r="F3280" s="1" t="s">
        <v>3380</v>
      </c>
      <c r="G3280" s="1" t="s">
        <v>3668</v>
      </c>
      <c r="H3280" s="2" t="s">
        <v>3489</v>
      </c>
      <c r="I3280" s="1" t="s">
        <v>3719</v>
      </c>
      <c r="J3280" s="1" t="s">
        <v>52</v>
      </c>
      <c r="K3280" s="1" t="s">
        <v>3489</v>
      </c>
      <c r="L3280" s="36" t="s">
        <v>69</v>
      </c>
      <c r="M3280" s="1" t="s">
        <v>69</v>
      </c>
      <c r="N3280" s="1" t="s">
        <v>3468</v>
      </c>
      <c r="O3280" s="1" t="s">
        <v>46</v>
      </c>
      <c r="P3280" s="1" t="s">
        <v>46</v>
      </c>
      <c r="Q3280" s="1" t="s">
        <v>46</v>
      </c>
      <c r="R3280" s="1" t="s">
        <v>46</v>
      </c>
      <c r="S3280" s="1" t="s">
        <v>46</v>
      </c>
      <c r="T3280" s="1" t="s">
        <v>46</v>
      </c>
      <c r="U3280" s="1" t="s">
        <v>46</v>
      </c>
      <c r="W3280" s="1" t="s">
        <v>46</v>
      </c>
      <c r="X3280" s="1" t="s">
        <v>2640</v>
      </c>
      <c r="Y3280" s="1" t="n">
        <v>5500</v>
      </c>
    </row>
    <row r="3281" customFormat="false" ht="13.8" hidden="false" customHeight="false" outlineLevel="0" collapsed="false">
      <c r="A3281" s="1" t="s">
        <v>3829</v>
      </c>
      <c r="C3281" s="1" t="s">
        <v>3830</v>
      </c>
      <c r="D3281" s="1" t="s">
        <v>14</v>
      </c>
      <c r="E3281" s="1" t="s">
        <v>3668</v>
      </c>
      <c r="F3281" s="1" t="s">
        <v>3380</v>
      </c>
      <c r="G3281" s="1" t="s">
        <v>3668</v>
      </c>
      <c r="H3281" s="2" t="s">
        <v>3491</v>
      </c>
      <c r="I3281" s="1" t="s">
        <v>3720</v>
      </c>
      <c r="J3281" s="1" t="s">
        <v>52</v>
      </c>
      <c r="K3281" s="1" t="s">
        <v>3491</v>
      </c>
      <c r="L3281" s="36" t="s">
        <v>69</v>
      </c>
      <c r="M3281" s="1" t="s">
        <v>69</v>
      </c>
      <c r="N3281" s="1" t="s">
        <v>3468</v>
      </c>
      <c r="O3281" s="1" t="s">
        <v>46</v>
      </c>
      <c r="P3281" s="1" t="s">
        <v>46</v>
      </c>
      <c r="Q3281" s="1" t="s">
        <v>46</v>
      </c>
      <c r="R3281" s="1" t="s">
        <v>46</v>
      </c>
      <c r="S3281" s="1" t="s">
        <v>46</v>
      </c>
      <c r="T3281" s="1" t="s">
        <v>46</v>
      </c>
      <c r="U3281" s="1" t="s">
        <v>46</v>
      </c>
      <c r="W3281" s="1" t="s">
        <v>46</v>
      </c>
      <c r="X3281" s="1" t="s">
        <v>2640</v>
      </c>
      <c r="Y3281" s="1" t="n">
        <v>5500</v>
      </c>
    </row>
    <row r="3282" customFormat="false" ht="13.8" hidden="false" customHeight="false" outlineLevel="0" collapsed="false">
      <c r="A3282" s="1" t="s">
        <v>3829</v>
      </c>
      <c r="C3282" s="1" t="s">
        <v>3830</v>
      </c>
      <c r="D3282" s="1" t="s">
        <v>14</v>
      </c>
      <c r="E3282" s="1" t="s">
        <v>3668</v>
      </c>
      <c r="F3282" s="1" t="s">
        <v>3380</v>
      </c>
      <c r="G3282" s="1" t="s">
        <v>3668</v>
      </c>
      <c r="H3282" s="2" t="s">
        <v>3493</v>
      </c>
      <c r="I3282" s="1" t="s">
        <v>3721</v>
      </c>
      <c r="J3282" s="1" t="s">
        <v>52</v>
      </c>
      <c r="K3282" s="1" t="s">
        <v>3493</v>
      </c>
      <c r="L3282" s="36" t="s">
        <v>69</v>
      </c>
      <c r="M3282" s="1" t="s">
        <v>69</v>
      </c>
      <c r="N3282" s="1" t="s">
        <v>3468</v>
      </c>
      <c r="O3282" s="1" t="s">
        <v>46</v>
      </c>
      <c r="P3282" s="1" t="s">
        <v>46</v>
      </c>
      <c r="Q3282" s="1" t="s">
        <v>46</v>
      </c>
      <c r="R3282" s="1" t="s">
        <v>46</v>
      </c>
      <c r="S3282" s="1" t="s">
        <v>46</v>
      </c>
      <c r="T3282" s="1" t="s">
        <v>46</v>
      </c>
      <c r="U3282" s="1" t="s">
        <v>46</v>
      </c>
      <c r="W3282" s="1" t="s">
        <v>46</v>
      </c>
      <c r="X3282" s="1" t="s">
        <v>2640</v>
      </c>
      <c r="Y3282" s="1" t="n">
        <v>5500</v>
      </c>
    </row>
    <row r="3283" customFormat="false" ht="13.8" hidden="false" customHeight="false" outlineLevel="0" collapsed="false">
      <c r="A3283" s="1" t="s">
        <v>3829</v>
      </c>
      <c r="C3283" s="1" t="s">
        <v>3830</v>
      </c>
      <c r="D3283" s="1" t="s">
        <v>14</v>
      </c>
      <c r="E3283" s="1" t="s">
        <v>3668</v>
      </c>
      <c r="F3283" s="1" t="s">
        <v>3380</v>
      </c>
      <c r="G3283" s="1" t="s">
        <v>3668</v>
      </c>
      <c r="H3283" s="2" t="s">
        <v>3495</v>
      </c>
      <c r="I3283" s="1" t="s">
        <v>3722</v>
      </c>
      <c r="J3283" s="1" t="s">
        <v>52</v>
      </c>
      <c r="K3283" s="1" t="s">
        <v>3495</v>
      </c>
      <c r="L3283" s="36" t="s">
        <v>69</v>
      </c>
      <c r="M3283" s="1" t="s">
        <v>69</v>
      </c>
      <c r="N3283" s="1" t="s">
        <v>3468</v>
      </c>
      <c r="O3283" s="1" t="s">
        <v>46</v>
      </c>
      <c r="P3283" s="1" t="s">
        <v>46</v>
      </c>
      <c r="Q3283" s="1" t="s">
        <v>46</v>
      </c>
      <c r="R3283" s="1" t="s">
        <v>46</v>
      </c>
      <c r="S3283" s="1" t="s">
        <v>46</v>
      </c>
      <c r="T3283" s="1" t="s">
        <v>46</v>
      </c>
      <c r="U3283" s="1" t="s">
        <v>46</v>
      </c>
      <c r="W3283" s="1" t="s">
        <v>46</v>
      </c>
      <c r="X3283" s="1" t="s">
        <v>2640</v>
      </c>
      <c r="Y3283" s="1" t="n">
        <v>5500</v>
      </c>
    </row>
    <row r="3284" customFormat="false" ht="13.8" hidden="false" customHeight="false" outlineLevel="0" collapsed="false">
      <c r="A3284" s="1" t="s">
        <v>3831</v>
      </c>
      <c r="C3284" s="1" t="s">
        <v>3832</v>
      </c>
      <c r="D3284" s="1" t="s">
        <v>14</v>
      </c>
      <c r="E3284" s="1" t="s">
        <v>3668</v>
      </c>
      <c r="F3284" s="1" t="s">
        <v>3380</v>
      </c>
      <c r="G3284" s="1" t="s">
        <v>3668</v>
      </c>
      <c r="H3284" s="2" t="s">
        <v>3425</v>
      </c>
      <c r="I3284" s="1" t="s">
        <v>3683</v>
      </c>
      <c r="J3284" s="1" t="s">
        <v>52</v>
      </c>
      <c r="K3284" s="1" t="s">
        <v>3425</v>
      </c>
      <c r="L3284" s="36" t="s">
        <v>69</v>
      </c>
      <c r="M3284" s="1" t="s">
        <v>69</v>
      </c>
      <c r="N3284" s="1" t="s">
        <v>3383</v>
      </c>
      <c r="O3284" s="1" t="s">
        <v>3780</v>
      </c>
      <c r="P3284" s="1" t="s">
        <v>3385</v>
      </c>
      <c r="Q3284" s="1" t="s">
        <v>3385</v>
      </c>
      <c r="R3284" s="1" t="s">
        <v>46</v>
      </c>
      <c r="S3284" s="1" t="s">
        <v>69</v>
      </c>
      <c r="T3284" s="1" t="s">
        <v>69</v>
      </c>
      <c r="U3284" s="1" t="s">
        <v>46</v>
      </c>
      <c r="V3284" s="1" t="n">
        <v>1</v>
      </c>
      <c r="W3284" s="1" t="s">
        <v>46</v>
      </c>
      <c r="X3284" s="1" t="s">
        <v>2640</v>
      </c>
      <c r="Y3284" s="1" t="n">
        <v>5500</v>
      </c>
    </row>
    <row r="3285" customFormat="false" ht="13.8" hidden="false" customHeight="false" outlineLevel="0" collapsed="false">
      <c r="A3285" s="1" t="s">
        <v>3831</v>
      </c>
      <c r="C3285" s="1" t="s">
        <v>3832</v>
      </c>
      <c r="D3285" s="1" t="s">
        <v>14</v>
      </c>
      <c r="E3285" s="1" t="s">
        <v>3668</v>
      </c>
      <c r="F3285" s="1" t="s">
        <v>3380</v>
      </c>
      <c r="G3285" s="1" t="s">
        <v>3668</v>
      </c>
      <c r="H3285" s="2" t="s">
        <v>3428</v>
      </c>
      <c r="I3285" s="1" t="s">
        <v>3684</v>
      </c>
      <c r="J3285" s="1" t="s">
        <v>52</v>
      </c>
      <c r="K3285" s="1" t="s">
        <v>3428</v>
      </c>
      <c r="L3285" s="36" t="s">
        <v>69</v>
      </c>
      <c r="M3285" s="1" t="s">
        <v>69</v>
      </c>
      <c r="N3285" s="1" t="s">
        <v>3383</v>
      </c>
      <c r="O3285" s="1" t="s">
        <v>3780</v>
      </c>
      <c r="P3285" s="1" t="s">
        <v>3385</v>
      </c>
      <c r="Q3285" s="1" t="s">
        <v>3385</v>
      </c>
      <c r="R3285" s="1" t="s">
        <v>46</v>
      </c>
      <c r="S3285" s="1" t="s">
        <v>69</v>
      </c>
      <c r="T3285" s="1" t="s">
        <v>69</v>
      </c>
      <c r="U3285" s="1" t="s">
        <v>46</v>
      </c>
      <c r="V3285" s="1" t="n">
        <v>2</v>
      </c>
      <c r="W3285" s="1" t="s">
        <v>46</v>
      </c>
      <c r="X3285" s="1" t="s">
        <v>2640</v>
      </c>
      <c r="Y3285" s="1" t="n">
        <v>5500</v>
      </c>
    </row>
    <row r="3286" customFormat="false" ht="13.8" hidden="false" customHeight="false" outlineLevel="0" collapsed="false">
      <c r="A3286" s="1" t="s">
        <v>3831</v>
      </c>
      <c r="C3286" s="1" t="s">
        <v>3832</v>
      </c>
      <c r="D3286" s="1" t="s">
        <v>14</v>
      </c>
      <c r="E3286" s="1" t="s">
        <v>3668</v>
      </c>
      <c r="F3286" s="1" t="s">
        <v>3380</v>
      </c>
      <c r="G3286" s="1" t="s">
        <v>3668</v>
      </c>
      <c r="H3286" s="2" t="s">
        <v>3430</v>
      </c>
      <c r="I3286" s="1" t="s">
        <v>3685</v>
      </c>
      <c r="J3286" s="1" t="s">
        <v>52</v>
      </c>
      <c r="K3286" s="1" t="s">
        <v>3430</v>
      </c>
      <c r="L3286" s="36" t="s">
        <v>69</v>
      </c>
      <c r="M3286" s="1" t="s">
        <v>69</v>
      </c>
      <c r="N3286" s="1" t="s">
        <v>3383</v>
      </c>
      <c r="O3286" s="1" t="s">
        <v>3780</v>
      </c>
      <c r="P3286" s="1" t="s">
        <v>3385</v>
      </c>
      <c r="Q3286" s="1" t="s">
        <v>3385</v>
      </c>
      <c r="R3286" s="1" t="s">
        <v>46</v>
      </c>
      <c r="S3286" s="1" t="s">
        <v>69</v>
      </c>
      <c r="T3286" s="1" t="s">
        <v>69</v>
      </c>
      <c r="U3286" s="1" t="s">
        <v>46</v>
      </c>
      <c r="V3286" s="1" t="n">
        <v>3</v>
      </c>
      <c r="W3286" s="1" t="s">
        <v>46</v>
      </c>
      <c r="X3286" s="1" t="s">
        <v>2640</v>
      </c>
      <c r="Y3286" s="1" t="n">
        <v>5500</v>
      </c>
    </row>
    <row r="3287" customFormat="false" ht="13.8" hidden="false" customHeight="false" outlineLevel="0" collapsed="false">
      <c r="A3287" s="1" t="s">
        <v>3831</v>
      </c>
      <c r="C3287" s="1" t="s">
        <v>3832</v>
      </c>
      <c r="D3287" s="1" t="s">
        <v>14</v>
      </c>
      <c r="E3287" s="1" t="s">
        <v>3668</v>
      </c>
      <c r="F3287" s="1" t="s">
        <v>3380</v>
      </c>
      <c r="G3287" s="1" t="s">
        <v>3668</v>
      </c>
      <c r="H3287" s="2" t="s">
        <v>3432</v>
      </c>
      <c r="I3287" s="1" t="s">
        <v>3686</v>
      </c>
      <c r="J3287" s="1" t="s">
        <v>52</v>
      </c>
      <c r="K3287" s="1" t="s">
        <v>3432</v>
      </c>
      <c r="L3287" s="36" t="s">
        <v>69</v>
      </c>
      <c r="M3287" s="1" t="s">
        <v>69</v>
      </c>
      <c r="N3287" s="1" t="s">
        <v>3383</v>
      </c>
      <c r="O3287" s="1" t="s">
        <v>3780</v>
      </c>
      <c r="P3287" s="1" t="s">
        <v>3385</v>
      </c>
      <c r="Q3287" s="1" t="s">
        <v>3385</v>
      </c>
      <c r="R3287" s="1" t="s">
        <v>46</v>
      </c>
      <c r="S3287" s="1" t="s">
        <v>69</v>
      </c>
      <c r="T3287" s="1" t="s">
        <v>69</v>
      </c>
      <c r="U3287" s="1" t="s">
        <v>46</v>
      </c>
      <c r="V3287" s="1" t="n">
        <v>4</v>
      </c>
      <c r="W3287" s="1" t="s">
        <v>46</v>
      </c>
      <c r="X3287" s="1" t="s">
        <v>2640</v>
      </c>
      <c r="Y3287" s="1" t="n">
        <v>5500</v>
      </c>
    </row>
    <row r="3288" customFormat="false" ht="13.8" hidden="false" customHeight="false" outlineLevel="0" collapsed="false">
      <c r="A3288" s="1" t="s">
        <v>3831</v>
      </c>
      <c r="C3288" s="1" t="s">
        <v>3832</v>
      </c>
      <c r="D3288" s="1" t="s">
        <v>14</v>
      </c>
      <c r="E3288" s="1" t="s">
        <v>3668</v>
      </c>
      <c r="F3288" s="1" t="s">
        <v>3380</v>
      </c>
      <c r="G3288" s="1" t="s">
        <v>3668</v>
      </c>
      <c r="H3288" s="2" t="s">
        <v>3434</v>
      </c>
      <c r="I3288" s="1" t="s">
        <v>3687</v>
      </c>
      <c r="J3288" s="1" t="s">
        <v>52</v>
      </c>
      <c r="K3288" s="1" t="s">
        <v>3434</v>
      </c>
      <c r="L3288" s="36" t="s">
        <v>69</v>
      </c>
      <c r="M3288" s="1" t="s">
        <v>69</v>
      </c>
      <c r="N3288" s="1" t="s">
        <v>3383</v>
      </c>
      <c r="O3288" s="1" t="s">
        <v>3780</v>
      </c>
      <c r="P3288" s="1" t="s">
        <v>3385</v>
      </c>
      <c r="Q3288" s="1" t="s">
        <v>3385</v>
      </c>
      <c r="R3288" s="1" t="s">
        <v>46</v>
      </c>
      <c r="S3288" s="1" t="s">
        <v>69</v>
      </c>
      <c r="T3288" s="1" t="s">
        <v>69</v>
      </c>
      <c r="U3288" s="1" t="s">
        <v>46</v>
      </c>
      <c r="V3288" s="1" t="n">
        <v>5</v>
      </c>
      <c r="W3288" s="1" t="s">
        <v>46</v>
      </c>
      <c r="X3288" s="1" t="s">
        <v>2640</v>
      </c>
      <c r="Y3288" s="1" t="n">
        <v>5500</v>
      </c>
    </row>
    <row r="3289" customFormat="false" ht="13.8" hidden="false" customHeight="false" outlineLevel="0" collapsed="false">
      <c r="A3289" s="1" t="s">
        <v>3831</v>
      </c>
      <c r="C3289" s="1" t="s">
        <v>3832</v>
      </c>
      <c r="D3289" s="1" t="s">
        <v>14</v>
      </c>
      <c r="E3289" s="1" t="s">
        <v>3668</v>
      </c>
      <c r="F3289" s="1" t="s">
        <v>3380</v>
      </c>
      <c r="G3289" s="1" t="s">
        <v>3668</v>
      </c>
      <c r="H3289" s="2" t="s">
        <v>3530</v>
      </c>
      <c r="I3289" s="1" t="s">
        <v>3739</v>
      </c>
      <c r="J3289" s="1" t="s">
        <v>52</v>
      </c>
      <c r="K3289" s="1" t="s">
        <v>3530</v>
      </c>
      <c r="L3289" s="36" t="s">
        <v>69</v>
      </c>
      <c r="M3289" s="1" t="s">
        <v>69</v>
      </c>
      <c r="N3289" s="1" t="s">
        <v>3383</v>
      </c>
      <c r="O3289" s="1" t="s">
        <v>3781</v>
      </c>
      <c r="P3289" s="1" t="s">
        <v>3385</v>
      </c>
      <c r="Q3289" s="1" t="s">
        <v>3385</v>
      </c>
      <c r="R3289" s="1" t="s">
        <v>46</v>
      </c>
      <c r="S3289" s="1" t="s">
        <v>69</v>
      </c>
      <c r="T3289" s="1" t="s">
        <v>69</v>
      </c>
      <c r="U3289" s="1" t="s">
        <v>46</v>
      </c>
      <c r="V3289" s="1" t="n">
        <v>1</v>
      </c>
      <c r="W3289" s="1" t="s">
        <v>46</v>
      </c>
      <c r="X3289" s="1" t="s">
        <v>2640</v>
      </c>
      <c r="Y3289" s="1" t="n">
        <v>5500</v>
      </c>
    </row>
    <row r="3290" customFormat="false" ht="13.8" hidden="false" customHeight="false" outlineLevel="0" collapsed="false">
      <c r="A3290" s="1" t="s">
        <v>3831</v>
      </c>
      <c r="C3290" s="1" t="s">
        <v>3832</v>
      </c>
      <c r="D3290" s="1" t="s">
        <v>14</v>
      </c>
      <c r="E3290" s="1" t="s">
        <v>3668</v>
      </c>
      <c r="F3290" s="1" t="s">
        <v>3380</v>
      </c>
      <c r="G3290" s="1" t="s">
        <v>3668</v>
      </c>
      <c r="H3290" s="2" t="s">
        <v>3533</v>
      </c>
      <c r="I3290" s="1" t="s">
        <v>3740</v>
      </c>
      <c r="J3290" s="1" t="s">
        <v>52</v>
      </c>
      <c r="K3290" s="1" t="s">
        <v>3533</v>
      </c>
      <c r="L3290" s="36" t="s">
        <v>69</v>
      </c>
      <c r="M3290" s="1" t="s">
        <v>69</v>
      </c>
      <c r="N3290" s="1" t="s">
        <v>3383</v>
      </c>
      <c r="O3290" s="1" t="s">
        <v>3781</v>
      </c>
      <c r="P3290" s="1" t="s">
        <v>3385</v>
      </c>
      <c r="Q3290" s="1" t="s">
        <v>3385</v>
      </c>
      <c r="R3290" s="1" t="s">
        <v>46</v>
      </c>
      <c r="S3290" s="1" t="s">
        <v>69</v>
      </c>
      <c r="T3290" s="1" t="s">
        <v>69</v>
      </c>
      <c r="U3290" s="1" t="s">
        <v>46</v>
      </c>
      <c r="V3290" s="1" t="n">
        <v>2</v>
      </c>
      <c r="W3290" s="1" t="s">
        <v>46</v>
      </c>
      <c r="X3290" s="1" t="s">
        <v>2640</v>
      </c>
      <c r="Y3290" s="1" t="n">
        <v>5500</v>
      </c>
    </row>
    <row r="3291" customFormat="false" ht="13.8" hidden="false" customHeight="false" outlineLevel="0" collapsed="false">
      <c r="A3291" s="1" t="s">
        <v>3831</v>
      </c>
      <c r="C3291" s="1" t="s">
        <v>3832</v>
      </c>
      <c r="D3291" s="1" t="s">
        <v>14</v>
      </c>
      <c r="E3291" s="1" t="s">
        <v>3668</v>
      </c>
      <c r="F3291" s="1" t="s">
        <v>3380</v>
      </c>
      <c r="G3291" s="1" t="s">
        <v>3668</v>
      </c>
      <c r="H3291" s="2" t="s">
        <v>3535</v>
      </c>
      <c r="I3291" s="1" t="s">
        <v>3741</v>
      </c>
      <c r="J3291" s="1" t="s">
        <v>52</v>
      </c>
      <c r="K3291" s="1" t="s">
        <v>3535</v>
      </c>
      <c r="L3291" s="36" t="s">
        <v>69</v>
      </c>
      <c r="M3291" s="1" t="s">
        <v>69</v>
      </c>
      <c r="N3291" s="1" t="s">
        <v>3383</v>
      </c>
      <c r="O3291" s="1" t="s">
        <v>3781</v>
      </c>
      <c r="P3291" s="1" t="s">
        <v>3385</v>
      </c>
      <c r="Q3291" s="1" t="s">
        <v>3385</v>
      </c>
      <c r="R3291" s="1" t="s">
        <v>46</v>
      </c>
      <c r="S3291" s="1" t="s">
        <v>69</v>
      </c>
      <c r="T3291" s="1" t="s">
        <v>69</v>
      </c>
      <c r="U3291" s="1" t="s">
        <v>46</v>
      </c>
      <c r="V3291" s="1" t="n">
        <v>3</v>
      </c>
      <c r="W3291" s="1" t="s">
        <v>46</v>
      </c>
      <c r="X3291" s="1" t="s">
        <v>2640</v>
      </c>
      <c r="Y3291" s="1" t="n">
        <v>5500</v>
      </c>
    </row>
    <row r="3292" customFormat="false" ht="13.8" hidden="false" customHeight="false" outlineLevel="0" collapsed="false">
      <c r="A3292" s="1" t="s">
        <v>3831</v>
      </c>
      <c r="C3292" s="1" t="s">
        <v>3832</v>
      </c>
      <c r="D3292" s="1" t="s">
        <v>14</v>
      </c>
      <c r="E3292" s="1" t="s">
        <v>3668</v>
      </c>
      <c r="F3292" s="1" t="s">
        <v>3380</v>
      </c>
      <c r="G3292" s="1" t="s">
        <v>3668</v>
      </c>
      <c r="H3292" s="2" t="s">
        <v>3537</v>
      </c>
      <c r="I3292" s="1" t="s">
        <v>3742</v>
      </c>
      <c r="J3292" s="1" t="s">
        <v>52</v>
      </c>
      <c r="K3292" s="1" t="s">
        <v>3537</v>
      </c>
      <c r="L3292" s="36" t="s">
        <v>69</v>
      </c>
      <c r="M3292" s="1" t="s">
        <v>69</v>
      </c>
      <c r="N3292" s="1" t="s">
        <v>3383</v>
      </c>
      <c r="O3292" s="1" t="s">
        <v>3781</v>
      </c>
      <c r="P3292" s="1" t="s">
        <v>3385</v>
      </c>
      <c r="Q3292" s="1" t="s">
        <v>3385</v>
      </c>
      <c r="R3292" s="1" t="s">
        <v>46</v>
      </c>
      <c r="S3292" s="1" t="s">
        <v>69</v>
      </c>
      <c r="T3292" s="1" t="s">
        <v>69</v>
      </c>
      <c r="U3292" s="1" t="s">
        <v>46</v>
      </c>
      <c r="V3292" s="1" t="n">
        <v>4</v>
      </c>
      <c r="W3292" s="1" t="s">
        <v>46</v>
      </c>
      <c r="X3292" s="1" t="s">
        <v>2640</v>
      </c>
      <c r="Y3292" s="1" t="n">
        <v>5500</v>
      </c>
    </row>
    <row r="3293" customFormat="false" ht="13.8" hidden="false" customHeight="false" outlineLevel="0" collapsed="false">
      <c r="A3293" s="1" t="s">
        <v>3831</v>
      </c>
      <c r="C3293" s="1" t="s">
        <v>3832</v>
      </c>
      <c r="D3293" s="1" t="s">
        <v>14</v>
      </c>
      <c r="E3293" s="1" t="s">
        <v>3668</v>
      </c>
      <c r="F3293" s="1" t="s">
        <v>3380</v>
      </c>
      <c r="G3293" s="1" t="s">
        <v>3668</v>
      </c>
      <c r="H3293" s="2" t="s">
        <v>3539</v>
      </c>
      <c r="I3293" s="1" t="s">
        <v>3743</v>
      </c>
      <c r="J3293" s="1" t="s">
        <v>52</v>
      </c>
      <c r="K3293" s="1" t="s">
        <v>3539</v>
      </c>
      <c r="L3293" s="36" t="s">
        <v>69</v>
      </c>
      <c r="M3293" s="1" t="s">
        <v>69</v>
      </c>
      <c r="N3293" s="1" t="s">
        <v>3383</v>
      </c>
      <c r="O3293" s="1" t="s">
        <v>3781</v>
      </c>
      <c r="P3293" s="1" t="s">
        <v>3385</v>
      </c>
      <c r="Q3293" s="1" t="s">
        <v>3385</v>
      </c>
      <c r="R3293" s="1" t="s">
        <v>46</v>
      </c>
      <c r="S3293" s="1" t="s">
        <v>69</v>
      </c>
      <c r="T3293" s="1" t="s">
        <v>69</v>
      </c>
      <c r="U3293" s="1" t="s">
        <v>46</v>
      </c>
      <c r="V3293" s="1" t="n">
        <v>5</v>
      </c>
      <c r="W3293" s="1" t="s">
        <v>46</v>
      </c>
      <c r="X3293" s="1" t="s">
        <v>2640</v>
      </c>
      <c r="Y3293" s="1" t="n">
        <v>5500</v>
      </c>
    </row>
    <row r="3294" customFormat="false" ht="13.8" hidden="false" customHeight="false" outlineLevel="0" collapsed="false">
      <c r="A3294" s="1" t="s">
        <v>3831</v>
      </c>
      <c r="C3294" s="1" t="s">
        <v>3832</v>
      </c>
      <c r="D3294" s="1" t="s">
        <v>14</v>
      </c>
      <c r="E3294" s="1" t="s">
        <v>3668</v>
      </c>
      <c r="F3294" s="1" t="s">
        <v>3380</v>
      </c>
      <c r="G3294" s="1" t="s">
        <v>3668</v>
      </c>
      <c r="H3294" s="2" t="s">
        <v>3436</v>
      </c>
      <c r="I3294" s="1" t="s">
        <v>3693</v>
      </c>
      <c r="J3294" s="1" t="s">
        <v>52</v>
      </c>
      <c r="K3294" s="1" t="s">
        <v>3436</v>
      </c>
      <c r="L3294" s="36" t="s">
        <v>69</v>
      </c>
      <c r="M3294" s="1" t="s">
        <v>69</v>
      </c>
      <c r="N3294" s="1" t="s">
        <v>1935</v>
      </c>
      <c r="O3294" s="1" t="s">
        <v>46</v>
      </c>
      <c r="P3294" s="1" t="s">
        <v>46</v>
      </c>
      <c r="Q3294" s="1" t="s">
        <v>46</v>
      </c>
      <c r="R3294" s="1" t="s">
        <v>46</v>
      </c>
      <c r="S3294" s="1" t="s">
        <v>46</v>
      </c>
      <c r="T3294" s="1" t="s">
        <v>46</v>
      </c>
      <c r="U3294" s="1" t="s">
        <v>46</v>
      </c>
      <c r="W3294" s="1" t="s">
        <v>46</v>
      </c>
      <c r="X3294" s="1" t="s">
        <v>2640</v>
      </c>
      <c r="Y3294" s="1" t="n">
        <v>5500</v>
      </c>
    </row>
    <row r="3295" customFormat="false" ht="13.8" hidden="false" customHeight="false" outlineLevel="0" collapsed="false">
      <c r="A3295" s="1" t="s">
        <v>3831</v>
      </c>
      <c r="C3295" s="1" t="s">
        <v>3832</v>
      </c>
      <c r="D3295" s="1" t="s">
        <v>14</v>
      </c>
      <c r="E3295" s="1" t="s">
        <v>3668</v>
      </c>
      <c r="F3295" s="1" t="s">
        <v>3380</v>
      </c>
      <c r="G3295" s="1" t="s">
        <v>3668</v>
      </c>
      <c r="H3295" s="2" t="s">
        <v>3438</v>
      </c>
      <c r="I3295" s="1" t="s">
        <v>3694</v>
      </c>
      <c r="J3295" s="1" t="s">
        <v>52</v>
      </c>
      <c r="K3295" s="1" t="s">
        <v>3438</v>
      </c>
      <c r="L3295" s="36" t="s">
        <v>69</v>
      </c>
      <c r="M3295" s="1" t="s">
        <v>69</v>
      </c>
      <c r="N3295" s="1" t="s">
        <v>1935</v>
      </c>
      <c r="O3295" s="1" t="s">
        <v>46</v>
      </c>
      <c r="P3295" s="1" t="s">
        <v>46</v>
      </c>
      <c r="Q3295" s="1" t="s">
        <v>46</v>
      </c>
      <c r="R3295" s="1" t="s">
        <v>46</v>
      </c>
      <c r="S3295" s="1" t="s">
        <v>46</v>
      </c>
      <c r="T3295" s="1" t="s">
        <v>46</v>
      </c>
      <c r="U3295" s="1" t="s">
        <v>46</v>
      </c>
      <c r="W3295" s="1" t="s">
        <v>46</v>
      </c>
      <c r="X3295" s="1" t="s">
        <v>2640</v>
      </c>
      <c r="Y3295" s="1" t="n">
        <v>5500</v>
      </c>
    </row>
    <row r="3296" customFormat="false" ht="13.8" hidden="false" customHeight="false" outlineLevel="0" collapsed="false">
      <c r="A3296" s="1" t="s">
        <v>3831</v>
      </c>
      <c r="C3296" s="1" t="s">
        <v>3832</v>
      </c>
      <c r="D3296" s="1" t="s">
        <v>14</v>
      </c>
      <c r="E3296" s="1" t="s">
        <v>3668</v>
      </c>
      <c r="F3296" s="1" t="s">
        <v>3380</v>
      </c>
      <c r="G3296" s="1" t="s">
        <v>3668</v>
      </c>
      <c r="H3296" s="2" t="s">
        <v>3440</v>
      </c>
      <c r="I3296" s="1" t="s">
        <v>3695</v>
      </c>
      <c r="J3296" s="1" t="s">
        <v>52</v>
      </c>
      <c r="K3296" s="1" t="s">
        <v>3440</v>
      </c>
      <c r="L3296" s="36" t="s">
        <v>69</v>
      </c>
      <c r="M3296" s="1" t="s">
        <v>69</v>
      </c>
      <c r="N3296" s="1" t="s">
        <v>1935</v>
      </c>
      <c r="O3296" s="1" t="s">
        <v>46</v>
      </c>
      <c r="P3296" s="1" t="s">
        <v>46</v>
      </c>
      <c r="Q3296" s="1" t="s">
        <v>46</v>
      </c>
      <c r="R3296" s="1" t="s">
        <v>46</v>
      </c>
      <c r="S3296" s="1" t="s">
        <v>46</v>
      </c>
      <c r="T3296" s="1" t="s">
        <v>46</v>
      </c>
      <c r="U3296" s="1" t="s">
        <v>46</v>
      </c>
      <c r="W3296" s="1" t="s">
        <v>46</v>
      </c>
      <c r="X3296" s="1" t="s">
        <v>2640</v>
      </c>
      <c r="Y3296" s="1" t="n">
        <v>5500</v>
      </c>
    </row>
    <row r="3297" customFormat="false" ht="13.8" hidden="false" customHeight="false" outlineLevel="0" collapsed="false">
      <c r="A3297" s="1" t="s">
        <v>3831</v>
      </c>
      <c r="C3297" s="1" t="s">
        <v>3832</v>
      </c>
      <c r="D3297" s="1" t="s">
        <v>14</v>
      </c>
      <c r="E3297" s="1" t="s">
        <v>3668</v>
      </c>
      <c r="F3297" s="1" t="s">
        <v>3380</v>
      </c>
      <c r="G3297" s="1" t="s">
        <v>3668</v>
      </c>
      <c r="H3297" s="2" t="s">
        <v>3442</v>
      </c>
      <c r="I3297" s="1" t="s">
        <v>3696</v>
      </c>
      <c r="J3297" s="1" t="s">
        <v>52</v>
      </c>
      <c r="K3297" s="1" t="s">
        <v>3442</v>
      </c>
      <c r="L3297" s="36" t="s">
        <v>69</v>
      </c>
      <c r="M3297" s="1" t="s">
        <v>69</v>
      </c>
      <c r="N3297" s="1" t="s">
        <v>1935</v>
      </c>
      <c r="O3297" s="1" t="s">
        <v>46</v>
      </c>
      <c r="P3297" s="1" t="s">
        <v>46</v>
      </c>
      <c r="Q3297" s="1" t="s">
        <v>46</v>
      </c>
      <c r="R3297" s="1" t="s">
        <v>46</v>
      </c>
      <c r="S3297" s="1" t="s">
        <v>46</v>
      </c>
      <c r="T3297" s="1" t="s">
        <v>46</v>
      </c>
      <c r="U3297" s="1" t="s">
        <v>46</v>
      </c>
      <c r="W3297" s="1" t="s">
        <v>46</v>
      </c>
      <c r="X3297" s="1" t="s">
        <v>2640</v>
      </c>
      <c r="Y3297" s="1" t="n">
        <v>5500</v>
      </c>
    </row>
    <row r="3298" customFormat="false" ht="13.8" hidden="false" customHeight="false" outlineLevel="0" collapsed="false">
      <c r="A3298" s="1" t="s">
        <v>3831</v>
      </c>
      <c r="C3298" s="1" t="s">
        <v>3832</v>
      </c>
      <c r="D3298" s="1" t="s">
        <v>14</v>
      </c>
      <c r="E3298" s="1" t="s">
        <v>3668</v>
      </c>
      <c r="F3298" s="1" t="s">
        <v>3380</v>
      </c>
      <c r="G3298" s="1" t="s">
        <v>3668</v>
      </c>
      <c r="H3298" s="2" t="s">
        <v>3444</v>
      </c>
      <c r="I3298" s="1" t="s">
        <v>3697</v>
      </c>
      <c r="J3298" s="1" t="s">
        <v>52</v>
      </c>
      <c r="K3298" s="1" t="s">
        <v>3444</v>
      </c>
      <c r="L3298" s="36" t="s">
        <v>69</v>
      </c>
      <c r="M3298" s="1" t="s">
        <v>69</v>
      </c>
      <c r="N3298" s="1" t="s">
        <v>1935</v>
      </c>
      <c r="O3298" s="1" t="s">
        <v>46</v>
      </c>
      <c r="P3298" s="1" t="s">
        <v>46</v>
      </c>
      <c r="Q3298" s="1" t="s">
        <v>46</v>
      </c>
      <c r="R3298" s="1" t="s">
        <v>46</v>
      </c>
      <c r="S3298" s="1" t="s">
        <v>46</v>
      </c>
      <c r="T3298" s="1" t="s">
        <v>46</v>
      </c>
      <c r="U3298" s="1" t="s">
        <v>46</v>
      </c>
      <c r="W3298" s="1" t="s">
        <v>46</v>
      </c>
      <c r="X3298" s="1" t="s">
        <v>2640</v>
      </c>
      <c r="Y3298" s="1" t="n">
        <v>5500</v>
      </c>
    </row>
    <row r="3299" customFormat="false" ht="13.8" hidden="false" customHeight="false" outlineLevel="0" collapsed="false">
      <c r="A3299" s="1" t="s">
        <v>3831</v>
      </c>
      <c r="C3299" s="1" t="s">
        <v>3832</v>
      </c>
      <c r="D3299" s="1" t="s">
        <v>14</v>
      </c>
      <c r="E3299" s="1" t="s">
        <v>3668</v>
      </c>
      <c r="F3299" s="1" t="s">
        <v>3380</v>
      </c>
      <c r="G3299" s="1" t="s">
        <v>3668</v>
      </c>
      <c r="H3299" s="2" t="s">
        <v>3446</v>
      </c>
      <c r="I3299" s="1" t="s">
        <v>3698</v>
      </c>
      <c r="J3299" s="1" t="s">
        <v>52</v>
      </c>
      <c r="K3299" s="1" t="s">
        <v>3446</v>
      </c>
      <c r="L3299" s="36" t="s">
        <v>69</v>
      </c>
      <c r="M3299" s="1" t="s">
        <v>69</v>
      </c>
      <c r="N3299" s="1" t="s">
        <v>1935</v>
      </c>
      <c r="O3299" s="1" t="s">
        <v>46</v>
      </c>
      <c r="P3299" s="1" t="s">
        <v>46</v>
      </c>
      <c r="Q3299" s="1" t="s">
        <v>46</v>
      </c>
      <c r="R3299" s="1" t="s">
        <v>46</v>
      </c>
      <c r="S3299" s="1" t="s">
        <v>46</v>
      </c>
      <c r="T3299" s="1" t="s">
        <v>46</v>
      </c>
      <c r="U3299" s="1" t="s">
        <v>46</v>
      </c>
      <c r="W3299" s="1" t="s">
        <v>46</v>
      </c>
      <c r="X3299" s="1" t="s">
        <v>2640</v>
      </c>
      <c r="Y3299" s="1" t="n">
        <v>5500</v>
      </c>
    </row>
    <row r="3300" customFormat="false" ht="13.8" hidden="false" customHeight="false" outlineLevel="0" collapsed="false">
      <c r="A3300" s="1" t="s">
        <v>3831</v>
      </c>
      <c r="C3300" s="1" t="s">
        <v>3832</v>
      </c>
      <c r="D3300" s="1" t="s">
        <v>14</v>
      </c>
      <c r="E3300" s="1" t="s">
        <v>3668</v>
      </c>
      <c r="F3300" s="1" t="s">
        <v>3380</v>
      </c>
      <c r="G3300" s="1" t="s">
        <v>3668</v>
      </c>
      <c r="H3300" s="2" t="s">
        <v>3448</v>
      </c>
      <c r="I3300" s="1" t="s">
        <v>3699</v>
      </c>
      <c r="J3300" s="1" t="s">
        <v>52</v>
      </c>
      <c r="K3300" s="1" t="s">
        <v>3448</v>
      </c>
      <c r="L3300" s="36" t="s">
        <v>69</v>
      </c>
      <c r="M3300" s="1" t="s">
        <v>69</v>
      </c>
      <c r="N3300" s="1" t="s">
        <v>1935</v>
      </c>
      <c r="O3300" s="1" t="s">
        <v>46</v>
      </c>
      <c r="P3300" s="1" t="s">
        <v>46</v>
      </c>
      <c r="Q3300" s="1" t="s">
        <v>46</v>
      </c>
      <c r="R3300" s="1" t="s">
        <v>46</v>
      </c>
      <c r="S3300" s="1" t="s">
        <v>46</v>
      </c>
      <c r="T3300" s="1" t="s">
        <v>46</v>
      </c>
      <c r="U3300" s="1" t="s">
        <v>46</v>
      </c>
      <c r="W3300" s="1" t="s">
        <v>46</v>
      </c>
      <c r="X3300" s="1" t="s">
        <v>2640</v>
      </c>
      <c r="Y3300" s="1" t="n">
        <v>5500</v>
      </c>
    </row>
    <row r="3301" customFormat="false" ht="13.8" hidden="false" customHeight="false" outlineLevel="0" collapsed="false">
      <c r="A3301" s="1" t="s">
        <v>3831</v>
      </c>
      <c r="C3301" s="1" t="s">
        <v>3832</v>
      </c>
      <c r="D3301" s="1" t="s">
        <v>14</v>
      </c>
      <c r="E3301" s="1" t="s">
        <v>3668</v>
      </c>
      <c r="F3301" s="1" t="s">
        <v>3380</v>
      </c>
      <c r="G3301" s="1" t="s">
        <v>3668</v>
      </c>
      <c r="H3301" s="2" t="s">
        <v>3450</v>
      </c>
      <c r="I3301" s="1" t="s">
        <v>3700</v>
      </c>
      <c r="J3301" s="1" t="s">
        <v>52</v>
      </c>
      <c r="K3301" s="1" t="s">
        <v>3450</v>
      </c>
      <c r="L3301" s="36" t="s">
        <v>69</v>
      </c>
      <c r="M3301" s="1" t="s">
        <v>69</v>
      </c>
      <c r="N3301" s="1" t="s">
        <v>1935</v>
      </c>
      <c r="O3301" s="1" t="s">
        <v>46</v>
      </c>
      <c r="P3301" s="1" t="s">
        <v>46</v>
      </c>
      <c r="Q3301" s="1" t="s">
        <v>46</v>
      </c>
      <c r="R3301" s="1" t="s">
        <v>46</v>
      </c>
      <c r="S3301" s="1" t="s">
        <v>46</v>
      </c>
      <c r="T3301" s="1" t="s">
        <v>46</v>
      </c>
      <c r="U3301" s="1" t="s">
        <v>46</v>
      </c>
      <c r="W3301" s="1" t="s">
        <v>46</v>
      </c>
      <c r="X3301" s="1" t="s">
        <v>2640</v>
      </c>
      <c r="Y3301" s="1" t="n">
        <v>5500</v>
      </c>
    </row>
    <row r="3302" customFormat="false" ht="13.8" hidden="false" customHeight="false" outlineLevel="0" collapsed="false">
      <c r="A3302" s="1" t="s">
        <v>3831</v>
      </c>
      <c r="C3302" s="1" t="s">
        <v>3832</v>
      </c>
      <c r="D3302" s="1" t="s">
        <v>14</v>
      </c>
      <c r="E3302" s="1" t="s">
        <v>3668</v>
      </c>
      <c r="F3302" s="1" t="s">
        <v>3380</v>
      </c>
      <c r="G3302" s="1" t="s">
        <v>3668</v>
      </c>
      <c r="H3302" s="2" t="s">
        <v>3452</v>
      </c>
      <c r="I3302" s="1" t="s">
        <v>3701</v>
      </c>
      <c r="J3302" s="1" t="s">
        <v>52</v>
      </c>
      <c r="K3302" s="1" t="s">
        <v>3452</v>
      </c>
      <c r="L3302" s="36" t="s">
        <v>69</v>
      </c>
      <c r="M3302" s="1" t="s">
        <v>69</v>
      </c>
      <c r="N3302" s="1" t="s">
        <v>1935</v>
      </c>
      <c r="O3302" s="1" t="s">
        <v>46</v>
      </c>
      <c r="P3302" s="1" t="s">
        <v>46</v>
      </c>
      <c r="Q3302" s="1" t="s">
        <v>46</v>
      </c>
      <c r="R3302" s="1" t="s">
        <v>46</v>
      </c>
      <c r="S3302" s="1" t="s">
        <v>46</v>
      </c>
      <c r="T3302" s="1" t="s">
        <v>46</v>
      </c>
      <c r="U3302" s="1" t="s">
        <v>46</v>
      </c>
      <c r="W3302" s="1" t="s">
        <v>46</v>
      </c>
      <c r="X3302" s="1" t="s">
        <v>2640</v>
      </c>
      <c r="Y3302" s="1" t="n">
        <v>5500</v>
      </c>
    </row>
    <row r="3303" customFormat="false" ht="13.8" hidden="false" customHeight="false" outlineLevel="0" collapsed="false">
      <c r="A3303" s="1" t="s">
        <v>3831</v>
      </c>
      <c r="C3303" s="1" t="s">
        <v>3832</v>
      </c>
      <c r="D3303" s="1" t="s">
        <v>14</v>
      </c>
      <c r="E3303" s="1" t="s">
        <v>3668</v>
      </c>
      <c r="F3303" s="1" t="s">
        <v>3380</v>
      </c>
      <c r="G3303" s="1" t="s">
        <v>3668</v>
      </c>
      <c r="H3303" s="2" t="s">
        <v>3454</v>
      </c>
      <c r="I3303" s="1" t="s">
        <v>3702</v>
      </c>
      <c r="J3303" s="1" t="s">
        <v>52</v>
      </c>
      <c r="K3303" s="1" t="s">
        <v>3454</v>
      </c>
      <c r="L3303" s="36" t="s">
        <v>69</v>
      </c>
      <c r="M3303" s="1" t="s">
        <v>69</v>
      </c>
      <c r="N3303" s="1" t="s">
        <v>1935</v>
      </c>
      <c r="O3303" s="1" t="s">
        <v>46</v>
      </c>
      <c r="P3303" s="1" t="s">
        <v>46</v>
      </c>
      <c r="Q3303" s="1" t="s">
        <v>46</v>
      </c>
      <c r="R3303" s="1" t="s">
        <v>46</v>
      </c>
      <c r="S3303" s="1" t="s">
        <v>46</v>
      </c>
      <c r="T3303" s="1" t="s">
        <v>46</v>
      </c>
      <c r="U3303" s="1" t="s">
        <v>46</v>
      </c>
      <c r="W3303" s="1" t="s">
        <v>46</v>
      </c>
      <c r="X3303" s="1" t="s">
        <v>2640</v>
      </c>
      <c r="Y3303" s="1" t="n">
        <v>5500</v>
      </c>
    </row>
    <row r="3304" customFormat="false" ht="13.8" hidden="false" customHeight="false" outlineLevel="0" collapsed="false">
      <c r="A3304" s="1" t="s">
        <v>3831</v>
      </c>
      <c r="C3304" s="1" t="s">
        <v>3832</v>
      </c>
      <c r="D3304" s="1" t="s">
        <v>14</v>
      </c>
      <c r="E3304" s="1" t="s">
        <v>3668</v>
      </c>
      <c r="F3304" s="1" t="s">
        <v>3380</v>
      </c>
      <c r="G3304" s="1" t="s">
        <v>3668</v>
      </c>
      <c r="H3304" s="2" t="s">
        <v>3456</v>
      </c>
      <c r="I3304" s="1" t="s">
        <v>3703</v>
      </c>
      <c r="J3304" s="1" t="s">
        <v>52</v>
      </c>
      <c r="K3304" s="1" t="s">
        <v>3456</v>
      </c>
      <c r="L3304" s="36" t="s">
        <v>69</v>
      </c>
      <c r="M3304" s="1" t="s">
        <v>69</v>
      </c>
      <c r="N3304" s="1" t="s">
        <v>1935</v>
      </c>
      <c r="O3304" s="1" t="s">
        <v>46</v>
      </c>
      <c r="P3304" s="1" t="s">
        <v>46</v>
      </c>
      <c r="Q3304" s="1" t="s">
        <v>46</v>
      </c>
      <c r="R3304" s="1" t="s">
        <v>46</v>
      </c>
      <c r="S3304" s="1" t="s">
        <v>46</v>
      </c>
      <c r="T3304" s="1" t="s">
        <v>46</v>
      </c>
      <c r="U3304" s="1" t="s">
        <v>46</v>
      </c>
      <c r="W3304" s="1" t="s">
        <v>46</v>
      </c>
      <c r="X3304" s="1" t="s">
        <v>2640</v>
      </c>
      <c r="Y3304" s="1" t="n">
        <v>5500</v>
      </c>
    </row>
    <row r="3305" customFormat="false" ht="13.8" hidden="false" customHeight="false" outlineLevel="0" collapsed="false">
      <c r="A3305" s="1" t="s">
        <v>3831</v>
      </c>
      <c r="C3305" s="1" t="s">
        <v>3832</v>
      </c>
      <c r="D3305" s="1" t="s">
        <v>14</v>
      </c>
      <c r="E3305" s="1" t="s">
        <v>3668</v>
      </c>
      <c r="F3305" s="1" t="s">
        <v>3380</v>
      </c>
      <c r="G3305" s="1" t="s">
        <v>3668</v>
      </c>
      <c r="H3305" s="2" t="s">
        <v>3458</v>
      </c>
      <c r="I3305" s="1" t="s">
        <v>3704</v>
      </c>
      <c r="J3305" s="1" t="s">
        <v>52</v>
      </c>
      <c r="K3305" s="1" t="s">
        <v>3458</v>
      </c>
      <c r="L3305" s="36" t="s">
        <v>69</v>
      </c>
      <c r="M3305" s="1" t="s">
        <v>69</v>
      </c>
      <c r="N3305" s="1" t="s">
        <v>1935</v>
      </c>
      <c r="O3305" s="1" t="s">
        <v>46</v>
      </c>
      <c r="P3305" s="1" t="s">
        <v>46</v>
      </c>
      <c r="Q3305" s="1" t="s">
        <v>46</v>
      </c>
      <c r="R3305" s="1" t="s">
        <v>46</v>
      </c>
      <c r="S3305" s="1" t="s">
        <v>46</v>
      </c>
      <c r="T3305" s="1" t="s">
        <v>46</v>
      </c>
      <c r="U3305" s="1" t="s">
        <v>46</v>
      </c>
      <c r="W3305" s="1" t="s">
        <v>46</v>
      </c>
      <c r="X3305" s="1" t="s">
        <v>2640</v>
      </c>
      <c r="Y3305" s="1" t="n">
        <v>5500</v>
      </c>
    </row>
    <row r="3306" customFormat="false" ht="13.8" hidden="false" customHeight="false" outlineLevel="0" collapsed="false">
      <c r="A3306" s="1" t="s">
        <v>3831</v>
      </c>
      <c r="C3306" s="1" t="s">
        <v>3832</v>
      </c>
      <c r="D3306" s="1" t="s">
        <v>14</v>
      </c>
      <c r="E3306" s="1" t="s">
        <v>3668</v>
      </c>
      <c r="F3306" s="1" t="s">
        <v>3380</v>
      </c>
      <c r="G3306" s="1" t="s">
        <v>3668</v>
      </c>
      <c r="H3306" s="2" t="s">
        <v>3460</v>
      </c>
      <c r="I3306" s="1" t="s">
        <v>3705</v>
      </c>
      <c r="J3306" s="1" t="s">
        <v>52</v>
      </c>
      <c r="K3306" s="1" t="s">
        <v>3460</v>
      </c>
      <c r="L3306" s="36" t="s">
        <v>69</v>
      </c>
      <c r="M3306" s="1" t="s">
        <v>69</v>
      </c>
      <c r="N3306" s="1" t="s">
        <v>1935</v>
      </c>
      <c r="O3306" s="1" t="s">
        <v>46</v>
      </c>
      <c r="P3306" s="1" t="s">
        <v>46</v>
      </c>
      <c r="Q3306" s="1" t="s">
        <v>46</v>
      </c>
      <c r="R3306" s="1" t="s">
        <v>46</v>
      </c>
      <c r="S3306" s="1" t="s">
        <v>46</v>
      </c>
      <c r="T3306" s="1" t="s">
        <v>46</v>
      </c>
      <c r="U3306" s="1" t="s">
        <v>46</v>
      </c>
      <c r="W3306" s="1" t="s">
        <v>46</v>
      </c>
      <c r="X3306" s="1" t="s">
        <v>2640</v>
      </c>
      <c r="Y3306" s="1" t="n">
        <v>5500</v>
      </c>
    </row>
    <row r="3307" customFormat="false" ht="13.8" hidden="false" customHeight="false" outlineLevel="0" collapsed="false">
      <c r="A3307" s="1" t="s">
        <v>3831</v>
      </c>
      <c r="C3307" s="1" t="s">
        <v>3832</v>
      </c>
      <c r="D3307" s="1" t="s">
        <v>14</v>
      </c>
      <c r="E3307" s="1" t="s">
        <v>3668</v>
      </c>
      <c r="F3307" s="1" t="s">
        <v>3380</v>
      </c>
      <c r="G3307" s="1" t="s">
        <v>3668</v>
      </c>
      <c r="H3307" s="2" t="s">
        <v>3462</v>
      </c>
      <c r="I3307" s="1" t="s">
        <v>3706</v>
      </c>
      <c r="J3307" s="1" t="s">
        <v>52</v>
      </c>
      <c r="K3307" s="1" t="s">
        <v>3462</v>
      </c>
      <c r="L3307" s="36" t="s">
        <v>69</v>
      </c>
      <c r="M3307" s="1" t="s">
        <v>69</v>
      </c>
      <c r="N3307" s="1" t="s">
        <v>1935</v>
      </c>
      <c r="O3307" s="1" t="s">
        <v>46</v>
      </c>
      <c r="P3307" s="1" t="s">
        <v>46</v>
      </c>
      <c r="Q3307" s="1" t="s">
        <v>46</v>
      </c>
      <c r="R3307" s="1" t="s">
        <v>46</v>
      </c>
      <c r="S3307" s="1" t="s">
        <v>46</v>
      </c>
      <c r="T3307" s="1" t="s">
        <v>46</v>
      </c>
      <c r="U3307" s="1" t="s">
        <v>46</v>
      </c>
      <c r="W3307" s="1" t="s">
        <v>46</v>
      </c>
      <c r="X3307" s="1" t="s">
        <v>2640</v>
      </c>
      <c r="Y3307" s="1" t="n">
        <v>5500</v>
      </c>
    </row>
    <row r="3308" customFormat="false" ht="13.8" hidden="false" customHeight="false" outlineLevel="0" collapsed="false">
      <c r="A3308" s="1" t="s">
        <v>3831</v>
      </c>
      <c r="C3308" s="1" t="s">
        <v>3832</v>
      </c>
      <c r="D3308" s="1" t="s">
        <v>14</v>
      </c>
      <c r="E3308" s="1" t="s">
        <v>3668</v>
      </c>
      <c r="F3308" s="1" t="s">
        <v>3380</v>
      </c>
      <c r="G3308" s="1" t="s">
        <v>3668</v>
      </c>
      <c r="H3308" s="2" t="s">
        <v>3464</v>
      </c>
      <c r="I3308" s="1" t="s">
        <v>3707</v>
      </c>
      <c r="J3308" s="1" t="s">
        <v>52</v>
      </c>
      <c r="K3308" s="1" t="s">
        <v>3464</v>
      </c>
      <c r="L3308" s="36" t="s">
        <v>69</v>
      </c>
      <c r="M3308" s="1" t="s">
        <v>69</v>
      </c>
      <c r="N3308" s="1" t="s">
        <v>1935</v>
      </c>
      <c r="O3308" s="1" t="s">
        <v>46</v>
      </c>
      <c r="P3308" s="1" t="s">
        <v>46</v>
      </c>
      <c r="Q3308" s="1" t="s">
        <v>46</v>
      </c>
      <c r="R3308" s="1" t="s">
        <v>46</v>
      </c>
      <c r="S3308" s="1" t="s">
        <v>46</v>
      </c>
      <c r="T3308" s="1" t="s">
        <v>46</v>
      </c>
      <c r="U3308" s="1" t="s">
        <v>46</v>
      </c>
      <c r="W3308" s="1" t="s">
        <v>46</v>
      </c>
      <c r="X3308" s="1" t="s">
        <v>2640</v>
      </c>
      <c r="Y3308" s="1" t="n">
        <v>5500</v>
      </c>
    </row>
    <row r="3309" customFormat="false" ht="13.8" hidden="false" customHeight="false" outlineLevel="0" collapsed="false">
      <c r="A3309" s="1" t="s">
        <v>3831</v>
      </c>
      <c r="C3309" s="1" t="s">
        <v>3832</v>
      </c>
      <c r="D3309" s="1" t="s">
        <v>14</v>
      </c>
      <c r="E3309" s="1" t="s">
        <v>3668</v>
      </c>
      <c r="F3309" s="1" t="s">
        <v>3380</v>
      </c>
      <c r="G3309" s="1" t="s">
        <v>3668</v>
      </c>
      <c r="H3309" s="2" t="s">
        <v>3466</v>
      </c>
      <c r="I3309" s="1" t="s">
        <v>3708</v>
      </c>
      <c r="J3309" s="1" t="s">
        <v>52</v>
      </c>
      <c r="K3309" s="1" t="s">
        <v>3466</v>
      </c>
      <c r="L3309" s="36" t="s">
        <v>69</v>
      </c>
      <c r="M3309" s="1" t="s">
        <v>69</v>
      </c>
      <c r="N3309" s="1" t="s">
        <v>3468</v>
      </c>
      <c r="O3309" s="1" t="s">
        <v>46</v>
      </c>
      <c r="P3309" s="1" t="s">
        <v>46</v>
      </c>
      <c r="Q3309" s="1" t="s">
        <v>46</v>
      </c>
      <c r="R3309" s="1" t="s">
        <v>46</v>
      </c>
      <c r="S3309" s="1" t="s">
        <v>46</v>
      </c>
      <c r="T3309" s="1" t="s">
        <v>46</v>
      </c>
      <c r="U3309" s="1" t="s">
        <v>46</v>
      </c>
      <c r="W3309" s="1" t="s">
        <v>46</v>
      </c>
      <c r="X3309" s="1" t="s">
        <v>2640</v>
      </c>
      <c r="Y3309" s="1" t="n">
        <v>5500</v>
      </c>
    </row>
    <row r="3310" customFormat="false" ht="13.8" hidden="false" customHeight="false" outlineLevel="0" collapsed="false">
      <c r="A3310" s="1" t="s">
        <v>3831</v>
      </c>
      <c r="C3310" s="1" t="s">
        <v>3832</v>
      </c>
      <c r="D3310" s="1" t="s">
        <v>14</v>
      </c>
      <c r="E3310" s="1" t="s">
        <v>3668</v>
      </c>
      <c r="F3310" s="1" t="s">
        <v>3380</v>
      </c>
      <c r="G3310" s="1" t="s">
        <v>3668</v>
      </c>
      <c r="H3310" s="2" t="s">
        <v>3469</v>
      </c>
      <c r="I3310" s="1" t="s">
        <v>3709</v>
      </c>
      <c r="J3310" s="1" t="s">
        <v>52</v>
      </c>
      <c r="K3310" s="1" t="s">
        <v>3469</v>
      </c>
      <c r="L3310" s="36" t="s">
        <v>69</v>
      </c>
      <c r="M3310" s="1" t="s">
        <v>69</v>
      </c>
      <c r="N3310" s="1" t="s">
        <v>3468</v>
      </c>
      <c r="O3310" s="1" t="s">
        <v>46</v>
      </c>
      <c r="P3310" s="1" t="s">
        <v>46</v>
      </c>
      <c r="Q3310" s="1" t="s">
        <v>46</v>
      </c>
      <c r="R3310" s="1" t="s">
        <v>46</v>
      </c>
      <c r="S3310" s="1" t="s">
        <v>46</v>
      </c>
      <c r="T3310" s="1" t="s">
        <v>46</v>
      </c>
      <c r="U3310" s="1" t="s">
        <v>46</v>
      </c>
      <c r="W3310" s="1" t="s">
        <v>46</v>
      </c>
      <c r="X3310" s="1" t="s">
        <v>2640</v>
      </c>
      <c r="Y3310" s="1" t="n">
        <v>5500</v>
      </c>
    </row>
    <row r="3311" customFormat="false" ht="13.8" hidden="false" customHeight="false" outlineLevel="0" collapsed="false">
      <c r="A3311" s="1" t="s">
        <v>3831</v>
      </c>
      <c r="C3311" s="1" t="s">
        <v>3832</v>
      </c>
      <c r="D3311" s="1" t="s">
        <v>14</v>
      </c>
      <c r="E3311" s="1" t="s">
        <v>3668</v>
      </c>
      <c r="F3311" s="1" t="s">
        <v>3380</v>
      </c>
      <c r="G3311" s="1" t="s">
        <v>3668</v>
      </c>
      <c r="H3311" s="2" t="s">
        <v>3471</v>
      </c>
      <c r="I3311" s="1" t="s">
        <v>3710</v>
      </c>
      <c r="J3311" s="1" t="s">
        <v>52</v>
      </c>
      <c r="K3311" s="1" t="s">
        <v>3471</v>
      </c>
      <c r="L3311" s="36" t="s">
        <v>69</v>
      </c>
      <c r="M3311" s="1" t="s">
        <v>69</v>
      </c>
      <c r="N3311" s="1" t="s">
        <v>3468</v>
      </c>
      <c r="O3311" s="1" t="s">
        <v>46</v>
      </c>
      <c r="P3311" s="1" t="s">
        <v>46</v>
      </c>
      <c r="Q3311" s="1" t="s">
        <v>46</v>
      </c>
      <c r="R3311" s="1" t="s">
        <v>46</v>
      </c>
      <c r="S3311" s="1" t="s">
        <v>46</v>
      </c>
      <c r="T3311" s="1" t="s">
        <v>46</v>
      </c>
      <c r="U3311" s="1" t="s">
        <v>46</v>
      </c>
      <c r="W3311" s="1" t="s">
        <v>46</v>
      </c>
      <c r="X3311" s="1" t="s">
        <v>2640</v>
      </c>
      <c r="Y3311" s="1" t="n">
        <v>5500</v>
      </c>
    </row>
    <row r="3312" customFormat="false" ht="13.8" hidden="false" customHeight="false" outlineLevel="0" collapsed="false">
      <c r="A3312" s="1" t="s">
        <v>3831</v>
      </c>
      <c r="C3312" s="1" t="s">
        <v>3832</v>
      </c>
      <c r="D3312" s="1" t="s">
        <v>14</v>
      </c>
      <c r="E3312" s="1" t="s">
        <v>3668</v>
      </c>
      <c r="F3312" s="1" t="s">
        <v>3380</v>
      </c>
      <c r="G3312" s="1" t="s">
        <v>3668</v>
      </c>
      <c r="H3312" s="2" t="s">
        <v>3473</v>
      </c>
      <c r="I3312" s="1" t="s">
        <v>3711</v>
      </c>
      <c r="J3312" s="1" t="s">
        <v>52</v>
      </c>
      <c r="K3312" s="1" t="s">
        <v>3473</v>
      </c>
      <c r="L3312" s="36" t="s">
        <v>69</v>
      </c>
      <c r="M3312" s="1" t="s">
        <v>69</v>
      </c>
      <c r="N3312" s="1" t="s">
        <v>3468</v>
      </c>
      <c r="O3312" s="1" t="s">
        <v>46</v>
      </c>
      <c r="P3312" s="1" t="s">
        <v>46</v>
      </c>
      <c r="Q3312" s="1" t="s">
        <v>46</v>
      </c>
      <c r="R3312" s="1" t="s">
        <v>46</v>
      </c>
      <c r="S3312" s="1" t="s">
        <v>46</v>
      </c>
      <c r="T3312" s="1" t="s">
        <v>46</v>
      </c>
      <c r="U3312" s="1" t="s">
        <v>46</v>
      </c>
      <c r="W3312" s="1" t="s">
        <v>46</v>
      </c>
      <c r="X3312" s="1" t="s">
        <v>2640</v>
      </c>
      <c r="Y3312" s="1" t="n">
        <v>5500</v>
      </c>
    </row>
    <row r="3313" customFormat="false" ht="13.8" hidden="false" customHeight="false" outlineLevel="0" collapsed="false">
      <c r="A3313" s="1" t="s">
        <v>3831</v>
      </c>
      <c r="C3313" s="1" t="s">
        <v>3832</v>
      </c>
      <c r="D3313" s="1" t="s">
        <v>14</v>
      </c>
      <c r="E3313" s="1" t="s">
        <v>3668</v>
      </c>
      <c r="F3313" s="1" t="s">
        <v>3380</v>
      </c>
      <c r="G3313" s="1" t="s">
        <v>3668</v>
      </c>
      <c r="H3313" s="2" t="s">
        <v>3475</v>
      </c>
      <c r="I3313" s="1" t="s">
        <v>3712</v>
      </c>
      <c r="J3313" s="1" t="s">
        <v>52</v>
      </c>
      <c r="K3313" s="1" t="s">
        <v>3475</v>
      </c>
      <c r="L3313" s="36" t="s">
        <v>69</v>
      </c>
      <c r="M3313" s="1" t="s">
        <v>69</v>
      </c>
      <c r="N3313" s="1" t="s">
        <v>3468</v>
      </c>
      <c r="O3313" s="1" t="s">
        <v>46</v>
      </c>
      <c r="P3313" s="1" t="s">
        <v>46</v>
      </c>
      <c r="Q3313" s="1" t="s">
        <v>46</v>
      </c>
      <c r="R3313" s="1" t="s">
        <v>46</v>
      </c>
      <c r="S3313" s="1" t="s">
        <v>46</v>
      </c>
      <c r="T3313" s="1" t="s">
        <v>46</v>
      </c>
      <c r="U3313" s="1" t="s">
        <v>46</v>
      </c>
      <c r="W3313" s="1" t="s">
        <v>46</v>
      </c>
      <c r="X3313" s="1" t="s">
        <v>2640</v>
      </c>
      <c r="Y3313" s="1" t="n">
        <v>5500</v>
      </c>
    </row>
    <row r="3314" customFormat="false" ht="13.8" hidden="false" customHeight="false" outlineLevel="0" collapsed="false">
      <c r="A3314" s="1" t="s">
        <v>3831</v>
      </c>
      <c r="C3314" s="1" t="s">
        <v>3832</v>
      </c>
      <c r="D3314" s="1" t="s">
        <v>14</v>
      </c>
      <c r="E3314" s="1" t="s">
        <v>3668</v>
      </c>
      <c r="F3314" s="1" t="s">
        <v>3380</v>
      </c>
      <c r="G3314" s="1" t="s">
        <v>3668</v>
      </c>
      <c r="H3314" s="2" t="s">
        <v>3477</v>
      </c>
      <c r="I3314" s="1" t="s">
        <v>3713</v>
      </c>
      <c r="J3314" s="1" t="s">
        <v>52</v>
      </c>
      <c r="K3314" s="1" t="s">
        <v>3477</v>
      </c>
      <c r="L3314" s="36" t="s">
        <v>69</v>
      </c>
      <c r="M3314" s="1" t="s">
        <v>69</v>
      </c>
      <c r="N3314" s="1" t="s">
        <v>3468</v>
      </c>
      <c r="O3314" s="1" t="s">
        <v>46</v>
      </c>
      <c r="P3314" s="1" t="s">
        <v>46</v>
      </c>
      <c r="Q3314" s="1" t="s">
        <v>46</v>
      </c>
      <c r="R3314" s="1" t="s">
        <v>46</v>
      </c>
      <c r="S3314" s="1" t="s">
        <v>46</v>
      </c>
      <c r="T3314" s="1" t="s">
        <v>46</v>
      </c>
      <c r="U3314" s="1" t="s">
        <v>46</v>
      </c>
      <c r="W3314" s="1" t="s">
        <v>46</v>
      </c>
      <c r="X3314" s="1" t="s">
        <v>2640</v>
      </c>
      <c r="Y3314" s="1" t="n">
        <v>5500</v>
      </c>
    </row>
    <row r="3315" customFormat="false" ht="13.8" hidden="false" customHeight="false" outlineLevel="0" collapsed="false">
      <c r="A3315" s="1" t="s">
        <v>3831</v>
      </c>
      <c r="C3315" s="1" t="s">
        <v>3832</v>
      </c>
      <c r="D3315" s="1" t="s">
        <v>14</v>
      </c>
      <c r="E3315" s="1" t="s">
        <v>3668</v>
      </c>
      <c r="F3315" s="1" t="s">
        <v>3380</v>
      </c>
      <c r="G3315" s="1" t="s">
        <v>3668</v>
      </c>
      <c r="H3315" s="2" t="s">
        <v>3479</v>
      </c>
      <c r="I3315" s="1" t="s">
        <v>3714</v>
      </c>
      <c r="J3315" s="1" t="s">
        <v>52</v>
      </c>
      <c r="K3315" s="1" t="s">
        <v>3479</v>
      </c>
      <c r="L3315" s="36" t="s">
        <v>69</v>
      </c>
      <c r="M3315" s="1" t="s">
        <v>69</v>
      </c>
      <c r="N3315" s="1" t="s">
        <v>3468</v>
      </c>
      <c r="O3315" s="1" t="s">
        <v>46</v>
      </c>
      <c r="P3315" s="1" t="s">
        <v>46</v>
      </c>
      <c r="Q3315" s="1" t="s">
        <v>46</v>
      </c>
      <c r="R3315" s="1" t="s">
        <v>46</v>
      </c>
      <c r="S3315" s="1" t="s">
        <v>46</v>
      </c>
      <c r="T3315" s="1" t="s">
        <v>46</v>
      </c>
      <c r="U3315" s="1" t="s">
        <v>46</v>
      </c>
      <c r="W3315" s="1" t="s">
        <v>46</v>
      </c>
      <c r="X3315" s="1" t="s">
        <v>2640</v>
      </c>
      <c r="Y3315" s="1" t="n">
        <v>5500</v>
      </c>
    </row>
    <row r="3316" customFormat="false" ht="13.8" hidden="false" customHeight="false" outlineLevel="0" collapsed="false">
      <c r="A3316" s="1" t="s">
        <v>3831</v>
      </c>
      <c r="C3316" s="1" t="s">
        <v>3832</v>
      </c>
      <c r="D3316" s="1" t="s">
        <v>14</v>
      </c>
      <c r="E3316" s="1" t="s">
        <v>3668</v>
      </c>
      <c r="F3316" s="1" t="s">
        <v>3380</v>
      </c>
      <c r="G3316" s="1" t="s">
        <v>3668</v>
      </c>
      <c r="H3316" s="2" t="s">
        <v>3481</v>
      </c>
      <c r="I3316" s="1" t="s">
        <v>3715</v>
      </c>
      <c r="J3316" s="1" t="s">
        <v>52</v>
      </c>
      <c r="K3316" s="1" t="s">
        <v>3481</v>
      </c>
      <c r="L3316" s="36" t="s">
        <v>69</v>
      </c>
      <c r="M3316" s="1" t="s">
        <v>69</v>
      </c>
      <c r="N3316" s="1" t="s">
        <v>3468</v>
      </c>
      <c r="O3316" s="1" t="s">
        <v>46</v>
      </c>
      <c r="P3316" s="1" t="s">
        <v>46</v>
      </c>
      <c r="Q3316" s="1" t="s">
        <v>46</v>
      </c>
      <c r="R3316" s="1" t="s">
        <v>46</v>
      </c>
      <c r="S3316" s="1" t="s">
        <v>46</v>
      </c>
      <c r="T3316" s="1" t="s">
        <v>46</v>
      </c>
      <c r="U3316" s="1" t="s">
        <v>46</v>
      </c>
      <c r="W3316" s="1" t="s">
        <v>46</v>
      </c>
      <c r="X3316" s="1" t="s">
        <v>2640</v>
      </c>
      <c r="Y3316" s="1" t="n">
        <v>5500</v>
      </c>
    </row>
    <row r="3317" customFormat="false" ht="13.8" hidden="false" customHeight="false" outlineLevel="0" collapsed="false">
      <c r="A3317" s="1" t="s">
        <v>3831</v>
      </c>
      <c r="C3317" s="1" t="s">
        <v>3832</v>
      </c>
      <c r="D3317" s="1" t="s">
        <v>14</v>
      </c>
      <c r="E3317" s="1" t="s">
        <v>3668</v>
      </c>
      <c r="F3317" s="1" t="s">
        <v>3380</v>
      </c>
      <c r="G3317" s="1" t="s">
        <v>3668</v>
      </c>
      <c r="H3317" s="2" t="s">
        <v>3483</v>
      </c>
      <c r="I3317" s="1" t="s">
        <v>3716</v>
      </c>
      <c r="J3317" s="1" t="s">
        <v>52</v>
      </c>
      <c r="K3317" s="1" t="s">
        <v>3483</v>
      </c>
      <c r="L3317" s="36" t="s">
        <v>69</v>
      </c>
      <c r="M3317" s="1" t="s">
        <v>69</v>
      </c>
      <c r="N3317" s="1" t="s">
        <v>3468</v>
      </c>
      <c r="O3317" s="1" t="s">
        <v>46</v>
      </c>
      <c r="P3317" s="1" t="s">
        <v>46</v>
      </c>
      <c r="Q3317" s="1" t="s">
        <v>46</v>
      </c>
      <c r="R3317" s="1" t="s">
        <v>46</v>
      </c>
      <c r="S3317" s="1" t="s">
        <v>46</v>
      </c>
      <c r="T3317" s="1" t="s">
        <v>46</v>
      </c>
      <c r="U3317" s="1" t="s">
        <v>46</v>
      </c>
      <c r="W3317" s="1" t="s">
        <v>46</v>
      </c>
      <c r="X3317" s="1" t="s">
        <v>2640</v>
      </c>
      <c r="Y3317" s="1" t="n">
        <v>5500</v>
      </c>
    </row>
    <row r="3318" customFormat="false" ht="13.8" hidden="false" customHeight="false" outlineLevel="0" collapsed="false">
      <c r="A3318" s="1" t="s">
        <v>3831</v>
      </c>
      <c r="C3318" s="1" t="s">
        <v>3832</v>
      </c>
      <c r="D3318" s="1" t="s">
        <v>14</v>
      </c>
      <c r="E3318" s="1" t="s">
        <v>3668</v>
      </c>
      <c r="F3318" s="1" t="s">
        <v>3380</v>
      </c>
      <c r="G3318" s="1" t="s">
        <v>3668</v>
      </c>
      <c r="H3318" s="2" t="s">
        <v>3485</v>
      </c>
      <c r="I3318" s="1" t="s">
        <v>3717</v>
      </c>
      <c r="J3318" s="1" t="s">
        <v>52</v>
      </c>
      <c r="K3318" s="1" t="s">
        <v>3485</v>
      </c>
      <c r="L3318" s="36" t="s">
        <v>69</v>
      </c>
      <c r="M3318" s="1" t="s">
        <v>69</v>
      </c>
      <c r="N3318" s="1" t="s">
        <v>3468</v>
      </c>
      <c r="O3318" s="1" t="s">
        <v>46</v>
      </c>
      <c r="P3318" s="1" t="s">
        <v>46</v>
      </c>
      <c r="Q3318" s="1" t="s">
        <v>46</v>
      </c>
      <c r="R3318" s="1" t="s">
        <v>46</v>
      </c>
      <c r="S3318" s="1" t="s">
        <v>46</v>
      </c>
      <c r="T3318" s="1" t="s">
        <v>46</v>
      </c>
      <c r="U3318" s="1" t="s">
        <v>46</v>
      </c>
      <c r="W3318" s="1" t="s">
        <v>46</v>
      </c>
      <c r="X3318" s="1" t="s">
        <v>2640</v>
      </c>
      <c r="Y3318" s="1" t="n">
        <v>5500</v>
      </c>
    </row>
    <row r="3319" customFormat="false" ht="13.8" hidden="false" customHeight="false" outlineLevel="0" collapsed="false">
      <c r="A3319" s="1" t="s">
        <v>3831</v>
      </c>
      <c r="C3319" s="1" t="s">
        <v>3832</v>
      </c>
      <c r="D3319" s="1" t="s">
        <v>14</v>
      </c>
      <c r="E3319" s="1" t="s">
        <v>3668</v>
      </c>
      <c r="F3319" s="1" t="s">
        <v>3380</v>
      </c>
      <c r="G3319" s="1" t="s">
        <v>3668</v>
      </c>
      <c r="H3319" s="2" t="s">
        <v>3487</v>
      </c>
      <c r="I3319" s="1" t="s">
        <v>3718</v>
      </c>
      <c r="J3319" s="1" t="s">
        <v>52</v>
      </c>
      <c r="K3319" s="1" t="s">
        <v>3487</v>
      </c>
      <c r="L3319" s="36" t="s">
        <v>69</v>
      </c>
      <c r="M3319" s="1" t="s">
        <v>69</v>
      </c>
      <c r="N3319" s="1" t="s">
        <v>3468</v>
      </c>
      <c r="O3319" s="1" t="s">
        <v>46</v>
      </c>
      <c r="P3319" s="1" t="s">
        <v>46</v>
      </c>
      <c r="Q3319" s="1" t="s">
        <v>46</v>
      </c>
      <c r="R3319" s="1" t="s">
        <v>46</v>
      </c>
      <c r="S3319" s="1" t="s">
        <v>46</v>
      </c>
      <c r="T3319" s="1" t="s">
        <v>46</v>
      </c>
      <c r="U3319" s="1" t="s">
        <v>46</v>
      </c>
      <c r="W3319" s="1" t="s">
        <v>46</v>
      </c>
      <c r="X3319" s="1" t="s">
        <v>2640</v>
      </c>
      <c r="Y3319" s="1" t="n">
        <v>5500</v>
      </c>
    </row>
    <row r="3320" customFormat="false" ht="13.8" hidden="false" customHeight="false" outlineLevel="0" collapsed="false">
      <c r="A3320" s="1" t="s">
        <v>3831</v>
      </c>
      <c r="C3320" s="1" t="s">
        <v>3832</v>
      </c>
      <c r="D3320" s="1" t="s">
        <v>14</v>
      </c>
      <c r="E3320" s="1" t="s">
        <v>3668</v>
      </c>
      <c r="F3320" s="1" t="s">
        <v>3380</v>
      </c>
      <c r="G3320" s="1" t="s">
        <v>3668</v>
      </c>
      <c r="H3320" s="2" t="s">
        <v>3489</v>
      </c>
      <c r="I3320" s="1" t="s">
        <v>3719</v>
      </c>
      <c r="J3320" s="1" t="s">
        <v>52</v>
      </c>
      <c r="K3320" s="1" t="s">
        <v>3489</v>
      </c>
      <c r="L3320" s="36" t="s">
        <v>69</v>
      </c>
      <c r="M3320" s="1" t="s">
        <v>69</v>
      </c>
      <c r="N3320" s="1" t="s">
        <v>3468</v>
      </c>
      <c r="O3320" s="1" t="s">
        <v>46</v>
      </c>
      <c r="P3320" s="1" t="s">
        <v>46</v>
      </c>
      <c r="Q3320" s="1" t="s">
        <v>46</v>
      </c>
      <c r="R3320" s="1" t="s">
        <v>46</v>
      </c>
      <c r="S3320" s="1" t="s">
        <v>46</v>
      </c>
      <c r="T3320" s="1" t="s">
        <v>46</v>
      </c>
      <c r="U3320" s="1" t="s">
        <v>46</v>
      </c>
      <c r="W3320" s="1" t="s">
        <v>46</v>
      </c>
      <c r="X3320" s="1" t="s">
        <v>2640</v>
      </c>
      <c r="Y3320" s="1" t="n">
        <v>5500</v>
      </c>
    </row>
    <row r="3321" customFormat="false" ht="13.8" hidden="false" customHeight="false" outlineLevel="0" collapsed="false">
      <c r="A3321" s="1" t="s">
        <v>3831</v>
      </c>
      <c r="C3321" s="1" t="s">
        <v>3832</v>
      </c>
      <c r="D3321" s="1" t="s">
        <v>14</v>
      </c>
      <c r="E3321" s="1" t="s">
        <v>3668</v>
      </c>
      <c r="F3321" s="1" t="s">
        <v>3380</v>
      </c>
      <c r="G3321" s="1" t="s">
        <v>3668</v>
      </c>
      <c r="H3321" s="2" t="s">
        <v>3491</v>
      </c>
      <c r="I3321" s="1" t="s">
        <v>3720</v>
      </c>
      <c r="J3321" s="1" t="s">
        <v>52</v>
      </c>
      <c r="K3321" s="1" t="s">
        <v>3491</v>
      </c>
      <c r="L3321" s="36" t="s">
        <v>69</v>
      </c>
      <c r="M3321" s="1" t="s">
        <v>69</v>
      </c>
      <c r="N3321" s="1" t="s">
        <v>3468</v>
      </c>
      <c r="O3321" s="1" t="s">
        <v>46</v>
      </c>
      <c r="P3321" s="1" t="s">
        <v>46</v>
      </c>
      <c r="Q3321" s="1" t="s">
        <v>46</v>
      </c>
      <c r="R3321" s="1" t="s">
        <v>46</v>
      </c>
      <c r="S3321" s="1" t="s">
        <v>46</v>
      </c>
      <c r="T3321" s="1" t="s">
        <v>46</v>
      </c>
      <c r="U3321" s="1" t="s">
        <v>46</v>
      </c>
      <c r="W3321" s="1" t="s">
        <v>46</v>
      </c>
      <c r="X3321" s="1" t="s">
        <v>2640</v>
      </c>
      <c r="Y3321" s="1" t="n">
        <v>5500</v>
      </c>
    </row>
    <row r="3322" customFormat="false" ht="13.8" hidden="false" customHeight="false" outlineLevel="0" collapsed="false">
      <c r="A3322" s="1" t="s">
        <v>3831</v>
      </c>
      <c r="C3322" s="1" t="s">
        <v>3832</v>
      </c>
      <c r="D3322" s="1" t="s">
        <v>14</v>
      </c>
      <c r="E3322" s="1" t="s">
        <v>3668</v>
      </c>
      <c r="F3322" s="1" t="s">
        <v>3380</v>
      </c>
      <c r="G3322" s="1" t="s">
        <v>3668</v>
      </c>
      <c r="H3322" s="2" t="s">
        <v>3493</v>
      </c>
      <c r="I3322" s="1" t="s">
        <v>3721</v>
      </c>
      <c r="J3322" s="1" t="s">
        <v>52</v>
      </c>
      <c r="K3322" s="1" t="s">
        <v>3493</v>
      </c>
      <c r="L3322" s="36" t="s">
        <v>69</v>
      </c>
      <c r="M3322" s="1" t="s">
        <v>69</v>
      </c>
      <c r="N3322" s="1" t="s">
        <v>3468</v>
      </c>
      <c r="O3322" s="1" t="s">
        <v>46</v>
      </c>
      <c r="P3322" s="1" t="s">
        <v>46</v>
      </c>
      <c r="Q3322" s="1" t="s">
        <v>46</v>
      </c>
      <c r="R3322" s="1" t="s">
        <v>46</v>
      </c>
      <c r="S3322" s="1" t="s">
        <v>46</v>
      </c>
      <c r="T3322" s="1" t="s">
        <v>46</v>
      </c>
      <c r="U3322" s="1" t="s">
        <v>46</v>
      </c>
      <c r="W3322" s="1" t="s">
        <v>46</v>
      </c>
      <c r="X3322" s="1" t="s">
        <v>2640</v>
      </c>
      <c r="Y3322" s="1" t="n">
        <v>5500</v>
      </c>
    </row>
    <row r="3323" customFormat="false" ht="13.8" hidden="false" customHeight="false" outlineLevel="0" collapsed="false">
      <c r="A3323" s="1" t="s">
        <v>3831</v>
      </c>
      <c r="C3323" s="1" t="s">
        <v>3832</v>
      </c>
      <c r="D3323" s="1" t="s">
        <v>14</v>
      </c>
      <c r="E3323" s="1" t="s">
        <v>3668</v>
      </c>
      <c r="F3323" s="1" t="s">
        <v>3380</v>
      </c>
      <c r="G3323" s="1" t="s">
        <v>3668</v>
      </c>
      <c r="H3323" s="2" t="s">
        <v>3495</v>
      </c>
      <c r="I3323" s="1" t="s">
        <v>3722</v>
      </c>
      <c r="J3323" s="1" t="s">
        <v>52</v>
      </c>
      <c r="K3323" s="1" t="s">
        <v>3495</v>
      </c>
      <c r="L3323" s="36" t="s">
        <v>69</v>
      </c>
      <c r="M3323" s="1" t="s">
        <v>69</v>
      </c>
      <c r="N3323" s="1" t="s">
        <v>3468</v>
      </c>
      <c r="O3323" s="1" t="s">
        <v>46</v>
      </c>
      <c r="P3323" s="1" t="s">
        <v>46</v>
      </c>
      <c r="Q3323" s="1" t="s">
        <v>46</v>
      </c>
      <c r="R3323" s="1" t="s">
        <v>46</v>
      </c>
      <c r="S3323" s="1" t="s">
        <v>46</v>
      </c>
      <c r="T3323" s="1" t="s">
        <v>46</v>
      </c>
      <c r="U3323" s="1" t="s">
        <v>46</v>
      </c>
      <c r="W3323" s="1" t="s">
        <v>46</v>
      </c>
      <c r="X3323" s="1" t="s">
        <v>2640</v>
      </c>
      <c r="Y3323" s="1" t="n">
        <v>5500</v>
      </c>
    </row>
    <row r="3324" customFormat="false" ht="13.8" hidden="false" customHeight="false" outlineLevel="0" collapsed="false">
      <c r="A3324" s="1" t="s">
        <v>3833</v>
      </c>
      <c r="C3324" s="1" t="s">
        <v>3834</v>
      </c>
      <c r="D3324" s="1" t="s">
        <v>14</v>
      </c>
      <c r="E3324" s="1" t="s">
        <v>3668</v>
      </c>
      <c r="F3324" s="1" t="s">
        <v>3380</v>
      </c>
      <c r="G3324" s="1" t="s">
        <v>3668</v>
      </c>
      <c r="H3324" s="2" t="s">
        <v>3381</v>
      </c>
      <c r="I3324" s="1" t="s">
        <v>3688</v>
      </c>
      <c r="J3324" s="1" t="s">
        <v>52</v>
      </c>
      <c r="K3324" s="1" t="s">
        <v>3381</v>
      </c>
      <c r="L3324" s="36" t="s">
        <v>69</v>
      </c>
      <c r="M3324" s="1" t="s">
        <v>69</v>
      </c>
      <c r="N3324" s="1" t="s">
        <v>3383</v>
      </c>
      <c r="O3324" s="1" t="s">
        <v>3780</v>
      </c>
      <c r="P3324" s="1" t="s">
        <v>3385</v>
      </c>
      <c r="Q3324" s="1" t="s">
        <v>3385</v>
      </c>
      <c r="R3324" s="1" t="s">
        <v>46</v>
      </c>
      <c r="S3324" s="1" t="s">
        <v>69</v>
      </c>
      <c r="T3324" s="1" t="s">
        <v>69</v>
      </c>
      <c r="U3324" s="1" t="s">
        <v>46</v>
      </c>
      <c r="V3324" s="1" t="n">
        <v>1</v>
      </c>
      <c r="W3324" s="1" t="s">
        <v>46</v>
      </c>
      <c r="X3324" s="1" t="s">
        <v>2640</v>
      </c>
      <c r="Y3324" s="1" t="n">
        <v>5500</v>
      </c>
    </row>
    <row r="3325" customFormat="false" ht="13.8" hidden="false" customHeight="false" outlineLevel="0" collapsed="false">
      <c r="A3325" s="1" t="s">
        <v>3833</v>
      </c>
      <c r="C3325" s="1" t="s">
        <v>3834</v>
      </c>
      <c r="D3325" s="1" t="s">
        <v>14</v>
      </c>
      <c r="E3325" s="1" t="s">
        <v>3668</v>
      </c>
      <c r="F3325" s="1" t="s">
        <v>3380</v>
      </c>
      <c r="G3325" s="1" t="s">
        <v>3668</v>
      </c>
      <c r="H3325" s="2" t="s">
        <v>3386</v>
      </c>
      <c r="I3325" s="1" t="s">
        <v>3689</v>
      </c>
      <c r="J3325" s="1" t="s">
        <v>52</v>
      </c>
      <c r="K3325" s="1" t="s">
        <v>3386</v>
      </c>
      <c r="L3325" s="36" t="s">
        <v>69</v>
      </c>
      <c r="M3325" s="1" t="s">
        <v>69</v>
      </c>
      <c r="N3325" s="1" t="s">
        <v>3383</v>
      </c>
      <c r="O3325" s="1" t="s">
        <v>3780</v>
      </c>
      <c r="P3325" s="1" t="s">
        <v>3385</v>
      </c>
      <c r="Q3325" s="1" t="s">
        <v>3385</v>
      </c>
      <c r="R3325" s="1" t="s">
        <v>46</v>
      </c>
      <c r="S3325" s="1" t="s">
        <v>69</v>
      </c>
      <c r="T3325" s="1" t="s">
        <v>69</v>
      </c>
      <c r="U3325" s="1" t="s">
        <v>46</v>
      </c>
      <c r="V3325" s="1" t="n">
        <v>2</v>
      </c>
      <c r="W3325" s="1" t="s">
        <v>46</v>
      </c>
      <c r="X3325" s="1" t="s">
        <v>2640</v>
      </c>
      <c r="Y3325" s="1" t="n">
        <v>5500</v>
      </c>
    </row>
    <row r="3326" customFormat="false" ht="13.8" hidden="false" customHeight="false" outlineLevel="0" collapsed="false">
      <c r="A3326" s="1" t="s">
        <v>3833</v>
      </c>
      <c r="C3326" s="1" t="s">
        <v>3834</v>
      </c>
      <c r="D3326" s="1" t="s">
        <v>14</v>
      </c>
      <c r="E3326" s="1" t="s">
        <v>3668</v>
      </c>
      <c r="F3326" s="1" t="s">
        <v>3380</v>
      </c>
      <c r="G3326" s="1" t="s">
        <v>3668</v>
      </c>
      <c r="H3326" s="2" t="s">
        <v>3388</v>
      </c>
      <c r="I3326" s="1" t="s">
        <v>3690</v>
      </c>
      <c r="J3326" s="1" t="s">
        <v>52</v>
      </c>
      <c r="K3326" s="1" t="s">
        <v>3388</v>
      </c>
      <c r="L3326" s="36" t="s">
        <v>69</v>
      </c>
      <c r="M3326" s="1" t="s">
        <v>69</v>
      </c>
      <c r="N3326" s="1" t="s">
        <v>3383</v>
      </c>
      <c r="O3326" s="1" t="s">
        <v>3780</v>
      </c>
      <c r="P3326" s="1" t="s">
        <v>3385</v>
      </c>
      <c r="Q3326" s="1" t="s">
        <v>3385</v>
      </c>
      <c r="R3326" s="1" t="s">
        <v>46</v>
      </c>
      <c r="S3326" s="1" t="s">
        <v>69</v>
      </c>
      <c r="T3326" s="1" t="s">
        <v>69</v>
      </c>
      <c r="U3326" s="1" t="s">
        <v>46</v>
      </c>
      <c r="V3326" s="1" t="n">
        <v>3</v>
      </c>
      <c r="W3326" s="1" t="s">
        <v>46</v>
      </c>
      <c r="X3326" s="1" t="s">
        <v>2640</v>
      </c>
      <c r="Y3326" s="1" t="n">
        <v>5500</v>
      </c>
    </row>
    <row r="3327" customFormat="false" ht="13.8" hidden="false" customHeight="false" outlineLevel="0" collapsed="false">
      <c r="A3327" s="1" t="s">
        <v>3833</v>
      </c>
      <c r="C3327" s="1" t="s">
        <v>3834</v>
      </c>
      <c r="D3327" s="1" t="s">
        <v>14</v>
      </c>
      <c r="E3327" s="1" t="s">
        <v>3668</v>
      </c>
      <c r="F3327" s="1" t="s">
        <v>3380</v>
      </c>
      <c r="G3327" s="1" t="s">
        <v>3668</v>
      </c>
      <c r="H3327" s="2" t="s">
        <v>3390</v>
      </c>
      <c r="I3327" s="1" t="s">
        <v>3691</v>
      </c>
      <c r="J3327" s="1" t="s">
        <v>52</v>
      </c>
      <c r="K3327" s="1" t="s">
        <v>3390</v>
      </c>
      <c r="L3327" s="36" t="s">
        <v>69</v>
      </c>
      <c r="M3327" s="1" t="s">
        <v>69</v>
      </c>
      <c r="N3327" s="1" t="s">
        <v>3383</v>
      </c>
      <c r="O3327" s="1" t="s">
        <v>3780</v>
      </c>
      <c r="P3327" s="1" t="s">
        <v>3385</v>
      </c>
      <c r="Q3327" s="1" t="s">
        <v>3385</v>
      </c>
      <c r="R3327" s="1" t="s">
        <v>46</v>
      </c>
      <c r="S3327" s="1" t="s">
        <v>69</v>
      </c>
      <c r="T3327" s="1" t="s">
        <v>69</v>
      </c>
      <c r="U3327" s="1" t="s">
        <v>46</v>
      </c>
      <c r="V3327" s="1" t="n">
        <v>4</v>
      </c>
      <c r="W3327" s="1" t="s">
        <v>46</v>
      </c>
      <c r="X3327" s="1" t="s">
        <v>2640</v>
      </c>
      <c r="Y3327" s="1" t="n">
        <v>5500</v>
      </c>
    </row>
    <row r="3328" customFormat="false" ht="13.8" hidden="false" customHeight="false" outlineLevel="0" collapsed="false">
      <c r="A3328" s="1" t="s">
        <v>3833</v>
      </c>
      <c r="C3328" s="1" t="s">
        <v>3834</v>
      </c>
      <c r="D3328" s="1" t="s">
        <v>14</v>
      </c>
      <c r="E3328" s="1" t="s">
        <v>3668</v>
      </c>
      <c r="F3328" s="1" t="s">
        <v>3380</v>
      </c>
      <c r="G3328" s="1" t="s">
        <v>3668</v>
      </c>
      <c r="H3328" s="2" t="s">
        <v>3392</v>
      </c>
      <c r="I3328" s="1" t="s">
        <v>3692</v>
      </c>
      <c r="J3328" s="1" t="s">
        <v>52</v>
      </c>
      <c r="K3328" s="1" t="s">
        <v>3392</v>
      </c>
      <c r="L3328" s="36" t="s">
        <v>69</v>
      </c>
      <c r="M3328" s="1" t="s">
        <v>69</v>
      </c>
      <c r="N3328" s="1" t="s">
        <v>3383</v>
      </c>
      <c r="O3328" s="1" t="s">
        <v>3780</v>
      </c>
      <c r="P3328" s="1" t="s">
        <v>3385</v>
      </c>
      <c r="Q3328" s="1" t="s">
        <v>3385</v>
      </c>
      <c r="R3328" s="1" t="s">
        <v>46</v>
      </c>
      <c r="S3328" s="1" t="s">
        <v>69</v>
      </c>
      <c r="T3328" s="1" t="s">
        <v>69</v>
      </c>
      <c r="U3328" s="1" t="s">
        <v>46</v>
      </c>
      <c r="V3328" s="1" t="n">
        <v>5</v>
      </c>
      <c r="W3328" s="1" t="s">
        <v>46</v>
      </c>
      <c r="X3328" s="1" t="s">
        <v>2640</v>
      </c>
      <c r="Y3328" s="1" t="n">
        <v>5500</v>
      </c>
    </row>
    <row r="3329" customFormat="false" ht="13.8" hidden="false" customHeight="false" outlineLevel="0" collapsed="false">
      <c r="A3329" s="1" t="s">
        <v>3833</v>
      </c>
      <c r="C3329" s="1" t="s">
        <v>3834</v>
      </c>
      <c r="D3329" s="1" t="s">
        <v>14</v>
      </c>
      <c r="E3329" s="1" t="s">
        <v>3668</v>
      </c>
      <c r="F3329" s="1" t="s">
        <v>3380</v>
      </c>
      <c r="G3329" s="1" t="s">
        <v>3668</v>
      </c>
      <c r="H3329" s="2" t="s">
        <v>3541</v>
      </c>
      <c r="I3329" s="1" t="s">
        <v>3744</v>
      </c>
      <c r="J3329" s="1" t="s">
        <v>52</v>
      </c>
      <c r="K3329" s="1" t="s">
        <v>3541</v>
      </c>
      <c r="L3329" s="36" t="s">
        <v>69</v>
      </c>
      <c r="M3329" s="1" t="s">
        <v>69</v>
      </c>
      <c r="N3329" s="1" t="s">
        <v>3383</v>
      </c>
      <c r="O3329" s="1" t="s">
        <v>3781</v>
      </c>
      <c r="P3329" s="1" t="s">
        <v>3385</v>
      </c>
      <c r="Q3329" s="1" t="s">
        <v>3385</v>
      </c>
      <c r="R3329" s="1" t="s">
        <v>46</v>
      </c>
      <c r="S3329" s="1" t="s">
        <v>69</v>
      </c>
      <c r="T3329" s="1" t="s">
        <v>69</v>
      </c>
      <c r="U3329" s="1" t="s">
        <v>46</v>
      </c>
      <c r="V3329" s="1" t="n">
        <v>1</v>
      </c>
      <c r="W3329" s="1" t="s">
        <v>46</v>
      </c>
      <c r="X3329" s="1" t="s">
        <v>2640</v>
      </c>
      <c r="Y3329" s="1" t="n">
        <v>5500</v>
      </c>
    </row>
    <row r="3330" customFormat="false" ht="13.8" hidden="false" customHeight="false" outlineLevel="0" collapsed="false">
      <c r="A3330" s="1" t="s">
        <v>3833</v>
      </c>
      <c r="C3330" s="1" t="s">
        <v>3834</v>
      </c>
      <c r="D3330" s="1" t="s">
        <v>14</v>
      </c>
      <c r="E3330" s="1" t="s">
        <v>3668</v>
      </c>
      <c r="F3330" s="1" t="s">
        <v>3380</v>
      </c>
      <c r="G3330" s="1" t="s">
        <v>3668</v>
      </c>
      <c r="H3330" s="2" t="s">
        <v>3544</v>
      </c>
      <c r="I3330" s="1" t="s">
        <v>3745</v>
      </c>
      <c r="J3330" s="1" t="s">
        <v>52</v>
      </c>
      <c r="K3330" s="1" t="s">
        <v>3544</v>
      </c>
      <c r="L3330" s="36" t="s">
        <v>69</v>
      </c>
      <c r="M3330" s="1" t="s">
        <v>69</v>
      </c>
      <c r="N3330" s="1" t="s">
        <v>3383</v>
      </c>
      <c r="O3330" s="1" t="s">
        <v>3781</v>
      </c>
      <c r="P3330" s="1" t="s">
        <v>3385</v>
      </c>
      <c r="Q3330" s="1" t="s">
        <v>3385</v>
      </c>
      <c r="R3330" s="1" t="s">
        <v>46</v>
      </c>
      <c r="S3330" s="1" t="s">
        <v>69</v>
      </c>
      <c r="T3330" s="1" t="s">
        <v>69</v>
      </c>
      <c r="U3330" s="1" t="s">
        <v>46</v>
      </c>
      <c r="V3330" s="1" t="n">
        <v>2</v>
      </c>
      <c r="W3330" s="1" t="s">
        <v>46</v>
      </c>
      <c r="X3330" s="1" t="s">
        <v>2640</v>
      </c>
      <c r="Y3330" s="1" t="n">
        <v>5500</v>
      </c>
    </row>
    <row r="3331" customFormat="false" ht="13.8" hidden="false" customHeight="false" outlineLevel="0" collapsed="false">
      <c r="A3331" s="1" t="s">
        <v>3833</v>
      </c>
      <c r="C3331" s="1" t="s">
        <v>3834</v>
      </c>
      <c r="D3331" s="1" t="s">
        <v>14</v>
      </c>
      <c r="E3331" s="1" t="s">
        <v>3668</v>
      </c>
      <c r="F3331" s="1" t="s">
        <v>3380</v>
      </c>
      <c r="G3331" s="1" t="s">
        <v>3668</v>
      </c>
      <c r="H3331" s="2" t="s">
        <v>3546</v>
      </c>
      <c r="I3331" s="1" t="s">
        <v>3746</v>
      </c>
      <c r="J3331" s="1" t="s">
        <v>52</v>
      </c>
      <c r="K3331" s="1" t="s">
        <v>3546</v>
      </c>
      <c r="L3331" s="36" t="s">
        <v>69</v>
      </c>
      <c r="M3331" s="1" t="s">
        <v>69</v>
      </c>
      <c r="N3331" s="1" t="s">
        <v>3383</v>
      </c>
      <c r="O3331" s="1" t="s">
        <v>3781</v>
      </c>
      <c r="P3331" s="1" t="s">
        <v>3385</v>
      </c>
      <c r="Q3331" s="1" t="s">
        <v>3385</v>
      </c>
      <c r="R3331" s="1" t="s">
        <v>46</v>
      </c>
      <c r="S3331" s="1" t="s">
        <v>69</v>
      </c>
      <c r="T3331" s="1" t="s">
        <v>69</v>
      </c>
      <c r="U3331" s="1" t="s">
        <v>46</v>
      </c>
      <c r="V3331" s="1" t="n">
        <v>3</v>
      </c>
      <c r="W3331" s="1" t="s">
        <v>46</v>
      </c>
      <c r="X3331" s="1" t="s">
        <v>2640</v>
      </c>
      <c r="Y3331" s="1" t="n">
        <v>5500</v>
      </c>
    </row>
    <row r="3332" customFormat="false" ht="13.8" hidden="false" customHeight="false" outlineLevel="0" collapsed="false">
      <c r="A3332" s="1" t="s">
        <v>3833</v>
      </c>
      <c r="C3332" s="1" t="s">
        <v>3834</v>
      </c>
      <c r="D3332" s="1" t="s">
        <v>14</v>
      </c>
      <c r="E3332" s="1" t="s">
        <v>3668</v>
      </c>
      <c r="F3332" s="1" t="s">
        <v>3380</v>
      </c>
      <c r="G3332" s="1" t="s">
        <v>3668</v>
      </c>
      <c r="H3332" s="2" t="s">
        <v>3548</v>
      </c>
      <c r="I3332" s="1" t="s">
        <v>3747</v>
      </c>
      <c r="J3332" s="1" t="s">
        <v>52</v>
      </c>
      <c r="K3332" s="1" t="s">
        <v>3548</v>
      </c>
      <c r="L3332" s="36" t="s">
        <v>69</v>
      </c>
      <c r="M3332" s="1" t="s">
        <v>69</v>
      </c>
      <c r="N3332" s="1" t="s">
        <v>3383</v>
      </c>
      <c r="O3332" s="1" t="s">
        <v>3781</v>
      </c>
      <c r="P3332" s="1" t="s">
        <v>3385</v>
      </c>
      <c r="Q3332" s="1" t="s">
        <v>3385</v>
      </c>
      <c r="R3332" s="1" t="s">
        <v>46</v>
      </c>
      <c r="S3332" s="1" t="s">
        <v>69</v>
      </c>
      <c r="T3332" s="1" t="s">
        <v>69</v>
      </c>
      <c r="U3332" s="1" t="s">
        <v>46</v>
      </c>
      <c r="V3332" s="1" t="n">
        <v>4</v>
      </c>
      <c r="W3332" s="1" t="s">
        <v>46</v>
      </c>
      <c r="X3332" s="1" t="s">
        <v>2640</v>
      </c>
      <c r="Y3332" s="1" t="n">
        <v>5500</v>
      </c>
    </row>
    <row r="3333" customFormat="false" ht="13.8" hidden="false" customHeight="false" outlineLevel="0" collapsed="false">
      <c r="A3333" s="1" t="s">
        <v>3833</v>
      </c>
      <c r="C3333" s="1" t="s">
        <v>3834</v>
      </c>
      <c r="D3333" s="1" t="s">
        <v>14</v>
      </c>
      <c r="E3333" s="1" t="s">
        <v>3668</v>
      </c>
      <c r="F3333" s="1" t="s">
        <v>3380</v>
      </c>
      <c r="G3333" s="1" t="s">
        <v>3668</v>
      </c>
      <c r="H3333" s="2" t="s">
        <v>3550</v>
      </c>
      <c r="I3333" s="1" t="s">
        <v>3748</v>
      </c>
      <c r="J3333" s="1" t="s">
        <v>52</v>
      </c>
      <c r="K3333" s="1" t="s">
        <v>3550</v>
      </c>
      <c r="L3333" s="36" t="s">
        <v>69</v>
      </c>
      <c r="M3333" s="1" t="s">
        <v>69</v>
      </c>
      <c r="N3333" s="1" t="s">
        <v>3383</v>
      </c>
      <c r="O3333" s="1" t="s">
        <v>3781</v>
      </c>
      <c r="P3333" s="1" t="s">
        <v>3385</v>
      </c>
      <c r="Q3333" s="1" t="s">
        <v>3385</v>
      </c>
      <c r="R3333" s="1" t="s">
        <v>46</v>
      </c>
      <c r="S3333" s="1" t="s">
        <v>69</v>
      </c>
      <c r="T3333" s="1" t="s">
        <v>69</v>
      </c>
      <c r="U3333" s="1" t="s">
        <v>46</v>
      </c>
      <c r="V3333" s="1" t="n">
        <v>5</v>
      </c>
      <c r="W3333" s="1" t="s">
        <v>46</v>
      </c>
      <c r="X3333" s="1" t="s">
        <v>2640</v>
      </c>
      <c r="Y3333" s="1" t="n">
        <v>5500</v>
      </c>
    </row>
    <row r="3334" customFormat="false" ht="13.8" hidden="false" customHeight="false" outlineLevel="0" collapsed="false">
      <c r="A3334" s="1" t="s">
        <v>3833</v>
      </c>
      <c r="C3334" s="1" t="s">
        <v>3834</v>
      </c>
      <c r="D3334" s="1" t="s">
        <v>14</v>
      </c>
      <c r="E3334" s="1" t="s">
        <v>3668</v>
      </c>
      <c r="F3334" s="1" t="s">
        <v>3380</v>
      </c>
      <c r="G3334" s="1" t="s">
        <v>3668</v>
      </c>
      <c r="H3334" s="2" t="s">
        <v>3436</v>
      </c>
      <c r="I3334" s="1" t="s">
        <v>3693</v>
      </c>
      <c r="J3334" s="1" t="s">
        <v>52</v>
      </c>
      <c r="K3334" s="1" t="s">
        <v>3436</v>
      </c>
      <c r="L3334" s="36" t="s">
        <v>69</v>
      </c>
      <c r="M3334" s="1" t="s">
        <v>69</v>
      </c>
      <c r="N3334" s="1" t="s">
        <v>1935</v>
      </c>
      <c r="O3334" s="1" t="s">
        <v>46</v>
      </c>
      <c r="P3334" s="1" t="s">
        <v>46</v>
      </c>
      <c r="Q3334" s="1" t="s">
        <v>46</v>
      </c>
      <c r="R3334" s="1" t="s">
        <v>46</v>
      </c>
      <c r="S3334" s="1" t="s">
        <v>46</v>
      </c>
      <c r="T3334" s="1" t="s">
        <v>46</v>
      </c>
      <c r="U3334" s="1" t="s">
        <v>46</v>
      </c>
      <c r="W3334" s="1" t="s">
        <v>46</v>
      </c>
      <c r="X3334" s="1" t="s">
        <v>2640</v>
      </c>
      <c r="Y3334" s="1" t="n">
        <v>5500</v>
      </c>
    </row>
    <row r="3335" customFormat="false" ht="13.8" hidden="false" customHeight="false" outlineLevel="0" collapsed="false">
      <c r="A3335" s="1" t="s">
        <v>3833</v>
      </c>
      <c r="C3335" s="1" t="s">
        <v>3834</v>
      </c>
      <c r="D3335" s="1" t="s">
        <v>14</v>
      </c>
      <c r="E3335" s="1" t="s">
        <v>3668</v>
      </c>
      <c r="F3335" s="1" t="s">
        <v>3380</v>
      </c>
      <c r="G3335" s="1" t="s">
        <v>3668</v>
      </c>
      <c r="H3335" s="2" t="s">
        <v>3438</v>
      </c>
      <c r="I3335" s="1" t="s">
        <v>3694</v>
      </c>
      <c r="J3335" s="1" t="s">
        <v>52</v>
      </c>
      <c r="K3335" s="1" t="s">
        <v>3438</v>
      </c>
      <c r="L3335" s="36" t="s">
        <v>69</v>
      </c>
      <c r="M3335" s="1" t="s">
        <v>69</v>
      </c>
      <c r="N3335" s="1" t="s">
        <v>1935</v>
      </c>
      <c r="O3335" s="1" t="s">
        <v>46</v>
      </c>
      <c r="P3335" s="1" t="s">
        <v>46</v>
      </c>
      <c r="Q3335" s="1" t="s">
        <v>46</v>
      </c>
      <c r="R3335" s="1" t="s">
        <v>46</v>
      </c>
      <c r="S3335" s="1" t="s">
        <v>46</v>
      </c>
      <c r="T3335" s="1" t="s">
        <v>46</v>
      </c>
      <c r="U3335" s="1" t="s">
        <v>46</v>
      </c>
      <c r="W3335" s="1" t="s">
        <v>46</v>
      </c>
      <c r="X3335" s="1" t="s">
        <v>2640</v>
      </c>
      <c r="Y3335" s="1" t="n">
        <v>5500</v>
      </c>
    </row>
    <row r="3336" customFormat="false" ht="13.8" hidden="false" customHeight="false" outlineLevel="0" collapsed="false">
      <c r="A3336" s="1" t="s">
        <v>3833</v>
      </c>
      <c r="C3336" s="1" t="s">
        <v>3834</v>
      </c>
      <c r="D3336" s="1" t="s">
        <v>14</v>
      </c>
      <c r="E3336" s="1" t="s">
        <v>3668</v>
      </c>
      <c r="F3336" s="1" t="s">
        <v>3380</v>
      </c>
      <c r="G3336" s="1" t="s">
        <v>3668</v>
      </c>
      <c r="H3336" s="2" t="s">
        <v>3440</v>
      </c>
      <c r="I3336" s="1" t="s">
        <v>3695</v>
      </c>
      <c r="J3336" s="1" t="s">
        <v>52</v>
      </c>
      <c r="K3336" s="1" t="s">
        <v>3440</v>
      </c>
      <c r="L3336" s="36" t="s">
        <v>69</v>
      </c>
      <c r="M3336" s="1" t="s">
        <v>69</v>
      </c>
      <c r="N3336" s="1" t="s">
        <v>1935</v>
      </c>
      <c r="O3336" s="1" t="s">
        <v>46</v>
      </c>
      <c r="P3336" s="1" t="s">
        <v>46</v>
      </c>
      <c r="Q3336" s="1" t="s">
        <v>46</v>
      </c>
      <c r="R3336" s="1" t="s">
        <v>46</v>
      </c>
      <c r="S3336" s="1" t="s">
        <v>46</v>
      </c>
      <c r="T3336" s="1" t="s">
        <v>46</v>
      </c>
      <c r="U3336" s="1" t="s">
        <v>46</v>
      </c>
      <c r="W3336" s="1" t="s">
        <v>46</v>
      </c>
      <c r="X3336" s="1" t="s">
        <v>2640</v>
      </c>
      <c r="Y3336" s="1" t="n">
        <v>5500</v>
      </c>
    </row>
    <row r="3337" customFormat="false" ht="13.8" hidden="false" customHeight="false" outlineLevel="0" collapsed="false">
      <c r="A3337" s="1" t="s">
        <v>3833</v>
      </c>
      <c r="C3337" s="1" t="s">
        <v>3834</v>
      </c>
      <c r="D3337" s="1" t="s">
        <v>14</v>
      </c>
      <c r="E3337" s="1" t="s">
        <v>3668</v>
      </c>
      <c r="F3337" s="1" t="s">
        <v>3380</v>
      </c>
      <c r="G3337" s="1" t="s">
        <v>3668</v>
      </c>
      <c r="H3337" s="2" t="s">
        <v>3442</v>
      </c>
      <c r="I3337" s="1" t="s">
        <v>3696</v>
      </c>
      <c r="J3337" s="1" t="s">
        <v>52</v>
      </c>
      <c r="K3337" s="1" t="s">
        <v>3442</v>
      </c>
      <c r="L3337" s="36" t="s">
        <v>69</v>
      </c>
      <c r="M3337" s="1" t="s">
        <v>69</v>
      </c>
      <c r="N3337" s="1" t="s">
        <v>1935</v>
      </c>
      <c r="O3337" s="1" t="s">
        <v>46</v>
      </c>
      <c r="P3337" s="1" t="s">
        <v>46</v>
      </c>
      <c r="Q3337" s="1" t="s">
        <v>46</v>
      </c>
      <c r="R3337" s="1" t="s">
        <v>46</v>
      </c>
      <c r="S3337" s="1" t="s">
        <v>46</v>
      </c>
      <c r="T3337" s="1" t="s">
        <v>46</v>
      </c>
      <c r="U3337" s="1" t="s">
        <v>46</v>
      </c>
      <c r="W3337" s="1" t="s">
        <v>46</v>
      </c>
      <c r="X3337" s="1" t="s">
        <v>2640</v>
      </c>
      <c r="Y3337" s="1" t="n">
        <v>5500</v>
      </c>
    </row>
    <row r="3338" customFormat="false" ht="13.8" hidden="false" customHeight="false" outlineLevel="0" collapsed="false">
      <c r="A3338" s="1" t="s">
        <v>3833</v>
      </c>
      <c r="C3338" s="1" t="s">
        <v>3834</v>
      </c>
      <c r="D3338" s="1" t="s">
        <v>14</v>
      </c>
      <c r="E3338" s="1" t="s">
        <v>3668</v>
      </c>
      <c r="F3338" s="1" t="s">
        <v>3380</v>
      </c>
      <c r="G3338" s="1" t="s">
        <v>3668</v>
      </c>
      <c r="H3338" s="2" t="s">
        <v>3444</v>
      </c>
      <c r="I3338" s="1" t="s">
        <v>3697</v>
      </c>
      <c r="J3338" s="1" t="s">
        <v>52</v>
      </c>
      <c r="K3338" s="1" t="s">
        <v>3444</v>
      </c>
      <c r="L3338" s="36" t="s">
        <v>69</v>
      </c>
      <c r="M3338" s="1" t="s">
        <v>69</v>
      </c>
      <c r="N3338" s="1" t="s">
        <v>1935</v>
      </c>
      <c r="O3338" s="1" t="s">
        <v>46</v>
      </c>
      <c r="P3338" s="1" t="s">
        <v>46</v>
      </c>
      <c r="Q3338" s="1" t="s">
        <v>46</v>
      </c>
      <c r="R3338" s="1" t="s">
        <v>46</v>
      </c>
      <c r="S3338" s="1" t="s">
        <v>46</v>
      </c>
      <c r="T3338" s="1" t="s">
        <v>46</v>
      </c>
      <c r="U3338" s="1" t="s">
        <v>46</v>
      </c>
      <c r="W3338" s="1" t="s">
        <v>46</v>
      </c>
      <c r="X3338" s="1" t="s">
        <v>2640</v>
      </c>
      <c r="Y3338" s="1" t="n">
        <v>5500</v>
      </c>
    </row>
    <row r="3339" customFormat="false" ht="13.8" hidden="false" customHeight="false" outlineLevel="0" collapsed="false">
      <c r="A3339" s="1" t="s">
        <v>3833</v>
      </c>
      <c r="C3339" s="1" t="s">
        <v>3834</v>
      </c>
      <c r="D3339" s="1" t="s">
        <v>14</v>
      </c>
      <c r="E3339" s="1" t="s">
        <v>3668</v>
      </c>
      <c r="F3339" s="1" t="s">
        <v>3380</v>
      </c>
      <c r="G3339" s="1" t="s">
        <v>3668</v>
      </c>
      <c r="H3339" s="2" t="s">
        <v>3446</v>
      </c>
      <c r="I3339" s="1" t="s">
        <v>3698</v>
      </c>
      <c r="J3339" s="1" t="s">
        <v>52</v>
      </c>
      <c r="K3339" s="1" t="s">
        <v>3446</v>
      </c>
      <c r="L3339" s="36" t="s">
        <v>69</v>
      </c>
      <c r="M3339" s="1" t="s">
        <v>69</v>
      </c>
      <c r="N3339" s="1" t="s">
        <v>1935</v>
      </c>
      <c r="O3339" s="1" t="s">
        <v>46</v>
      </c>
      <c r="P3339" s="1" t="s">
        <v>46</v>
      </c>
      <c r="Q3339" s="1" t="s">
        <v>46</v>
      </c>
      <c r="R3339" s="1" t="s">
        <v>46</v>
      </c>
      <c r="S3339" s="1" t="s">
        <v>46</v>
      </c>
      <c r="T3339" s="1" t="s">
        <v>46</v>
      </c>
      <c r="U3339" s="1" t="s">
        <v>46</v>
      </c>
      <c r="W3339" s="1" t="s">
        <v>46</v>
      </c>
      <c r="X3339" s="1" t="s">
        <v>2640</v>
      </c>
      <c r="Y3339" s="1" t="n">
        <v>5500</v>
      </c>
    </row>
    <row r="3340" customFormat="false" ht="13.8" hidden="false" customHeight="false" outlineLevel="0" collapsed="false">
      <c r="A3340" s="1" t="s">
        <v>3833</v>
      </c>
      <c r="C3340" s="1" t="s">
        <v>3834</v>
      </c>
      <c r="D3340" s="1" t="s">
        <v>14</v>
      </c>
      <c r="E3340" s="1" t="s">
        <v>3668</v>
      </c>
      <c r="F3340" s="1" t="s">
        <v>3380</v>
      </c>
      <c r="G3340" s="1" t="s">
        <v>3668</v>
      </c>
      <c r="H3340" s="2" t="s">
        <v>3448</v>
      </c>
      <c r="I3340" s="1" t="s">
        <v>3699</v>
      </c>
      <c r="J3340" s="1" t="s">
        <v>52</v>
      </c>
      <c r="K3340" s="1" t="s">
        <v>3448</v>
      </c>
      <c r="L3340" s="36" t="s">
        <v>69</v>
      </c>
      <c r="M3340" s="1" t="s">
        <v>69</v>
      </c>
      <c r="N3340" s="1" t="s">
        <v>1935</v>
      </c>
      <c r="O3340" s="1" t="s">
        <v>46</v>
      </c>
      <c r="P3340" s="1" t="s">
        <v>46</v>
      </c>
      <c r="Q3340" s="1" t="s">
        <v>46</v>
      </c>
      <c r="R3340" s="1" t="s">
        <v>46</v>
      </c>
      <c r="S3340" s="1" t="s">
        <v>46</v>
      </c>
      <c r="T3340" s="1" t="s">
        <v>46</v>
      </c>
      <c r="U3340" s="1" t="s">
        <v>46</v>
      </c>
      <c r="W3340" s="1" t="s">
        <v>46</v>
      </c>
      <c r="X3340" s="1" t="s">
        <v>2640</v>
      </c>
      <c r="Y3340" s="1" t="n">
        <v>5500</v>
      </c>
    </row>
    <row r="3341" customFormat="false" ht="13.8" hidden="false" customHeight="false" outlineLevel="0" collapsed="false">
      <c r="A3341" s="1" t="s">
        <v>3833</v>
      </c>
      <c r="C3341" s="1" t="s">
        <v>3834</v>
      </c>
      <c r="D3341" s="1" t="s">
        <v>14</v>
      </c>
      <c r="E3341" s="1" t="s">
        <v>3668</v>
      </c>
      <c r="F3341" s="1" t="s">
        <v>3380</v>
      </c>
      <c r="G3341" s="1" t="s">
        <v>3668</v>
      </c>
      <c r="H3341" s="2" t="s">
        <v>3450</v>
      </c>
      <c r="I3341" s="1" t="s">
        <v>3700</v>
      </c>
      <c r="J3341" s="1" t="s">
        <v>52</v>
      </c>
      <c r="K3341" s="1" t="s">
        <v>3450</v>
      </c>
      <c r="L3341" s="36" t="s">
        <v>69</v>
      </c>
      <c r="M3341" s="1" t="s">
        <v>69</v>
      </c>
      <c r="N3341" s="1" t="s">
        <v>1935</v>
      </c>
      <c r="O3341" s="1" t="s">
        <v>46</v>
      </c>
      <c r="P3341" s="1" t="s">
        <v>46</v>
      </c>
      <c r="Q3341" s="1" t="s">
        <v>46</v>
      </c>
      <c r="R3341" s="1" t="s">
        <v>46</v>
      </c>
      <c r="S3341" s="1" t="s">
        <v>46</v>
      </c>
      <c r="T3341" s="1" t="s">
        <v>46</v>
      </c>
      <c r="U3341" s="1" t="s">
        <v>46</v>
      </c>
      <c r="W3341" s="1" t="s">
        <v>46</v>
      </c>
      <c r="X3341" s="1" t="s">
        <v>2640</v>
      </c>
      <c r="Y3341" s="1" t="n">
        <v>5500</v>
      </c>
    </row>
    <row r="3342" customFormat="false" ht="13.8" hidden="false" customHeight="false" outlineLevel="0" collapsed="false">
      <c r="A3342" s="1" t="s">
        <v>3833</v>
      </c>
      <c r="C3342" s="1" t="s">
        <v>3834</v>
      </c>
      <c r="D3342" s="1" t="s">
        <v>14</v>
      </c>
      <c r="E3342" s="1" t="s">
        <v>3668</v>
      </c>
      <c r="F3342" s="1" t="s">
        <v>3380</v>
      </c>
      <c r="G3342" s="1" t="s">
        <v>3668</v>
      </c>
      <c r="H3342" s="2" t="s">
        <v>3452</v>
      </c>
      <c r="I3342" s="1" t="s">
        <v>3701</v>
      </c>
      <c r="J3342" s="1" t="s">
        <v>52</v>
      </c>
      <c r="K3342" s="1" t="s">
        <v>3452</v>
      </c>
      <c r="L3342" s="36" t="s">
        <v>69</v>
      </c>
      <c r="M3342" s="1" t="s">
        <v>69</v>
      </c>
      <c r="N3342" s="1" t="s">
        <v>1935</v>
      </c>
      <c r="O3342" s="1" t="s">
        <v>46</v>
      </c>
      <c r="P3342" s="1" t="s">
        <v>46</v>
      </c>
      <c r="Q3342" s="1" t="s">
        <v>46</v>
      </c>
      <c r="R3342" s="1" t="s">
        <v>46</v>
      </c>
      <c r="S3342" s="1" t="s">
        <v>46</v>
      </c>
      <c r="T3342" s="1" t="s">
        <v>46</v>
      </c>
      <c r="U3342" s="1" t="s">
        <v>46</v>
      </c>
      <c r="W3342" s="1" t="s">
        <v>46</v>
      </c>
      <c r="X3342" s="1" t="s">
        <v>2640</v>
      </c>
      <c r="Y3342" s="1" t="n">
        <v>5500</v>
      </c>
    </row>
    <row r="3343" customFormat="false" ht="13.8" hidden="false" customHeight="false" outlineLevel="0" collapsed="false">
      <c r="A3343" s="1" t="s">
        <v>3833</v>
      </c>
      <c r="C3343" s="1" t="s">
        <v>3834</v>
      </c>
      <c r="D3343" s="1" t="s">
        <v>14</v>
      </c>
      <c r="E3343" s="1" t="s">
        <v>3668</v>
      </c>
      <c r="F3343" s="1" t="s">
        <v>3380</v>
      </c>
      <c r="G3343" s="1" t="s">
        <v>3668</v>
      </c>
      <c r="H3343" s="2" t="s">
        <v>3454</v>
      </c>
      <c r="I3343" s="1" t="s">
        <v>3702</v>
      </c>
      <c r="J3343" s="1" t="s">
        <v>52</v>
      </c>
      <c r="K3343" s="1" t="s">
        <v>3454</v>
      </c>
      <c r="L3343" s="36" t="s">
        <v>69</v>
      </c>
      <c r="M3343" s="1" t="s">
        <v>69</v>
      </c>
      <c r="N3343" s="1" t="s">
        <v>1935</v>
      </c>
      <c r="O3343" s="1" t="s">
        <v>46</v>
      </c>
      <c r="P3343" s="1" t="s">
        <v>46</v>
      </c>
      <c r="Q3343" s="1" t="s">
        <v>46</v>
      </c>
      <c r="R3343" s="1" t="s">
        <v>46</v>
      </c>
      <c r="S3343" s="1" t="s">
        <v>46</v>
      </c>
      <c r="T3343" s="1" t="s">
        <v>46</v>
      </c>
      <c r="U3343" s="1" t="s">
        <v>46</v>
      </c>
      <c r="W3343" s="1" t="s">
        <v>46</v>
      </c>
      <c r="X3343" s="1" t="s">
        <v>2640</v>
      </c>
      <c r="Y3343" s="1" t="n">
        <v>5500</v>
      </c>
    </row>
    <row r="3344" customFormat="false" ht="13.8" hidden="false" customHeight="false" outlineLevel="0" collapsed="false">
      <c r="A3344" s="1" t="s">
        <v>3833</v>
      </c>
      <c r="C3344" s="1" t="s">
        <v>3834</v>
      </c>
      <c r="D3344" s="1" t="s">
        <v>14</v>
      </c>
      <c r="E3344" s="1" t="s">
        <v>3668</v>
      </c>
      <c r="F3344" s="1" t="s">
        <v>3380</v>
      </c>
      <c r="G3344" s="1" t="s">
        <v>3668</v>
      </c>
      <c r="H3344" s="2" t="s">
        <v>3456</v>
      </c>
      <c r="I3344" s="1" t="s">
        <v>3703</v>
      </c>
      <c r="J3344" s="1" t="s">
        <v>52</v>
      </c>
      <c r="K3344" s="1" t="s">
        <v>3456</v>
      </c>
      <c r="L3344" s="36" t="s">
        <v>69</v>
      </c>
      <c r="M3344" s="1" t="s">
        <v>69</v>
      </c>
      <c r="N3344" s="1" t="s">
        <v>1935</v>
      </c>
      <c r="O3344" s="1" t="s">
        <v>46</v>
      </c>
      <c r="P3344" s="1" t="s">
        <v>46</v>
      </c>
      <c r="Q3344" s="1" t="s">
        <v>46</v>
      </c>
      <c r="R3344" s="1" t="s">
        <v>46</v>
      </c>
      <c r="S3344" s="1" t="s">
        <v>46</v>
      </c>
      <c r="T3344" s="1" t="s">
        <v>46</v>
      </c>
      <c r="U3344" s="1" t="s">
        <v>46</v>
      </c>
      <c r="W3344" s="1" t="s">
        <v>46</v>
      </c>
      <c r="X3344" s="1" t="s">
        <v>2640</v>
      </c>
      <c r="Y3344" s="1" t="n">
        <v>5500</v>
      </c>
    </row>
    <row r="3345" customFormat="false" ht="13.8" hidden="false" customHeight="false" outlineLevel="0" collapsed="false">
      <c r="A3345" s="1" t="s">
        <v>3833</v>
      </c>
      <c r="C3345" s="1" t="s">
        <v>3834</v>
      </c>
      <c r="D3345" s="1" t="s">
        <v>14</v>
      </c>
      <c r="E3345" s="1" t="s">
        <v>3668</v>
      </c>
      <c r="F3345" s="1" t="s">
        <v>3380</v>
      </c>
      <c r="G3345" s="1" t="s">
        <v>3668</v>
      </c>
      <c r="H3345" s="2" t="s">
        <v>3458</v>
      </c>
      <c r="I3345" s="1" t="s">
        <v>3704</v>
      </c>
      <c r="J3345" s="1" t="s">
        <v>52</v>
      </c>
      <c r="K3345" s="1" t="s">
        <v>3458</v>
      </c>
      <c r="L3345" s="36" t="s">
        <v>69</v>
      </c>
      <c r="M3345" s="1" t="s">
        <v>69</v>
      </c>
      <c r="N3345" s="1" t="s">
        <v>1935</v>
      </c>
      <c r="O3345" s="1" t="s">
        <v>46</v>
      </c>
      <c r="P3345" s="1" t="s">
        <v>46</v>
      </c>
      <c r="Q3345" s="1" t="s">
        <v>46</v>
      </c>
      <c r="R3345" s="1" t="s">
        <v>46</v>
      </c>
      <c r="S3345" s="1" t="s">
        <v>46</v>
      </c>
      <c r="T3345" s="1" t="s">
        <v>46</v>
      </c>
      <c r="U3345" s="1" t="s">
        <v>46</v>
      </c>
      <c r="W3345" s="1" t="s">
        <v>46</v>
      </c>
      <c r="X3345" s="1" t="s">
        <v>2640</v>
      </c>
      <c r="Y3345" s="1" t="n">
        <v>5500</v>
      </c>
    </row>
    <row r="3346" customFormat="false" ht="13.8" hidden="false" customHeight="false" outlineLevel="0" collapsed="false">
      <c r="A3346" s="1" t="s">
        <v>3833</v>
      </c>
      <c r="C3346" s="1" t="s">
        <v>3834</v>
      </c>
      <c r="D3346" s="1" t="s">
        <v>14</v>
      </c>
      <c r="E3346" s="1" t="s">
        <v>3668</v>
      </c>
      <c r="F3346" s="1" t="s">
        <v>3380</v>
      </c>
      <c r="G3346" s="1" t="s">
        <v>3668</v>
      </c>
      <c r="H3346" s="2" t="s">
        <v>3460</v>
      </c>
      <c r="I3346" s="1" t="s">
        <v>3705</v>
      </c>
      <c r="J3346" s="1" t="s">
        <v>52</v>
      </c>
      <c r="K3346" s="1" t="s">
        <v>3460</v>
      </c>
      <c r="L3346" s="36" t="s">
        <v>69</v>
      </c>
      <c r="M3346" s="1" t="s">
        <v>69</v>
      </c>
      <c r="N3346" s="1" t="s">
        <v>1935</v>
      </c>
      <c r="O3346" s="1" t="s">
        <v>46</v>
      </c>
      <c r="P3346" s="1" t="s">
        <v>46</v>
      </c>
      <c r="Q3346" s="1" t="s">
        <v>46</v>
      </c>
      <c r="R3346" s="1" t="s">
        <v>46</v>
      </c>
      <c r="S3346" s="1" t="s">
        <v>46</v>
      </c>
      <c r="T3346" s="1" t="s">
        <v>46</v>
      </c>
      <c r="U3346" s="1" t="s">
        <v>46</v>
      </c>
      <c r="W3346" s="1" t="s">
        <v>46</v>
      </c>
      <c r="X3346" s="1" t="s">
        <v>2640</v>
      </c>
      <c r="Y3346" s="1" t="n">
        <v>5500</v>
      </c>
    </row>
    <row r="3347" customFormat="false" ht="13.8" hidden="false" customHeight="false" outlineLevel="0" collapsed="false">
      <c r="A3347" s="1" t="s">
        <v>3833</v>
      </c>
      <c r="C3347" s="1" t="s">
        <v>3834</v>
      </c>
      <c r="D3347" s="1" t="s">
        <v>14</v>
      </c>
      <c r="E3347" s="1" t="s">
        <v>3668</v>
      </c>
      <c r="F3347" s="1" t="s">
        <v>3380</v>
      </c>
      <c r="G3347" s="1" t="s">
        <v>3668</v>
      </c>
      <c r="H3347" s="2" t="s">
        <v>3462</v>
      </c>
      <c r="I3347" s="1" t="s">
        <v>3706</v>
      </c>
      <c r="J3347" s="1" t="s">
        <v>52</v>
      </c>
      <c r="K3347" s="1" t="s">
        <v>3462</v>
      </c>
      <c r="L3347" s="36" t="s">
        <v>69</v>
      </c>
      <c r="M3347" s="1" t="s">
        <v>69</v>
      </c>
      <c r="N3347" s="1" t="s">
        <v>1935</v>
      </c>
      <c r="O3347" s="1" t="s">
        <v>46</v>
      </c>
      <c r="P3347" s="1" t="s">
        <v>46</v>
      </c>
      <c r="Q3347" s="1" t="s">
        <v>46</v>
      </c>
      <c r="R3347" s="1" t="s">
        <v>46</v>
      </c>
      <c r="S3347" s="1" t="s">
        <v>46</v>
      </c>
      <c r="T3347" s="1" t="s">
        <v>46</v>
      </c>
      <c r="U3347" s="1" t="s">
        <v>46</v>
      </c>
      <c r="W3347" s="1" t="s">
        <v>46</v>
      </c>
      <c r="X3347" s="1" t="s">
        <v>2640</v>
      </c>
      <c r="Y3347" s="1" t="n">
        <v>5500</v>
      </c>
    </row>
    <row r="3348" customFormat="false" ht="13.8" hidden="false" customHeight="false" outlineLevel="0" collapsed="false">
      <c r="A3348" s="1" t="s">
        <v>3833</v>
      </c>
      <c r="C3348" s="1" t="s">
        <v>3834</v>
      </c>
      <c r="D3348" s="1" t="s">
        <v>14</v>
      </c>
      <c r="E3348" s="1" t="s">
        <v>3668</v>
      </c>
      <c r="F3348" s="1" t="s">
        <v>3380</v>
      </c>
      <c r="G3348" s="1" t="s">
        <v>3668</v>
      </c>
      <c r="H3348" s="2" t="s">
        <v>3464</v>
      </c>
      <c r="I3348" s="1" t="s">
        <v>3707</v>
      </c>
      <c r="J3348" s="1" t="s">
        <v>52</v>
      </c>
      <c r="K3348" s="1" t="s">
        <v>3464</v>
      </c>
      <c r="L3348" s="36" t="s">
        <v>69</v>
      </c>
      <c r="M3348" s="1" t="s">
        <v>69</v>
      </c>
      <c r="N3348" s="1" t="s">
        <v>1935</v>
      </c>
      <c r="O3348" s="1" t="s">
        <v>46</v>
      </c>
      <c r="P3348" s="1" t="s">
        <v>46</v>
      </c>
      <c r="Q3348" s="1" t="s">
        <v>46</v>
      </c>
      <c r="R3348" s="1" t="s">
        <v>46</v>
      </c>
      <c r="S3348" s="1" t="s">
        <v>46</v>
      </c>
      <c r="T3348" s="1" t="s">
        <v>46</v>
      </c>
      <c r="U3348" s="1" t="s">
        <v>46</v>
      </c>
      <c r="W3348" s="1" t="s">
        <v>46</v>
      </c>
      <c r="X3348" s="1" t="s">
        <v>2640</v>
      </c>
      <c r="Y3348" s="1" t="n">
        <v>5500</v>
      </c>
    </row>
    <row r="3349" customFormat="false" ht="13.8" hidden="false" customHeight="false" outlineLevel="0" collapsed="false">
      <c r="A3349" s="1" t="s">
        <v>3833</v>
      </c>
      <c r="C3349" s="1" t="s">
        <v>3834</v>
      </c>
      <c r="D3349" s="1" t="s">
        <v>14</v>
      </c>
      <c r="E3349" s="1" t="s">
        <v>3668</v>
      </c>
      <c r="F3349" s="1" t="s">
        <v>3380</v>
      </c>
      <c r="G3349" s="1" t="s">
        <v>3668</v>
      </c>
      <c r="H3349" s="2" t="s">
        <v>3466</v>
      </c>
      <c r="I3349" s="1" t="s">
        <v>3708</v>
      </c>
      <c r="J3349" s="1" t="s">
        <v>52</v>
      </c>
      <c r="K3349" s="1" t="s">
        <v>3466</v>
      </c>
      <c r="L3349" s="36" t="s">
        <v>69</v>
      </c>
      <c r="M3349" s="1" t="s">
        <v>69</v>
      </c>
      <c r="N3349" s="1" t="s">
        <v>3468</v>
      </c>
      <c r="O3349" s="1" t="s">
        <v>46</v>
      </c>
      <c r="P3349" s="1" t="s">
        <v>46</v>
      </c>
      <c r="Q3349" s="1" t="s">
        <v>46</v>
      </c>
      <c r="R3349" s="1" t="s">
        <v>46</v>
      </c>
      <c r="S3349" s="1" t="s">
        <v>46</v>
      </c>
      <c r="T3349" s="1" t="s">
        <v>46</v>
      </c>
      <c r="U3349" s="1" t="s">
        <v>46</v>
      </c>
      <c r="W3349" s="1" t="s">
        <v>46</v>
      </c>
      <c r="X3349" s="1" t="s">
        <v>2640</v>
      </c>
      <c r="Y3349" s="1" t="n">
        <v>5500</v>
      </c>
    </row>
    <row r="3350" customFormat="false" ht="13.8" hidden="false" customHeight="false" outlineLevel="0" collapsed="false">
      <c r="A3350" s="1" t="s">
        <v>3833</v>
      </c>
      <c r="C3350" s="1" t="s">
        <v>3834</v>
      </c>
      <c r="D3350" s="1" t="s">
        <v>14</v>
      </c>
      <c r="E3350" s="1" t="s">
        <v>3668</v>
      </c>
      <c r="F3350" s="1" t="s">
        <v>3380</v>
      </c>
      <c r="G3350" s="1" t="s">
        <v>3668</v>
      </c>
      <c r="H3350" s="2" t="s">
        <v>3469</v>
      </c>
      <c r="I3350" s="1" t="s">
        <v>3709</v>
      </c>
      <c r="J3350" s="1" t="s">
        <v>52</v>
      </c>
      <c r="K3350" s="1" t="s">
        <v>3469</v>
      </c>
      <c r="L3350" s="36" t="s">
        <v>69</v>
      </c>
      <c r="M3350" s="1" t="s">
        <v>69</v>
      </c>
      <c r="N3350" s="1" t="s">
        <v>3468</v>
      </c>
      <c r="O3350" s="1" t="s">
        <v>46</v>
      </c>
      <c r="P3350" s="1" t="s">
        <v>46</v>
      </c>
      <c r="Q3350" s="1" t="s">
        <v>46</v>
      </c>
      <c r="R3350" s="1" t="s">
        <v>46</v>
      </c>
      <c r="S3350" s="1" t="s">
        <v>46</v>
      </c>
      <c r="T3350" s="1" t="s">
        <v>46</v>
      </c>
      <c r="U3350" s="1" t="s">
        <v>46</v>
      </c>
      <c r="W3350" s="1" t="s">
        <v>46</v>
      </c>
      <c r="X3350" s="1" t="s">
        <v>2640</v>
      </c>
      <c r="Y3350" s="1" t="n">
        <v>5500</v>
      </c>
    </row>
    <row r="3351" customFormat="false" ht="13.8" hidden="false" customHeight="false" outlineLevel="0" collapsed="false">
      <c r="A3351" s="1" t="s">
        <v>3833</v>
      </c>
      <c r="C3351" s="1" t="s">
        <v>3834</v>
      </c>
      <c r="D3351" s="1" t="s">
        <v>14</v>
      </c>
      <c r="E3351" s="1" t="s">
        <v>3668</v>
      </c>
      <c r="F3351" s="1" t="s">
        <v>3380</v>
      </c>
      <c r="G3351" s="1" t="s">
        <v>3668</v>
      </c>
      <c r="H3351" s="2" t="s">
        <v>3471</v>
      </c>
      <c r="I3351" s="1" t="s">
        <v>3710</v>
      </c>
      <c r="J3351" s="1" t="s">
        <v>52</v>
      </c>
      <c r="K3351" s="1" t="s">
        <v>3471</v>
      </c>
      <c r="L3351" s="36" t="s">
        <v>69</v>
      </c>
      <c r="M3351" s="1" t="s">
        <v>69</v>
      </c>
      <c r="N3351" s="1" t="s">
        <v>3468</v>
      </c>
      <c r="O3351" s="1" t="s">
        <v>46</v>
      </c>
      <c r="P3351" s="1" t="s">
        <v>46</v>
      </c>
      <c r="Q3351" s="1" t="s">
        <v>46</v>
      </c>
      <c r="R3351" s="1" t="s">
        <v>46</v>
      </c>
      <c r="S3351" s="1" t="s">
        <v>46</v>
      </c>
      <c r="T3351" s="1" t="s">
        <v>46</v>
      </c>
      <c r="U3351" s="1" t="s">
        <v>46</v>
      </c>
      <c r="W3351" s="1" t="s">
        <v>46</v>
      </c>
      <c r="X3351" s="1" t="s">
        <v>2640</v>
      </c>
      <c r="Y3351" s="1" t="n">
        <v>5500</v>
      </c>
    </row>
    <row r="3352" customFormat="false" ht="13.8" hidden="false" customHeight="false" outlineLevel="0" collapsed="false">
      <c r="A3352" s="1" t="s">
        <v>3833</v>
      </c>
      <c r="C3352" s="1" t="s">
        <v>3834</v>
      </c>
      <c r="D3352" s="1" t="s">
        <v>14</v>
      </c>
      <c r="E3352" s="1" t="s">
        <v>3668</v>
      </c>
      <c r="F3352" s="1" t="s">
        <v>3380</v>
      </c>
      <c r="G3352" s="1" t="s">
        <v>3668</v>
      </c>
      <c r="H3352" s="2" t="s">
        <v>3473</v>
      </c>
      <c r="I3352" s="1" t="s">
        <v>3711</v>
      </c>
      <c r="J3352" s="1" t="s">
        <v>52</v>
      </c>
      <c r="K3352" s="1" t="s">
        <v>3473</v>
      </c>
      <c r="L3352" s="36" t="s">
        <v>69</v>
      </c>
      <c r="M3352" s="1" t="s">
        <v>69</v>
      </c>
      <c r="N3352" s="1" t="s">
        <v>3468</v>
      </c>
      <c r="O3352" s="1" t="s">
        <v>46</v>
      </c>
      <c r="P3352" s="1" t="s">
        <v>46</v>
      </c>
      <c r="Q3352" s="1" t="s">
        <v>46</v>
      </c>
      <c r="R3352" s="1" t="s">
        <v>46</v>
      </c>
      <c r="S3352" s="1" t="s">
        <v>46</v>
      </c>
      <c r="T3352" s="1" t="s">
        <v>46</v>
      </c>
      <c r="U3352" s="1" t="s">
        <v>46</v>
      </c>
      <c r="W3352" s="1" t="s">
        <v>46</v>
      </c>
      <c r="X3352" s="1" t="s">
        <v>2640</v>
      </c>
      <c r="Y3352" s="1" t="n">
        <v>5500</v>
      </c>
    </row>
    <row r="3353" customFormat="false" ht="13.8" hidden="false" customHeight="false" outlineLevel="0" collapsed="false">
      <c r="A3353" s="1" t="s">
        <v>3833</v>
      </c>
      <c r="C3353" s="1" t="s">
        <v>3834</v>
      </c>
      <c r="D3353" s="1" t="s">
        <v>14</v>
      </c>
      <c r="E3353" s="1" t="s">
        <v>3668</v>
      </c>
      <c r="F3353" s="1" t="s">
        <v>3380</v>
      </c>
      <c r="G3353" s="1" t="s">
        <v>3668</v>
      </c>
      <c r="H3353" s="2" t="s">
        <v>3475</v>
      </c>
      <c r="I3353" s="1" t="s">
        <v>3712</v>
      </c>
      <c r="J3353" s="1" t="s">
        <v>52</v>
      </c>
      <c r="K3353" s="1" t="s">
        <v>3475</v>
      </c>
      <c r="L3353" s="36" t="s">
        <v>69</v>
      </c>
      <c r="M3353" s="1" t="s">
        <v>69</v>
      </c>
      <c r="N3353" s="1" t="s">
        <v>3468</v>
      </c>
      <c r="O3353" s="1" t="s">
        <v>46</v>
      </c>
      <c r="P3353" s="1" t="s">
        <v>46</v>
      </c>
      <c r="Q3353" s="1" t="s">
        <v>46</v>
      </c>
      <c r="R3353" s="1" t="s">
        <v>46</v>
      </c>
      <c r="S3353" s="1" t="s">
        <v>46</v>
      </c>
      <c r="T3353" s="1" t="s">
        <v>46</v>
      </c>
      <c r="U3353" s="1" t="s">
        <v>46</v>
      </c>
      <c r="W3353" s="1" t="s">
        <v>46</v>
      </c>
      <c r="X3353" s="1" t="s">
        <v>2640</v>
      </c>
      <c r="Y3353" s="1" t="n">
        <v>5500</v>
      </c>
    </row>
    <row r="3354" customFormat="false" ht="13.8" hidden="false" customHeight="false" outlineLevel="0" collapsed="false">
      <c r="A3354" s="1" t="s">
        <v>3833</v>
      </c>
      <c r="C3354" s="1" t="s">
        <v>3834</v>
      </c>
      <c r="D3354" s="1" t="s">
        <v>14</v>
      </c>
      <c r="E3354" s="1" t="s">
        <v>3668</v>
      </c>
      <c r="F3354" s="1" t="s">
        <v>3380</v>
      </c>
      <c r="G3354" s="1" t="s">
        <v>3668</v>
      </c>
      <c r="H3354" s="2" t="s">
        <v>3477</v>
      </c>
      <c r="I3354" s="1" t="s">
        <v>3713</v>
      </c>
      <c r="J3354" s="1" t="s">
        <v>52</v>
      </c>
      <c r="K3354" s="1" t="s">
        <v>3477</v>
      </c>
      <c r="L3354" s="36" t="s">
        <v>69</v>
      </c>
      <c r="M3354" s="1" t="s">
        <v>69</v>
      </c>
      <c r="N3354" s="1" t="s">
        <v>3468</v>
      </c>
      <c r="O3354" s="1" t="s">
        <v>46</v>
      </c>
      <c r="P3354" s="1" t="s">
        <v>46</v>
      </c>
      <c r="Q3354" s="1" t="s">
        <v>46</v>
      </c>
      <c r="R3354" s="1" t="s">
        <v>46</v>
      </c>
      <c r="S3354" s="1" t="s">
        <v>46</v>
      </c>
      <c r="T3354" s="1" t="s">
        <v>46</v>
      </c>
      <c r="U3354" s="1" t="s">
        <v>46</v>
      </c>
      <c r="W3354" s="1" t="s">
        <v>46</v>
      </c>
      <c r="X3354" s="1" t="s">
        <v>2640</v>
      </c>
      <c r="Y3354" s="1" t="n">
        <v>5500</v>
      </c>
    </row>
    <row r="3355" customFormat="false" ht="13.8" hidden="false" customHeight="false" outlineLevel="0" collapsed="false">
      <c r="A3355" s="1" t="s">
        <v>3833</v>
      </c>
      <c r="C3355" s="1" t="s">
        <v>3834</v>
      </c>
      <c r="D3355" s="1" t="s">
        <v>14</v>
      </c>
      <c r="E3355" s="1" t="s">
        <v>3668</v>
      </c>
      <c r="F3355" s="1" t="s">
        <v>3380</v>
      </c>
      <c r="G3355" s="1" t="s">
        <v>3668</v>
      </c>
      <c r="H3355" s="2" t="s">
        <v>3479</v>
      </c>
      <c r="I3355" s="1" t="s">
        <v>3714</v>
      </c>
      <c r="J3355" s="1" t="s">
        <v>52</v>
      </c>
      <c r="K3355" s="1" t="s">
        <v>3479</v>
      </c>
      <c r="L3355" s="36" t="s">
        <v>69</v>
      </c>
      <c r="M3355" s="1" t="s">
        <v>69</v>
      </c>
      <c r="N3355" s="1" t="s">
        <v>3468</v>
      </c>
      <c r="O3355" s="1" t="s">
        <v>46</v>
      </c>
      <c r="P3355" s="1" t="s">
        <v>46</v>
      </c>
      <c r="Q3355" s="1" t="s">
        <v>46</v>
      </c>
      <c r="R3355" s="1" t="s">
        <v>46</v>
      </c>
      <c r="S3355" s="1" t="s">
        <v>46</v>
      </c>
      <c r="T3355" s="1" t="s">
        <v>46</v>
      </c>
      <c r="U3355" s="1" t="s">
        <v>46</v>
      </c>
      <c r="W3355" s="1" t="s">
        <v>46</v>
      </c>
      <c r="X3355" s="1" t="s">
        <v>2640</v>
      </c>
      <c r="Y3355" s="1" t="n">
        <v>5500</v>
      </c>
    </row>
    <row r="3356" customFormat="false" ht="13.8" hidden="false" customHeight="false" outlineLevel="0" collapsed="false">
      <c r="A3356" s="1" t="s">
        <v>3833</v>
      </c>
      <c r="C3356" s="1" t="s">
        <v>3834</v>
      </c>
      <c r="D3356" s="1" t="s">
        <v>14</v>
      </c>
      <c r="E3356" s="1" t="s">
        <v>3668</v>
      </c>
      <c r="F3356" s="1" t="s">
        <v>3380</v>
      </c>
      <c r="G3356" s="1" t="s">
        <v>3668</v>
      </c>
      <c r="H3356" s="2" t="s">
        <v>3481</v>
      </c>
      <c r="I3356" s="1" t="s">
        <v>3715</v>
      </c>
      <c r="J3356" s="1" t="s">
        <v>52</v>
      </c>
      <c r="K3356" s="1" t="s">
        <v>3481</v>
      </c>
      <c r="L3356" s="36" t="s">
        <v>69</v>
      </c>
      <c r="M3356" s="1" t="s">
        <v>69</v>
      </c>
      <c r="N3356" s="1" t="s">
        <v>3468</v>
      </c>
      <c r="O3356" s="1" t="s">
        <v>46</v>
      </c>
      <c r="P3356" s="1" t="s">
        <v>46</v>
      </c>
      <c r="Q3356" s="1" t="s">
        <v>46</v>
      </c>
      <c r="R3356" s="1" t="s">
        <v>46</v>
      </c>
      <c r="S3356" s="1" t="s">
        <v>46</v>
      </c>
      <c r="T3356" s="1" t="s">
        <v>46</v>
      </c>
      <c r="U3356" s="1" t="s">
        <v>46</v>
      </c>
      <c r="W3356" s="1" t="s">
        <v>46</v>
      </c>
      <c r="X3356" s="1" t="s">
        <v>2640</v>
      </c>
      <c r="Y3356" s="1" t="n">
        <v>5500</v>
      </c>
    </row>
    <row r="3357" customFormat="false" ht="13.8" hidden="false" customHeight="false" outlineLevel="0" collapsed="false">
      <c r="A3357" s="1" t="s">
        <v>3833</v>
      </c>
      <c r="C3357" s="1" t="s">
        <v>3834</v>
      </c>
      <c r="D3357" s="1" t="s">
        <v>14</v>
      </c>
      <c r="E3357" s="1" t="s">
        <v>3668</v>
      </c>
      <c r="F3357" s="1" t="s">
        <v>3380</v>
      </c>
      <c r="G3357" s="1" t="s">
        <v>3668</v>
      </c>
      <c r="H3357" s="2" t="s">
        <v>3483</v>
      </c>
      <c r="I3357" s="1" t="s">
        <v>3716</v>
      </c>
      <c r="J3357" s="1" t="s">
        <v>52</v>
      </c>
      <c r="K3357" s="1" t="s">
        <v>3483</v>
      </c>
      <c r="L3357" s="36" t="s">
        <v>69</v>
      </c>
      <c r="M3357" s="1" t="s">
        <v>69</v>
      </c>
      <c r="N3357" s="1" t="s">
        <v>3468</v>
      </c>
      <c r="O3357" s="1" t="s">
        <v>46</v>
      </c>
      <c r="P3357" s="1" t="s">
        <v>46</v>
      </c>
      <c r="Q3357" s="1" t="s">
        <v>46</v>
      </c>
      <c r="R3357" s="1" t="s">
        <v>46</v>
      </c>
      <c r="S3357" s="1" t="s">
        <v>46</v>
      </c>
      <c r="T3357" s="1" t="s">
        <v>46</v>
      </c>
      <c r="U3357" s="1" t="s">
        <v>46</v>
      </c>
      <c r="W3357" s="1" t="s">
        <v>46</v>
      </c>
      <c r="X3357" s="1" t="s">
        <v>2640</v>
      </c>
      <c r="Y3357" s="1" t="n">
        <v>5500</v>
      </c>
    </row>
    <row r="3358" customFormat="false" ht="13.8" hidden="false" customHeight="false" outlineLevel="0" collapsed="false">
      <c r="A3358" s="1" t="s">
        <v>3833</v>
      </c>
      <c r="C3358" s="1" t="s">
        <v>3834</v>
      </c>
      <c r="D3358" s="1" t="s">
        <v>14</v>
      </c>
      <c r="E3358" s="1" t="s">
        <v>3668</v>
      </c>
      <c r="F3358" s="1" t="s">
        <v>3380</v>
      </c>
      <c r="G3358" s="1" t="s">
        <v>3668</v>
      </c>
      <c r="H3358" s="2" t="s">
        <v>3485</v>
      </c>
      <c r="I3358" s="1" t="s">
        <v>3717</v>
      </c>
      <c r="J3358" s="1" t="s">
        <v>52</v>
      </c>
      <c r="K3358" s="1" t="s">
        <v>3485</v>
      </c>
      <c r="L3358" s="36" t="s">
        <v>69</v>
      </c>
      <c r="M3358" s="1" t="s">
        <v>69</v>
      </c>
      <c r="N3358" s="1" t="s">
        <v>3468</v>
      </c>
      <c r="O3358" s="1" t="s">
        <v>46</v>
      </c>
      <c r="P3358" s="1" t="s">
        <v>46</v>
      </c>
      <c r="Q3358" s="1" t="s">
        <v>46</v>
      </c>
      <c r="R3358" s="1" t="s">
        <v>46</v>
      </c>
      <c r="S3358" s="1" t="s">
        <v>46</v>
      </c>
      <c r="T3358" s="1" t="s">
        <v>46</v>
      </c>
      <c r="U3358" s="1" t="s">
        <v>46</v>
      </c>
      <c r="W3358" s="1" t="s">
        <v>46</v>
      </c>
      <c r="X3358" s="1" t="s">
        <v>2640</v>
      </c>
      <c r="Y3358" s="1" t="n">
        <v>5500</v>
      </c>
    </row>
    <row r="3359" customFormat="false" ht="13.8" hidden="false" customHeight="false" outlineLevel="0" collapsed="false">
      <c r="A3359" s="1" t="s">
        <v>3833</v>
      </c>
      <c r="C3359" s="1" t="s">
        <v>3834</v>
      </c>
      <c r="D3359" s="1" t="s">
        <v>14</v>
      </c>
      <c r="E3359" s="1" t="s">
        <v>3668</v>
      </c>
      <c r="F3359" s="1" t="s">
        <v>3380</v>
      </c>
      <c r="G3359" s="1" t="s">
        <v>3668</v>
      </c>
      <c r="H3359" s="2" t="s">
        <v>3487</v>
      </c>
      <c r="I3359" s="1" t="s">
        <v>3718</v>
      </c>
      <c r="J3359" s="1" t="s">
        <v>52</v>
      </c>
      <c r="K3359" s="1" t="s">
        <v>3487</v>
      </c>
      <c r="L3359" s="36" t="s">
        <v>69</v>
      </c>
      <c r="M3359" s="1" t="s">
        <v>69</v>
      </c>
      <c r="N3359" s="1" t="s">
        <v>3468</v>
      </c>
      <c r="O3359" s="1" t="s">
        <v>46</v>
      </c>
      <c r="P3359" s="1" t="s">
        <v>46</v>
      </c>
      <c r="Q3359" s="1" t="s">
        <v>46</v>
      </c>
      <c r="R3359" s="1" t="s">
        <v>46</v>
      </c>
      <c r="S3359" s="1" t="s">
        <v>46</v>
      </c>
      <c r="T3359" s="1" t="s">
        <v>46</v>
      </c>
      <c r="U3359" s="1" t="s">
        <v>46</v>
      </c>
      <c r="W3359" s="1" t="s">
        <v>46</v>
      </c>
      <c r="X3359" s="1" t="s">
        <v>2640</v>
      </c>
      <c r="Y3359" s="1" t="n">
        <v>5500</v>
      </c>
    </row>
    <row r="3360" customFormat="false" ht="13.8" hidden="false" customHeight="false" outlineLevel="0" collapsed="false">
      <c r="A3360" s="1" t="s">
        <v>3833</v>
      </c>
      <c r="C3360" s="1" t="s">
        <v>3834</v>
      </c>
      <c r="D3360" s="1" t="s">
        <v>14</v>
      </c>
      <c r="E3360" s="1" t="s">
        <v>3668</v>
      </c>
      <c r="F3360" s="1" t="s">
        <v>3380</v>
      </c>
      <c r="G3360" s="1" t="s">
        <v>3668</v>
      </c>
      <c r="H3360" s="2" t="s">
        <v>3489</v>
      </c>
      <c r="I3360" s="1" t="s">
        <v>3719</v>
      </c>
      <c r="J3360" s="1" t="s">
        <v>52</v>
      </c>
      <c r="K3360" s="1" t="s">
        <v>3489</v>
      </c>
      <c r="L3360" s="36" t="s">
        <v>69</v>
      </c>
      <c r="M3360" s="1" t="s">
        <v>69</v>
      </c>
      <c r="N3360" s="1" t="s">
        <v>3468</v>
      </c>
      <c r="O3360" s="1" t="s">
        <v>46</v>
      </c>
      <c r="P3360" s="1" t="s">
        <v>46</v>
      </c>
      <c r="Q3360" s="1" t="s">
        <v>46</v>
      </c>
      <c r="R3360" s="1" t="s">
        <v>46</v>
      </c>
      <c r="S3360" s="1" t="s">
        <v>46</v>
      </c>
      <c r="T3360" s="1" t="s">
        <v>46</v>
      </c>
      <c r="U3360" s="1" t="s">
        <v>46</v>
      </c>
      <c r="W3360" s="1" t="s">
        <v>46</v>
      </c>
      <c r="X3360" s="1" t="s">
        <v>2640</v>
      </c>
      <c r="Y3360" s="1" t="n">
        <v>5500</v>
      </c>
    </row>
    <row r="3361" customFormat="false" ht="13.8" hidden="false" customHeight="false" outlineLevel="0" collapsed="false">
      <c r="A3361" s="1" t="s">
        <v>3833</v>
      </c>
      <c r="C3361" s="1" t="s">
        <v>3834</v>
      </c>
      <c r="D3361" s="1" t="s">
        <v>14</v>
      </c>
      <c r="E3361" s="1" t="s">
        <v>3668</v>
      </c>
      <c r="F3361" s="1" t="s">
        <v>3380</v>
      </c>
      <c r="G3361" s="1" t="s">
        <v>3668</v>
      </c>
      <c r="H3361" s="2" t="s">
        <v>3491</v>
      </c>
      <c r="I3361" s="1" t="s">
        <v>3720</v>
      </c>
      <c r="J3361" s="1" t="s">
        <v>52</v>
      </c>
      <c r="K3361" s="1" t="s">
        <v>3491</v>
      </c>
      <c r="L3361" s="36" t="s">
        <v>69</v>
      </c>
      <c r="M3361" s="1" t="s">
        <v>69</v>
      </c>
      <c r="N3361" s="1" t="s">
        <v>3468</v>
      </c>
      <c r="O3361" s="1" t="s">
        <v>46</v>
      </c>
      <c r="P3361" s="1" t="s">
        <v>46</v>
      </c>
      <c r="Q3361" s="1" t="s">
        <v>46</v>
      </c>
      <c r="R3361" s="1" t="s">
        <v>46</v>
      </c>
      <c r="S3361" s="1" t="s">
        <v>46</v>
      </c>
      <c r="T3361" s="1" t="s">
        <v>46</v>
      </c>
      <c r="U3361" s="1" t="s">
        <v>46</v>
      </c>
      <c r="W3361" s="1" t="s">
        <v>46</v>
      </c>
      <c r="X3361" s="1" t="s">
        <v>2640</v>
      </c>
      <c r="Y3361" s="1" t="n">
        <v>5500</v>
      </c>
    </row>
    <row r="3362" customFormat="false" ht="13.8" hidden="false" customHeight="false" outlineLevel="0" collapsed="false">
      <c r="A3362" s="1" t="s">
        <v>3833</v>
      </c>
      <c r="C3362" s="1" t="s">
        <v>3834</v>
      </c>
      <c r="D3362" s="1" t="s">
        <v>14</v>
      </c>
      <c r="E3362" s="1" t="s">
        <v>3668</v>
      </c>
      <c r="F3362" s="1" t="s">
        <v>3380</v>
      </c>
      <c r="G3362" s="1" t="s">
        <v>3668</v>
      </c>
      <c r="H3362" s="2" t="s">
        <v>3493</v>
      </c>
      <c r="I3362" s="1" t="s">
        <v>3721</v>
      </c>
      <c r="J3362" s="1" t="s">
        <v>52</v>
      </c>
      <c r="K3362" s="1" t="s">
        <v>3493</v>
      </c>
      <c r="L3362" s="36" t="s">
        <v>69</v>
      </c>
      <c r="M3362" s="1" t="s">
        <v>69</v>
      </c>
      <c r="N3362" s="1" t="s">
        <v>3468</v>
      </c>
      <c r="O3362" s="1" t="s">
        <v>46</v>
      </c>
      <c r="P3362" s="1" t="s">
        <v>46</v>
      </c>
      <c r="Q3362" s="1" t="s">
        <v>46</v>
      </c>
      <c r="R3362" s="1" t="s">
        <v>46</v>
      </c>
      <c r="S3362" s="1" t="s">
        <v>46</v>
      </c>
      <c r="T3362" s="1" t="s">
        <v>46</v>
      </c>
      <c r="U3362" s="1" t="s">
        <v>46</v>
      </c>
      <c r="W3362" s="1" t="s">
        <v>46</v>
      </c>
      <c r="X3362" s="1" t="s">
        <v>2640</v>
      </c>
      <c r="Y3362" s="1" t="n">
        <v>5500</v>
      </c>
    </row>
    <row r="3363" customFormat="false" ht="13.8" hidden="false" customHeight="false" outlineLevel="0" collapsed="false">
      <c r="A3363" s="1" t="s">
        <v>3833</v>
      </c>
      <c r="C3363" s="1" t="s">
        <v>3834</v>
      </c>
      <c r="D3363" s="1" t="s">
        <v>14</v>
      </c>
      <c r="E3363" s="1" t="s">
        <v>3668</v>
      </c>
      <c r="F3363" s="1" t="s">
        <v>3380</v>
      </c>
      <c r="G3363" s="1" t="s">
        <v>3668</v>
      </c>
      <c r="H3363" s="2" t="s">
        <v>3495</v>
      </c>
      <c r="I3363" s="1" t="s">
        <v>3722</v>
      </c>
      <c r="J3363" s="1" t="s">
        <v>52</v>
      </c>
      <c r="K3363" s="1" t="s">
        <v>3495</v>
      </c>
      <c r="L3363" s="36" t="s">
        <v>69</v>
      </c>
      <c r="M3363" s="1" t="s">
        <v>69</v>
      </c>
      <c r="N3363" s="1" t="s">
        <v>3468</v>
      </c>
      <c r="O3363" s="1" t="s">
        <v>46</v>
      </c>
      <c r="P3363" s="1" t="s">
        <v>46</v>
      </c>
      <c r="Q3363" s="1" t="s">
        <v>46</v>
      </c>
      <c r="R3363" s="1" t="s">
        <v>46</v>
      </c>
      <c r="S3363" s="1" t="s">
        <v>46</v>
      </c>
      <c r="T3363" s="1" t="s">
        <v>46</v>
      </c>
      <c r="U3363" s="1" t="s">
        <v>46</v>
      </c>
      <c r="W3363" s="1" t="s">
        <v>46</v>
      </c>
      <c r="X3363" s="1" t="s">
        <v>2640</v>
      </c>
      <c r="Y3363" s="1" t="n">
        <v>5500</v>
      </c>
    </row>
    <row r="3364" customFormat="false" ht="13.8" hidden="false" customHeight="false" outlineLevel="0" collapsed="false">
      <c r="A3364" s="1" t="s">
        <v>3835</v>
      </c>
      <c r="C3364" s="1" t="s">
        <v>3836</v>
      </c>
      <c r="D3364" s="1" t="s">
        <v>14</v>
      </c>
      <c r="E3364" s="1" t="s">
        <v>3379</v>
      </c>
      <c r="F3364" s="1" t="s">
        <v>3380</v>
      </c>
      <c r="G3364" s="1" t="s">
        <v>3379</v>
      </c>
      <c r="H3364" s="2" t="s">
        <v>3565</v>
      </c>
      <c r="I3364" s="1" t="s">
        <v>3566</v>
      </c>
      <c r="J3364" s="1" t="s">
        <v>52</v>
      </c>
      <c r="K3364" s="1" t="s">
        <v>3565</v>
      </c>
      <c r="L3364" s="36" t="s">
        <v>69</v>
      </c>
      <c r="M3364" s="1" t="s">
        <v>69</v>
      </c>
      <c r="N3364" s="1" t="s">
        <v>3383</v>
      </c>
      <c r="O3364" s="1" t="s">
        <v>3784</v>
      </c>
      <c r="P3364" s="1" t="s">
        <v>3385</v>
      </c>
      <c r="Q3364" s="1" t="s">
        <v>3385</v>
      </c>
      <c r="R3364" s="1" t="s">
        <v>46</v>
      </c>
      <c r="S3364" s="1" t="s">
        <v>69</v>
      </c>
      <c r="T3364" s="1" t="s">
        <v>69</v>
      </c>
      <c r="U3364" s="1" t="s">
        <v>46</v>
      </c>
      <c r="V3364" s="1" t="n">
        <v>1</v>
      </c>
      <c r="W3364" s="1" t="s">
        <v>46</v>
      </c>
      <c r="X3364" s="1" t="s">
        <v>2640</v>
      </c>
      <c r="Y3364" s="1" t="n">
        <v>5500</v>
      </c>
    </row>
    <row r="3365" customFormat="false" ht="13.8" hidden="false" customHeight="false" outlineLevel="0" collapsed="false">
      <c r="A3365" s="1" t="s">
        <v>3835</v>
      </c>
      <c r="C3365" s="1" t="s">
        <v>3836</v>
      </c>
      <c r="D3365" s="1" t="s">
        <v>14</v>
      </c>
      <c r="E3365" s="1" t="s">
        <v>3379</v>
      </c>
      <c r="F3365" s="1" t="s">
        <v>3380</v>
      </c>
      <c r="G3365" s="1" t="s">
        <v>3379</v>
      </c>
      <c r="H3365" s="2" t="s">
        <v>3568</v>
      </c>
      <c r="I3365" s="1" t="s">
        <v>3569</v>
      </c>
      <c r="J3365" s="1" t="s">
        <v>52</v>
      </c>
      <c r="K3365" s="1" t="s">
        <v>3568</v>
      </c>
      <c r="L3365" s="36" t="s">
        <v>69</v>
      </c>
      <c r="M3365" s="1" t="s">
        <v>69</v>
      </c>
      <c r="N3365" s="1" t="s">
        <v>3383</v>
      </c>
      <c r="O3365" s="1" t="s">
        <v>3784</v>
      </c>
      <c r="P3365" s="1" t="s">
        <v>3385</v>
      </c>
      <c r="Q3365" s="1" t="s">
        <v>3385</v>
      </c>
      <c r="R3365" s="1" t="s">
        <v>46</v>
      </c>
      <c r="S3365" s="1" t="s">
        <v>69</v>
      </c>
      <c r="T3365" s="1" t="s">
        <v>69</v>
      </c>
      <c r="U3365" s="1" t="s">
        <v>46</v>
      </c>
      <c r="V3365" s="1" t="n">
        <v>2</v>
      </c>
      <c r="W3365" s="1" t="s">
        <v>46</v>
      </c>
      <c r="X3365" s="1" t="s">
        <v>2640</v>
      </c>
      <c r="Y3365" s="1" t="n">
        <v>5500</v>
      </c>
    </row>
    <row r="3366" customFormat="false" ht="13.8" hidden="false" customHeight="false" outlineLevel="0" collapsed="false">
      <c r="A3366" s="1" t="s">
        <v>3835</v>
      </c>
      <c r="C3366" s="1" t="s">
        <v>3836</v>
      </c>
      <c r="D3366" s="1" t="s">
        <v>14</v>
      </c>
      <c r="E3366" s="1" t="s">
        <v>3379</v>
      </c>
      <c r="F3366" s="1" t="s">
        <v>3380</v>
      </c>
      <c r="G3366" s="1" t="s">
        <v>3379</v>
      </c>
      <c r="H3366" s="2" t="s">
        <v>3570</v>
      </c>
      <c r="I3366" s="1" t="s">
        <v>3571</v>
      </c>
      <c r="J3366" s="1" t="s">
        <v>52</v>
      </c>
      <c r="K3366" s="1" t="s">
        <v>3570</v>
      </c>
      <c r="L3366" s="36" t="s">
        <v>69</v>
      </c>
      <c r="M3366" s="1" t="s">
        <v>69</v>
      </c>
      <c r="N3366" s="1" t="s">
        <v>3383</v>
      </c>
      <c r="O3366" s="1" t="s">
        <v>3784</v>
      </c>
      <c r="P3366" s="1" t="s">
        <v>3385</v>
      </c>
      <c r="Q3366" s="1" t="s">
        <v>3385</v>
      </c>
      <c r="R3366" s="1" t="s">
        <v>46</v>
      </c>
      <c r="S3366" s="1" t="s">
        <v>69</v>
      </c>
      <c r="T3366" s="1" t="s">
        <v>69</v>
      </c>
      <c r="U3366" s="1" t="s">
        <v>46</v>
      </c>
      <c r="V3366" s="1" t="n">
        <v>3</v>
      </c>
      <c r="W3366" s="1" t="s">
        <v>46</v>
      </c>
      <c r="X3366" s="1" t="s">
        <v>2640</v>
      </c>
      <c r="Y3366" s="1" t="n">
        <v>5500</v>
      </c>
    </row>
    <row r="3367" customFormat="false" ht="13.8" hidden="false" customHeight="false" outlineLevel="0" collapsed="false">
      <c r="A3367" s="1" t="s">
        <v>3835</v>
      </c>
      <c r="C3367" s="1" t="s">
        <v>3836</v>
      </c>
      <c r="D3367" s="1" t="s">
        <v>14</v>
      </c>
      <c r="E3367" s="1" t="s">
        <v>3379</v>
      </c>
      <c r="F3367" s="1" t="s">
        <v>3380</v>
      </c>
      <c r="G3367" s="1" t="s">
        <v>3379</v>
      </c>
      <c r="H3367" s="2" t="s">
        <v>3572</v>
      </c>
      <c r="I3367" s="1" t="s">
        <v>3573</v>
      </c>
      <c r="J3367" s="1" t="s">
        <v>52</v>
      </c>
      <c r="K3367" s="1" t="s">
        <v>3572</v>
      </c>
      <c r="L3367" s="36" t="s">
        <v>69</v>
      </c>
      <c r="M3367" s="1" t="s">
        <v>69</v>
      </c>
      <c r="N3367" s="1" t="s">
        <v>3383</v>
      </c>
      <c r="O3367" s="1" t="s">
        <v>3784</v>
      </c>
      <c r="P3367" s="1" t="s">
        <v>3385</v>
      </c>
      <c r="Q3367" s="1" t="s">
        <v>3385</v>
      </c>
      <c r="R3367" s="1" t="s">
        <v>46</v>
      </c>
      <c r="S3367" s="1" t="s">
        <v>69</v>
      </c>
      <c r="T3367" s="1" t="s">
        <v>69</v>
      </c>
      <c r="U3367" s="1" t="s">
        <v>46</v>
      </c>
      <c r="V3367" s="1" t="n">
        <v>4</v>
      </c>
      <c r="W3367" s="1" t="s">
        <v>46</v>
      </c>
      <c r="X3367" s="1" t="s">
        <v>2640</v>
      </c>
      <c r="Y3367" s="1" t="n">
        <v>5500</v>
      </c>
    </row>
    <row r="3368" customFormat="false" ht="13.8" hidden="false" customHeight="false" outlineLevel="0" collapsed="false">
      <c r="A3368" s="1" t="s">
        <v>3835</v>
      </c>
      <c r="C3368" s="1" t="s">
        <v>3836</v>
      </c>
      <c r="D3368" s="1" t="s">
        <v>14</v>
      </c>
      <c r="E3368" s="1" t="s">
        <v>3379</v>
      </c>
      <c r="F3368" s="1" t="s">
        <v>3380</v>
      </c>
      <c r="G3368" s="1" t="s">
        <v>3379</v>
      </c>
      <c r="H3368" s="2" t="s">
        <v>3574</v>
      </c>
      <c r="I3368" s="1" t="s">
        <v>3575</v>
      </c>
      <c r="J3368" s="1" t="s">
        <v>52</v>
      </c>
      <c r="K3368" s="1" t="s">
        <v>3574</v>
      </c>
      <c r="L3368" s="36" t="s">
        <v>69</v>
      </c>
      <c r="M3368" s="1" t="s">
        <v>69</v>
      </c>
      <c r="N3368" s="1" t="s">
        <v>3383</v>
      </c>
      <c r="O3368" s="1" t="s">
        <v>3784</v>
      </c>
      <c r="P3368" s="1" t="s">
        <v>3385</v>
      </c>
      <c r="Q3368" s="1" t="s">
        <v>3385</v>
      </c>
      <c r="R3368" s="1" t="s">
        <v>46</v>
      </c>
      <c r="S3368" s="1" t="s">
        <v>69</v>
      </c>
      <c r="T3368" s="1" t="s">
        <v>69</v>
      </c>
      <c r="U3368" s="1" t="s">
        <v>46</v>
      </c>
      <c r="V3368" s="1" t="n">
        <v>5</v>
      </c>
      <c r="W3368" s="1" t="s">
        <v>46</v>
      </c>
      <c r="X3368" s="1" t="s">
        <v>2640</v>
      </c>
      <c r="Y3368" s="1" t="n">
        <v>5500</v>
      </c>
    </row>
    <row r="3369" customFormat="false" ht="13.8" hidden="false" customHeight="false" outlineLevel="0" collapsed="false">
      <c r="A3369" s="1" t="s">
        <v>3835</v>
      </c>
      <c r="C3369" s="1" t="s">
        <v>3836</v>
      </c>
      <c r="D3369" s="1" t="s">
        <v>14</v>
      </c>
      <c r="E3369" s="1" t="s">
        <v>3379</v>
      </c>
      <c r="F3369" s="1" t="s">
        <v>3380</v>
      </c>
      <c r="G3369" s="1" t="s">
        <v>3379</v>
      </c>
      <c r="H3369" s="2" t="s">
        <v>3622</v>
      </c>
      <c r="I3369" s="1" t="s">
        <v>3623</v>
      </c>
      <c r="J3369" s="1" t="s">
        <v>52</v>
      </c>
      <c r="K3369" s="1" t="s">
        <v>3622</v>
      </c>
      <c r="L3369" s="36" t="s">
        <v>69</v>
      </c>
      <c r="M3369" s="1" t="s">
        <v>69</v>
      </c>
      <c r="N3369" s="1" t="s">
        <v>3383</v>
      </c>
      <c r="O3369" s="1" t="s">
        <v>3785</v>
      </c>
      <c r="P3369" s="1" t="s">
        <v>3385</v>
      </c>
      <c r="Q3369" s="1" t="s">
        <v>3385</v>
      </c>
      <c r="R3369" s="1" t="s">
        <v>46</v>
      </c>
      <c r="S3369" s="1" t="s">
        <v>69</v>
      </c>
      <c r="T3369" s="1" t="s">
        <v>69</v>
      </c>
      <c r="U3369" s="1" t="s">
        <v>46</v>
      </c>
      <c r="V3369" s="1" t="n">
        <v>1</v>
      </c>
      <c r="W3369" s="1" t="s">
        <v>46</v>
      </c>
      <c r="X3369" s="1" t="s">
        <v>2640</v>
      </c>
      <c r="Y3369" s="1" t="n">
        <v>5500</v>
      </c>
    </row>
    <row r="3370" customFormat="false" ht="13.8" hidden="false" customHeight="false" outlineLevel="0" collapsed="false">
      <c r="A3370" s="1" t="s">
        <v>3835</v>
      </c>
      <c r="C3370" s="1" t="s">
        <v>3836</v>
      </c>
      <c r="D3370" s="1" t="s">
        <v>14</v>
      </c>
      <c r="E3370" s="1" t="s">
        <v>3379</v>
      </c>
      <c r="F3370" s="1" t="s">
        <v>3380</v>
      </c>
      <c r="G3370" s="1" t="s">
        <v>3379</v>
      </c>
      <c r="H3370" s="2" t="s">
        <v>3625</v>
      </c>
      <c r="I3370" s="1" t="s">
        <v>3626</v>
      </c>
      <c r="J3370" s="1" t="s">
        <v>52</v>
      </c>
      <c r="K3370" s="1" t="s">
        <v>3625</v>
      </c>
      <c r="L3370" s="36" t="s">
        <v>69</v>
      </c>
      <c r="M3370" s="1" t="s">
        <v>69</v>
      </c>
      <c r="N3370" s="1" t="s">
        <v>3383</v>
      </c>
      <c r="O3370" s="1" t="s">
        <v>3785</v>
      </c>
      <c r="P3370" s="1" t="s">
        <v>3385</v>
      </c>
      <c r="Q3370" s="1" t="s">
        <v>3385</v>
      </c>
      <c r="R3370" s="1" t="s">
        <v>46</v>
      </c>
      <c r="S3370" s="1" t="s">
        <v>69</v>
      </c>
      <c r="T3370" s="1" t="s">
        <v>69</v>
      </c>
      <c r="U3370" s="1" t="s">
        <v>46</v>
      </c>
      <c r="V3370" s="1" t="n">
        <v>2</v>
      </c>
      <c r="W3370" s="1" t="s">
        <v>46</v>
      </c>
      <c r="X3370" s="1" t="s">
        <v>2640</v>
      </c>
      <c r="Y3370" s="1" t="n">
        <v>5500</v>
      </c>
    </row>
    <row r="3371" customFormat="false" ht="13.8" hidden="false" customHeight="false" outlineLevel="0" collapsed="false">
      <c r="A3371" s="1" t="s">
        <v>3835</v>
      </c>
      <c r="C3371" s="1" t="s">
        <v>3836</v>
      </c>
      <c r="D3371" s="1" t="s">
        <v>14</v>
      </c>
      <c r="E3371" s="1" t="s">
        <v>3379</v>
      </c>
      <c r="F3371" s="1" t="s">
        <v>3380</v>
      </c>
      <c r="G3371" s="1" t="s">
        <v>3379</v>
      </c>
      <c r="H3371" s="2" t="s">
        <v>3627</v>
      </c>
      <c r="I3371" s="1" t="s">
        <v>3628</v>
      </c>
      <c r="J3371" s="1" t="s">
        <v>52</v>
      </c>
      <c r="K3371" s="1" t="s">
        <v>3627</v>
      </c>
      <c r="L3371" s="36" t="s">
        <v>69</v>
      </c>
      <c r="M3371" s="1" t="s">
        <v>69</v>
      </c>
      <c r="N3371" s="1" t="s">
        <v>3383</v>
      </c>
      <c r="O3371" s="1" t="s">
        <v>3785</v>
      </c>
      <c r="P3371" s="1" t="s">
        <v>3385</v>
      </c>
      <c r="Q3371" s="1" t="s">
        <v>3385</v>
      </c>
      <c r="R3371" s="1" t="s">
        <v>46</v>
      </c>
      <c r="S3371" s="1" t="s">
        <v>69</v>
      </c>
      <c r="T3371" s="1" t="s">
        <v>69</v>
      </c>
      <c r="U3371" s="1" t="s">
        <v>46</v>
      </c>
      <c r="V3371" s="1" t="n">
        <v>3</v>
      </c>
      <c r="W3371" s="1" t="s">
        <v>46</v>
      </c>
      <c r="X3371" s="1" t="s">
        <v>2640</v>
      </c>
      <c r="Y3371" s="1" t="n">
        <v>5500</v>
      </c>
    </row>
    <row r="3372" customFormat="false" ht="13.8" hidden="false" customHeight="false" outlineLevel="0" collapsed="false">
      <c r="A3372" s="1" t="s">
        <v>3835</v>
      </c>
      <c r="C3372" s="1" t="s">
        <v>3836</v>
      </c>
      <c r="D3372" s="1" t="s">
        <v>14</v>
      </c>
      <c r="E3372" s="1" t="s">
        <v>3379</v>
      </c>
      <c r="F3372" s="1" t="s">
        <v>3380</v>
      </c>
      <c r="G3372" s="1" t="s">
        <v>3379</v>
      </c>
      <c r="H3372" s="2" t="s">
        <v>3629</v>
      </c>
      <c r="I3372" s="1" t="s">
        <v>3630</v>
      </c>
      <c r="J3372" s="1" t="s">
        <v>52</v>
      </c>
      <c r="K3372" s="1" t="s">
        <v>3629</v>
      </c>
      <c r="L3372" s="36" t="s">
        <v>69</v>
      </c>
      <c r="M3372" s="1" t="s">
        <v>69</v>
      </c>
      <c r="N3372" s="1" t="s">
        <v>3383</v>
      </c>
      <c r="O3372" s="1" t="s">
        <v>3785</v>
      </c>
      <c r="P3372" s="1" t="s">
        <v>3385</v>
      </c>
      <c r="Q3372" s="1" t="s">
        <v>3385</v>
      </c>
      <c r="R3372" s="1" t="s">
        <v>46</v>
      </c>
      <c r="S3372" s="1" t="s">
        <v>69</v>
      </c>
      <c r="T3372" s="1" t="s">
        <v>69</v>
      </c>
      <c r="U3372" s="1" t="s">
        <v>46</v>
      </c>
      <c r="V3372" s="1" t="n">
        <v>4</v>
      </c>
      <c r="W3372" s="1" t="s">
        <v>46</v>
      </c>
      <c r="X3372" s="1" t="s">
        <v>2640</v>
      </c>
      <c r="Y3372" s="1" t="n">
        <v>5500</v>
      </c>
    </row>
    <row r="3373" customFormat="false" ht="13.8" hidden="false" customHeight="false" outlineLevel="0" collapsed="false">
      <c r="A3373" s="1" t="s">
        <v>3835</v>
      </c>
      <c r="C3373" s="1" t="s">
        <v>3836</v>
      </c>
      <c r="D3373" s="1" t="s">
        <v>14</v>
      </c>
      <c r="E3373" s="1" t="s">
        <v>3379</v>
      </c>
      <c r="F3373" s="1" t="s">
        <v>3380</v>
      </c>
      <c r="G3373" s="1" t="s">
        <v>3379</v>
      </c>
      <c r="H3373" s="2" t="s">
        <v>3631</v>
      </c>
      <c r="I3373" s="1" t="s">
        <v>3632</v>
      </c>
      <c r="J3373" s="1" t="s">
        <v>52</v>
      </c>
      <c r="K3373" s="1" t="s">
        <v>3631</v>
      </c>
      <c r="L3373" s="36" t="s">
        <v>69</v>
      </c>
      <c r="M3373" s="1" t="s">
        <v>69</v>
      </c>
      <c r="N3373" s="1" t="s">
        <v>3383</v>
      </c>
      <c r="O3373" s="1" t="s">
        <v>3785</v>
      </c>
      <c r="P3373" s="1" t="s">
        <v>3385</v>
      </c>
      <c r="Q3373" s="1" t="s">
        <v>3385</v>
      </c>
      <c r="R3373" s="1" t="s">
        <v>46</v>
      </c>
      <c r="S3373" s="1" t="s">
        <v>69</v>
      </c>
      <c r="T3373" s="1" t="s">
        <v>69</v>
      </c>
      <c r="U3373" s="1" t="s">
        <v>46</v>
      </c>
      <c r="V3373" s="1" t="n">
        <v>5</v>
      </c>
      <c r="W3373" s="1" t="s">
        <v>46</v>
      </c>
      <c r="X3373" s="1" t="s">
        <v>2640</v>
      </c>
      <c r="Y3373" s="1" t="n">
        <v>5500</v>
      </c>
    </row>
    <row r="3374" customFormat="false" ht="13.8" hidden="false" customHeight="false" outlineLevel="0" collapsed="false">
      <c r="A3374" s="1" t="s">
        <v>3835</v>
      </c>
      <c r="C3374" s="1" t="s">
        <v>3836</v>
      </c>
      <c r="D3374" s="1" t="s">
        <v>14</v>
      </c>
      <c r="E3374" s="1" t="s">
        <v>3379</v>
      </c>
      <c r="F3374" s="1" t="s">
        <v>3380</v>
      </c>
      <c r="G3374" s="1" t="s">
        <v>3379</v>
      </c>
      <c r="H3374" s="2" t="s">
        <v>3436</v>
      </c>
      <c r="I3374" s="1" t="s">
        <v>3437</v>
      </c>
      <c r="J3374" s="1" t="s">
        <v>52</v>
      </c>
      <c r="K3374" s="1" t="s">
        <v>3436</v>
      </c>
      <c r="L3374" s="36" t="s">
        <v>69</v>
      </c>
      <c r="M3374" s="1" t="s">
        <v>69</v>
      </c>
      <c r="N3374" s="1" t="s">
        <v>1935</v>
      </c>
      <c r="O3374" s="1" t="s">
        <v>46</v>
      </c>
      <c r="P3374" s="1" t="s">
        <v>46</v>
      </c>
      <c r="Q3374" s="1" t="s">
        <v>46</v>
      </c>
      <c r="R3374" s="1" t="s">
        <v>46</v>
      </c>
      <c r="S3374" s="1" t="s">
        <v>46</v>
      </c>
      <c r="T3374" s="1" t="s">
        <v>46</v>
      </c>
      <c r="U3374" s="1" t="s">
        <v>46</v>
      </c>
      <c r="W3374" s="1" t="s">
        <v>46</v>
      </c>
      <c r="X3374" s="1" t="s">
        <v>2640</v>
      </c>
      <c r="Y3374" s="1" t="n">
        <v>5500</v>
      </c>
    </row>
    <row r="3375" customFormat="false" ht="13.8" hidden="false" customHeight="false" outlineLevel="0" collapsed="false">
      <c r="A3375" s="1" t="s">
        <v>3835</v>
      </c>
      <c r="C3375" s="1" t="s">
        <v>3836</v>
      </c>
      <c r="D3375" s="1" t="s">
        <v>14</v>
      </c>
      <c r="E3375" s="1" t="s">
        <v>3379</v>
      </c>
      <c r="F3375" s="1" t="s">
        <v>3380</v>
      </c>
      <c r="G3375" s="1" t="s">
        <v>3379</v>
      </c>
      <c r="H3375" s="2" t="s">
        <v>3438</v>
      </c>
      <c r="I3375" s="1" t="s">
        <v>3439</v>
      </c>
      <c r="J3375" s="1" t="s">
        <v>52</v>
      </c>
      <c r="K3375" s="1" t="s">
        <v>3438</v>
      </c>
      <c r="L3375" s="36" t="s">
        <v>69</v>
      </c>
      <c r="M3375" s="1" t="s">
        <v>69</v>
      </c>
      <c r="N3375" s="1" t="s">
        <v>1935</v>
      </c>
      <c r="O3375" s="1" t="s">
        <v>46</v>
      </c>
      <c r="P3375" s="1" t="s">
        <v>46</v>
      </c>
      <c r="Q3375" s="1" t="s">
        <v>46</v>
      </c>
      <c r="R3375" s="1" t="s">
        <v>46</v>
      </c>
      <c r="S3375" s="1" t="s">
        <v>46</v>
      </c>
      <c r="T3375" s="1" t="s">
        <v>46</v>
      </c>
      <c r="U3375" s="1" t="s">
        <v>46</v>
      </c>
      <c r="W3375" s="1" t="s">
        <v>46</v>
      </c>
      <c r="X3375" s="1" t="s">
        <v>2640</v>
      </c>
      <c r="Y3375" s="1" t="n">
        <v>5500</v>
      </c>
    </row>
    <row r="3376" customFormat="false" ht="13.8" hidden="false" customHeight="false" outlineLevel="0" collapsed="false">
      <c r="A3376" s="1" t="s">
        <v>3835</v>
      </c>
      <c r="C3376" s="1" t="s">
        <v>3836</v>
      </c>
      <c r="D3376" s="1" t="s">
        <v>14</v>
      </c>
      <c r="E3376" s="1" t="s">
        <v>3379</v>
      </c>
      <c r="F3376" s="1" t="s">
        <v>3380</v>
      </c>
      <c r="G3376" s="1" t="s">
        <v>3379</v>
      </c>
      <c r="H3376" s="2" t="s">
        <v>3440</v>
      </c>
      <c r="I3376" s="1" t="s">
        <v>3441</v>
      </c>
      <c r="J3376" s="1" t="s">
        <v>52</v>
      </c>
      <c r="K3376" s="1" t="s">
        <v>3440</v>
      </c>
      <c r="L3376" s="36" t="s">
        <v>69</v>
      </c>
      <c r="M3376" s="1" t="s">
        <v>69</v>
      </c>
      <c r="N3376" s="1" t="s">
        <v>1935</v>
      </c>
      <c r="O3376" s="1" t="s">
        <v>46</v>
      </c>
      <c r="P3376" s="1" t="s">
        <v>46</v>
      </c>
      <c r="Q3376" s="1" t="s">
        <v>46</v>
      </c>
      <c r="R3376" s="1" t="s">
        <v>46</v>
      </c>
      <c r="S3376" s="1" t="s">
        <v>46</v>
      </c>
      <c r="T3376" s="1" t="s">
        <v>46</v>
      </c>
      <c r="U3376" s="1" t="s">
        <v>46</v>
      </c>
      <c r="W3376" s="1" t="s">
        <v>46</v>
      </c>
      <c r="X3376" s="1" t="s">
        <v>2640</v>
      </c>
      <c r="Y3376" s="1" t="n">
        <v>5500</v>
      </c>
    </row>
    <row r="3377" customFormat="false" ht="13.8" hidden="false" customHeight="false" outlineLevel="0" collapsed="false">
      <c r="A3377" s="1" t="s">
        <v>3835</v>
      </c>
      <c r="C3377" s="1" t="s">
        <v>3836</v>
      </c>
      <c r="D3377" s="1" t="s">
        <v>14</v>
      </c>
      <c r="E3377" s="1" t="s">
        <v>3379</v>
      </c>
      <c r="F3377" s="1" t="s">
        <v>3380</v>
      </c>
      <c r="G3377" s="1" t="s">
        <v>3379</v>
      </c>
      <c r="H3377" s="2" t="s">
        <v>3442</v>
      </c>
      <c r="I3377" s="1" t="s">
        <v>3443</v>
      </c>
      <c r="J3377" s="1" t="s">
        <v>52</v>
      </c>
      <c r="K3377" s="1" t="s">
        <v>3442</v>
      </c>
      <c r="L3377" s="36" t="s">
        <v>69</v>
      </c>
      <c r="M3377" s="1" t="s">
        <v>69</v>
      </c>
      <c r="N3377" s="1" t="s">
        <v>1935</v>
      </c>
      <c r="O3377" s="1" t="s">
        <v>46</v>
      </c>
      <c r="P3377" s="1" t="s">
        <v>46</v>
      </c>
      <c r="Q3377" s="1" t="s">
        <v>46</v>
      </c>
      <c r="R3377" s="1" t="s">
        <v>46</v>
      </c>
      <c r="S3377" s="1" t="s">
        <v>46</v>
      </c>
      <c r="T3377" s="1" t="s">
        <v>46</v>
      </c>
      <c r="U3377" s="1" t="s">
        <v>46</v>
      </c>
      <c r="W3377" s="1" t="s">
        <v>46</v>
      </c>
      <c r="X3377" s="1" t="s">
        <v>2640</v>
      </c>
      <c r="Y3377" s="1" t="n">
        <v>5500</v>
      </c>
    </row>
    <row r="3378" customFormat="false" ht="13.8" hidden="false" customHeight="false" outlineLevel="0" collapsed="false">
      <c r="A3378" s="1" t="s">
        <v>3835</v>
      </c>
      <c r="C3378" s="1" t="s">
        <v>3836</v>
      </c>
      <c r="D3378" s="1" t="s">
        <v>14</v>
      </c>
      <c r="E3378" s="1" t="s">
        <v>3379</v>
      </c>
      <c r="F3378" s="1" t="s">
        <v>3380</v>
      </c>
      <c r="G3378" s="1" t="s">
        <v>3379</v>
      </c>
      <c r="H3378" s="2" t="s">
        <v>3444</v>
      </c>
      <c r="I3378" s="1" t="s">
        <v>3445</v>
      </c>
      <c r="J3378" s="1" t="s">
        <v>52</v>
      </c>
      <c r="K3378" s="1" t="s">
        <v>3444</v>
      </c>
      <c r="L3378" s="36" t="s">
        <v>69</v>
      </c>
      <c r="M3378" s="1" t="s">
        <v>69</v>
      </c>
      <c r="N3378" s="1" t="s">
        <v>1935</v>
      </c>
      <c r="O3378" s="1" t="s">
        <v>46</v>
      </c>
      <c r="P3378" s="1" t="s">
        <v>46</v>
      </c>
      <c r="Q3378" s="1" t="s">
        <v>46</v>
      </c>
      <c r="R3378" s="1" t="s">
        <v>46</v>
      </c>
      <c r="S3378" s="1" t="s">
        <v>46</v>
      </c>
      <c r="T3378" s="1" t="s">
        <v>46</v>
      </c>
      <c r="U3378" s="1" t="s">
        <v>46</v>
      </c>
      <c r="W3378" s="1" t="s">
        <v>46</v>
      </c>
      <c r="X3378" s="1" t="s">
        <v>2640</v>
      </c>
      <c r="Y3378" s="1" t="n">
        <v>5500</v>
      </c>
    </row>
    <row r="3379" customFormat="false" ht="13.8" hidden="false" customHeight="false" outlineLevel="0" collapsed="false">
      <c r="A3379" s="1" t="s">
        <v>3835</v>
      </c>
      <c r="C3379" s="1" t="s">
        <v>3836</v>
      </c>
      <c r="D3379" s="1" t="s">
        <v>14</v>
      </c>
      <c r="E3379" s="1" t="s">
        <v>3379</v>
      </c>
      <c r="F3379" s="1" t="s">
        <v>3380</v>
      </c>
      <c r="G3379" s="1" t="s">
        <v>3379</v>
      </c>
      <c r="H3379" s="2" t="s">
        <v>3446</v>
      </c>
      <c r="I3379" s="1" t="s">
        <v>3447</v>
      </c>
      <c r="J3379" s="1" t="s">
        <v>52</v>
      </c>
      <c r="K3379" s="1" t="s">
        <v>3446</v>
      </c>
      <c r="L3379" s="36" t="s">
        <v>69</v>
      </c>
      <c r="M3379" s="1" t="s">
        <v>69</v>
      </c>
      <c r="N3379" s="1" t="s">
        <v>1935</v>
      </c>
      <c r="O3379" s="1" t="s">
        <v>46</v>
      </c>
      <c r="P3379" s="1" t="s">
        <v>46</v>
      </c>
      <c r="Q3379" s="1" t="s">
        <v>46</v>
      </c>
      <c r="R3379" s="1" t="s">
        <v>46</v>
      </c>
      <c r="S3379" s="1" t="s">
        <v>46</v>
      </c>
      <c r="T3379" s="1" t="s">
        <v>46</v>
      </c>
      <c r="U3379" s="1" t="s">
        <v>46</v>
      </c>
      <c r="W3379" s="1" t="s">
        <v>46</v>
      </c>
      <c r="X3379" s="1" t="s">
        <v>2640</v>
      </c>
      <c r="Y3379" s="1" t="n">
        <v>5500</v>
      </c>
    </row>
    <row r="3380" customFormat="false" ht="13.8" hidden="false" customHeight="false" outlineLevel="0" collapsed="false">
      <c r="A3380" s="1" t="s">
        <v>3835</v>
      </c>
      <c r="C3380" s="1" t="s">
        <v>3836</v>
      </c>
      <c r="D3380" s="1" t="s">
        <v>14</v>
      </c>
      <c r="E3380" s="1" t="s">
        <v>3379</v>
      </c>
      <c r="F3380" s="1" t="s">
        <v>3380</v>
      </c>
      <c r="G3380" s="1" t="s">
        <v>3379</v>
      </c>
      <c r="H3380" s="2" t="s">
        <v>3448</v>
      </c>
      <c r="I3380" s="1" t="s">
        <v>3449</v>
      </c>
      <c r="J3380" s="1" t="s">
        <v>52</v>
      </c>
      <c r="K3380" s="1" t="s">
        <v>3448</v>
      </c>
      <c r="L3380" s="36" t="s">
        <v>69</v>
      </c>
      <c r="M3380" s="1" t="s">
        <v>69</v>
      </c>
      <c r="N3380" s="1" t="s">
        <v>1935</v>
      </c>
      <c r="O3380" s="1" t="s">
        <v>46</v>
      </c>
      <c r="P3380" s="1" t="s">
        <v>46</v>
      </c>
      <c r="Q3380" s="1" t="s">
        <v>46</v>
      </c>
      <c r="R3380" s="1" t="s">
        <v>46</v>
      </c>
      <c r="S3380" s="1" t="s">
        <v>46</v>
      </c>
      <c r="T3380" s="1" t="s">
        <v>46</v>
      </c>
      <c r="U3380" s="1" t="s">
        <v>46</v>
      </c>
      <c r="W3380" s="1" t="s">
        <v>46</v>
      </c>
      <c r="X3380" s="1" t="s">
        <v>2640</v>
      </c>
      <c r="Y3380" s="1" t="n">
        <v>5500</v>
      </c>
    </row>
    <row r="3381" customFormat="false" ht="13.8" hidden="false" customHeight="false" outlineLevel="0" collapsed="false">
      <c r="A3381" s="1" t="s">
        <v>3835</v>
      </c>
      <c r="C3381" s="1" t="s">
        <v>3836</v>
      </c>
      <c r="D3381" s="1" t="s">
        <v>14</v>
      </c>
      <c r="E3381" s="1" t="s">
        <v>3379</v>
      </c>
      <c r="F3381" s="1" t="s">
        <v>3380</v>
      </c>
      <c r="G3381" s="1" t="s">
        <v>3379</v>
      </c>
      <c r="H3381" s="2" t="s">
        <v>3450</v>
      </c>
      <c r="I3381" s="1" t="s">
        <v>3451</v>
      </c>
      <c r="J3381" s="1" t="s">
        <v>52</v>
      </c>
      <c r="K3381" s="1" t="s">
        <v>3450</v>
      </c>
      <c r="L3381" s="36" t="s">
        <v>69</v>
      </c>
      <c r="M3381" s="1" t="s">
        <v>69</v>
      </c>
      <c r="N3381" s="1" t="s">
        <v>1935</v>
      </c>
      <c r="O3381" s="1" t="s">
        <v>46</v>
      </c>
      <c r="P3381" s="1" t="s">
        <v>46</v>
      </c>
      <c r="Q3381" s="1" t="s">
        <v>46</v>
      </c>
      <c r="R3381" s="1" t="s">
        <v>46</v>
      </c>
      <c r="S3381" s="1" t="s">
        <v>46</v>
      </c>
      <c r="T3381" s="1" t="s">
        <v>46</v>
      </c>
      <c r="U3381" s="1" t="s">
        <v>46</v>
      </c>
      <c r="W3381" s="1" t="s">
        <v>46</v>
      </c>
      <c r="X3381" s="1" t="s">
        <v>2640</v>
      </c>
      <c r="Y3381" s="1" t="n">
        <v>5500</v>
      </c>
    </row>
    <row r="3382" customFormat="false" ht="13.8" hidden="false" customHeight="false" outlineLevel="0" collapsed="false">
      <c r="A3382" s="1" t="s">
        <v>3835</v>
      </c>
      <c r="C3382" s="1" t="s">
        <v>3836</v>
      </c>
      <c r="D3382" s="1" t="s">
        <v>14</v>
      </c>
      <c r="E3382" s="1" t="s">
        <v>3379</v>
      </c>
      <c r="F3382" s="1" t="s">
        <v>3380</v>
      </c>
      <c r="G3382" s="1" t="s">
        <v>3379</v>
      </c>
      <c r="H3382" s="2" t="s">
        <v>3452</v>
      </c>
      <c r="I3382" s="1" t="s">
        <v>3453</v>
      </c>
      <c r="J3382" s="1" t="s">
        <v>52</v>
      </c>
      <c r="K3382" s="1" t="s">
        <v>3452</v>
      </c>
      <c r="L3382" s="36" t="s">
        <v>69</v>
      </c>
      <c r="M3382" s="1" t="s">
        <v>69</v>
      </c>
      <c r="N3382" s="1" t="s">
        <v>1935</v>
      </c>
      <c r="O3382" s="1" t="s">
        <v>46</v>
      </c>
      <c r="P3382" s="1" t="s">
        <v>46</v>
      </c>
      <c r="Q3382" s="1" t="s">
        <v>46</v>
      </c>
      <c r="R3382" s="1" t="s">
        <v>46</v>
      </c>
      <c r="S3382" s="1" t="s">
        <v>46</v>
      </c>
      <c r="T3382" s="1" t="s">
        <v>46</v>
      </c>
      <c r="U3382" s="1" t="s">
        <v>46</v>
      </c>
      <c r="W3382" s="1" t="s">
        <v>46</v>
      </c>
      <c r="X3382" s="1" t="s">
        <v>2640</v>
      </c>
      <c r="Y3382" s="1" t="n">
        <v>5500</v>
      </c>
    </row>
    <row r="3383" customFormat="false" ht="13.8" hidden="false" customHeight="false" outlineLevel="0" collapsed="false">
      <c r="A3383" s="1" t="s">
        <v>3835</v>
      </c>
      <c r="C3383" s="1" t="s">
        <v>3836</v>
      </c>
      <c r="D3383" s="1" t="s">
        <v>14</v>
      </c>
      <c r="E3383" s="1" t="s">
        <v>3379</v>
      </c>
      <c r="F3383" s="1" t="s">
        <v>3380</v>
      </c>
      <c r="G3383" s="1" t="s">
        <v>3379</v>
      </c>
      <c r="H3383" s="2" t="s">
        <v>3454</v>
      </c>
      <c r="I3383" s="1" t="s">
        <v>3455</v>
      </c>
      <c r="J3383" s="1" t="s">
        <v>52</v>
      </c>
      <c r="K3383" s="1" t="s">
        <v>3454</v>
      </c>
      <c r="L3383" s="36" t="s">
        <v>69</v>
      </c>
      <c r="M3383" s="1" t="s">
        <v>69</v>
      </c>
      <c r="N3383" s="1" t="s">
        <v>1935</v>
      </c>
      <c r="O3383" s="1" t="s">
        <v>46</v>
      </c>
      <c r="P3383" s="1" t="s">
        <v>46</v>
      </c>
      <c r="Q3383" s="1" t="s">
        <v>46</v>
      </c>
      <c r="R3383" s="1" t="s">
        <v>46</v>
      </c>
      <c r="S3383" s="1" t="s">
        <v>46</v>
      </c>
      <c r="T3383" s="1" t="s">
        <v>46</v>
      </c>
      <c r="U3383" s="1" t="s">
        <v>46</v>
      </c>
      <c r="W3383" s="1" t="s">
        <v>46</v>
      </c>
      <c r="X3383" s="1" t="s">
        <v>2640</v>
      </c>
      <c r="Y3383" s="1" t="n">
        <v>5500</v>
      </c>
    </row>
    <row r="3384" customFormat="false" ht="13.8" hidden="false" customHeight="false" outlineLevel="0" collapsed="false">
      <c r="A3384" s="1" t="s">
        <v>3835</v>
      </c>
      <c r="C3384" s="1" t="s">
        <v>3836</v>
      </c>
      <c r="D3384" s="1" t="s">
        <v>14</v>
      </c>
      <c r="E3384" s="1" t="s">
        <v>3379</v>
      </c>
      <c r="F3384" s="1" t="s">
        <v>3380</v>
      </c>
      <c r="G3384" s="1" t="s">
        <v>3379</v>
      </c>
      <c r="H3384" s="2" t="s">
        <v>3456</v>
      </c>
      <c r="I3384" s="1" t="s">
        <v>3457</v>
      </c>
      <c r="J3384" s="1" t="s">
        <v>52</v>
      </c>
      <c r="K3384" s="1" t="s">
        <v>3456</v>
      </c>
      <c r="L3384" s="36" t="s">
        <v>69</v>
      </c>
      <c r="M3384" s="1" t="s">
        <v>69</v>
      </c>
      <c r="N3384" s="1" t="s">
        <v>1935</v>
      </c>
      <c r="O3384" s="1" t="s">
        <v>46</v>
      </c>
      <c r="P3384" s="1" t="s">
        <v>46</v>
      </c>
      <c r="Q3384" s="1" t="s">
        <v>46</v>
      </c>
      <c r="R3384" s="1" t="s">
        <v>46</v>
      </c>
      <c r="S3384" s="1" t="s">
        <v>46</v>
      </c>
      <c r="T3384" s="1" t="s">
        <v>46</v>
      </c>
      <c r="U3384" s="1" t="s">
        <v>46</v>
      </c>
      <c r="W3384" s="1" t="s">
        <v>46</v>
      </c>
      <c r="X3384" s="1" t="s">
        <v>2640</v>
      </c>
      <c r="Y3384" s="1" t="n">
        <v>5500</v>
      </c>
    </row>
    <row r="3385" customFormat="false" ht="13.8" hidden="false" customHeight="false" outlineLevel="0" collapsed="false">
      <c r="A3385" s="1" t="s">
        <v>3835</v>
      </c>
      <c r="C3385" s="1" t="s">
        <v>3836</v>
      </c>
      <c r="D3385" s="1" t="s">
        <v>14</v>
      </c>
      <c r="E3385" s="1" t="s">
        <v>3379</v>
      </c>
      <c r="F3385" s="1" t="s">
        <v>3380</v>
      </c>
      <c r="G3385" s="1" t="s">
        <v>3379</v>
      </c>
      <c r="H3385" s="2" t="s">
        <v>3458</v>
      </c>
      <c r="I3385" s="1" t="s">
        <v>3459</v>
      </c>
      <c r="J3385" s="1" t="s">
        <v>52</v>
      </c>
      <c r="K3385" s="1" t="s">
        <v>3458</v>
      </c>
      <c r="L3385" s="36" t="s">
        <v>69</v>
      </c>
      <c r="M3385" s="1" t="s">
        <v>69</v>
      </c>
      <c r="N3385" s="1" t="s">
        <v>1935</v>
      </c>
      <c r="O3385" s="1" t="s">
        <v>46</v>
      </c>
      <c r="P3385" s="1" t="s">
        <v>46</v>
      </c>
      <c r="Q3385" s="1" t="s">
        <v>46</v>
      </c>
      <c r="R3385" s="1" t="s">
        <v>46</v>
      </c>
      <c r="S3385" s="1" t="s">
        <v>46</v>
      </c>
      <c r="T3385" s="1" t="s">
        <v>46</v>
      </c>
      <c r="U3385" s="1" t="s">
        <v>46</v>
      </c>
      <c r="W3385" s="1" t="s">
        <v>46</v>
      </c>
      <c r="X3385" s="1" t="s">
        <v>2640</v>
      </c>
      <c r="Y3385" s="1" t="n">
        <v>5500</v>
      </c>
    </row>
    <row r="3386" customFormat="false" ht="13.8" hidden="false" customHeight="false" outlineLevel="0" collapsed="false">
      <c r="A3386" s="1" t="s">
        <v>3835</v>
      </c>
      <c r="C3386" s="1" t="s">
        <v>3836</v>
      </c>
      <c r="D3386" s="1" t="s">
        <v>14</v>
      </c>
      <c r="E3386" s="1" t="s">
        <v>3379</v>
      </c>
      <c r="F3386" s="1" t="s">
        <v>3380</v>
      </c>
      <c r="G3386" s="1" t="s">
        <v>3379</v>
      </c>
      <c r="H3386" s="2" t="s">
        <v>3460</v>
      </c>
      <c r="I3386" s="1" t="s">
        <v>3461</v>
      </c>
      <c r="J3386" s="1" t="s">
        <v>52</v>
      </c>
      <c r="K3386" s="1" t="s">
        <v>3460</v>
      </c>
      <c r="L3386" s="36" t="s">
        <v>69</v>
      </c>
      <c r="M3386" s="1" t="s">
        <v>69</v>
      </c>
      <c r="N3386" s="1" t="s">
        <v>1935</v>
      </c>
      <c r="O3386" s="1" t="s">
        <v>46</v>
      </c>
      <c r="P3386" s="1" t="s">
        <v>46</v>
      </c>
      <c r="Q3386" s="1" t="s">
        <v>46</v>
      </c>
      <c r="R3386" s="1" t="s">
        <v>46</v>
      </c>
      <c r="S3386" s="1" t="s">
        <v>46</v>
      </c>
      <c r="T3386" s="1" t="s">
        <v>46</v>
      </c>
      <c r="U3386" s="1" t="s">
        <v>46</v>
      </c>
      <c r="W3386" s="1" t="s">
        <v>46</v>
      </c>
      <c r="X3386" s="1" t="s">
        <v>2640</v>
      </c>
      <c r="Y3386" s="1" t="n">
        <v>5500</v>
      </c>
    </row>
    <row r="3387" customFormat="false" ht="13.8" hidden="false" customHeight="false" outlineLevel="0" collapsed="false">
      <c r="A3387" s="1" t="s">
        <v>3835</v>
      </c>
      <c r="C3387" s="1" t="s">
        <v>3836</v>
      </c>
      <c r="D3387" s="1" t="s">
        <v>14</v>
      </c>
      <c r="E3387" s="1" t="s">
        <v>3379</v>
      </c>
      <c r="F3387" s="1" t="s">
        <v>3380</v>
      </c>
      <c r="G3387" s="1" t="s">
        <v>3379</v>
      </c>
      <c r="H3387" s="2" t="s">
        <v>3462</v>
      </c>
      <c r="I3387" s="1" t="s">
        <v>3463</v>
      </c>
      <c r="J3387" s="1" t="s">
        <v>52</v>
      </c>
      <c r="K3387" s="1" t="s">
        <v>3462</v>
      </c>
      <c r="L3387" s="36" t="s">
        <v>69</v>
      </c>
      <c r="M3387" s="1" t="s">
        <v>69</v>
      </c>
      <c r="N3387" s="1" t="s">
        <v>1935</v>
      </c>
      <c r="O3387" s="1" t="s">
        <v>46</v>
      </c>
      <c r="P3387" s="1" t="s">
        <v>46</v>
      </c>
      <c r="Q3387" s="1" t="s">
        <v>46</v>
      </c>
      <c r="R3387" s="1" t="s">
        <v>46</v>
      </c>
      <c r="S3387" s="1" t="s">
        <v>46</v>
      </c>
      <c r="T3387" s="1" t="s">
        <v>46</v>
      </c>
      <c r="U3387" s="1" t="s">
        <v>46</v>
      </c>
      <c r="W3387" s="1" t="s">
        <v>46</v>
      </c>
      <c r="X3387" s="1" t="s">
        <v>2640</v>
      </c>
      <c r="Y3387" s="1" t="n">
        <v>5500</v>
      </c>
    </row>
    <row r="3388" customFormat="false" ht="13.8" hidden="false" customHeight="false" outlineLevel="0" collapsed="false">
      <c r="A3388" s="1" t="s">
        <v>3835</v>
      </c>
      <c r="C3388" s="1" t="s">
        <v>3836</v>
      </c>
      <c r="D3388" s="1" t="s">
        <v>14</v>
      </c>
      <c r="E3388" s="1" t="s">
        <v>3379</v>
      </c>
      <c r="F3388" s="1" t="s">
        <v>3380</v>
      </c>
      <c r="G3388" s="1" t="s">
        <v>3379</v>
      </c>
      <c r="H3388" s="2" t="s">
        <v>3464</v>
      </c>
      <c r="I3388" s="1" t="s">
        <v>3465</v>
      </c>
      <c r="J3388" s="1" t="s">
        <v>52</v>
      </c>
      <c r="K3388" s="1" t="s">
        <v>3464</v>
      </c>
      <c r="L3388" s="36" t="s">
        <v>69</v>
      </c>
      <c r="M3388" s="1" t="s">
        <v>69</v>
      </c>
      <c r="N3388" s="1" t="s">
        <v>1935</v>
      </c>
      <c r="O3388" s="1" t="s">
        <v>46</v>
      </c>
      <c r="P3388" s="1" t="s">
        <v>46</v>
      </c>
      <c r="Q3388" s="1" t="s">
        <v>46</v>
      </c>
      <c r="R3388" s="1" t="s">
        <v>46</v>
      </c>
      <c r="S3388" s="1" t="s">
        <v>46</v>
      </c>
      <c r="T3388" s="1" t="s">
        <v>46</v>
      </c>
      <c r="U3388" s="1" t="s">
        <v>46</v>
      </c>
      <c r="W3388" s="1" t="s">
        <v>46</v>
      </c>
      <c r="X3388" s="1" t="s">
        <v>2640</v>
      </c>
      <c r="Y3388" s="1" t="n">
        <v>5500</v>
      </c>
    </row>
    <row r="3389" customFormat="false" ht="13.8" hidden="false" customHeight="false" outlineLevel="0" collapsed="false">
      <c r="A3389" s="1" t="s">
        <v>3835</v>
      </c>
      <c r="C3389" s="1" t="s">
        <v>3836</v>
      </c>
      <c r="D3389" s="1" t="s">
        <v>14</v>
      </c>
      <c r="E3389" s="1" t="s">
        <v>3379</v>
      </c>
      <c r="F3389" s="1" t="s">
        <v>3380</v>
      </c>
      <c r="G3389" s="1" t="s">
        <v>3379</v>
      </c>
      <c r="H3389" s="2" t="s">
        <v>3466</v>
      </c>
      <c r="I3389" s="1" t="s">
        <v>3467</v>
      </c>
      <c r="J3389" s="1" t="s">
        <v>52</v>
      </c>
      <c r="K3389" s="1" t="s">
        <v>3466</v>
      </c>
      <c r="L3389" s="36" t="s">
        <v>69</v>
      </c>
      <c r="M3389" s="1" t="s">
        <v>69</v>
      </c>
      <c r="N3389" s="1" t="s">
        <v>3468</v>
      </c>
      <c r="O3389" s="1" t="s">
        <v>46</v>
      </c>
      <c r="P3389" s="1" t="s">
        <v>46</v>
      </c>
      <c r="Q3389" s="1" t="s">
        <v>46</v>
      </c>
      <c r="R3389" s="1" t="s">
        <v>46</v>
      </c>
      <c r="S3389" s="1" t="s">
        <v>46</v>
      </c>
      <c r="T3389" s="1" t="s">
        <v>46</v>
      </c>
      <c r="U3389" s="1" t="s">
        <v>46</v>
      </c>
      <c r="W3389" s="1" t="s">
        <v>46</v>
      </c>
      <c r="X3389" s="1" t="s">
        <v>2640</v>
      </c>
      <c r="Y3389" s="1" t="n">
        <v>5500</v>
      </c>
    </row>
    <row r="3390" customFormat="false" ht="13.8" hidden="false" customHeight="false" outlineLevel="0" collapsed="false">
      <c r="A3390" s="1" t="s">
        <v>3835</v>
      </c>
      <c r="C3390" s="1" t="s">
        <v>3836</v>
      </c>
      <c r="D3390" s="1" t="s">
        <v>14</v>
      </c>
      <c r="E3390" s="1" t="s">
        <v>3379</v>
      </c>
      <c r="F3390" s="1" t="s">
        <v>3380</v>
      </c>
      <c r="G3390" s="1" t="s">
        <v>3379</v>
      </c>
      <c r="H3390" s="2" t="s">
        <v>3469</v>
      </c>
      <c r="I3390" s="1" t="s">
        <v>3470</v>
      </c>
      <c r="J3390" s="1" t="s">
        <v>52</v>
      </c>
      <c r="K3390" s="1" t="s">
        <v>3469</v>
      </c>
      <c r="L3390" s="36" t="s">
        <v>69</v>
      </c>
      <c r="M3390" s="1" t="s">
        <v>69</v>
      </c>
      <c r="N3390" s="1" t="s">
        <v>3468</v>
      </c>
      <c r="O3390" s="1" t="s">
        <v>46</v>
      </c>
      <c r="P3390" s="1" t="s">
        <v>46</v>
      </c>
      <c r="Q3390" s="1" t="s">
        <v>46</v>
      </c>
      <c r="R3390" s="1" t="s">
        <v>46</v>
      </c>
      <c r="S3390" s="1" t="s">
        <v>46</v>
      </c>
      <c r="T3390" s="1" t="s">
        <v>46</v>
      </c>
      <c r="U3390" s="1" t="s">
        <v>46</v>
      </c>
      <c r="W3390" s="1" t="s">
        <v>46</v>
      </c>
      <c r="X3390" s="1" t="s">
        <v>2640</v>
      </c>
      <c r="Y3390" s="1" t="n">
        <v>5500</v>
      </c>
    </row>
    <row r="3391" customFormat="false" ht="13.8" hidden="false" customHeight="false" outlineLevel="0" collapsed="false">
      <c r="A3391" s="1" t="s">
        <v>3835</v>
      </c>
      <c r="C3391" s="1" t="s">
        <v>3836</v>
      </c>
      <c r="D3391" s="1" t="s">
        <v>14</v>
      </c>
      <c r="E3391" s="1" t="s">
        <v>3379</v>
      </c>
      <c r="F3391" s="1" t="s">
        <v>3380</v>
      </c>
      <c r="G3391" s="1" t="s">
        <v>3379</v>
      </c>
      <c r="H3391" s="2" t="s">
        <v>3471</v>
      </c>
      <c r="I3391" s="1" t="s">
        <v>3472</v>
      </c>
      <c r="J3391" s="1" t="s">
        <v>52</v>
      </c>
      <c r="K3391" s="1" t="s">
        <v>3471</v>
      </c>
      <c r="L3391" s="36" t="s">
        <v>69</v>
      </c>
      <c r="M3391" s="1" t="s">
        <v>69</v>
      </c>
      <c r="N3391" s="1" t="s">
        <v>3468</v>
      </c>
      <c r="O3391" s="1" t="s">
        <v>46</v>
      </c>
      <c r="P3391" s="1" t="s">
        <v>46</v>
      </c>
      <c r="Q3391" s="1" t="s">
        <v>46</v>
      </c>
      <c r="R3391" s="1" t="s">
        <v>46</v>
      </c>
      <c r="S3391" s="1" t="s">
        <v>46</v>
      </c>
      <c r="T3391" s="1" t="s">
        <v>46</v>
      </c>
      <c r="U3391" s="1" t="s">
        <v>46</v>
      </c>
      <c r="W3391" s="1" t="s">
        <v>46</v>
      </c>
      <c r="X3391" s="1" t="s">
        <v>2640</v>
      </c>
      <c r="Y3391" s="1" t="n">
        <v>5500</v>
      </c>
    </row>
    <row r="3392" customFormat="false" ht="13.8" hidden="false" customHeight="false" outlineLevel="0" collapsed="false">
      <c r="A3392" s="1" t="s">
        <v>3835</v>
      </c>
      <c r="C3392" s="1" t="s">
        <v>3836</v>
      </c>
      <c r="D3392" s="1" t="s">
        <v>14</v>
      </c>
      <c r="E3392" s="1" t="s">
        <v>3379</v>
      </c>
      <c r="F3392" s="1" t="s">
        <v>3380</v>
      </c>
      <c r="G3392" s="1" t="s">
        <v>3379</v>
      </c>
      <c r="H3392" s="2" t="s">
        <v>3473</v>
      </c>
      <c r="I3392" s="1" t="s">
        <v>3474</v>
      </c>
      <c r="J3392" s="1" t="s">
        <v>52</v>
      </c>
      <c r="K3392" s="1" t="s">
        <v>3473</v>
      </c>
      <c r="L3392" s="36" t="s">
        <v>69</v>
      </c>
      <c r="M3392" s="1" t="s">
        <v>69</v>
      </c>
      <c r="N3392" s="1" t="s">
        <v>3468</v>
      </c>
      <c r="O3392" s="1" t="s">
        <v>46</v>
      </c>
      <c r="P3392" s="1" t="s">
        <v>46</v>
      </c>
      <c r="Q3392" s="1" t="s">
        <v>46</v>
      </c>
      <c r="R3392" s="1" t="s">
        <v>46</v>
      </c>
      <c r="S3392" s="1" t="s">
        <v>46</v>
      </c>
      <c r="T3392" s="1" t="s">
        <v>46</v>
      </c>
      <c r="U3392" s="1" t="s">
        <v>46</v>
      </c>
      <c r="W3392" s="1" t="s">
        <v>46</v>
      </c>
      <c r="X3392" s="1" t="s">
        <v>2640</v>
      </c>
      <c r="Y3392" s="1" t="n">
        <v>5500</v>
      </c>
    </row>
    <row r="3393" customFormat="false" ht="13.8" hidden="false" customHeight="false" outlineLevel="0" collapsed="false">
      <c r="A3393" s="1" t="s">
        <v>3835</v>
      </c>
      <c r="C3393" s="1" t="s">
        <v>3836</v>
      </c>
      <c r="D3393" s="1" t="s">
        <v>14</v>
      </c>
      <c r="E3393" s="1" t="s">
        <v>3379</v>
      </c>
      <c r="F3393" s="1" t="s">
        <v>3380</v>
      </c>
      <c r="G3393" s="1" t="s">
        <v>3379</v>
      </c>
      <c r="H3393" s="2" t="s">
        <v>3475</v>
      </c>
      <c r="I3393" s="1" t="s">
        <v>3476</v>
      </c>
      <c r="J3393" s="1" t="s">
        <v>52</v>
      </c>
      <c r="K3393" s="1" t="s">
        <v>3475</v>
      </c>
      <c r="L3393" s="36" t="s">
        <v>69</v>
      </c>
      <c r="M3393" s="1" t="s">
        <v>69</v>
      </c>
      <c r="N3393" s="1" t="s">
        <v>3468</v>
      </c>
      <c r="O3393" s="1" t="s">
        <v>46</v>
      </c>
      <c r="P3393" s="1" t="s">
        <v>46</v>
      </c>
      <c r="Q3393" s="1" t="s">
        <v>46</v>
      </c>
      <c r="R3393" s="1" t="s">
        <v>46</v>
      </c>
      <c r="S3393" s="1" t="s">
        <v>46</v>
      </c>
      <c r="T3393" s="1" t="s">
        <v>46</v>
      </c>
      <c r="U3393" s="1" t="s">
        <v>46</v>
      </c>
      <c r="W3393" s="1" t="s">
        <v>46</v>
      </c>
      <c r="X3393" s="1" t="s">
        <v>2640</v>
      </c>
      <c r="Y3393" s="1" t="n">
        <v>5500</v>
      </c>
    </row>
    <row r="3394" customFormat="false" ht="13.8" hidden="false" customHeight="false" outlineLevel="0" collapsed="false">
      <c r="A3394" s="1" t="s">
        <v>3835</v>
      </c>
      <c r="C3394" s="1" t="s">
        <v>3836</v>
      </c>
      <c r="D3394" s="1" t="s">
        <v>14</v>
      </c>
      <c r="E3394" s="1" t="s">
        <v>3379</v>
      </c>
      <c r="F3394" s="1" t="s">
        <v>3380</v>
      </c>
      <c r="G3394" s="1" t="s">
        <v>3379</v>
      </c>
      <c r="H3394" s="2" t="s">
        <v>3477</v>
      </c>
      <c r="I3394" s="1" t="s">
        <v>3478</v>
      </c>
      <c r="J3394" s="1" t="s">
        <v>52</v>
      </c>
      <c r="K3394" s="1" t="s">
        <v>3477</v>
      </c>
      <c r="L3394" s="36" t="s">
        <v>69</v>
      </c>
      <c r="M3394" s="1" t="s">
        <v>69</v>
      </c>
      <c r="N3394" s="1" t="s">
        <v>3468</v>
      </c>
      <c r="O3394" s="1" t="s">
        <v>46</v>
      </c>
      <c r="P3394" s="1" t="s">
        <v>46</v>
      </c>
      <c r="Q3394" s="1" t="s">
        <v>46</v>
      </c>
      <c r="R3394" s="1" t="s">
        <v>46</v>
      </c>
      <c r="S3394" s="1" t="s">
        <v>46</v>
      </c>
      <c r="T3394" s="1" t="s">
        <v>46</v>
      </c>
      <c r="U3394" s="1" t="s">
        <v>46</v>
      </c>
      <c r="W3394" s="1" t="s">
        <v>46</v>
      </c>
      <c r="X3394" s="1" t="s">
        <v>2640</v>
      </c>
      <c r="Y3394" s="1" t="n">
        <v>5500</v>
      </c>
    </row>
    <row r="3395" customFormat="false" ht="13.8" hidden="false" customHeight="false" outlineLevel="0" collapsed="false">
      <c r="A3395" s="1" t="s">
        <v>3835</v>
      </c>
      <c r="C3395" s="1" t="s">
        <v>3836</v>
      </c>
      <c r="D3395" s="1" t="s">
        <v>14</v>
      </c>
      <c r="E3395" s="1" t="s">
        <v>3379</v>
      </c>
      <c r="F3395" s="1" t="s">
        <v>3380</v>
      </c>
      <c r="G3395" s="1" t="s">
        <v>3379</v>
      </c>
      <c r="H3395" s="2" t="s">
        <v>3479</v>
      </c>
      <c r="I3395" s="1" t="s">
        <v>3480</v>
      </c>
      <c r="J3395" s="1" t="s">
        <v>52</v>
      </c>
      <c r="K3395" s="1" t="s">
        <v>3479</v>
      </c>
      <c r="L3395" s="36" t="s">
        <v>69</v>
      </c>
      <c r="M3395" s="1" t="s">
        <v>69</v>
      </c>
      <c r="N3395" s="1" t="s">
        <v>3468</v>
      </c>
      <c r="O3395" s="1" t="s">
        <v>46</v>
      </c>
      <c r="P3395" s="1" t="s">
        <v>46</v>
      </c>
      <c r="Q3395" s="1" t="s">
        <v>46</v>
      </c>
      <c r="R3395" s="1" t="s">
        <v>46</v>
      </c>
      <c r="S3395" s="1" t="s">
        <v>46</v>
      </c>
      <c r="T3395" s="1" t="s">
        <v>46</v>
      </c>
      <c r="U3395" s="1" t="s">
        <v>46</v>
      </c>
      <c r="W3395" s="1" t="s">
        <v>46</v>
      </c>
      <c r="X3395" s="1" t="s">
        <v>2640</v>
      </c>
      <c r="Y3395" s="1" t="n">
        <v>5500</v>
      </c>
    </row>
    <row r="3396" customFormat="false" ht="13.8" hidden="false" customHeight="false" outlineLevel="0" collapsed="false">
      <c r="A3396" s="1" t="s">
        <v>3835</v>
      </c>
      <c r="C3396" s="1" t="s">
        <v>3836</v>
      </c>
      <c r="D3396" s="1" t="s">
        <v>14</v>
      </c>
      <c r="E3396" s="1" t="s">
        <v>3379</v>
      </c>
      <c r="F3396" s="1" t="s">
        <v>3380</v>
      </c>
      <c r="G3396" s="1" t="s">
        <v>3379</v>
      </c>
      <c r="H3396" s="2" t="s">
        <v>3481</v>
      </c>
      <c r="I3396" s="1" t="s">
        <v>3482</v>
      </c>
      <c r="J3396" s="1" t="s">
        <v>52</v>
      </c>
      <c r="K3396" s="1" t="s">
        <v>3481</v>
      </c>
      <c r="L3396" s="36" t="s">
        <v>69</v>
      </c>
      <c r="M3396" s="1" t="s">
        <v>69</v>
      </c>
      <c r="N3396" s="1" t="s">
        <v>3468</v>
      </c>
      <c r="O3396" s="1" t="s">
        <v>46</v>
      </c>
      <c r="P3396" s="1" t="s">
        <v>46</v>
      </c>
      <c r="Q3396" s="1" t="s">
        <v>46</v>
      </c>
      <c r="R3396" s="1" t="s">
        <v>46</v>
      </c>
      <c r="S3396" s="1" t="s">
        <v>46</v>
      </c>
      <c r="T3396" s="1" t="s">
        <v>46</v>
      </c>
      <c r="U3396" s="1" t="s">
        <v>46</v>
      </c>
      <c r="W3396" s="1" t="s">
        <v>46</v>
      </c>
      <c r="X3396" s="1" t="s">
        <v>2640</v>
      </c>
      <c r="Y3396" s="1" t="n">
        <v>5500</v>
      </c>
    </row>
    <row r="3397" customFormat="false" ht="13.8" hidden="false" customHeight="false" outlineLevel="0" collapsed="false">
      <c r="A3397" s="1" t="s">
        <v>3835</v>
      </c>
      <c r="C3397" s="1" t="s">
        <v>3836</v>
      </c>
      <c r="D3397" s="1" t="s">
        <v>14</v>
      </c>
      <c r="E3397" s="1" t="s">
        <v>3379</v>
      </c>
      <c r="F3397" s="1" t="s">
        <v>3380</v>
      </c>
      <c r="G3397" s="1" t="s">
        <v>3379</v>
      </c>
      <c r="H3397" s="2" t="s">
        <v>3483</v>
      </c>
      <c r="I3397" s="1" t="s">
        <v>3484</v>
      </c>
      <c r="J3397" s="1" t="s">
        <v>52</v>
      </c>
      <c r="K3397" s="1" t="s">
        <v>3483</v>
      </c>
      <c r="L3397" s="36" t="s">
        <v>69</v>
      </c>
      <c r="M3397" s="1" t="s">
        <v>69</v>
      </c>
      <c r="N3397" s="1" t="s">
        <v>3468</v>
      </c>
      <c r="O3397" s="1" t="s">
        <v>46</v>
      </c>
      <c r="P3397" s="1" t="s">
        <v>46</v>
      </c>
      <c r="Q3397" s="1" t="s">
        <v>46</v>
      </c>
      <c r="R3397" s="1" t="s">
        <v>46</v>
      </c>
      <c r="S3397" s="1" t="s">
        <v>46</v>
      </c>
      <c r="T3397" s="1" t="s">
        <v>46</v>
      </c>
      <c r="U3397" s="1" t="s">
        <v>46</v>
      </c>
      <c r="W3397" s="1" t="s">
        <v>46</v>
      </c>
      <c r="X3397" s="1" t="s">
        <v>2640</v>
      </c>
      <c r="Y3397" s="1" t="n">
        <v>5500</v>
      </c>
    </row>
    <row r="3398" customFormat="false" ht="13.8" hidden="false" customHeight="false" outlineLevel="0" collapsed="false">
      <c r="A3398" s="1" t="s">
        <v>3835</v>
      </c>
      <c r="C3398" s="1" t="s">
        <v>3836</v>
      </c>
      <c r="D3398" s="1" t="s">
        <v>14</v>
      </c>
      <c r="E3398" s="1" t="s">
        <v>3379</v>
      </c>
      <c r="F3398" s="1" t="s">
        <v>3380</v>
      </c>
      <c r="G3398" s="1" t="s">
        <v>3379</v>
      </c>
      <c r="H3398" s="2" t="s">
        <v>3485</v>
      </c>
      <c r="I3398" s="1" t="s">
        <v>3486</v>
      </c>
      <c r="J3398" s="1" t="s">
        <v>52</v>
      </c>
      <c r="K3398" s="1" t="s">
        <v>3485</v>
      </c>
      <c r="L3398" s="36" t="s">
        <v>69</v>
      </c>
      <c r="M3398" s="1" t="s">
        <v>69</v>
      </c>
      <c r="N3398" s="1" t="s">
        <v>3468</v>
      </c>
      <c r="O3398" s="1" t="s">
        <v>46</v>
      </c>
      <c r="P3398" s="1" t="s">
        <v>46</v>
      </c>
      <c r="Q3398" s="1" t="s">
        <v>46</v>
      </c>
      <c r="R3398" s="1" t="s">
        <v>46</v>
      </c>
      <c r="S3398" s="1" t="s">
        <v>46</v>
      </c>
      <c r="T3398" s="1" t="s">
        <v>46</v>
      </c>
      <c r="U3398" s="1" t="s">
        <v>46</v>
      </c>
      <c r="W3398" s="1" t="s">
        <v>46</v>
      </c>
      <c r="X3398" s="1" t="s">
        <v>2640</v>
      </c>
      <c r="Y3398" s="1" t="n">
        <v>5500</v>
      </c>
    </row>
    <row r="3399" customFormat="false" ht="13.8" hidden="false" customHeight="false" outlineLevel="0" collapsed="false">
      <c r="A3399" s="1" t="s">
        <v>3835</v>
      </c>
      <c r="C3399" s="1" t="s">
        <v>3836</v>
      </c>
      <c r="D3399" s="1" t="s">
        <v>14</v>
      </c>
      <c r="E3399" s="1" t="s">
        <v>3379</v>
      </c>
      <c r="F3399" s="1" t="s">
        <v>3380</v>
      </c>
      <c r="G3399" s="1" t="s">
        <v>3379</v>
      </c>
      <c r="H3399" s="2" t="s">
        <v>3487</v>
      </c>
      <c r="I3399" s="1" t="s">
        <v>3488</v>
      </c>
      <c r="J3399" s="1" t="s">
        <v>52</v>
      </c>
      <c r="K3399" s="1" t="s">
        <v>3487</v>
      </c>
      <c r="L3399" s="36" t="s">
        <v>69</v>
      </c>
      <c r="M3399" s="1" t="s">
        <v>69</v>
      </c>
      <c r="N3399" s="1" t="s">
        <v>3468</v>
      </c>
      <c r="O3399" s="1" t="s">
        <v>46</v>
      </c>
      <c r="P3399" s="1" t="s">
        <v>46</v>
      </c>
      <c r="Q3399" s="1" t="s">
        <v>46</v>
      </c>
      <c r="R3399" s="1" t="s">
        <v>46</v>
      </c>
      <c r="S3399" s="1" t="s">
        <v>46</v>
      </c>
      <c r="T3399" s="1" t="s">
        <v>46</v>
      </c>
      <c r="U3399" s="1" t="s">
        <v>46</v>
      </c>
      <c r="W3399" s="1" t="s">
        <v>46</v>
      </c>
      <c r="X3399" s="1" t="s">
        <v>2640</v>
      </c>
      <c r="Y3399" s="1" t="n">
        <v>5500</v>
      </c>
    </row>
    <row r="3400" customFormat="false" ht="13.8" hidden="false" customHeight="false" outlineLevel="0" collapsed="false">
      <c r="A3400" s="1" t="s">
        <v>3835</v>
      </c>
      <c r="C3400" s="1" t="s">
        <v>3836</v>
      </c>
      <c r="D3400" s="1" t="s">
        <v>14</v>
      </c>
      <c r="E3400" s="1" t="s">
        <v>3379</v>
      </c>
      <c r="F3400" s="1" t="s">
        <v>3380</v>
      </c>
      <c r="G3400" s="1" t="s">
        <v>3379</v>
      </c>
      <c r="H3400" s="2" t="s">
        <v>3489</v>
      </c>
      <c r="I3400" s="1" t="s">
        <v>3490</v>
      </c>
      <c r="J3400" s="1" t="s">
        <v>52</v>
      </c>
      <c r="K3400" s="1" t="s">
        <v>3489</v>
      </c>
      <c r="L3400" s="36" t="s">
        <v>69</v>
      </c>
      <c r="M3400" s="1" t="s">
        <v>69</v>
      </c>
      <c r="N3400" s="1" t="s">
        <v>3468</v>
      </c>
      <c r="O3400" s="1" t="s">
        <v>46</v>
      </c>
      <c r="P3400" s="1" t="s">
        <v>46</v>
      </c>
      <c r="Q3400" s="1" t="s">
        <v>46</v>
      </c>
      <c r="R3400" s="1" t="s">
        <v>46</v>
      </c>
      <c r="S3400" s="1" t="s">
        <v>46</v>
      </c>
      <c r="T3400" s="1" t="s">
        <v>46</v>
      </c>
      <c r="U3400" s="1" t="s">
        <v>46</v>
      </c>
      <c r="W3400" s="1" t="s">
        <v>46</v>
      </c>
      <c r="X3400" s="1" t="s">
        <v>2640</v>
      </c>
      <c r="Y3400" s="1" t="n">
        <v>5500</v>
      </c>
    </row>
    <row r="3401" customFormat="false" ht="13.8" hidden="false" customHeight="false" outlineLevel="0" collapsed="false">
      <c r="A3401" s="1" t="s">
        <v>3835</v>
      </c>
      <c r="C3401" s="1" t="s">
        <v>3836</v>
      </c>
      <c r="D3401" s="1" t="s">
        <v>14</v>
      </c>
      <c r="E3401" s="1" t="s">
        <v>3379</v>
      </c>
      <c r="F3401" s="1" t="s">
        <v>3380</v>
      </c>
      <c r="G3401" s="1" t="s">
        <v>3379</v>
      </c>
      <c r="H3401" s="2" t="s">
        <v>3491</v>
      </c>
      <c r="I3401" s="1" t="s">
        <v>3492</v>
      </c>
      <c r="J3401" s="1" t="s">
        <v>52</v>
      </c>
      <c r="K3401" s="1" t="s">
        <v>3491</v>
      </c>
      <c r="L3401" s="36" t="s">
        <v>69</v>
      </c>
      <c r="M3401" s="1" t="s">
        <v>69</v>
      </c>
      <c r="N3401" s="1" t="s">
        <v>3468</v>
      </c>
      <c r="O3401" s="1" t="s">
        <v>46</v>
      </c>
      <c r="P3401" s="1" t="s">
        <v>46</v>
      </c>
      <c r="Q3401" s="1" t="s">
        <v>46</v>
      </c>
      <c r="R3401" s="1" t="s">
        <v>46</v>
      </c>
      <c r="S3401" s="1" t="s">
        <v>46</v>
      </c>
      <c r="T3401" s="1" t="s">
        <v>46</v>
      </c>
      <c r="U3401" s="1" t="s">
        <v>46</v>
      </c>
      <c r="W3401" s="1" t="s">
        <v>46</v>
      </c>
      <c r="X3401" s="1" t="s">
        <v>2640</v>
      </c>
      <c r="Y3401" s="1" t="n">
        <v>5500</v>
      </c>
    </row>
    <row r="3402" customFormat="false" ht="13.8" hidden="false" customHeight="false" outlineLevel="0" collapsed="false">
      <c r="A3402" s="1" t="s">
        <v>3835</v>
      </c>
      <c r="C3402" s="1" t="s">
        <v>3836</v>
      </c>
      <c r="D3402" s="1" t="s">
        <v>14</v>
      </c>
      <c r="E3402" s="1" t="s">
        <v>3379</v>
      </c>
      <c r="F3402" s="1" t="s">
        <v>3380</v>
      </c>
      <c r="G3402" s="1" t="s">
        <v>3379</v>
      </c>
      <c r="H3402" s="2" t="s">
        <v>3493</v>
      </c>
      <c r="I3402" s="1" t="s">
        <v>3494</v>
      </c>
      <c r="J3402" s="1" t="s">
        <v>52</v>
      </c>
      <c r="K3402" s="1" t="s">
        <v>3493</v>
      </c>
      <c r="L3402" s="36" t="s">
        <v>69</v>
      </c>
      <c r="M3402" s="1" t="s">
        <v>69</v>
      </c>
      <c r="N3402" s="1" t="s">
        <v>3468</v>
      </c>
      <c r="O3402" s="1" t="s">
        <v>46</v>
      </c>
      <c r="P3402" s="1" t="s">
        <v>46</v>
      </c>
      <c r="Q3402" s="1" t="s">
        <v>46</v>
      </c>
      <c r="R3402" s="1" t="s">
        <v>46</v>
      </c>
      <c r="S3402" s="1" t="s">
        <v>46</v>
      </c>
      <c r="T3402" s="1" t="s">
        <v>46</v>
      </c>
      <c r="U3402" s="1" t="s">
        <v>46</v>
      </c>
      <c r="W3402" s="1" t="s">
        <v>46</v>
      </c>
      <c r="X3402" s="1" t="s">
        <v>2640</v>
      </c>
      <c r="Y3402" s="1" t="n">
        <v>5500</v>
      </c>
    </row>
    <row r="3403" customFormat="false" ht="13.8" hidden="false" customHeight="false" outlineLevel="0" collapsed="false">
      <c r="A3403" s="1" t="s">
        <v>3835</v>
      </c>
      <c r="C3403" s="1" t="s">
        <v>3836</v>
      </c>
      <c r="D3403" s="1" t="s">
        <v>14</v>
      </c>
      <c r="E3403" s="1" t="s">
        <v>3379</v>
      </c>
      <c r="F3403" s="1" t="s">
        <v>3380</v>
      </c>
      <c r="G3403" s="1" t="s">
        <v>3379</v>
      </c>
      <c r="H3403" s="2" t="s">
        <v>3495</v>
      </c>
      <c r="I3403" s="1" t="s">
        <v>3496</v>
      </c>
      <c r="J3403" s="1" t="s">
        <v>52</v>
      </c>
      <c r="K3403" s="1" t="s">
        <v>3495</v>
      </c>
      <c r="L3403" s="36" t="s">
        <v>69</v>
      </c>
      <c r="M3403" s="1" t="s">
        <v>69</v>
      </c>
      <c r="N3403" s="1" t="s">
        <v>3468</v>
      </c>
      <c r="O3403" s="1" t="s">
        <v>46</v>
      </c>
      <c r="P3403" s="1" t="s">
        <v>46</v>
      </c>
      <c r="Q3403" s="1" t="s">
        <v>46</v>
      </c>
      <c r="R3403" s="1" t="s">
        <v>46</v>
      </c>
      <c r="S3403" s="1" t="s">
        <v>46</v>
      </c>
      <c r="T3403" s="1" t="s">
        <v>46</v>
      </c>
      <c r="U3403" s="1" t="s">
        <v>46</v>
      </c>
      <c r="W3403" s="1" t="s">
        <v>46</v>
      </c>
      <c r="X3403" s="1" t="s">
        <v>2640</v>
      </c>
      <c r="Y3403" s="1" t="n">
        <v>5500</v>
      </c>
    </row>
    <row r="3404" customFormat="false" ht="13.8" hidden="false" customHeight="false" outlineLevel="0" collapsed="false">
      <c r="A3404" s="1" t="s">
        <v>3837</v>
      </c>
      <c r="C3404" s="1" t="s">
        <v>3838</v>
      </c>
      <c r="D3404" s="1" t="s">
        <v>14</v>
      </c>
      <c r="E3404" s="1" t="s">
        <v>3379</v>
      </c>
      <c r="F3404" s="1" t="s">
        <v>3380</v>
      </c>
      <c r="G3404" s="1" t="s">
        <v>3379</v>
      </c>
      <c r="H3404" s="2" t="s">
        <v>3576</v>
      </c>
      <c r="I3404" s="1" t="s">
        <v>3577</v>
      </c>
      <c r="J3404" s="1" t="s">
        <v>52</v>
      </c>
      <c r="K3404" s="1" t="s">
        <v>3576</v>
      </c>
      <c r="L3404" s="36" t="s">
        <v>69</v>
      </c>
      <c r="M3404" s="1" t="s">
        <v>69</v>
      </c>
      <c r="N3404" s="1" t="s">
        <v>3383</v>
      </c>
      <c r="O3404" s="1" t="s">
        <v>3784</v>
      </c>
      <c r="P3404" s="1" t="s">
        <v>3385</v>
      </c>
      <c r="Q3404" s="1" t="s">
        <v>3385</v>
      </c>
      <c r="R3404" s="1" t="s">
        <v>46</v>
      </c>
      <c r="S3404" s="1" t="s">
        <v>69</v>
      </c>
      <c r="T3404" s="1" t="s">
        <v>69</v>
      </c>
      <c r="U3404" s="1" t="s">
        <v>46</v>
      </c>
      <c r="V3404" s="1" t="n">
        <v>1</v>
      </c>
      <c r="W3404" s="1" t="s">
        <v>46</v>
      </c>
      <c r="X3404" s="1" t="s">
        <v>2640</v>
      </c>
      <c r="Y3404" s="1" t="n">
        <v>5500</v>
      </c>
    </row>
    <row r="3405" customFormat="false" ht="13.8" hidden="false" customHeight="false" outlineLevel="0" collapsed="false">
      <c r="A3405" s="1" t="s">
        <v>3837</v>
      </c>
      <c r="C3405" s="1" t="s">
        <v>3838</v>
      </c>
      <c r="D3405" s="1" t="s">
        <v>14</v>
      </c>
      <c r="E3405" s="1" t="s">
        <v>3379</v>
      </c>
      <c r="F3405" s="1" t="s">
        <v>3380</v>
      </c>
      <c r="G3405" s="1" t="s">
        <v>3379</v>
      </c>
      <c r="H3405" s="2" t="s">
        <v>3579</v>
      </c>
      <c r="I3405" s="1" t="s">
        <v>3580</v>
      </c>
      <c r="J3405" s="1" t="s">
        <v>52</v>
      </c>
      <c r="K3405" s="1" t="s">
        <v>3579</v>
      </c>
      <c r="L3405" s="36" t="s">
        <v>69</v>
      </c>
      <c r="M3405" s="1" t="s">
        <v>69</v>
      </c>
      <c r="N3405" s="1" t="s">
        <v>3383</v>
      </c>
      <c r="O3405" s="1" t="s">
        <v>3784</v>
      </c>
      <c r="P3405" s="1" t="s">
        <v>3385</v>
      </c>
      <c r="Q3405" s="1" t="s">
        <v>3385</v>
      </c>
      <c r="R3405" s="1" t="s">
        <v>46</v>
      </c>
      <c r="S3405" s="1" t="s">
        <v>69</v>
      </c>
      <c r="T3405" s="1" t="s">
        <v>69</v>
      </c>
      <c r="U3405" s="1" t="s">
        <v>46</v>
      </c>
      <c r="V3405" s="1" t="n">
        <v>2</v>
      </c>
      <c r="W3405" s="1" t="s">
        <v>46</v>
      </c>
      <c r="X3405" s="1" t="s">
        <v>2640</v>
      </c>
      <c r="Y3405" s="1" t="n">
        <v>5500</v>
      </c>
    </row>
    <row r="3406" customFormat="false" ht="13.8" hidden="false" customHeight="false" outlineLevel="0" collapsed="false">
      <c r="A3406" s="1" t="s">
        <v>3837</v>
      </c>
      <c r="C3406" s="1" t="s">
        <v>3838</v>
      </c>
      <c r="D3406" s="1" t="s">
        <v>14</v>
      </c>
      <c r="E3406" s="1" t="s">
        <v>3379</v>
      </c>
      <c r="F3406" s="1" t="s">
        <v>3380</v>
      </c>
      <c r="G3406" s="1" t="s">
        <v>3379</v>
      </c>
      <c r="H3406" s="2" t="s">
        <v>3581</v>
      </c>
      <c r="I3406" s="1" t="s">
        <v>3582</v>
      </c>
      <c r="J3406" s="1" t="s">
        <v>52</v>
      </c>
      <c r="K3406" s="1" t="s">
        <v>3581</v>
      </c>
      <c r="L3406" s="36" t="s">
        <v>69</v>
      </c>
      <c r="M3406" s="1" t="s">
        <v>69</v>
      </c>
      <c r="N3406" s="1" t="s">
        <v>3383</v>
      </c>
      <c r="O3406" s="1" t="s">
        <v>3784</v>
      </c>
      <c r="P3406" s="1" t="s">
        <v>3385</v>
      </c>
      <c r="Q3406" s="1" t="s">
        <v>3385</v>
      </c>
      <c r="R3406" s="1" t="s">
        <v>46</v>
      </c>
      <c r="S3406" s="1" t="s">
        <v>69</v>
      </c>
      <c r="T3406" s="1" t="s">
        <v>69</v>
      </c>
      <c r="U3406" s="1" t="s">
        <v>46</v>
      </c>
      <c r="V3406" s="1" t="n">
        <v>3</v>
      </c>
      <c r="W3406" s="1" t="s">
        <v>46</v>
      </c>
      <c r="X3406" s="1" t="s">
        <v>2640</v>
      </c>
      <c r="Y3406" s="1" t="n">
        <v>5500</v>
      </c>
    </row>
    <row r="3407" customFormat="false" ht="13.8" hidden="false" customHeight="false" outlineLevel="0" collapsed="false">
      <c r="A3407" s="1" t="s">
        <v>3837</v>
      </c>
      <c r="C3407" s="1" t="s">
        <v>3838</v>
      </c>
      <c r="D3407" s="1" t="s">
        <v>14</v>
      </c>
      <c r="E3407" s="1" t="s">
        <v>3379</v>
      </c>
      <c r="F3407" s="1" t="s">
        <v>3380</v>
      </c>
      <c r="G3407" s="1" t="s">
        <v>3379</v>
      </c>
      <c r="H3407" s="2" t="s">
        <v>3583</v>
      </c>
      <c r="I3407" s="1" t="s">
        <v>3584</v>
      </c>
      <c r="J3407" s="1" t="s">
        <v>52</v>
      </c>
      <c r="K3407" s="1" t="s">
        <v>3583</v>
      </c>
      <c r="L3407" s="36" t="s">
        <v>69</v>
      </c>
      <c r="M3407" s="1" t="s">
        <v>69</v>
      </c>
      <c r="N3407" s="1" t="s">
        <v>3383</v>
      </c>
      <c r="O3407" s="1" t="s">
        <v>3784</v>
      </c>
      <c r="P3407" s="1" t="s">
        <v>3385</v>
      </c>
      <c r="Q3407" s="1" t="s">
        <v>3385</v>
      </c>
      <c r="R3407" s="1" t="s">
        <v>46</v>
      </c>
      <c r="S3407" s="1" t="s">
        <v>69</v>
      </c>
      <c r="T3407" s="1" t="s">
        <v>69</v>
      </c>
      <c r="U3407" s="1" t="s">
        <v>46</v>
      </c>
      <c r="V3407" s="1" t="n">
        <v>4</v>
      </c>
      <c r="W3407" s="1" t="s">
        <v>46</v>
      </c>
      <c r="X3407" s="1" t="s">
        <v>2640</v>
      </c>
      <c r="Y3407" s="1" t="n">
        <v>5500</v>
      </c>
    </row>
    <row r="3408" customFormat="false" ht="13.8" hidden="false" customHeight="false" outlineLevel="0" collapsed="false">
      <c r="A3408" s="1" t="s">
        <v>3837</v>
      </c>
      <c r="C3408" s="1" t="s">
        <v>3838</v>
      </c>
      <c r="D3408" s="1" t="s">
        <v>14</v>
      </c>
      <c r="E3408" s="1" t="s">
        <v>3379</v>
      </c>
      <c r="F3408" s="1" t="s">
        <v>3380</v>
      </c>
      <c r="G3408" s="1" t="s">
        <v>3379</v>
      </c>
      <c r="H3408" s="2" t="s">
        <v>3585</v>
      </c>
      <c r="I3408" s="1" t="s">
        <v>3586</v>
      </c>
      <c r="J3408" s="1" t="s">
        <v>52</v>
      </c>
      <c r="K3408" s="1" t="s">
        <v>3585</v>
      </c>
      <c r="L3408" s="36" t="s">
        <v>69</v>
      </c>
      <c r="M3408" s="1" t="s">
        <v>69</v>
      </c>
      <c r="N3408" s="1" t="s">
        <v>3383</v>
      </c>
      <c r="O3408" s="1" t="s">
        <v>3784</v>
      </c>
      <c r="P3408" s="1" t="s">
        <v>3385</v>
      </c>
      <c r="Q3408" s="1" t="s">
        <v>3385</v>
      </c>
      <c r="R3408" s="1" t="s">
        <v>46</v>
      </c>
      <c r="S3408" s="1" t="s">
        <v>69</v>
      </c>
      <c r="T3408" s="1" t="s">
        <v>69</v>
      </c>
      <c r="U3408" s="1" t="s">
        <v>46</v>
      </c>
      <c r="V3408" s="1" t="n">
        <v>5</v>
      </c>
      <c r="W3408" s="1" t="s">
        <v>46</v>
      </c>
      <c r="X3408" s="1" t="s">
        <v>2640</v>
      </c>
      <c r="Y3408" s="1" t="n">
        <v>5500</v>
      </c>
    </row>
    <row r="3409" customFormat="false" ht="13.8" hidden="false" customHeight="false" outlineLevel="0" collapsed="false">
      <c r="A3409" s="1" t="s">
        <v>3837</v>
      </c>
      <c r="C3409" s="1" t="s">
        <v>3838</v>
      </c>
      <c r="D3409" s="1" t="s">
        <v>14</v>
      </c>
      <c r="E3409" s="1" t="s">
        <v>3379</v>
      </c>
      <c r="F3409" s="1" t="s">
        <v>3380</v>
      </c>
      <c r="G3409" s="1" t="s">
        <v>3379</v>
      </c>
      <c r="H3409" s="2" t="s">
        <v>3633</v>
      </c>
      <c r="I3409" s="1" t="s">
        <v>3634</v>
      </c>
      <c r="J3409" s="1" t="s">
        <v>52</v>
      </c>
      <c r="K3409" s="1" t="s">
        <v>3633</v>
      </c>
      <c r="L3409" s="36" t="s">
        <v>69</v>
      </c>
      <c r="M3409" s="1" t="s">
        <v>69</v>
      </c>
      <c r="N3409" s="1" t="s">
        <v>3383</v>
      </c>
      <c r="O3409" s="1" t="s">
        <v>3785</v>
      </c>
      <c r="P3409" s="1" t="s">
        <v>3385</v>
      </c>
      <c r="Q3409" s="1" t="s">
        <v>3385</v>
      </c>
      <c r="R3409" s="1" t="s">
        <v>46</v>
      </c>
      <c r="S3409" s="1" t="s">
        <v>69</v>
      </c>
      <c r="T3409" s="1" t="s">
        <v>69</v>
      </c>
      <c r="U3409" s="1" t="s">
        <v>46</v>
      </c>
      <c r="V3409" s="1" t="n">
        <v>1</v>
      </c>
      <c r="W3409" s="1" t="s">
        <v>46</v>
      </c>
      <c r="X3409" s="1" t="s">
        <v>2640</v>
      </c>
      <c r="Y3409" s="1" t="n">
        <v>5500</v>
      </c>
    </row>
    <row r="3410" customFormat="false" ht="13.8" hidden="false" customHeight="false" outlineLevel="0" collapsed="false">
      <c r="A3410" s="1" t="s">
        <v>3837</v>
      </c>
      <c r="C3410" s="1" t="s">
        <v>3838</v>
      </c>
      <c r="D3410" s="1" t="s">
        <v>14</v>
      </c>
      <c r="E3410" s="1" t="s">
        <v>3379</v>
      </c>
      <c r="F3410" s="1" t="s">
        <v>3380</v>
      </c>
      <c r="G3410" s="1" t="s">
        <v>3379</v>
      </c>
      <c r="H3410" s="2" t="s">
        <v>3636</v>
      </c>
      <c r="I3410" s="1" t="s">
        <v>3637</v>
      </c>
      <c r="J3410" s="1" t="s">
        <v>52</v>
      </c>
      <c r="K3410" s="1" t="s">
        <v>3636</v>
      </c>
      <c r="L3410" s="36" t="s">
        <v>69</v>
      </c>
      <c r="M3410" s="1" t="s">
        <v>69</v>
      </c>
      <c r="N3410" s="1" t="s">
        <v>3383</v>
      </c>
      <c r="O3410" s="1" t="s">
        <v>3785</v>
      </c>
      <c r="P3410" s="1" t="s">
        <v>3385</v>
      </c>
      <c r="Q3410" s="1" t="s">
        <v>3385</v>
      </c>
      <c r="R3410" s="1" t="s">
        <v>46</v>
      </c>
      <c r="S3410" s="1" t="s">
        <v>69</v>
      </c>
      <c r="T3410" s="1" t="s">
        <v>69</v>
      </c>
      <c r="U3410" s="1" t="s">
        <v>46</v>
      </c>
      <c r="V3410" s="1" t="n">
        <v>2</v>
      </c>
      <c r="W3410" s="1" t="s">
        <v>46</v>
      </c>
      <c r="X3410" s="1" t="s">
        <v>2640</v>
      </c>
      <c r="Y3410" s="1" t="n">
        <v>5500</v>
      </c>
    </row>
    <row r="3411" customFormat="false" ht="13.8" hidden="false" customHeight="false" outlineLevel="0" collapsed="false">
      <c r="A3411" s="1" t="s">
        <v>3837</v>
      </c>
      <c r="C3411" s="1" t="s">
        <v>3838</v>
      </c>
      <c r="D3411" s="1" t="s">
        <v>14</v>
      </c>
      <c r="E3411" s="1" t="s">
        <v>3379</v>
      </c>
      <c r="F3411" s="1" t="s">
        <v>3380</v>
      </c>
      <c r="G3411" s="1" t="s">
        <v>3379</v>
      </c>
      <c r="H3411" s="2" t="s">
        <v>3638</v>
      </c>
      <c r="I3411" s="1" t="s">
        <v>3639</v>
      </c>
      <c r="J3411" s="1" t="s">
        <v>52</v>
      </c>
      <c r="K3411" s="1" t="s">
        <v>3638</v>
      </c>
      <c r="L3411" s="36" t="s">
        <v>69</v>
      </c>
      <c r="M3411" s="1" t="s">
        <v>69</v>
      </c>
      <c r="N3411" s="1" t="s">
        <v>3383</v>
      </c>
      <c r="O3411" s="1" t="s">
        <v>3785</v>
      </c>
      <c r="P3411" s="1" t="s">
        <v>3385</v>
      </c>
      <c r="Q3411" s="1" t="s">
        <v>3385</v>
      </c>
      <c r="R3411" s="1" t="s">
        <v>46</v>
      </c>
      <c r="S3411" s="1" t="s">
        <v>69</v>
      </c>
      <c r="T3411" s="1" t="s">
        <v>69</v>
      </c>
      <c r="U3411" s="1" t="s">
        <v>46</v>
      </c>
      <c r="V3411" s="1" t="n">
        <v>3</v>
      </c>
      <c r="W3411" s="1" t="s">
        <v>46</v>
      </c>
      <c r="X3411" s="1" t="s">
        <v>2640</v>
      </c>
      <c r="Y3411" s="1" t="n">
        <v>5500</v>
      </c>
    </row>
    <row r="3412" customFormat="false" ht="13.8" hidden="false" customHeight="false" outlineLevel="0" collapsed="false">
      <c r="A3412" s="1" t="s">
        <v>3837</v>
      </c>
      <c r="C3412" s="1" t="s">
        <v>3838</v>
      </c>
      <c r="D3412" s="1" t="s">
        <v>14</v>
      </c>
      <c r="E3412" s="1" t="s">
        <v>3379</v>
      </c>
      <c r="F3412" s="1" t="s">
        <v>3380</v>
      </c>
      <c r="G3412" s="1" t="s">
        <v>3379</v>
      </c>
      <c r="H3412" s="2" t="s">
        <v>3640</v>
      </c>
      <c r="I3412" s="1" t="s">
        <v>3641</v>
      </c>
      <c r="J3412" s="1" t="s">
        <v>52</v>
      </c>
      <c r="K3412" s="1" t="s">
        <v>3640</v>
      </c>
      <c r="L3412" s="36" t="s">
        <v>69</v>
      </c>
      <c r="M3412" s="1" t="s">
        <v>69</v>
      </c>
      <c r="N3412" s="1" t="s">
        <v>3383</v>
      </c>
      <c r="O3412" s="1" t="s">
        <v>3785</v>
      </c>
      <c r="P3412" s="1" t="s">
        <v>3385</v>
      </c>
      <c r="Q3412" s="1" t="s">
        <v>3385</v>
      </c>
      <c r="R3412" s="1" t="s">
        <v>46</v>
      </c>
      <c r="S3412" s="1" t="s">
        <v>69</v>
      </c>
      <c r="T3412" s="1" t="s">
        <v>69</v>
      </c>
      <c r="U3412" s="1" t="s">
        <v>46</v>
      </c>
      <c r="V3412" s="1" t="n">
        <v>4</v>
      </c>
      <c r="W3412" s="1" t="s">
        <v>46</v>
      </c>
      <c r="X3412" s="1" t="s">
        <v>2640</v>
      </c>
      <c r="Y3412" s="1" t="n">
        <v>5500</v>
      </c>
    </row>
    <row r="3413" customFormat="false" ht="13.8" hidden="false" customHeight="false" outlineLevel="0" collapsed="false">
      <c r="A3413" s="1" t="s">
        <v>3837</v>
      </c>
      <c r="C3413" s="1" t="s">
        <v>3838</v>
      </c>
      <c r="D3413" s="1" t="s">
        <v>14</v>
      </c>
      <c r="E3413" s="1" t="s">
        <v>3379</v>
      </c>
      <c r="F3413" s="1" t="s">
        <v>3380</v>
      </c>
      <c r="G3413" s="1" t="s">
        <v>3379</v>
      </c>
      <c r="H3413" s="2" t="s">
        <v>3642</v>
      </c>
      <c r="I3413" s="1" t="s">
        <v>3643</v>
      </c>
      <c r="J3413" s="1" t="s">
        <v>52</v>
      </c>
      <c r="K3413" s="1" t="s">
        <v>3642</v>
      </c>
      <c r="L3413" s="36" t="s">
        <v>69</v>
      </c>
      <c r="M3413" s="1" t="s">
        <v>69</v>
      </c>
      <c r="N3413" s="1" t="s">
        <v>3383</v>
      </c>
      <c r="O3413" s="1" t="s">
        <v>3785</v>
      </c>
      <c r="P3413" s="1" t="s">
        <v>3385</v>
      </c>
      <c r="Q3413" s="1" t="s">
        <v>3385</v>
      </c>
      <c r="R3413" s="1" t="s">
        <v>46</v>
      </c>
      <c r="S3413" s="1" t="s">
        <v>69</v>
      </c>
      <c r="T3413" s="1" t="s">
        <v>69</v>
      </c>
      <c r="U3413" s="1" t="s">
        <v>46</v>
      </c>
      <c r="V3413" s="1" t="n">
        <v>5</v>
      </c>
      <c r="W3413" s="1" t="s">
        <v>46</v>
      </c>
      <c r="X3413" s="1" t="s">
        <v>2640</v>
      </c>
      <c r="Y3413" s="1" t="n">
        <v>5500</v>
      </c>
    </row>
    <row r="3414" customFormat="false" ht="13.8" hidden="false" customHeight="false" outlineLevel="0" collapsed="false">
      <c r="A3414" s="1" t="s">
        <v>3837</v>
      </c>
      <c r="C3414" s="1" t="s">
        <v>3838</v>
      </c>
      <c r="D3414" s="1" t="s">
        <v>14</v>
      </c>
      <c r="E3414" s="1" t="s">
        <v>3379</v>
      </c>
      <c r="F3414" s="1" t="s">
        <v>3380</v>
      </c>
      <c r="G3414" s="1" t="s">
        <v>3379</v>
      </c>
      <c r="H3414" s="2" t="s">
        <v>3436</v>
      </c>
      <c r="I3414" s="1" t="s">
        <v>3437</v>
      </c>
      <c r="J3414" s="1" t="s">
        <v>52</v>
      </c>
      <c r="K3414" s="1" t="s">
        <v>3436</v>
      </c>
      <c r="L3414" s="36" t="s">
        <v>69</v>
      </c>
      <c r="M3414" s="1" t="s">
        <v>69</v>
      </c>
      <c r="N3414" s="1" t="s">
        <v>1935</v>
      </c>
      <c r="O3414" s="1" t="s">
        <v>46</v>
      </c>
      <c r="P3414" s="1" t="s">
        <v>46</v>
      </c>
      <c r="Q3414" s="1" t="s">
        <v>46</v>
      </c>
      <c r="R3414" s="1" t="s">
        <v>46</v>
      </c>
      <c r="S3414" s="1" t="s">
        <v>46</v>
      </c>
      <c r="T3414" s="1" t="s">
        <v>46</v>
      </c>
      <c r="U3414" s="1" t="s">
        <v>46</v>
      </c>
      <c r="W3414" s="1" t="s">
        <v>46</v>
      </c>
      <c r="X3414" s="1" t="s">
        <v>2640</v>
      </c>
      <c r="Y3414" s="1" t="n">
        <v>5500</v>
      </c>
    </row>
    <row r="3415" customFormat="false" ht="13.8" hidden="false" customHeight="false" outlineLevel="0" collapsed="false">
      <c r="A3415" s="1" t="s">
        <v>3837</v>
      </c>
      <c r="C3415" s="1" t="s">
        <v>3838</v>
      </c>
      <c r="D3415" s="1" t="s">
        <v>14</v>
      </c>
      <c r="E3415" s="1" t="s">
        <v>3379</v>
      </c>
      <c r="F3415" s="1" t="s">
        <v>3380</v>
      </c>
      <c r="G3415" s="1" t="s">
        <v>3379</v>
      </c>
      <c r="H3415" s="2" t="s">
        <v>3438</v>
      </c>
      <c r="I3415" s="1" t="s">
        <v>3439</v>
      </c>
      <c r="J3415" s="1" t="s">
        <v>52</v>
      </c>
      <c r="K3415" s="1" t="s">
        <v>3438</v>
      </c>
      <c r="L3415" s="36" t="s">
        <v>69</v>
      </c>
      <c r="M3415" s="1" t="s">
        <v>69</v>
      </c>
      <c r="N3415" s="1" t="s">
        <v>1935</v>
      </c>
      <c r="O3415" s="1" t="s">
        <v>46</v>
      </c>
      <c r="P3415" s="1" t="s">
        <v>46</v>
      </c>
      <c r="Q3415" s="1" t="s">
        <v>46</v>
      </c>
      <c r="R3415" s="1" t="s">
        <v>46</v>
      </c>
      <c r="S3415" s="1" t="s">
        <v>46</v>
      </c>
      <c r="T3415" s="1" t="s">
        <v>46</v>
      </c>
      <c r="U3415" s="1" t="s">
        <v>46</v>
      </c>
      <c r="W3415" s="1" t="s">
        <v>46</v>
      </c>
      <c r="X3415" s="1" t="s">
        <v>2640</v>
      </c>
      <c r="Y3415" s="1" t="n">
        <v>5500</v>
      </c>
    </row>
    <row r="3416" customFormat="false" ht="13.8" hidden="false" customHeight="false" outlineLevel="0" collapsed="false">
      <c r="A3416" s="1" t="s">
        <v>3837</v>
      </c>
      <c r="C3416" s="1" t="s">
        <v>3838</v>
      </c>
      <c r="D3416" s="1" t="s">
        <v>14</v>
      </c>
      <c r="E3416" s="1" t="s">
        <v>3379</v>
      </c>
      <c r="F3416" s="1" t="s">
        <v>3380</v>
      </c>
      <c r="G3416" s="1" t="s">
        <v>3379</v>
      </c>
      <c r="H3416" s="2" t="s">
        <v>3440</v>
      </c>
      <c r="I3416" s="1" t="s">
        <v>3441</v>
      </c>
      <c r="J3416" s="1" t="s">
        <v>52</v>
      </c>
      <c r="K3416" s="1" t="s">
        <v>3440</v>
      </c>
      <c r="L3416" s="36" t="s">
        <v>69</v>
      </c>
      <c r="M3416" s="1" t="s">
        <v>69</v>
      </c>
      <c r="N3416" s="1" t="s">
        <v>1935</v>
      </c>
      <c r="O3416" s="1" t="s">
        <v>46</v>
      </c>
      <c r="P3416" s="1" t="s">
        <v>46</v>
      </c>
      <c r="Q3416" s="1" t="s">
        <v>46</v>
      </c>
      <c r="R3416" s="1" t="s">
        <v>46</v>
      </c>
      <c r="S3416" s="1" t="s">
        <v>46</v>
      </c>
      <c r="T3416" s="1" t="s">
        <v>46</v>
      </c>
      <c r="U3416" s="1" t="s">
        <v>46</v>
      </c>
      <c r="W3416" s="1" t="s">
        <v>46</v>
      </c>
      <c r="X3416" s="1" t="s">
        <v>2640</v>
      </c>
      <c r="Y3416" s="1" t="n">
        <v>5500</v>
      </c>
    </row>
    <row r="3417" customFormat="false" ht="13.8" hidden="false" customHeight="false" outlineLevel="0" collapsed="false">
      <c r="A3417" s="1" t="s">
        <v>3837</v>
      </c>
      <c r="C3417" s="1" t="s">
        <v>3838</v>
      </c>
      <c r="D3417" s="1" t="s">
        <v>14</v>
      </c>
      <c r="E3417" s="1" t="s">
        <v>3379</v>
      </c>
      <c r="F3417" s="1" t="s">
        <v>3380</v>
      </c>
      <c r="G3417" s="1" t="s">
        <v>3379</v>
      </c>
      <c r="H3417" s="2" t="s">
        <v>3442</v>
      </c>
      <c r="I3417" s="1" t="s">
        <v>3443</v>
      </c>
      <c r="J3417" s="1" t="s">
        <v>52</v>
      </c>
      <c r="K3417" s="1" t="s">
        <v>3442</v>
      </c>
      <c r="L3417" s="36" t="s">
        <v>69</v>
      </c>
      <c r="M3417" s="1" t="s">
        <v>69</v>
      </c>
      <c r="N3417" s="1" t="s">
        <v>1935</v>
      </c>
      <c r="O3417" s="1" t="s">
        <v>46</v>
      </c>
      <c r="P3417" s="1" t="s">
        <v>46</v>
      </c>
      <c r="Q3417" s="1" t="s">
        <v>46</v>
      </c>
      <c r="R3417" s="1" t="s">
        <v>46</v>
      </c>
      <c r="S3417" s="1" t="s">
        <v>46</v>
      </c>
      <c r="T3417" s="1" t="s">
        <v>46</v>
      </c>
      <c r="U3417" s="1" t="s">
        <v>46</v>
      </c>
      <c r="W3417" s="1" t="s">
        <v>46</v>
      </c>
      <c r="X3417" s="1" t="s">
        <v>2640</v>
      </c>
      <c r="Y3417" s="1" t="n">
        <v>5500</v>
      </c>
    </row>
    <row r="3418" customFormat="false" ht="13.8" hidden="false" customHeight="false" outlineLevel="0" collapsed="false">
      <c r="A3418" s="1" t="s">
        <v>3837</v>
      </c>
      <c r="C3418" s="1" t="s">
        <v>3838</v>
      </c>
      <c r="D3418" s="1" t="s">
        <v>14</v>
      </c>
      <c r="E3418" s="1" t="s">
        <v>3379</v>
      </c>
      <c r="F3418" s="1" t="s">
        <v>3380</v>
      </c>
      <c r="G3418" s="1" t="s">
        <v>3379</v>
      </c>
      <c r="H3418" s="2" t="s">
        <v>3444</v>
      </c>
      <c r="I3418" s="1" t="s">
        <v>3445</v>
      </c>
      <c r="J3418" s="1" t="s">
        <v>52</v>
      </c>
      <c r="K3418" s="1" t="s">
        <v>3444</v>
      </c>
      <c r="L3418" s="36" t="s">
        <v>69</v>
      </c>
      <c r="M3418" s="1" t="s">
        <v>69</v>
      </c>
      <c r="N3418" s="1" t="s">
        <v>1935</v>
      </c>
      <c r="O3418" s="1" t="s">
        <v>46</v>
      </c>
      <c r="P3418" s="1" t="s">
        <v>46</v>
      </c>
      <c r="Q3418" s="1" t="s">
        <v>46</v>
      </c>
      <c r="R3418" s="1" t="s">
        <v>46</v>
      </c>
      <c r="S3418" s="1" t="s">
        <v>46</v>
      </c>
      <c r="T3418" s="1" t="s">
        <v>46</v>
      </c>
      <c r="U3418" s="1" t="s">
        <v>46</v>
      </c>
      <c r="W3418" s="1" t="s">
        <v>46</v>
      </c>
      <c r="X3418" s="1" t="s">
        <v>2640</v>
      </c>
      <c r="Y3418" s="1" t="n">
        <v>5500</v>
      </c>
    </row>
    <row r="3419" customFormat="false" ht="13.8" hidden="false" customHeight="false" outlineLevel="0" collapsed="false">
      <c r="A3419" s="1" t="s">
        <v>3837</v>
      </c>
      <c r="C3419" s="1" t="s">
        <v>3838</v>
      </c>
      <c r="D3419" s="1" t="s">
        <v>14</v>
      </c>
      <c r="E3419" s="1" t="s">
        <v>3379</v>
      </c>
      <c r="F3419" s="1" t="s">
        <v>3380</v>
      </c>
      <c r="G3419" s="1" t="s">
        <v>3379</v>
      </c>
      <c r="H3419" s="2" t="s">
        <v>3446</v>
      </c>
      <c r="I3419" s="1" t="s">
        <v>3447</v>
      </c>
      <c r="J3419" s="1" t="s">
        <v>52</v>
      </c>
      <c r="K3419" s="1" t="s">
        <v>3446</v>
      </c>
      <c r="L3419" s="36" t="s">
        <v>69</v>
      </c>
      <c r="M3419" s="1" t="s">
        <v>69</v>
      </c>
      <c r="N3419" s="1" t="s">
        <v>1935</v>
      </c>
      <c r="O3419" s="1" t="s">
        <v>46</v>
      </c>
      <c r="P3419" s="1" t="s">
        <v>46</v>
      </c>
      <c r="Q3419" s="1" t="s">
        <v>46</v>
      </c>
      <c r="R3419" s="1" t="s">
        <v>46</v>
      </c>
      <c r="S3419" s="1" t="s">
        <v>46</v>
      </c>
      <c r="T3419" s="1" t="s">
        <v>46</v>
      </c>
      <c r="U3419" s="1" t="s">
        <v>46</v>
      </c>
      <c r="W3419" s="1" t="s">
        <v>46</v>
      </c>
      <c r="X3419" s="1" t="s">
        <v>2640</v>
      </c>
      <c r="Y3419" s="1" t="n">
        <v>5500</v>
      </c>
    </row>
    <row r="3420" customFormat="false" ht="13.8" hidden="false" customHeight="false" outlineLevel="0" collapsed="false">
      <c r="A3420" s="1" t="s">
        <v>3837</v>
      </c>
      <c r="C3420" s="1" t="s">
        <v>3838</v>
      </c>
      <c r="D3420" s="1" t="s">
        <v>14</v>
      </c>
      <c r="E3420" s="1" t="s">
        <v>3379</v>
      </c>
      <c r="F3420" s="1" t="s">
        <v>3380</v>
      </c>
      <c r="G3420" s="1" t="s">
        <v>3379</v>
      </c>
      <c r="H3420" s="2" t="s">
        <v>3448</v>
      </c>
      <c r="I3420" s="1" t="s">
        <v>3449</v>
      </c>
      <c r="J3420" s="1" t="s">
        <v>52</v>
      </c>
      <c r="K3420" s="1" t="s">
        <v>3448</v>
      </c>
      <c r="L3420" s="36" t="s">
        <v>69</v>
      </c>
      <c r="M3420" s="1" t="s">
        <v>69</v>
      </c>
      <c r="N3420" s="1" t="s">
        <v>1935</v>
      </c>
      <c r="O3420" s="1" t="s">
        <v>46</v>
      </c>
      <c r="P3420" s="1" t="s">
        <v>46</v>
      </c>
      <c r="Q3420" s="1" t="s">
        <v>46</v>
      </c>
      <c r="R3420" s="1" t="s">
        <v>46</v>
      </c>
      <c r="S3420" s="1" t="s">
        <v>46</v>
      </c>
      <c r="T3420" s="1" t="s">
        <v>46</v>
      </c>
      <c r="U3420" s="1" t="s">
        <v>46</v>
      </c>
      <c r="W3420" s="1" t="s">
        <v>46</v>
      </c>
      <c r="X3420" s="1" t="s">
        <v>2640</v>
      </c>
      <c r="Y3420" s="1" t="n">
        <v>5500</v>
      </c>
    </row>
    <row r="3421" customFormat="false" ht="13.8" hidden="false" customHeight="false" outlineLevel="0" collapsed="false">
      <c r="A3421" s="1" t="s">
        <v>3837</v>
      </c>
      <c r="C3421" s="1" t="s">
        <v>3838</v>
      </c>
      <c r="D3421" s="1" t="s">
        <v>14</v>
      </c>
      <c r="E3421" s="1" t="s">
        <v>3379</v>
      </c>
      <c r="F3421" s="1" t="s">
        <v>3380</v>
      </c>
      <c r="G3421" s="1" t="s">
        <v>3379</v>
      </c>
      <c r="H3421" s="2" t="s">
        <v>3450</v>
      </c>
      <c r="I3421" s="1" t="s">
        <v>3451</v>
      </c>
      <c r="J3421" s="1" t="s">
        <v>52</v>
      </c>
      <c r="K3421" s="1" t="s">
        <v>3450</v>
      </c>
      <c r="L3421" s="36" t="s">
        <v>69</v>
      </c>
      <c r="M3421" s="1" t="s">
        <v>69</v>
      </c>
      <c r="N3421" s="1" t="s">
        <v>1935</v>
      </c>
      <c r="O3421" s="1" t="s">
        <v>46</v>
      </c>
      <c r="P3421" s="1" t="s">
        <v>46</v>
      </c>
      <c r="Q3421" s="1" t="s">
        <v>46</v>
      </c>
      <c r="R3421" s="1" t="s">
        <v>46</v>
      </c>
      <c r="S3421" s="1" t="s">
        <v>46</v>
      </c>
      <c r="T3421" s="1" t="s">
        <v>46</v>
      </c>
      <c r="U3421" s="1" t="s">
        <v>46</v>
      </c>
      <c r="W3421" s="1" t="s">
        <v>46</v>
      </c>
      <c r="X3421" s="1" t="s">
        <v>2640</v>
      </c>
      <c r="Y3421" s="1" t="n">
        <v>5500</v>
      </c>
    </row>
    <row r="3422" customFormat="false" ht="13.8" hidden="false" customHeight="false" outlineLevel="0" collapsed="false">
      <c r="A3422" s="1" t="s">
        <v>3837</v>
      </c>
      <c r="C3422" s="1" t="s">
        <v>3838</v>
      </c>
      <c r="D3422" s="1" t="s">
        <v>14</v>
      </c>
      <c r="E3422" s="1" t="s">
        <v>3379</v>
      </c>
      <c r="F3422" s="1" t="s">
        <v>3380</v>
      </c>
      <c r="G3422" s="1" t="s">
        <v>3379</v>
      </c>
      <c r="H3422" s="2" t="s">
        <v>3452</v>
      </c>
      <c r="I3422" s="1" t="s">
        <v>3453</v>
      </c>
      <c r="J3422" s="1" t="s">
        <v>52</v>
      </c>
      <c r="K3422" s="1" t="s">
        <v>3452</v>
      </c>
      <c r="L3422" s="36" t="s">
        <v>69</v>
      </c>
      <c r="M3422" s="1" t="s">
        <v>69</v>
      </c>
      <c r="N3422" s="1" t="s">
        <v>1935</v>
      </c>
      <c r="O3422" s="1" t="s">
        <v>46</v>
      </c>
      <c r="P3422" s="1" t="s">
        <v>46</v>
      </c>
      <c r="Q3422" s="1" t="s">
        <v>46</v>
      </c>
      <c r="R3422" s="1" t="s">
        <v>46</v>
      </c>
      <c r="S3422" s="1" t="s">
        <v>46</v>
      </c>
      <c r="T3422" s="1" t="s">
        <v>46</v>
      </c>
      <c r="U3422" s="1" t="s">
        <v>46</v>
      </c>
      <c r="W3422" s="1" t="s">
        <v>46</v>
      </c>
      <c r="X3422" s="1" t="s">
        <v>2640</v>
      </c>
      <c r="Y3422" s="1" t="n">
        <v>5500</v>
      </c>
    </row>
    <row r="3423" customFormat="false" ht="13.8" hidden="false" customHeight="false" outlineLevel="0" collapsed="false">
      <c r="A3423" s="1" t="s">
        <v>3837</v>
      </c>
      <c r="C3423" s="1" t="s">
        <v>3838</v>
      </c>
      <c r="D3423" s="1" t="s">
        <v>14</v>
      </c>
      <c r="E3423" s="1" t="s">
        <v>3379</v>
      </c>
      <c r="F3423" s="1" t="s">
        <v>3380</v>
      </c>
      <c r="G3423" s="1" t="s">
        <v>3379</v>
      </c>
      <c r="H3423" s="2" t="s">
        <v>3454</v>
      </c>
      <c r="I3423" s="1" t="s">
        <v>3455</v>
      </c>
      <c r="J3423" s="1" t="s">
        <v>52</v>
      </c>
      <c r="K3423" s="1" t="s">
        <v>3454</v>
      </c>
      <c r="L3423" s="36" t="s">
        <v>69</v>
      </c>
      <c r="M3423" s="1" t="s">
        <v>69</v>
      </c>
      <c r="N3423" s="1" t="s">
        <v>1935</v>
      </c>
      <c r="O3423" s="1" t="s">
        <v>46</v>
      </c>
      <c r="P3423" s="1" t="s">
        <v>46</v>
      </c>
      <c r="Q3423" s="1" t="s">
        <v>46</v>
      </c>
      <c r="R3423" s="1" t="s">
        <v>46</v>
      </c>
      <c r="S3423" s="1" t="s">
        <v>46</v>
      </c>
      <c r="T3423" s="1" t="s">
        <v>46</v>
      </c>
      <c r="U3423" s="1" t="s">
        <v>46</v>
      </c>
      <c r="W3423" s="1" t="s">
        <v>46</v>
      </c>
      <c r="X3423" s="1" t="s">
        <v>2640</v>
      </c>
      <c r="Y3423" s="1" t="n">
        <v>5500</v>
      </c>
    </row>
    <row r="3424" customFormat="false" ht="13.8" hidden="false" customHeight="false" outlineLevel="0" collapsed="false">
      <c r="A3424" s="1" t="s">
        <v>3837</v>
      </c>
      <c r="C3424" s="1" t="s">
        <v>3838</v>
      </c>
      <c r="D3424" s="1" t="s">
        <v>14</v>
      </c>
      <c r="E3424" s="1" t="s">
        <v>3379</v>
      </c>
      <c r="F3424" s="1" t="s">
        <v>3380</v>
      </c>
      <c r="G3424" s="1" t="s">
        <v>3379</v>
      </c>
      <c r="H3424" s="2" t="s">
        <v>3456</v>
      </c>
      <c r="I3424" s="1" t="s">
        <v>3457</v>
      </c>
      <c r="J3424" s="1" t="s">
        <v>52</v>
      </c>
      <c r="K3424" s="1" t="s">
        <v>3456</v>
      </c>
      <c r="L3424" s="36" t="s">
        <v>69</v>
      </c>
      <c r="M3424" s="1" t="s">
        <v>69</v>
      </c>
      <c r="N3424" s="1" t="s">
        <v>1935</v>
      </c>
      <c r="O3424" s="1" t="s">
        <v>46</v>
      </c>
      <c r="P3424" s="1" t="s">
        <v>46</v>
      </c>
      <c r="Q3424" s="1" t="s">
        <v>46</v>
      </c>
      <c r="R3424" s="1" t="s">
        <v>46</v>
      </c>
      <c r="S3424" s="1" t="s">
        <v>46</v>
      </c>
      <c r="T3424" s="1" t="s">
        <v>46</v>
      </c>
      <c r="U3424" s="1" t="s">
        <v>46</v>
      </c>
      <c r="W3424" s="1" t="s">
        <v>46</v>
      </c>
      <c r="X3424" s="1" t="s">
        <v>2640</v>
      </c>
      <c r="Y3424" s="1" t="n">
        <v>5500</v>
      </c>
    </row>
    <row r="3425" customFormat="false" ht="13.8" hidden="false" customHeight="false" outlineLevel="0" collapsed="false">
      <c r="A3425" s="1" t="s">
        <v>3837</v>
      </c>
      <c r="C3425" s="1" t="s">
        <v>3838</v>
      </c>
      <c r="D3425" s="1" t="s">
        <v>14</v>
      </c>
      <c r="E3425" s="1" t="s">
        <v>3379</v>
      </c>
      <c r="F3425" s="1" t="s">
        <v>3380</v>
      </c>
      <c r="G3425" s="1" t="s">
        <v>3379</v>
      </c>
      <c r="H3425" s="2" t="s">
        <v>3458</v>
      </c>
      <c r="I3425" s="1" t="s">
        <v>3459</v>
      </c>
      <c r="J3425" s="1" t="s">
        <v>52</v>
      </c>
      <c r="K3425" s="1" t="s">
        <v>3458</v>
      </c>
      <c r="L3425" s="36" t="s">
        <v>69</v>
      </c>
      <c r="M3425" s="1" t="s">
        <v>69</v>
      </c>
      <c r="N3425" s="1" t="s">
        <v>1935</v>
      </c>
      <c r="O3425" s="1" t="s">
        <v>46</v>
      </c>
      <c r="P3425" s="1" t="s">
        <v>46</v>
      </c>
      <c r="Q3425" s="1" t="s">
        <v>46</v>
      </c>
      <c r="R3425" s="1" t="s">
        <v>46</v>
      </c>
      <c r="S3425" s="1" t="s">
        <v>46</v>
      </c>
      <c r="T3425" s="1" t="s">
        <v>46</v>
      </c>
      <c r="U3425" s="1" t="s">
        <v>46</v>
      </c>
      <c r="W3425" s="1" t="s">
        <v>46</v>
      </c>
      <c r="X3425" s="1" t="s">
        <v>2640</v>
      </c>
      <c r="Y3425" s="1" t="n">
        <v>5500</v>
      </c>
    </row>
    <row r="3426" customFormat="false" ht="13.8" hidden="false" customHeight="false" outlineLevel="0" collapsed="false">
      <c r="A3426" s="1" t="s">
        <v>3837</v>
      </c>
      <c r="C3426" s="1" t="s">
        <v>3838</v>
      </c>
      <c r="D3426" s="1" t="s">
        <v>14</v>
      </c>
      <c r="E3426" s="1" t="s">
        <v>3379</v>
      </c>
      <c r="F3426" s="1" t="s">
        <v>3380</v>
      </c>
      <c r="G3426" s="1" t="s">
        <v>3379</v>
      </c>
      <c r="H3426" s="2" t="s">
        <v>3460</v>
      </c>
      <c r="I3426" s="1" t="s">
        <v>3461</v>
      </c>
      <c r="J3426" s="1" t="s">
        <v>52</v>
      </c>
      <c r="K3426" s="1" t="s">
        <v>3460</v>
      </c>
      <c r="L3426" s="36" t="s">
        <v>69</v>
      </c>
      <c r="M3426" s="1" t="s">
        <v>69</v>
      </c>
      <c r="N3426" s="1" t="s">
        <v>1935</v>
      </c>
      <c r="O3426" s="1" t="s">
        <v>46</v>
      </c>
      <c r="P3426" s="1" t="s">
        <v>46</v>
      </c>
      <c r="Q3426" s="1" t="s">
        <v>46</v>
      </c>
      <c r="R3426" s="1" t="s">
        <v>46</v>
      </c>
      <c r="S3426" s="1" t="s">
        <v>46</v>
      </c>
      <c r="T3426" s="1" t="s">
        <v>46</v>
      </c>
      <c r="U3426" s="1" t="s">
        <v>46</v>
      </c>
      <c r="W3426" s="1" t="s">
        <v>46</v>
      </c>
      <c r="X3426" s="1" t="s">
        <v>2640</v>
      </c>
      <c r="Y3426" s="1" t="n">
        <v>5500</v>
      </c>
    </row>
    <row r="3427" customFormat="false" ht="13.8" hidden="false" customHeight="false" outlineLevel="0" collapsed="false">
      <c r="A3427" s="1" t="s">
        <v>3837</v>
      </c>
      <c r="C3427" s="1" t="s">
        <v>3838</v>
      </c>
      <c r="D3427" s="1" t="s">
        <v>14</v>
      </c>
      <c r="E3427" s="1" t="s">
        <v>3379</v>
      </c>
      <c r="F3427" s="1" t="s">
        <v>3380</v>
      </c>
      <c r="G3427" s="1" t="s">
        <v>3379</v>
      </c>
      <c r="H3427" s="2" t="s">
        <v>3462</v>
      </c>
      <c r="I3427" s="1" t="s">
        <v>3463</v>
      </c>
      <c r="J3427" s="1" t="s">
        <v>52</v>
      </c>
      <c r="K3427" s="1" t="s">
        <v>3462</v>
      </c>
      <c r="L3427" s="36" t="s">
        <v>69</v>
      </c>
      <c r="M3427" s="1" t="s">
        <v>69</v>
      </c>
      <c r="N3427" s="1" t="s">
        <v>1935</v>
      </c>
      <c r="O3427" s="1" t="s">
        <v>46</v>
      </c>
      <c r="P3427" s="1" t="s">
        <v>46</v>
      </c>
      <c r="Q3427" s="1" t="s">
        <v>46</v>
      </c>
      <c r="R3427" s="1" t="s">
        <v>46</v>
      </c>
      <c r="S3427" s="1" t="s">
        <v>46</v>
      </c>
      <c r="T3427" s="1" t="s">
        <v>46</v>
      </c>
      <c r="U3427" s="1" t="s">
        <v>46</v>
      </c>
      <c r="W3427" s="1" t="s">
        <v>46</v>
      </c>
      <c r="X3427" s="1" t="s">
        <v>2640</v>
      </c>
      <c r="Y3427" s="1" t="n">
        <v>5500</v>
      </c>
    </row>
    <row r="3428" customFormat="false" ht="13.8" hidden="false" customHeight="false" outlineLevel="0" collapsed="false">
      <c r="A3428" s="1" t="s">
        <v>3837</v>
      </c>
      <c r="C3428" s="1" t="s">
        <v>3838</v>
      </c>
      <c r="D3428" s="1" t="s">
        <v>14</v>
      </c>
      <c r="E3428" s="1" t="s">
        <v>3379</v>
      </c>
      <c r="F3428" s="1" t="s">
        <v>3380</v>
      </c>
      <c r="G3428" s="1" t="s">
        <v>3379</v>
      </c>
      <c r="H3428" s="2" t="s">
        <v>3464</v>
      </c>
      <c r="I3428" s="1" t="s">
        <v>3465</v>
      </c>
      <c r="J3428" s="1" t="s">
        <v>52</v>
      </c>
      <c r="K3428" s="1" t="s">
        <v>3464</v>
      </c>
      <c r="L3428" s="36" t="s">
        <v>69</v>
      </c>
      <c r="M3428" s="1" t="s">
        <v>69</v>
      </c>
      <c r="N3428" s="1" t="s">
        <v>1935</v>
      </c>
      <c r="O3428" s="1" t="s">
        <v>46</v>
      </c>
      <c r="P3428" s="1" t="s">
        <v>46</v>
      </c>
      <c r="Q3428" s="1" t="s">
        <v>46</v>
      </c>
      <c r="R3428" s="1" t="s">
        <v>46</v>
      </c>
      <c r="S3428" s="1" t="s">
        <v>46</v>
      </c>
      <c r="T3428" s="1" t="s">
        <v>46</v>
      </c>
      <c r="U3428" s="1" t="s">
        <v>46</v>
      </c>
      <c r="W3428" s="1" t="s">
        <v>46</v>
      </c>
      <c r="X3428" s="1" t="s">
        <v>2640</v>
      </c>
      <c r="Y3428" s="1" t="n">
        <v>5500</v>
      </c>
    </row>
    <row r="3429" customFormat="false" ht="13.8" hidden="false" customHeight="false" outlineLevel="0" collapsed="false">
      <c r="A3429" s="1" t="s">
        <v>3837</v>
      </c>
      <c r="C3429" s="1" t="s">
        <v>3838</v>
      </c>
      <c r="D3429" s="1" t="s">
        <v>14</v>
      </c>
      <c r="E3429" s="1" t="s">
        <v>3379</v>
      </c>
      <c r="F3429" s="1" t="s">
        <v>3380</v>
      </c>
      <c r="G3429" s="1" t="s">
        <v>3379</v>
      </c>
      <c r="H3429" s="2" t="s">
        <v>3466</v>
      </c>
      <c r="I3429" s="1" t="s">
        <v>3467</v>
      </c>
      <c r="J3429" s="1" t="s">
        <v>52</v>
      </c>
      <c r="K3429" s="1" t="s">
        <v>3466</v>
      </c>
      <c r="L3429" s="36" t="s">
        <v>69</v>
      </c>
      <c r="M3429" s="1" t="s">
        <v>69</v>
      </c>
      <c r="N3429" s="1" t="s">
        <v>3468</v>
      </c>
      <c r="O3429" s="1" t="s">
        <v>46</v>
      </c>
      <c r="P3429" s="1" t="s">
        <v>46</v>
      </c>
      <c r="Q3429" s="1" t="s">
        <v>46</v>
      </c>
      <c r="R3429" s="1" t="s">
        <v>46</v>
      </c>
      <c r="S3429" s="1" t="s">
        <v>46</v>
      </c>
      <c r="T3429" s="1" t="s">
        <v>46</v>
      </c>
      <c r="U3429" s="1" t="s">
        <v>46</v>
      </c>
      <c r="W3429" s="1" t="s">
        <v>46</v>
      </c>
      <c r="X3429" s="1" t="s">
        <v>2640</v>
      </c>
      <c r="Y3429" s="1" t="n">
        <v>5500</v>
      </c>
    </row>
    <row r="3430" customFormat="false" ht="13.8" hidden="false" customHeight="false" outlineLevel="0" collapsed="false">
      <c r="A3430" s="1" t="s">
        <v>3837</v>
      </c>
      <c r="C3430" s="1" t="s">
        <v>3838</v>
      </c>
      <c r="D3430" s="1" t="s">
        <v>14</v>
      </c>
      <c r="E3430" s="1" t="s">
        <v>3379</v>
      </c>
      <c r="F3430" s="1" t="s">
        <v>3380</v>
      </c>
      <c r="G3430" s="1" t="s">
        <v>3379</v>
      </c>
      <c r="H3430" s="2" t="s">
        <v>3469</v>
      </c>
      <c r="I3430" s="1" t="s">
        <v>3470</v>
      </c>
      <c r="J3430" s="1" t="s">
        <v>52</v>
      </c>
      <c r="K3430" s="1" t="s">
        <v>3469</v>
      </c>
      <c r="L3430" s="36" t="s">
        <v>69</v>
      </c>
      <c r="M3430" s="1" t="s">
        <v>69</v>
      </c>
      <c r="N3430" s="1" t="s">
        <v>3468</v>
      </c>
      <c r="O3430" s="1" t="s">
        <v>46</v>
      </c>
      <c r="P3430" s="1" t="s">
        <v>46</v>
      </c>
      <c r="Q3430" s="1" t="s">
        <v>46</v>
      </c>
      <c r="R3430" s="1" t="s">
        <v>46</v>
      </c>
      <c r="S3430" s="1" t="s">
        <v>46</v>
      </c>
      <c r="T3430" s="1" t="s">
        <v>46</v>
      </c>
      <c r="U3430" s="1" t="s">
        <v>46</v>
      </c>
      <c r="W3430" s="1" t="s">
        <v>46</v>
      </c>
      <c r="X3430" s="1" t="s">
        <v>2640</v>
      </c>
      <c r="Y3430" s="1" t="n">
        <v>5500</v>
      </c>
    </row>
    <row r="3431" customFormat="false" ht="13.8" hidden="false" customHeight="false" outlineLevel="0" collapsed="false">
      <c r="A3431" s="1" t="s">
        <v>3837</v>
      </c>
      <c r="C3431" s="1" t="s">
        <v>3838</v>
      </c>
      <c r="D3431" s="1" t="s">
        <v>14</v>
      </c>
      <c r="E3431" s="1" t="s">
        <v>3379</v>
      </c>
      <c r="F3431" s="1" t="s">
        <v>3380</v>
      </c>
      <c r="G3431" s="1" t="s">
        <v>3379</v>
      </c>
      <c r="H3431" s="2" t="s">
        <v>3471</v>
      </c>
      <c r="I3431" s="1" t="s">
        <v>3472</v>
      </c>
      <c r="J3431" s="1" t="s">
        <v>52</v>
      </c>
      <c r="K3431" s="1" t="s">
        <v>3471</v>
      </c>
      <c r="L3431" s="36" t="s">
        <v>69</v>
      </c>
      <c r="M3431" s="1" t="s">
        <v>69</v>
      </c>
      <c r="N3431" s="1" t="s">
        <v>3468</v>
      </c>
      <c r="O3431" s="1" t="s">
        <v>46</v>
      </c>
      <c r="P3431" s="1" t="s">
        <v>46</v>
      </c>
      <c r="Q3431" s="1" t="s">
        <v>46</v>
      </c>
      <c r="R3431" s="1" t="s">
        <v>46</v>
      </c>
      <c r="S3431" s="1" t="s">
        <v>46</v>
      </c>
      <c r="T3431" s="1" t="s">
        <v>46</v>
      </c>
      <c r="U3431" s="1" t="s">
        <v>46</v>
      </c>
      <c r="W3431" s="1" t="s">
        <v>46</v>
      </c>
      <c r="X3431" s="1" t="s">
        <v>2640</v>
      </c>
      <c r="Y3431" s="1" t="n">
        <v>5500</v>
      </c>
    </row>
    <row r="3432" customFormat="false" ht="13.8" hidden="false" customHeight="false" outlineLevel="0" collapsed="false">
      <c r="A3432" s="1" t="s">
        <v>3837</v>
      </c>
      <c r="C3432" s="1" t="s">
        <v>3838</v>
      </c>
      <c r="D3432" s="1" t="s">
        <v>14</v>
      </c>
      <c r="E3432" s="1" t="s">
        <v>3379</v>
      </c>
      <c r="F3432" s="1" t="s">
        <v>3380</v>
      </c>
      <c r="G3432" s="1" t="s">
        <v>3379</v>
      </c>
      <c r="H3432" s="2" t="s">
        <v>3473</v>
      </c>
      <c r="I3432" s="1" t="s">
        <v>3474</v>
      </c>
      <c r="J3432" s="1" t="s">
        <v>52</v>
      </c>
      <c r="K3432" s="1" t="s">
        <v>3473</v>
      </c>
      <c r="L3432" s="36" t="s">
        <v>69</v>
      </c>
      <c r="M3432" s="1" t="s">
        <v>69</v>
      </c>
      <c r="N3432" s="1" t="s">
        <v>3468</v>
      </c>
      <c r="O3432" s="1" t="s">
        <v>46</v>
      </c>
      <c r="P3432" s="1" t="s">
        <v>46</v>
      </c>
      <c r="Q3432" s="1" t="s">
        <v>46</v>
      </c>
      <c r="R3432" s="1" t="s">
        <v>46</v>
      </c>
      <c r="S3432" s="1" t="s">
        <v>46</v>
      </c>
      <c r="T3432" s="1" t="s">
        <v>46</v>
      </c>
      <c r="U3432" s="1" t="s">
        <v>46</v>
      </c>
      <c r="W3432" s="1" t="s">
        <v>46</v>
      </c>
      <c r="X3432" s="1" t="s">
        <v>2640</v>
      </c>
      <c r="Y3432" s="1" t="n">
        <v>5500</v>
      </c>
    </row>
    <row r="3433" customFormat="false" ht="13.8" hidden="false" customHeight="false" outlineLevel="0" collapsed="false">
      <c r="A3433" s="1" t="s">
        <v>3837</v>
      </c>
      <c r="C3433" s="1" t="s">
        <v>3838</v>
      </c>
      <c r="D3433" s="1" t="s">
        <v>14</v>
      </c>
      <c r="E3433" s="1" t="s">
        <v>3379</v>
      </c>
      <c r="F3433" s="1" t="s">
        <v>3380</v>
      </c>
      <c r="G3433" s="1" t="s">
        <v>3379</v>
      </c>
      <c r="H3433" s="2" t="s">
        <v>3475</v>
      </c>
      <c r="I3433" s="1" t="s">
        <v>3476</v>
      </c>
      <c r="J3433" s="1" t="s">
        <v>52</v>
      </c>
      <c r="K3433" s="1" t="s">
        <v>3475</v>
      </c>
      <c r="L3433" s="36" t="s">
        <v>69</v>
      </c>
      <c r="M3433" s="1" t="s">
        <v>69</v>
      </c>
      <c r="N3433" s="1" t="s">
        <v>3468</v>
      </c>
      <c r="O3433" s="1" t="s">
        <v>46</v>
      </c>
      <c r="P3433" s="1" t="s">
        <v>46</v>
      </c>
      <c r="Q3433" s="1" t="s">
        <v>46</v>
      </c>
      <c r="R3433" s="1" t="s">
        <v>46</v>
      </c>
      <c r="S3433" s="1" t="s">
        <v>46</v>
      </c>
      <c r="T3433" s="1" t="s">
        <v>46</v>
      </c>
      <c r="U3433" s="1" t="s">
        <v>46</v>
      </c>
      <c r="W3433" s="1" t="s">
        <v>46</v>
      </c>
      <c r="X3433" s="1" t="s">
        <v>2640</v>
      </c>
      <c r="Y3433" s="1" t="n">
        <v>5500</v>
      </c>
    </row>
    <row r="3434" customFormat="false" ht="13.8" hidden="false" customHeight="false" outlineLevel="0" collapsed="false">
      <c r="A3434" s="1" t="s">
        <v>3837</v>
      </c>
      <c r="C3434" s="1" t="s">
        <v>3838</v>
      </c>
      <c r="D3434" s="1" t="s">
        <v>14</v>
      </c>
      <c r="E3434" s="1" t="s">
        <v>3379</v>
      </c>
      <c r="F3434" s="1" t="s">
        <v>3380</v>
      </c>
      <c r="G3434" s="1" t="s">
        <v>3379</v>
      </c>
      <c r="H3434" s="2" t="s">
        <v>3477</v>
      </c>
      <c r="I3434" s="1" t="s">
        <v>3478</v>
      </c>
      <c r="J3434" s="1" t="s">
        <v>52</v>
      </c>
      <c r="K3434" s="1" t="s">
        <v>3477</v>
      </c>
      <c r="L3434" s="36" t="s">
        <v>69</v>
      </c>
      <c r="M3434" s="1" t="s">
        <v>69</v>
      </c>
      <c r="N3434" s="1" t="s">
        <v>3468</v>
      </c>
      <c r="O3434" s="1" t="s">
        <v>46</v>
      </c>
      <c r="P3434" s="1" t="s">
        <v>46</v>
      </c>
      <c r="Q3434" s="1" t="s">
        <v>46</v>
      </c>
      <c r="R3434" s="1" t="s">
        <v>46</v>
      </c>
      <c r="S3434" s="1" t="s">
        <v>46</v>
      </c>
      <c r="T3434" s="1" t="s">
        <v>46</v>
      </c>
      <c r="U3434" s="1" t="s">
        <v>46</v>
      </c>
      <c r="W3434" s="1" t="s">
        <v>46</v>
      </c>
      <c r="X3434" s="1" t="s">
        <v>2640</v>
      </c>
      <c r="Y3434" s="1" t="n">
        <v>5500</v>
      </c>
    </row>
    <row r="3435" customFormat="false" ht="13.8" hidden="false" customHeight="false" outlineLevel="0" collapsed="false">
      <c r="A3435" s="1" t="s">
        <v>3837</v>
      </c>
      <c r="C3435" s="1" t="s">
        <v>3838</v>
      </c>
      <c r="D3435" s="1" t="s">
        <v>14</v>
      </c>
      <c r="E3435" s="1" t="s">
        <v>3379</v>
      </c>
      <c r="F3435" s="1" t="s">
        <v>3380</v>
      </c>
      <c r="G3435" s="1" t="s">
        <v>3379</v>
      </c>
      <c r="H3435" s="2" t="s">
        <v>3479</v>
      </c>
      <c r="I3435" s="1" t="s">
        <v>3480</v>
      </c>
      <c r="J3435" s="1" t="s">
        <v>52</v>
      </c>
      <c r="K3435" s="1" t="s">
        <v>3479</v>
      </c>
      <c r="L3435" s="36" t="s">
        <v>69</v>
      </c>
      <c r="M3435" s="1" t="s">
        <v>69</v>
      </c>
      <c r="N3435" s="1" t="s">
        <v>3468</v>
      </c>
      <c r="O3435" s="1" t="s">
        <v>46</v>
      </c>
      <c r="P3435" s="1" t="s">
        <v>46</v>
      </c>
      <c r="Q3435" s="1" t="s">
        <v>46</v>
      </c>
      <c r="R3435" s="1" t="s">
        <v>46</v>
      </c>
      <c r="S3435" s="1" t="s">
        <v>46</v>
      </c>
      <c r="T3435" s="1" t="s">
        <v>46</v>
      </c>
      <c r="U3435" s="1" t="s">
        <v>46</v>
      </c>
      <c r="W3435" s="1" t="s">
        <v>46</v>
      </c>
      <c r="X3435" s="1" t="s">
        <v>2640</v>
      </c>
      <c r="Y3435" s="1" t="n">
        <v>5500</v>
      </c>
    </row>
    <row r="3436" customFormat="false" ht="13.8" hidden="false" customHeight="false" outlineLevel="0" collapsed="false">
      <c r="A3436" s="1" t="s">
        <v>3837</v>
      </c>
      <c r="C3436" s="1" t="s">
        <v>3838</v>
      </c>
      <c r="D3436" s="1" t="s">
        <v>14</v>
      </c>
      <c r="E3436" s="1" t="s">
        <v>3379</v>
      </c>
      <c r="F3436" s="1" t="s">
        <v>3380</v>
      </c>
      <c r="G3436" s="1" t="s">
        <v>3379</v>
      </c>
      <c r="H3436" s="2" t="s">
        <v>3481</v>
      </c>
      <c r="I3436" s="1" t="s">
        <v>3482</v>
      </c>
      <c r="J3436" s="1" t="s">
        <v>52</v>
      </c>
      <c r="K3436" s="1" t="s">
        <v>3481</v>
      </c>
      <c r="L3436" s="36" t="s">
        <v>69</v>
      </c>
      <c r="M3436" s="1" t="s">
        <v>69</v>
      </c>
      <c r="N3436" s="1" t="s">
        <v>3468</v>
      </c>
      <c r="O3436" s="1" t="s">
        <v>46</v>
      </c>
      <c r="P3436" s="1" t="s">
        <v>46</v>
      </c>
      <c r="Q3436" s="1" t="s">
        <v>46</v>
      </c>
      <c r="R3436" s="1" t="s">
        <v>46</v>
      </c>
      <c r="S3436" s="1" t="s">
        <v>46</v>
      </c>
      <c r="T3436" s="1" t="s">
        <v>46</v>
      </c>
      <c r="U3436" s="1" t="s">
        <v>46</v>
      </c>
      <c r="W3436" s="1" t="s">
        <v>46</v>
      </c>
      <c r="X3436" s="1" t="s">
        <v>2640</v>
      </c>
      <c r="Y3436" s="1" t="n">
        <v>5500</v>
      </c>
    </row>
    <row r="3437" customFormat="false" ht="13.8" hidden="false" customHeight="false" outlineLevel="0" collapsed="false">
      <c r="A3437" s="1" t="s">
        <v>3837</v>
      </c>
      <c r="C3437" s="1" t="s">
        <v>3838</v>
      </c>
      <c r="D3437" s="1" t="s">
        <v>14</v>
      </c>
      <c r="E3437" s="1" t="s">
        <v>3379</v>
      </c>
      <c r="F3437" s="1" t="s">
        <v>3380</v>
      </c>
      <c r="G3437" s="1" t="s">
        <v>3379</v>
      </c>
      <c r="H3437" s="2" t="s">
        <v>3483</v>
      </c>
      <c r="I3437" s="1" t="s">
        <v>3484</v>
      </c>
      <c r="J3437" s="1" t="s">
        <v>52</v>
      </c>
      <c r="K3437" s="1" t="s">
        <v>3483</v>
      </c>
      <c r="L3437" s="36" t="s">
        <v>69</v>
      </c>
      <c r="M3437" s="1" t="s">
        <v>69</v>
      </c>
      <c r="N3437" s="1" t="s">
        <v>3468</v>
      </c>
      <c r="O3437" s="1" t="s">
        <v>46</v>
      </c>
      <c r="P3437" s="1" t="s">
        <v>46</v>
      </c>
      <c r="Q3437" s="1" t="s">
        <v>46</v>
      </c>
      <c r="R3437" s="1" t="s">
        <v>46</v>
      </c>
      <c r="S3437" s="1" t="s">
        <v>46</v>
      </c>
      <c r="T3437" s="1" t="s">
        <v>46</v>
      </c>
      <c r="U3437" s="1" t="s">
        <v>46</v>
      </c>
      <c r="W3437" s="1" t="s">
        <v>46</v>
      </c>
      <c r="X3437" s="1" t="s">
        <v>2640</v>
      </c>
      <c r="Y3437" s="1" t="n">
        <v>5500</v>
      </c>
    </row>
    <row r="3438" customFormat="false" ht="13.8" hidden="false" customHeight="false" outlineLevel="0" collapsed="false">
      <c r="A3438" s="1" t="s">
        <v>3837</v>
      </c>
      <c r="C3438" s="1" t="s">
        <v>3838</v>
      </c>
      <c r="D3438" s="1" t="s">
        <v>14</v>
      </c>
      <c r="E3438" s="1" t="s">
        <v>3379</v>
      </c>
      <c r="F3438" s="1" t="s">
        <v>3380</v>
      </c>
      <c r="G3438" s="1" t="s">
        <v>3379</v>
      </c>
      <c r="H3438" s="2" t="s">
        <v>3485</v>
      </c>
      <c r="I3438" s="1" t="s">
        <v>3486</v>
      </c>
      <c r="J3438" s="1" t="s">
        <v>52</v>
      </c>
      <c r="K3438" s="1" t="s">
        <v>3485</v>
      </c>
      <c r="L3438" s="36" t="s">
        <v>69</v>
      </c>
      <c r="M3438" s="1" t="s">
        <v>69</v>
      </c>
      <c r="N3438" s="1" t="s">
        <v>3468</v>
      </c>
      <c r="O3438" s="1" t="s">
        <v>46</v>
      </c>
      <c r="P3438" s="1" t="s">
        <v>46</v>
      </c>
      <c r="Q3438" s="1" t="s">
        <v>46</v>
      </c>
      <c r="R3438" s="1" t="s">
        <v>46</v>
      </c>
      <c r="S3438" s="1" t="s">
        <v>46</v>
      </c>
      <c r="T3438" s="1" t="s">
        <v>46</v>
      </c>
      <c r="U3438" s="1" t="s">
        <v>46</v>
      </c>
      <c r="W3438" s="1" t="s">
        <v>46</v>
      </c>
      <c r="X3438" s="1" t="s">
        <v>2640</v>
      </c>
      <c r="Y3438" s="1" t="n">
        <v>5500</v>
      </c>
    </row>
    <row r="3439" customFormat="false" ht="13.8" hidden="false" customHeight="false" outlineLevel="0" collapsed="false">
      <c r="A3439" s="1" t="s">
        <v>3837</v>
      </c>
      <c r="C3439" s="1" t="s">
        <v>3838</v>
      </c>
      <c r="D3439" s="1" t="s">
        <v>14</v>
      </c>
      <c r="E3439" s="1" t="s">
        <v>3379</v>
      </c>
      <c r="F3439" s="1" t="s">
        <v>3380</v>
      </c>
      <c r="G3439" s="1" t="s">
        <v>3379</v>
      </c>
      <c r="H3439" s="2" t="s">
        <v>3487</v>
      </c>
      <c r="I3439" s="1" t="s">
        <v>3488</v>
      </c>
      <c r="J3439" s="1" t="s">
        <v>52</v>
      </c>
      <c r="K3439" s="1" t="s">
        <v>3487</v>
      </c>
      <c r="L3439" s="36" t="s">
        <v>69</v>
      </c>
      <c r="M3439" s="1" t="s">
        <v>69</v>
      </c>
      <c r="N3439" s="1" t="s">
        <v>3468</v>
      </c>
      <c r="O3439" s="1" t="s">
        <v>46</v>
      </c>
      <c r="P3439" s="1" t="s">
        <v>46</v>
      </c>
      <c r="Q3439" s="1" t="s">
        <v>46</v>
      </c>
      <c r="R3439" s="1" t="s">
        <v>46</v>
      </c>
      <c r="S3439" s="1" t="s">
        <v>46</v>
      </c>
      <c r="T3439" s="1" t="s">
        <v>46</v>
      </c>
      <c r="U3439" s="1" t="s">
        <v>46</v>
      </c>
      <c r="W3439" s="1" t="s">
        <v>46</v>
      </c>
      <c r="X3439" s="1" t="s">
        <v>2640</v>
      </c>
      <c r="Y3439" s="1" t="n">
        <v>5500</v>
      </c>
    </row>
    <row r="3440" customFormat="false" ht="13.8" hidden="false" customHeight="false" outlineLevel="0" collapsed="false">
      <c r="A3440" s="1" t="s">
        <v>3837</v>
      </c>
      <c r="C3440" s="1" t="s">
        <v>3838</v>
      </c>
      <c r="D3440" s="1" t="s">
        <v>14</v>
      </c>
      <c r="E3440" s="1" t="s">
        <v>3379</v>
      </c>
      <c r="F3440" s="1" t="s">
        <v>3380</v>
      </c>
      <c r="G3440" s="1" t="s">
        <v>3379</v>
      </c>
      <c r="H3440" s="2" t="s">
        <v>3489</v>
      </c>
      <c r="I3440" s="1" t="s">
        <v>3490</v>
      </c>
      <c r="J3440" s="1" t="s">
        <v>52</v>
      </c>
      <c r="K3440" s="1" t="s">
        <v>3489</v>
      </c>
      <c r="L3440" s="36" t="s">
        <v>69</v>
      </c>
      <c r="M3440" s="1" t="s">
        <v>69</v>
      </c>
      <c r="N3440" s="1" t="s">
        <v>3468</v>
      </c>
      <c r="O3440" s="1" t="s">
        <v>46</v>
      </c>
      <c r="P3440" s="1" t="s">
        <v>46</v>
      </c>
      <c r="Q3440" s="1" t="s">
        <v>46</v>
      </c>
      <c r="R3440" s="1" t="s">
        <v>46</v>
      </c>
      <c r="S3440" s="1" t="s">
        <v>46</v>
      </c>
      <c r="T3440" s="1" t="s">
        <v>46</v>
      </c>
      <c r="U3440" s="1" t="s">
        <v>46</v>
      </c>
      <c r="W3440" s="1" t="s">
        <v>46</v>
      </c>
      <c r="X3440" s="1" t="s">
        <v>2640</v>
      </c>
      <c r="Y3440" s="1" t="n">
        <v>5500</v>
      </c>
    </row>
    <row r="3441" customFormat="false" ht="13.8" hidden="false" customHeight="false" outlineLevel="0" collapsed="false">
      <c r="A3441" s="1" t="s">
        <v>3837</v>
      </c>
      <c r="C3441" s="1" t="s">
        <v>3838</v>
      </c>
      <c r="D3441" s="1" t="s">
        <v>14</v>
      </c>
      <c r="E3441" s="1" t="s">
        <v>3379</v>
      </c>
      <c r="F3441" s="1" t="s">
        <v>3380</v>
      </c>
      <c r="G3441" s="1" t="s">
        <v>3379</v>
      </c>
      <c r="H3441" s="2" t="s">
        <v>3491</v>
      </c>
      <c r="I3441" s="1" t="s">
        <v>3492</v>
      </c>
      <c r="J3441" s="1" t="s">
        <v>52</v>
      </c>
      <c r="K3441" s="1" t="s">
        <v>3491</v>
      </c>
      <c r="L3441" s="36" t="s">
        <v>69</v>
      </c>
      <c r="M3441" s="1" t="s">
        <v>69</v>
      </c>
      <c r="N3441" s="1" t="s">
        <v>3468</v>
      </c>
      <c r="O3441" s="1" t="s">
        <v>46</v>
      </c>
      <c r="P3441" s="1" t="s">
        <v>46</v>
      </c>
      <c r="Q3441" s="1" t="s">
        <v>46</v>
      </c>
      <c r="R3441" s="1" t="s">
        <v>46</v>
      </c>
      <c r="S3441" s="1" t="s">
        <v>46</v>
      </c>
      <c r="T3441" s="1" t="s">
        <v>46</v>
      </c>
      <c r="U3441" s="1" t="s">
        <v>46</v>
      </c>
      <c r="W3441" s="1" t="s">
        <v>46</v>
      </c>
      <c r="X3441" s="1" t="s">
        <v>2640</v>
      </c>
      <c r="Y3441" s="1" t="n">
        <v>5500</v>
      </c>
    </row>
    <row r="3442" customFormat="false" ht="13.8" hidden="false" customHeight="false" outlineLevel="0" collapsed="false">
      <c r="A3442" s="1" t="s">
        <v>3837</v>
      </c>
      <c r="C3442" s="1" t="s">
        <v>3838</v>
      </c>
      <c r="D3442" s="1" t="s">
        <v>14</v>
      </c>
      <c r="E3442" s="1" t="s">
        <v>3379</v>
      </c>
      <c r="F3442" s="1" t="s">
        <v>3380</v>
      </c>
      <c r="G3442" s="1" t="s">
        <v>3379</v>
      </c>
      <c r="H3442" s="2" t="s">
        <v>3493</v>
      </c>
      <c r="I3442" s="1" t="s">
        <v>3494</v>
      </c>
      <c r="J3442" s="1" t="s">
        <v>52</v>
      </c>
      <c r="K3442" s="1" t="s">
        <v>3493</v>
      </c>
      <c r="L3442" s="36" t="s">
        <v>69</v>
      </c>
      <c r="M3442" s="1" t="s">
        <v>69</v>
      </c>
      <c r="N3442" s="1" t="s">
        <v>3468</v>
      </c>
      <c r="O3442" s="1" t="s">
        <v>46</v>
      </c>
      <c r="P3442" s="1" t="s">
        <v>46</v>
      </c>
      <c r="Q3442" s="1" t="s">
        <v>46</v>
      </c>
      <c r="R3442" s="1" t="s">
        <v>46</v>
      </c>
      <c r="S3442" s="1" t="s">
        <v>46</v>
      </c>
      <c r="T3442" s="1" t="s">
        <v>46</v>
      </c>
      <c r="U3442" s="1" t="s">
        <v>46</v>
      </c>
      <c r="W3442" s="1" t="s">
        <v>46</v>
      </c>
      <c r="X3442" s="1" t="s">
        <v>2640</v>
      </c>
      <c r="Y3442" s="1" t="n">
        <v>5500</v>
      </c>
    </row>
    <row r="3443" customFormat="false" ht="13.8" hidden="false" customHeight="false" outlineLevel="0" collapsed="false">
      <c r="A3443" s="1" t="s">
        <v>3837</v>
      </c>
      <c r="C3443" s="1" t="s">
        <v>3838</v>
      </c>
      <c r="D3443" s="1" t="s">
        <v>14</v>
      </c>
      <c r="E3443" s="1" t="s">
        <v>3379</v>
      </c>
      <c r="F3443" s="1" t="s">
        <v>3380</v>
      </c>
      <c r="G3443" s="1" t="s">
        <v>3379</v>
      </c>
      <c r="H3443" s="2" t="s">
        <v>3495</v>
      </c>
      <c r="I3443" s="1" t="s">
        <v>3496</v>
      </c>
      <c r="J3443" s="1" t="s">
        <v>52</v>
      </c>
      <c r="K3443" s="1" t="s">
        <v>3495</v>
      </c>
      <c r="L3443" s="36" t="s">
        <v>69</v>
      </c>
      <c r="M3443" s="1" t="s">
        <v>69</v>
      </c>
      <c r="N3443" s="1" t="s">
        <v>3468</v>
      </c>
      <c r="O3443" s="1" t="s">
        <v>46</v>
      </c>
      <c r="P3443" s="1" t="s">
        <v>46</v>
      </c>
      <c r="Q3443" s="1" t="s">
        <v>46</v>
      </c>
      <c r="R3443" s="1" t="s">
        <v>46</v>
      </c>
      <c r="S3443" s="1" t="s">
        <v>46</v>
      </c>
      <c r="T3443" s="1" t="s">
        <v>46</v>
      </c>
      <c r="U3443" s="1" t="s">
        <v>46</v>
      </c>
      <c r="W3443" s="1" t="s">
        <v>46</v>
      </c>
      <c r="X3443" s="1" t="s">
        <v>2640</v>
      </c>
      <c r="Y3443" s="1" t="n">
        <v>5500</v>
      </c>
    </row>
    <row r="3444" customFormat="false" ht="13.8" hidden="false" customHeight="false" outlineLevel="0" collapsed="false">
      <c r="A3444" s="1" t="s">
        <v>3839</v>
      </c>
      <c r="C3444" s="1" t="s">
        <v>3840</v>
      </c>
      <c r="D3444" s="1" t="s">
        <v>14</v>
      </c>
      <c r="E3444" s="1" t="s">
        <v>3379</v>
      </c>
      <c r="F3444" s="1" t="s">
        <v>3380</v>
      </c>
      <c r="G3444" s="1" t="s">
        <v>3379</v>
      </c>
      <c r="H3444" s="2" t="s">
        <v>3587</v>
      </c>
      <c r="I3444" s="1" t="s">
        <v>3588</v>
      </c>
      <c r="J3444" s="1" t="s">
        <v>52</v>
      </c>
      <c r="K3444" s="1" t="s">
        <v>3587</v>
      </c>
      <c r="L3444" s="36" t="s">
        <v>69</v>
      </c>
      <c r="M3444" s="1" t="s">
        <v>69</v>
      </c>
      <c r="N3444" s="1" t="s">
        <v>3383</v>
      </c>
      <c r="O3444" s="1" t="s">
        <v>3784</v>
      </c>
      <c r="P3444" s="1" t="s">
        <v>3385</v>
      </c>
      <c r="Q3444" s="1" t="s">
        <v>3385</v>
      </c>
      <c r="R3444" s="1" t="s">
        <v>46</v>
      </c>
      <c r="S3444" s="1" t="s">
        <v>69</v>
      </c>
      <c r="T3444" s="1" t="s">
        <v>69</v>
      </c>
      <c r="U3444" s="1" t="s">
        <v>46</v>
      </c>
      <c r="V3444" s="1" t="n">
        <v>1</v>
      </c>
      <c r="W3444" s="1" t="s">
        <v>46</v>
      </c>
      <c r="X3444" s="1" t="s">
        <v>2640</v>
      </c>
      <c r="Y3444" s="1" t="n">
        <v>5500</v>
      </c>
    </row>
    <row r="3445" customFormat="false" ht="13.8" hidden="false" customHeight="false" outlineLevel="0" collapsed="false">
      <c r="A3445" s="1" t="s">
        <v>3839</v>
      </c>
      <c r="C3445" s="1" t="s">
        <v>3840</v>
      </c>
      <c r="D3445" s="1" t="s">
        <v>14</v>
      </c>
      <c r="E3445" s="1" t="s">
        <v>3379</v>
      </c>
      <c r="F3445" s="1" t="s">
        <v>3380</v>
      </c>
      <c r="G3445" s="1" t="s">
        <v>3379</v>
      </c>
      <c r="H3445" s="2" t="s">
        <v>3590</v>
      </c>
      <c r="I3445" s="1" t="s">
        <v>3591</v>
      </c>
      <c r="J3445" s="1" t="s">
        <v>52</v>
      </c>
      <c r="K3445" s="1" t="s">
        <v>3590</v>
      </c>
      <c r="L3445" s="36" t="s">
        <v>69</v>
      </c>
      <c r="M3445" s="1" t="s">
        <v>69</v>
      </c>
      <c r="N3445" s="1" t="s">
        <v>3383</v>
      </c>
      <c r="O3445" s="1" t="s">
        <v>3784</v>
      </c>
      <c r="P3445" s="1" t="s">
        <v>3385</v>
      </c>
      <c r="Q3445" s="1" t="s">
        <v>3385</v>
      </c>
      <c r="R3445" s="1" t="s">
        <v>46</v>
      </c>
      <c r="S3445" s="1" t="s">
        <v>69</v>
      </c>
      <c r="T3445" s="1" t="s">
        <v>69</v>
      </c>
      <c r="U3445" s="1" t="s">
        <v>46</v>
      </c>
      <c r="V3445" s="1" t="n">
        <v>2</v>
      </c>
      <c r="W3445" s="1" t="s">
        <v>46</v>
      </c>
      <c r="X3445" s="1" t="s">
        <v>2640</v>
      </c>
      <c r="Y3445" s="1" t="n">
        <v>5500</v>
      </c>
    </row>
    <row r="3446" customFormat="false" ht="13.8" hidden="false" customHeight="false" outlineLevel="0" collapsed="false">
      <c r="A3446" s="1" t="s">
        <v>3839</v>
      </c>
      <c r="C3446" s="1" t="s">
        <v>3840</v>
      </c>
      <c r="D3446" s="1" t="s">
        <v>14</v>
      </c>
      <c r="E3446" s="1" t="s">
        <v>3379</v>
      </c>
      <c r="F3446" s="1" t="s">
        <v>3380</v>
      </c>
      <c r="G3446" s="1" t="s">
        <v>3379</v>
      </c>
      <c r="H3446" s="2" t="s">
        <v>3592</v>
      </c>
      <c r="I3446" s="1" t="s">
        <v>3593</v>
      </c>
      <c r="J3446" s="1" t="s">
        <v>52</v>
      </c>
      <c r="K3446" s="1" t="s">
        <v>3592</v>
      </c>
      <c r="L3446" s="36" t="s">
        <v>69</v>
      </c>
      <c r="M3446" s="1" t="s">
        <v>69</v>
      </c>
      <c r="N3446" s="1" t="s">
        <v>3383</v>
      </c>
      <c r="O3446" s="1" t="s">
        <v>3784</v>
      </c>
      <c r="P3446" s="1" t="s">
        <v>3385</v>
      </c>
      <c r="Q3446" s="1" t="s">
        <v>3385</v>
      </c>
      <c r="R3446" s="1" t="s">
        <v>46</v>
      </c>
      <c r="S3446" s="1" t="s">
        <v>69</v>
      </c>
      <c r="T3446" s="1" t="s">
        <v>69</v>
      </c>
      <c r="U3446" s="1" t="s">
        <v>46</v>
      </c>
      <c r="V3446" s="1" t="n">
        <v>3</v>
      </c>
      <c r="W3446" s="1" t="s">
        <v>46</v>
      </c>
      <c r="X3446" s="1" t="s">
        <v>2640</v>
      </c>
      <c r="Y3446" s="1" t="n">
        <v>5500</v>
      </c>
    </row>
    <row r="3447" customFormat="false" ht="13.8" hidden="false" customHeight="false" outlineLevel="0" collapsed="false">
      <c r="A3447" s="1" t="s">
        <v>3839</v>
      </c>
      <c r="C3447" s="1" t="s">
        <v>3840</v>
      </c>
      <c r="D3447" s="1" t="s">
        <v>14</v>
      </c>
      <c r="E3447" s="1" t="s">
        <v>3379</v>
      </c>
      <c r="F3447" s="1" t="s">
        <v>3380</v>
      </c>
      <c r="G3447" s="1" t="s">
        <v>3379</v>
      </c>
      <c r="H3447" s="2" t="s">
        <v>3594</v>
      </c>
      <c r="I3447" s="1" t="s">
        <v>3595</v>
      </c>
      <c r="J3447" s="1" t="s">
        <v>52</v>
      </c>
      <c r="K3447" s="1" t="s">
        <v>3594</v>
      </c>
      <c r="L3447" s="36" t="s">
        <v>69</v>
      </c>
      <c r="M3447" s="1" t="s">
        <v>69</v>
      </c>
      <c r="N3447" s="1" t="s">
        <v>3383</v>
      </c>
      <c r="O3447" s="1" t="s">
        <v>3784</v>
      </c>
      <c r="P3447" s="1" t="s">
        <v>3385</v>
      </c>
      <c r="Q3447" s="1" t="s">
        <v>3385</v>
      </c>
      <c r="R3447" s="1" t="s">
        <v>46</v>
      </c>
      <c r="S3447" s="1" t="s">
        <v>69</v>
      </c>
      <c r="T3447" s="1" t="s">
        <v>69</v>
      </c>
      <c r="U3447" s="1" t="s">
        <v>46</v>
      </c>
      <c r="V3447" s="1" t="n">
        <v>4</v>
      </c>
      <c r="W3447" s="1" t="s">
        <v>46</v>
      </c>
      <c r="X3447" s="1" t="s">
        <v>2640</v>
      </c>
      <c r="Y3447" s="1" t="n">
        <v>5500</v>
      </c>
    </row>
    <row r="3448" customFormat="false" ht="13.8" hidden="false" customHeight="false" outlineLevel="0" collapsed="false">
      <c r="A3448" s="1" t="s">
        <v>3839</v>
      </c>
      <c r="C3448" s="1" t="s">
        <v>3840</v>
      </c>
      <c r="D3448" s="1" t="s">
        <v>14</v>
      </c>
      <c r="E3448" s="1" t="s">
        <v>3379</v>
      </c>
      <c r="F3448" s="1" t="s">
        <v>3380</v>
      </c>
      <c r="G3448" s="1" t="s">
        <v>3379</v>
      </c>
      <c r="H3448" s="2" t="s">
        <v>3596</v>
      </c>
      <c r="I3448" s="1" t="s">
        <v>3597</v>
      </c>
      <c r="J3448" s="1" t="s">
        <v>52</v>
      </c>
      <c r="K3448" s="1" t="s">
        <v>3596</v>
      </c>
      <c r="L3448" s="36" t="s">
        <v>69</v>
      </c>
      <c r="M3448" s="1" t="s">
        <v>69</v>
      </c>
      <c r="N3448" s="1" t="s">
        <v>3383</v>
      </c>
      <c r="O3448" s="1" t="s">
        <v>3784</v>
      </c>
      <c r="P3448" s="1" t="s">
        <v>3385</v>
      </c>
      <c r="Q3448" s="1" t="s">
        <v>3385</v>
      </c>
      <c r="R3448" s="1" t="s">
        <v>46</v>
      </c>
      <c r="S3448" s="1" t="s">
        <v>69</v>
      </c>
      <c r="T3448" s="1" t="s">
        <v>69</v>
      </c>
      <c r="U3448" s="1" t="s">
        <v>46</v>
      </c>
      <c r="V3448" s="1" t="n">
        <v>5</v>
      </c>
      <c r="W3448" s="1" t="s">
        <v>46</v>
      </c>
      <c r="X3448" s="1" t="s">
        <v>2640</v>
      </c>
      <c r="Y3448" s="1" t="n">
        <v>5500</v>
      </c>
    </row>
    <row r="3449" customFormat="false" ht="13.8" hidden="false" customHeight="false" outlineLevel="0" collapsed="false">
      <c r="A3449" s="1" t="s">
        <v>3839</v>
      </c>
      <c r="C3449" s="1" t="s">
        <v>3840</v>
      </c>
      <c r="D3449" s="1" t="s">
        <v>14</v>
      </c>
      <c r="E3449" s="1" t="s">
        <v>3379</v>
      </c>
      <c r="F3449" s="1" t="s">
        <v>3380</v>
      </c>
      <c r="G3449" s="1" t="s">
        <v>3379</v>
      </c>
      <c r="H3449" s="2" t="s">
        <v>3644</v>
      </c>
      <c r="I3449" s="1" t="s">
        <v>3645</v>
      </c>
      <c r="J3449" s="1" t="s">
        <v>52</v>
      </c>
      <c r="K3449" s="1" t="s">
        <v>3644</v>
      </c>
      <c r="L3449" s="36" t="s">
        <v>69</v>
      </c>
      <c r="M3449" s="1" t="s">
        <v>69</v>
      </c>
      <c r="N3449" s="1" t="s">
        <v>3383</v>
      </c>
      <c r="O3449" s="1" t="s">
        <v>3785</v>
      </c>
      <c r="P3449" s="1" t="s">
        <v>3385</v>
      </c>
      <c r="Q3449" s="1" t="s">
        <v>3385</v>
      </c>
      <c r="R3449" s="1" t="s">
        <v>46</v>
      </c>
      <c r="S3449" s="1" t="s">
        <v>69</v>
      </c>
      <c r="T3449" s="1" t="s">
        <v>69</v>
      </c>
      <c r="U3449" s="1" t="s">
        <v>46</v>
      </c>
      <c r="V3449" s="1" t="n">
        <v>1</v>
      </c>
      <c r="W3449" s="1" t="s">
        <v>46</v>
      </c>
      <c r="X3449" s="1" t="s">
        <v>2640</v>
      </c>
      <c r="Y3449" s="1" t="n">
        <v>5500</v>
      </c>
    </row>
    <row r="3450" customFormat="false" ht="13.8" hidden="false" customHeight="false" outlineLevel="0" collapsed="false">
      <c r="A3450" s="1" t="s">
        <v>3839</v>
      </c>
      <c r="C3450" s="1" t="s">
        <v>3840</v>
      </c>
      <c r="D3450" s="1" t="s">
        <v>14</v>
      </c>
      <c r="E3450" s="1" t="s">
        <v>3379</v>
      </c>
      <c r="F3450" s="1" t="s">
        <v>3380</v>
      </c>
      <c r="G3450" s="1" t="s">
        <v>3379</v>
      </c>
      <c r="H3450" s="2" t="s">
        <v>3647</v>
      </c>
      <c r="I3450" s="1" t="s">
        <v>3648</v>
      </c>
      <c r="J3450" s="1" t="s">
        <v>52</v>
      </c>
      <c r="K3450" s="1" t="s">
        <v>3647</v>
      </c>
      <c r="L3450" s="36" t="s">
        <v>69</v>
      </c>
      <c r="M3450" s="1" t="s">
        <v>69</v>
      </c>
      <c r="N3450" s="1" t="s">
        <v>3383</v>
      </c>
      <c r="O3450" s="1" t="s">
        <v>3785</v>
      </c>
      <c r="P3450" s="1" t="s">
        <v>3385</v>
      </c>
      <c r="Q3450" s="1" t="s">
        <v>3385</v>
      </c>
      <c r="R3450" s="1" t="s">
        <v>46</v>
      </c>
      <c r="S3450" s="1" t="s">
        <v>69</v>
      </c>
      <c r="T3450" s="1" t="s">
        <v>69</v>
      </c>
      <c r="U3450" s="1" t="s">
        <v>46</v>
      </c>
      <c r="V3450" s="1" t="n">
        <v>2</v>
      </c>
      <c r="W3450" s="1" t="s">
        <v>46</v>
      </c>
      <c r="X3450" s="1" t="s">
        <v>2640</v>
      </c>
      <c r="Y3450" s="1" t="n">
        <v>5500</v>
      </c>
    </row>
    <row r="3451" customFormat="false" ht="13.8" hidden="false" customHeight="false" outlineLevel="0" collapsed="false">
      <c r="A3451" s="1" t="s">
        <v>3839</v>
      </c>
      <c r="C3451" s="1" t="s">
        <v>3840</v>
      </c>
      <c r="D3451" s="1" t="s">
        <v>14</v>
      </c>
      <c r="E3451" s="1" t="s">
        <v>3379</v>
      </c>
      <c r="F3451" s="1" t="s">
        <v>3380</v>
      </c>
      <c r="G3451" s="1" t="s">
        <v>3379</v>
      </c>
      <c r="H3451" s="2" t="s">
        <v>3649</v>
      </c>
      <c r="I3451" s="1" t="s">
        <v>3650</v>
      </c>
      <c r="J3451" s="1" t="s">
        <v>52</v>
      </c>
      <c r="K3451" s="1" t="s">
        <v>3649</v>
      </c>
      <c r="L3451" s="36" t="s">
        <v>69</v>
      </c>
      <c r="M3451" s="1" t="s">
        <v>69</v>
      </c>
      <c r="N3451" s="1" t="s">
        <v>3383</v>
      </c>
      <c r="O3451" s="1" t="s">
        <v>3785</v>
      </c>
      <c r="P3451" s="1" t="s">
        <v>3385</v>
      </c>
      <c r="Q3451" s="1" t="s">
        <v>3385</v>
      </c>
      <c r="R3451" s="1" t="s">
        <v>46</v>
      </c>
      <c r="S3451" s="1" t="s">
        <v>69</v>
      </c>
      <c r="T3451" s="1" t="s">
        <v>69</v>
      </c>
      <c r="U3451" s="1" t="s">
        <v>46</v>
      </c>
      <c r="V3451" s="1" t="n">
        <v>3</v>
      </c>
      <c r="W3451" s="1" t="s">
        <v>46</v>
      </c>
      <c r="X3451" s="1" t="s">
        <v>2640</v>
      </c>
      <c r="Y3451" s="1" t="n">
        <v>5500</v>
      </c>
    </row>
    <row r="3452" customFormat="false" ht="13.8" hidden="false" customHeight="false" outlineLevel="0" collapsed="false">
      <c r="A3452" s="1" t="s">
        <v>3839</v>
      </c>
      <c r="C3452" s="1" t="s">
        <v>3840</v>
      </c>
      <c r="D3452" s="1" t="s">
        <v>14</v>
      </c>
      <c r="E3452" s="1" t="s">
        <v>3379</v>
      </c>
      <c r="F3452" s="1" t="s">
        <v>3380</v>
      </c>
      <c r="G3452" s="1" t="s">
        <v>3379</v>
      </c>
      <c r="H3452" s="2" t="s">
        <v>3651</v>
      </c>
      <c r="I3452" s="1" t="s">
        <v>3652</v>
      </c>
      <c r="J3452" s="1" t="s">
        <v>52</v>
      </c>
      <c r="K3452" s="1" t="s">
        <v>3651</v>
      </c>
      <c r="L3452" s="36" t="s">
        <v>69</v>
      </c>
      <c r="M3452" s="1" t="s">
        <v>69</v>
      </c>
      <c r="N3452" s="1" t="s">
        <v>3383</v>
      </c>
      <c r="O3452" s="1" t="s">
        <v>3785</v>
      </c>
      <c r="P3452" s="1" t="s">
        <v>3385</v>
      </c>
      <c r="Q3452" s="1" t="s">
        <v>3385</v>
      </c>
      <c r="R3452" s="1" t="s">
        <v>46</v>
      </c>
      <c r="S3452" s="1" t="s">
        <v>69</v>
      </c>
      <c r="T3452" s="1" t="s">
        <v>69</v>
      </c>
      <c r="U3452" s="1" t="s">
        <v>46</v>
      </c>
      <c r="V3452" s="1" t="n">
        <v>4</v>
      </c>
      <c r="W3452" s="1" t="s">
        <v>46</v>
      </c>
      <c r="X3452" s="1" t="s">
        <v>2640</v>
      </c>
      <c r="Y3452" s="1" t="n">
        <v>5500</v>
      </c>
    </row>
    <row r="3453" customFormat="false" ht="13.8" hidden="false" customHeight="false" outlineLevel="0" collapsed="false">
      <c r="A3453" s="1" t="s">
        <v>3839</v>
      </c>
      <c r="C3453" s="1" t="s">
        <v>3840</v>
      </c>
      <c r="D3453" s="1" t="s">
        <v>14</v>
      </c>
      <c r="E3453" s="1" t="s">
        <v>3379</v>
      </c>
      <c r="F3453" s="1" t="s">
        <v>3380</v>
      </c>
      <c r="G3453" s="1" t="s">
        <v>3379</v>
      </c>
      <c r="H3453" s="2" t="s">
        <v>3653</v>
      </c>
      <c r="I3453" s="1" t="s">
        <v>3654</v>
      </c>
      <c r="J3453" s="1" t="s">
        <v>52</v>
      </c>
      <c r="K3453" s="1" t="s">
        <v>3653</v>
      </c>
      <c r="L3453" s="36" t="s">
        <v>69</v>
      </c>
      <c r="M3453" s="1" t="s">
        <v>69</v>
      </c>
      <c r="N3453" s="1" t="s">
        <v>3383</v>
      </c>
      <c r="O3453" s="1" t="s">
        <v>3785</v>
      </c>
      <c r="P3453" s="1" t="s">
        <v>3385</v>
      </c>
      <c r="Q3453" s="1" t="s">
        <v>3385</v>
      </c>
      <c r="R3453" s="1" t="s">
        <v>46</v>
      </c>
      <c r="S3453" s="1" t="s">
        <v>69</v>
      </c>
      <c r="T3453" s="1" t="s">
        <v>69</v>
      </c>
      <c r="U3453" s="1" t="s">
        <v>46</v>
      </c>
      <c r="V3453" s="1" t="n">
        <v>5</v>
      </c>
      <c r="W3453" s="1" t="s">
        <v>46</v>
      </c>
      <c r="X3453" s="1" t="s">
        <v>2640</v>
      </c>
      <c r="Y3453" s="1" t="n">
        <v>5500</v>
      </c>
    </row>
    <row r="3454" customFormat="false" ht="13.8" hidden="false" customHeight="false" outlineLevel="0" collapsed="false">
      <c r="A3454" s="1" t="s">
        <v>3839</v>
      </c>
      <c r="C3454" s="1" t="s">
        <v>3840</v>
      </c>
      <c r="D3454" s="1" t="s">
        <v>14</v>
      </c>
      <c r="E3454" s="1" t="s">
        <v>3379</v>
      </c>
      <c r="F3454" s="1" t="s">
        <v>3380</v>
      </c>
      <c r="G3454" s="1" t="s">
        <v>3379</v>
      </c>
      <c r="H3454" s="2" t="s">
        <v>3436</v>
      </c>
      <c r="I3454" s="1" t="s">
        <v>3437</v>
      </c>
      <c r="J3454" s="1" t="s">
        <v>52</v>
      </c>
      <c r="K3454" s="1" t="s">
        <v>3436</v>
      </c>
      <c r="L3454" s="36" t="s">
        <v>69</v>
      </c>
      <c r="M3454" s="1" t="s">
        <v>69</v>
      </c>
      <c r="N3454" s="1" t="s">
        <v>1935</v>
      </c>
      <c r="O3454" s="1" t="s">
        <v>46</v>
      </c>
      <c r="P3454" s="1" t="s">
        <v>46</v>
      </c>
      <c r="Q3454" s="1" t="s">
        <v>46</v>
      </c>
      <c r="R3454" s="1" t="s">
        <v>46</v>
      </c>
      <c r="S3454" s="1" t="s">
        <v>46</v>
      </c>
      <c r="T3454" s="1" t="s">
        <v>46</v>
      </c>
      <c r="U3454" s="1" t="s">
        <v>46</v>
      </c>
      <c r="W3454" s="1" t="s">
        <v>46</v>
      </c>
      <c r="X3454" s="1" t="s">
        <v>2640</v>
      </c>
      <c r="Y3454" s="1" t="n">
        <v>5500</v>
      </c>
    </row>
    <row r="3455" customFormat="false" ht="13.8" hidden="false" customHeight="false" outlineLevel="0" collapsed="false">
      <c r="A3455" s="1" t="s">
        <v>3839</v>
      </c>
      <c r="C3455" s="1" t="s">
        <v>3840</v>
      </c>
      <c r="D3455" s="1" t="s">
        <v>14</v>
      </c>
      <c r="E3455" s="1" t="s">
        <v>3379</v>
      </c>
      <c r="F3455" s="1" t="s">
        <v>3380</v>
      </c>
      <c r="G3455" s="1" t="s">
        <v>3379</v>
      </c>
      <c r="H3455" s="2" t="s">
        <v>3438</v>
      </c>
      <c r="I3455" s="1" t="s">
        <v>3439</v>
      </c>
      <c r="J3455" s="1" t="s">
        <v>52</v>
      </c>
      <c r="K3455" s="1" t="s">
        <v>3438</v>
      </c>
      <c r="L3455" s="36" t="s">
        <v>69</v>
      </c>
      <c r="M3455" s="1" t="s">
        <v>69</v>
      </c>
      <c r="N3455" s="1" t="s">
        <v>1935</v>
      </c>
      <c r="O3455" s="1" t="s">
        <v>46</v>
      </c>
      <c r="P3455" s="1" t="s">
        <v>46</v>
      </c>
      <c r="Q3455" s="1" t="s">
        <v>46</v>
      </c>
      <c r="R3455" s="1" t="s">
        <v>46</v>
      </c>
      <c r="S3455" s="1" t="s">
        <v>46</v>
      </c>
      <c r="T3455" s="1" t="s">
        <v>46</v>
      </c>
      <c r="U3455" s="1" t="s">
        <v>46</v>
      </c>
      <c r="W3455" s="1" t="s">
        <v>46</v>
      </c>
      <c r="X3455" s="1" t="s">
        <v>2640</v>
      </c>
      <c r="Y3455" s="1" t="n">
        <v>5500</v>
      </c>
    </row>
    <row r="3456" customFormat="false" ht="13.8" hidden="false" customHeight="false" outlineLevel="0" collapsed="false">
      <c r="A3456" s="1" t="s">
        <v>3839</v>
      </c>
      <c r="C3456" s="1" t="s">
        <v>3840</v>
      </c>
      <c r="D3456" s="1" t="s">
        <v>14</v>
      </c>
      <c r="E3456" s="1" t="s">
        <v>3379</v>
      </c>
      <c r="F3456" s="1" t="s">
        <v>3380</v>
      </c>
      <c r="G3456" s="1" t="s">
        <v>3379</v>
      </c>
      <c r="H3456" s="2" t="s">
        <v>3440</v>
      </c>
      <c r="I3456" s="1" t="s">
        <v>3441</v>
      </c>
      <c r="J3456" s="1" t="s">
        <v>52</v>
      </c>
      <c r="K3456" s="1" t="s">
        <v>3440</v>
      </c>
      <c r="L3456" s="36" t="s">
        <v>69</v>
      </c>
      <c r="M3456" s="1" t="s">
        <v>69</v>
      </c>
      <c r="N3456" s="1" t="s">
        <v>1935</v>
      </c>
      <c r="O3456" s="1" t="s">
        <v>46</v>
      </c>
      <c r="P3456" s="1" t="s">
        <v>46</v>
      </c>
      <c r="Q3456" s="1" t="s">
        <v>46</v>
      </c>
      <c r="R3456" s="1" t="s">
        <v>46</v>
      </c>
      <c r="S3456" s="1" t="s">
        <v>46</v>
      </c>
      <c r="T3456" s="1" t="s">
        <v>46</v>
      </c>
      <c r="U3456" s="1" t="s">
        <v>46</v>
      </c>
      <c r="W3456" s="1" t="s">
        <v>46</v>
      </c>
      <c r="X3456" s="1" t="s">
        <v>2640</v>
      </c>
      <c r="Y3456" s="1" t="n">
        <v>5500</v>
      </c>
    </row>
    <row r="3457" customFormat="false" ht="13.8" hidden="false" customHeight="false" outlineLevel="0" collapsed="false">
      <c r="A3457" s="1" t="s">
        <v>3839</v>
      </c>
      <c r="C3457" s="1" t="s">
        <v>3840</v>
      </c>
      <c r="D3457" s="1" t="s">
        <v>14</v>
      </c>
      <c r="E3457" s="1" t="s">
        <v>3379</v>
      </c>
      <c r="F3457" s="1" t="s">
        <v>3380</v>
      </c>
      <c r="G3457" s="1" t="s">
        <v>3379</v>
      </c>
      <c r="H3457" s="2" t="s">
        <v>3442</v>
      </c>
      <c r="I3457" s="1" t="s">
        <v>3443</v>
      </c>
      <c r="J3457" s="1" t="s">
        <v>52</v>
      </c>
      <c r="K3457" s="1" t="s">
        <v>3442</v>
      </c>
      <c r="L3457" s="36" t="s">
        <v>69</v>
      </c>
      <c r="M3457" s="1" t="s">
        <v>69</v>
      </c>
      <c r="N3457" s="1" t="s">
        <v>1935</v>
      </c>
      <c r="O3457" s="1" t="s">
        <v>46</v>
      </c>
      <c r="P3457" s="1" t="s">
        <v>46</v>
      </c>
      <c r="Q3457" s="1" t="s">
        <v>46</v>
      </c>
      <c r="R3457" s="1" t="s">
        <v>46</v>
      </c>
      <c r="S3457" s="1" t="s">
        <v>46</v>
      </c>
      <c r="T3457" s="1" t="s">
        <v>46</v>
      </c>
      <c r="U3457" s="1" t="s">
        <v>46</v>
      </c>
      <c r="W3457" s="1" t="s">
        <v>46</v>
      </c>
      <c r="X3457" s="1" t="s">
        <v>2640</v>
      </c>
      <c r="Y3457" s="1" t="n">
        <v>5500</v>
      </c>
    </row>
    <row r="3458" customFormat="false" ht="13.8" hidden="false" customHeight="false" outlineLevel="0" collapsed="false">
      <c r="A3458" s="1" t="s">
        <v>3839</v>
      </c>
      <c r="C3458" s="1" t="s">
        <v>3840</v>
      </c>
      <c r="D3458" s="1" t="s">
        <v>14</v>
      </c>
      <c r="E3458" s="1" t="s">
        <v>3379</v>
      </c>
      <c r="F3458" s="1" t="s">
        <v>3380</v>
      </c>
      <c r="G3458" s="1" t="s">
        <v>3379</v>
      </c>
      <c r="H3458" s="2" t="s">
        <v>3444</v>
      </c>
      <c r="I3458" s="1" t="s">
        <v>3445</v>
      </c>
      <c r="J3458" s="1" t="s">
        <v>52</v>
      </c>
      <c r="K3458" s="1" t="s">
        <v>3444</v>
      </c>
      <c r="L3458" s="36" t="s">
        <v>69</v>
      </c>
      <c r="M3458" s="1" t="s">
        <v>69</v>
      </c>
      <c r="N3458" s="1" t="s">
        <v>1935</v>
      </c>
      <c r="O3458" s="1" t="s">
        <v>46</v>
      </c>
      <c r="P3458" s="1" t="s">
        <v>46</v>
      </c>
      <c r="Q3458" s="1" t="s">
        <v>46</v>
      </c>
      <c r="R3458" s="1" t="s">
        <v>46</v>
      </c>
      <c r="S3458" s="1" t="s">
        <v>46</v>
      </c>
      <c r="T3458" s="1" t="s">
        <v>46</v>
      </c>
      <c r="U3458" s="1" t="s">
        <v>46</v>
      </c>
      <c r="W3458" s="1" t="s">
        <v>46</v>
      </c>
      <c r="X3458" s="1" t="s">
        <v>2640</v>
      </c>
      <c r="Y3458" s="1" t="n">
        <v>5500</v>
      </c>
    </row>
    <row r="3459" customFormat="false" ht="13.8" hidden="false" customHeight="false" outlineLevel="0" collapsed="false">
      <c r="A3459" s="1" t="s">
        <v>3839</v>
      </c>
      <c r="C3459" s="1" t="s">
        <v>3840</v>
      </c>
      <c r="D3459" s="1" t="s">
        <v>14</v>
      </c>
      <c r="E3459" s="1" t="s">
        <v>3379</v>
      </c>
      <c r="F3459" s="1" t="s">
        <v>3380</v>
      </c>
      <c r="G3459" s="1" t="s">
        <v>3379</v>
      </c>
      <c r="H3459" s="2" t="s">
        <v>3446</v>
      </c>
      <c r="I3459" s="1" t="s">
        <v>3447</v>
      </c>
      <c r="J3459" s="1" t="s">
        <v>52</v>
      </c>
      <c r="K3459" s="1" t="s">
        <v>3446</v>
      </c>
      <c r="L3459" s="36" t="s">
        <v>69</v>
      </c>
      <c r="M3459" s="1" t="s">
        <v>69</v>
      </c>
      <c r="N3459" s="1" t="s">
        <v>1935</v>
      </c>
      <c r="O3459" s="1" t="s">
        <v>46</v>
      </c>
      <c r="P3459" s="1" t="s">
        <v>46</v>
      </c>
      <c r="Q3459" s="1" t="s">
        <v>46</v>
      </c>
      <c r="R3459" s="1" t="s">
        <v>46</v>
      </c>
      <c r="S3459" s="1" t="s">
        <v>46</v>
      </c>
      <c r="T3459" s="1" t="s">
        <v>46</v>
      </c>
      <c r="U3459" s="1" t="s">
        <v>46</v>
      </c>
      <c r="W3459" s="1" t="s">
        <v>46</v>
      </c>
      <c r="X3459" s="1" t="s">
        <v>2640</v>
      </c>
      <c r="Y3459" s="1" t="n">
        <v>5500</v>
      </c>
    </row>
    <row r="3460" customFormat="false" ht="13.8" hidden="false" customHeight="false" outlineLevel="0" collapsed="false">
      <c r="A3460" s="1" t="s">
        <v>3839</v>
      </c>
      <c r="C3460" s="1" t="s">
        <v>3840</v>
      </c>
      <c r="D3460" s="1" t="s">
        <v>14</v>
      </c>
      <c r="E3460" s="1" t="s">
        <v>3379</v>
      </c>
      <c r="F3460" s="1" t="s">
        <v>3380</v>
      </c>
      <c r="G3460" s="1" t="s">
        <v>3379</v>
      </c>
      <c r="H3460" s="2" t="s">
        <v>3448</v>
      </c>
      <c r="I3460" s="1" t="s">
        <v>3449</v>
      </c>
      <c r="J3460" s="1" t="s">
        <v>52</v>
      </c>
      <c r="K3460" s="1" t="s">
        <v>3448</v>
      </c>
      <c r="L3460" s="36" t="s">
        <v>69</v>
      </c>
      <c r="M3460" s="1" t="s">
        <v>69</v>
      </c>
      <c r="N3460" s="1" t="s">
        <v>1935</v>
      </c>
      <c r="O3460" s="1" t="s">
        <v>46</v>
      </c>
      <c r="P3460" s="1" t="s">
        <v>46</v>
      </c>
      <c r="Q3460" s="1" t="s">
        <v>46</v>
      </c>
      <c r="R3460" s="1" t="s">
        <v>46</v>
      </c>
      <c r="S3460" s="1" t="s">
        <v>46</v>
      </c>
      <c r="T3460" s="1" t="s">
        <v>46</v>
      </c>
      <c r="U3460" s="1" t="s">
        <v>46</v>
      </c>
      <c r="W3460" s="1" t="s">
        <v>46</v>
      </c>
      <c r="X3460" s="1" t="s">
        <v>2640</v>
      </c>
      <c r="Y3460" s="1" t="n">
        <v>5500</v>
      </c>
    </row>
    <row r="3461" customFormat="false" ht="13.8" hidden="false" customHeight="false" outlineLevel="0" collapsed="false">
      <c r="A3461" s="1" t="s">
        <v>3839</v>
      </c>
      <c r="C3461" s="1" t="s">
        <v>3840</v>
      </c>
      <c r="D3461" s="1" t="s">
        <v>14</v>
      </c>
      <c r="E3461" s="1" t="s">
        <v>3379</v>
      </c>
      <c r="F3461" s="1" t="s">
        <v>3380</v>
      </c>
      <c r="G3461" s="1" t="s">
        <v>3379</v>
      </c>
      <c r="H3461" s="2" t="s">
        <v>3450</v>
      </c>
      <c r="I3461" s="1" t="s">
        <v>3451</v>
      </c>
      <c r="J3461" s="1" t="s">
        <v>52</v>
      </c>
      <c r="K3461" s="1" t="s">
        <v>3450</v>
      </c>
      <c r="L3461" s="36" t="s">
        <v>69</v>
      </c>
      <c r="M3461" s="1" t="s">
        <v>69</v>
      </c>
      <c r="N3461" s="1" t="s">
        <v>1935</v>
      </c>
      <c r="O3461" s="1" t="s">
        <v>46</v>
      </c>
      <c r="P3461" s="1" t="s">
        <v>46</v>
      </c>
      <c r="Q3461" s="1" t="s">
        <v>46</v>
      </c>
      <c r="R3461" s="1" t="s">
        <v>46</v>
      </c>
      <c r="S3461" s="1" t="s">
        <v>46</v>
      </c>
      <c r="T3461" s="1" t="s">
        <v>46</v>
      </c>
      <c r="U3461" s="1" t="s">
        <v>46</v>
      </c>
      <c r="W3461" s="1" t="s">
        <v>46</v>
      </c>
      <c r="X3461" s="1" t="s">
        <v>2640</v>
      </c>
      <c r="Y3461" s="1" t="n">
        <v>5500</v>
      </c>
    </row>
    <row r="3462" customFormat="false" ht="13.8" hidden="false" customHeight="false" outlineLevel="0" collapsed="false">
      <c r="A3462" s="1" t="s">
        <v>3839</v>
      </c>
      <c r="C3462" s="1" t="s">
        <v>3840</v>
      </c>
      <c r="D3462" s="1" t="s">
        <v>14</v>
      </c>
      <c r="E3462" s="1" t="s">
        <v>3379</v>
      </c>
      <c r="F3462" s="1" t="s">
        <v>3380</v>
      </c>
      <c r="G3462" s="1" t="s">
        <v>3379</v>
      </c>
      <c r="H3462" s="2" t="s">
        <v>3452</v>
      </c>
      <c r="I3462" s="1" t="s">
        <v>3453</v>
      </c>
      <c r="J3462" s="1" t="s">
        <v>52</v>
      </c>
      <c r="K3462" s="1" t="s">
        <v>3452</v>
      </c>
      <c r="L3462" s="36" t="s">
        <v>69</v>
      </c>
      <c r="M3462" s="1" t="s">
        <v>69</v>
      </c>
      <c r="N3462" s="1" t="s">
        <v>1935</v>
      </c>
      <c r="O3462" s="1" t="s">
        <v>46</v>
      </c>
      <c r="P3462" s="1" t="s">
        <v>46</v>
      </c>
      <c r="Q3462" s="1" t="s">
        <v>46</v>
      </c>
      <c r="R3462" s="1" t="s">
        <v>46</v>
      </c>
      <c r="S3462" s="1" t="s">
        <v>46</v>
      </c>
      <c r="T3462" s="1" t="s">
        <v>46</v>
      </c>
      <c r="U3462" s="1" t="s">
        <v>46</v>
      </c>
      <c r="W3462" s="1" t="s">
        <v>46</v>
      </c>
      <c r="X3462" s="1" t="s">
        <v>2640</v>
      </c>
      <c r="Y3462" s="1" t="n">
        <v>5500</v>
      </c>
    </row>
    <row r="3463" customFormat="false" ht="13.8" hidden="false" customHeight="false" outlineLevel="0" collapsed="false">
      <c r="A3463" s="1" t="s">
        <v>3839</v>
      </c>
      <c r="C3463" s="1" t="s">
        <v>3840</v>
      </c>
      <c r="D3463" s="1" t="s">
        <v>14</v>
      </c>
      <c r="E3463" s="1" t="s">
        <v>3379</v>
      </c>
      <c r="F3463" s="1" t="s">
        <v>3380</v>
      </c>
      <c r="G3463" s="1" t="s">
        <v>3379</v>
      </c>
      <c r="H3463" s="2" t="s">
        <v>3454</v>
      </c>
      <c r="I3463" s="1" t="s">
        <v>3455</v>
      </c>
      <c r="J3463" s="1" t="s">
        <v>52</v>
      </c>
      <c r="K3463" s="1" t="s">
        <v>3454</v>
      </c>
      <c r="L3463" s="36" t="s">
        <v>69</v>
      </c>
      <c r="M3463" s="1" t="s">
        <v>69</v>
      </c>
      <c r="N3463" s="1" t="s">
        <v>1935</v>
      </c>
      <c r="O3463" s="1" t="s">
        <v>46</v>
      </c>
      <c r="P3463" s="1" t="s">
        <v>46</v>
      </c>
      <c r="Q3463" s="1" t="s">
        <v>46</v>
      </c>
      <c r="R3463" s="1" t="s">
        <v>46</v>
      </c>
      <c r="S3463" s="1" t="s">
        <v>46</v>
      </c>
      <c r="T3463" s="1" t="s">
        <v>46</v>
      </c>
      <c r="U3463" s="1" t="s">
        <v>46</v>
      </c>
      <c r="W3463" s="1" t="s">
        <v>46</v>
      </c>
      <c r="X3463" s="1" t="s">
        <v>2640</v>
      </c>
      <c r="Y3463" s="1" t="n">
        <v>5500</v>
      </c>
    </row>
    <row r="3464" customFormat="false" ht="13.8" hidden="false" customHeight="false" outlineLevel="0" collapsed="false">
      <c r="A3464" s="1" t="s">
        <v>3839</v>
      </c>
      <c r="C3464" s="1" t="s">
        <v>3840</v>
      </c>
      <c r="D3464" s="1" t="s">
        <v>14</v>
      </c>
      <c r="E3464" s="1" t="s">
        <v>3379</v>
      </c>
      <c r="F3464" s="1" t="s">
        <v>3380</v>
      </c>
      <c r="G3464" s="1" t="s">
        <v>3379</v>
      </c>
      <c r="H3464" s="2" t="s">
        <v>3456</v>
      </c>
      <c r="I3464" s="1" t="s">
        <v>3457</v>
      </c>
      <c r="J3464" s="1" t="s">
        <v>52</v>
      </c>
      <c r="K3464" s="1" t="s">
        <v>3456</v>
      </c>
      <c r="L3464" s="36" t="s">
        <v>69</v>
      </c>
      <c r="M3464" s="1" t="s">
        <v>69</v>
      </c>
      <c r="N3464" s="1" t="s">
        <v>1935</v>
      </c>
      <c r="O3464" s="1" t="s">
        <v>46</v>
      </c>
      <c r="P3464" s="1" t="s">
        <v>46</v>
      </c>
      <c r="Q3464" s="1" t="s">
        <v>46</v>
      </c>
      <c r="R3464" s="1" t="s">
        <v>46</v>
      </c>
      <c r="S3464" s="1" t="s">
        <v>46</v>
      </c>
      <c r="T3464" s="1" t="s">
        <v>46</v>
      </c>
      <c r="U3464" s="1" t="s">
        <v>46</v>
      </c>
      <c r="W3464" s="1" t="s">
        <v>46</v>
      </c>
      <c r="X3464" s="1" t="s">
        <v>2640</v>
      </c>
      <c r="Y3464" s="1" t="n">
        <v>5500</v>
      </c>
    </row>
    <row r="3465" customFormat="false" ht="13.8" hidden="false" customHeight="false" outlineLevel="0" collapsed="false">
      <c r="A3465" s="1" t="s">
        <v>3839</v>
      </c>
      <c r="C3465" s="1" t="s">
        <v>3840</v>
      </c>
      <c r="D3465" s="1" t="s">
        <v>14</v>
      </c>
      <c r="E3465" s="1" t="s">
        <v>3379</v>
      </c>
      <c r="F3465" s="1" t="s">
        <v>3380</v>
      </c>
      <c r="G3465" s="1" t="s">
        <v>3379</v>
      </c>
      <c r="H3465" s="2" t="s">
        <v>3458</v>
      </c>
      <c r="I3465" s="1" t="s">
        <v>3459</v>
      </c>
      <c r="J3465" s="1" t="s">
        <v>52</v>
      </c>
      <c r="K3465" s="1" t="s">
        <v>3458</v>
      </c>
      <c r="L3465" s="36" t="s">
        <v>69</v>
      </c>
      <c r="M3465" s="1" t="s">
        <v>69</v>
      </c>
      <c r="N3465" s="1" t="s">
        <v>1935</v>
      </c>
      <c r="O3465" s="1" t="s">
        <v>46</v>
      </c>
      <c r="P3465" s="1" t="s">
        <v>46</v>
      </c>
      <c r="Q3465" s="1" t="s">
        <v>46</v>
      </c>
      <c r="R3465" s="1" t="s">
        <v>46</v>
      </c>
      <c r="S3465" s="1" t="s">
        <v>46</v>
      </c>
      <c r="T3465" s="1" t="s">
        <v>46</v>
      </c>
      <c r="U3465" s="1" t="s">
        <v>46</v>
      </c>
      <c r="W3465" s="1" t="s">
        <v>46</v>
      </c>
      <c r="X3465" s="1" t="s">
        <v>2640</v>
      </c>
      <c r="Y3465" s="1" t="n">
        <v>5500</v>
      </c>
    </row>
    <row r="3466" customFormat="false" ht="13.8" hidden="false" customHeight="false" outlineLevel="0" collapsed="false">
      <c r="A3466" s="1" t="s">
        <v>3839</v>
      </c>
      <c r="C3466" s="1" t="s">
        <v>3840</v>
      </c>
      <c r="D3466" s="1" t="s">
        <v>14</v>
      </c>
      <c r="E3466" s="1" t="s">
        <v>3379</v>
      </c>
      <c r="F3466" s="1" t="s">
        <v>3380</v>
      </c>
      <c r="G3466" s="1" t="s">
        <v>3379</v>
      </c>
      <c r="H3466" s="2" t="s">
        <v>3460</v>
      </c>
      <c r="I3466" s="1" t="s">
        <v>3461</v>
      </c>
      <c r="J3466" s="1" t="s">
        <v>52</v>
      </c>
      <c r="K3466" s="1" t="s">
        <v>3460</v>
      </c>
      <c r="L3466" s="36" t="s">
        <v>69</v>
      </c>
      <c r="M3466" s="1" t="s">
        <v>69</v>
      </c>
      <c r="N3466" s="1" t="s">
        <v>1935</v>
      </c>
      <c r="O3466" s="1" t="s">
        <v>46</v>
      </c>
      <c r="P3466" s="1" t="s">
        <v>46</v>
      </c>
      <c r="Q3466" s="1" t="s">
        <v>46</v>
      </c>
      <c r="R3466" s="1" t="s">
        <v>46</v>
      </c>
      <c r="S3466" s="1" t="s">
        <v>46</v>
      </c>
      <c r="T3466" s="1" t="s">
        <v>46</v>
      </c>
      <c r="U3466" s="1" t="s">
        <v>46</v>
      </c>
      <c r="W3466" s="1" t="s">
        <v>46</v>
      </c>
      <c r="X3466" s="1" t="s">
        <v>2640</v>
      </c>
      <c r="Y3466" s="1" t="n">
        <v>5500</v>
      </c>
    </row>
    <row r="3467" customFormat="false" ht="13.8" hidden="false" customHeight="false" outlineLevel="0" collapsed="false">
      <c r="A3467" s="1" t="s">
        <v>3839</v>
      </c>
      <c r="C3467" s="1" t="s">
        <v>3840</v>
      </c>
      <c r="D3467" s="1" t="s">
        <v>14</v>
      </c>
      <c r="E3467" s="1" t="s">
        <v>3379</v>
      </c>
      <c r="F3467" s="1" t="s">
        <v>3380</v>
      </c>
      <c r="G3467" s="1" t="s">
        <v>3379</v>
      </c>
      <c r="H3467" s="2" t="s">
        <v>3462</v>
      </c>
      <c r="I3467" s="1" t="s">
        <v>3463</v>
      </c>
      <c r="J3467" s="1" t="s">
        <v>52</v>
      </c>
      <c r="K3467" s="1" t="s">
        <v>3462</v>
      </c>
      <c r="L3467" s="36" t="s">
        <v>69</v>
      </c>
      <c r="M3467" s="1" t="s">
        <v>69</v>
      </c>
      <c r="N3467" s="1" t="s">
        <v>1935</v>
      </c>
      <c r="O3467" s="1" t="s">
        <v>46</v>
      </c>
      <c r="P3467" s="1" t="s">
        <v>46</v>
      </c>
      <c r="Q3467" s="1" t="s">
        <v>46</v>
      </c>
      <c r="R3467" s="1" t="s">
        <v>46</v>
      </c>
      <c r="S3467" s="1" t="s">
        <v>46</v>
      </c>
      <c r="T3467" s="1" t="s">
        <v>46</v>
      </c>
      <c r="U3467" s="1" t="s">
        <v>46</v>
      </c>
      <c r="W3467" s="1" t="s">
        <v>46</v>
      </c>
      <c r="X3467" s="1" t="s">
        <v>2640</v>
      </c>
      <c r="Y3467" s="1" t="n">
        <v>5500</v>
      </c>
    </row>
    <row r="3468" customFormat="false" ht="13.8" hidden="false" customHeight="false" outlineLevel="0" collapsed="false">
      <c r="A3468" s="1" t="s">
        <v>3839</v>
      </c>
      <c r="C3468" s="1" t="s">
        <v>3840</v>
      </c>
      <c r="D3468" s="1" t="s">
        <v>14</v>
      </c>
      <c r="E3468" s="1" t="s">
        <v>3379</v>
      </c>
      <c r="F3468" s="1" t="s">
        <v>3380</v>
      </c>
      <c r="G3468" s="1" t="s">
        <v>3379</v>
      </c>
      <c r="H3468" s="2" t="s">
        <v>3464</v>
      </c>
      <c r="I3468" s="1" t="s">
        <v>3465</v>
      </c>
      <c r="J3468" s="1" t="s">
        <v>52</v>
      </c>
      <c r="K3468" s="1" t="s">
        <v>3464</v>
      </c>
      <c r="L3468" s="36" t="s">
        <v>69</v>
      </c>
      <c r="M3468" s="1" t="s">
        <v>69</v>
      </c>
      <c r="N3468" s="1" t="s">
        <v>1935</v>
      </c>
      <c r="O3468" s="1" t="s">
        <v>46</v>
      </c>
      <c r="P3468" s="1" t="s">
        <v>46</v>
      </c>
      <c r="Q3468" s="1" t="s">
        <v>46</v>
      </c>
      <c r="R3468" s="1" t="s">
        <v>46</v>
      </c>
      <c r="S3468" s="1" t="s">
        <v>46</v>
      </c>
      <c r="T3468" s="1" t="s">
        <v>46</v>
      </c>
      <c r="U3468" s="1" t="s">
        <v>46</v>
      </c>
      <c r="W3468" s="1" t="s">
        <v>46</v>
      </c>
      <c r="X3468" s="1" t="s">
        <v>2640</v>
      </c>
      <c r="Y3468" s="1" t="n">
        <v>5500</v>
      </c>
    </row>
    <row r="3469" customFormat="false" ht="13.8" hidden="false" customHeight="false" outlineLevel="0" collapsed="false">
      <c r="A3469" s="1" t="s">
        <v>3839</v>
      </c>
      <c r="C3469" s="1" t="s">
        <v>3840</v>
      </c>
      <c r="D3469" s="1" t="s">
        <v>14</v>
      </c>
      <c r="E3469" s="1" t="s">
        <v>3379</v>
      </c>
      <c r="F3469" s="1" t="s">
        <v>3380</v>
      </c>
      <c r="G3469" s="1" t="s">
        <v>3379</v>
      </c>
      <c r="H3469" s="2" t="s">
        <v>3466</v>
      </c>
      <c r="I3469" s="1" t="s">
        <v>3467</v>
      </c>
      <c r="J3469" s="1" t="s">
        <v>52</v>
      </c>
      <c r="K3469" s="1" t="s">
        <v>3466</v>
      </c>
      <c r="L3469" s="36" t="s">
        <v>69</v>
      </c>
      <c r="M3469" s="1" t="s">
        <v>69</v>
      </c>
      <c r="N3469" s="1" t="s">
        <v>3468</v>
      </c>
      <c r="O3469" s="1" t="s">
        <v>46</v>
      </c>
      <c r="P3469" s="1" t="s">
        <v>46</v>
      </c>
      <c r="Q3469" s="1" t="s">
        <v>46</v>
      </c>
      <c r="R3469" s="1" t="s">
        <v>46</v>
      </c>
      <c r="S3469" s="1" t="s">
        <v>46</v>
      </c>
      <c r="T3469" s="1" t="s">
        <v>46</v>
      </c>
      <c r="U3469" s="1" t="s">
        <v>46</v>
      </c>
      <c r="W3469" s="1" t="s">
        <v>46</v>
      </c>
      <c r="X3469" s="1" t="s">
        <v>2640</v>
      </c>
      <c r="Y3469" s="1" t="n">
        <v>5500</v>
      </c>
    </row>
    <row r="3470" customFormat="false" ht="13.8" hidden="false" customHeight="false" outlineLevel="0" collapsed="false">
      <c r="A3470" s="1" t="s">
        <v>3839</v>
      </c>
      <c r="C3470" s="1" t="s">
        <v>3840</v>
      </c>
      <c r="D3470" s="1" t="s">
        <v>14</v>
      </c>
      <c r="E3470" s="1" t="s">
        <v>3379</v>
      </c>
      <c r="F3470" s="1" t="s">
        <v>3380</v>
      </c>
      <c r="G3470" s="1" t="s">
        <v>3379</v>
      </c>
      <c r="H3470" s="2" t="s">
        <v>3469</v>
      </c>
      <c r="I3470" s="1" t="s">
        <v>3470</v>
      </c>
      <c r="J3470" s="1" t="s">
        <v>52</v>
      </c>
      <c r="K3470" s="1" t="s">
        <v>3469</v>
      </c>
      <c r="L3470" s="36" t="s">
        <v>69</v>
      </c>
      <c r="M3470" s="1" t="s">
        <v>69</v>
      </c>
      <c r="N3470" s="1" t="s">
        <v>3468</v>
      </c>
      <c r="O3470" s="1" t="s">
        <v>46</v>
      </c>
      <c r="P3470" s="1" t="s">
        <v>46</v>
      </c>
      <c r="Q3470" s="1" t="s">
        <v>46</v>
      </c>
      <c r="R3470" s="1" t="s">
        <v>46</v>
      </c>
      <c r="S3470" s="1" t="s">
        <v>46</v>
      </c>
      <c r="T3470" s="1" t="s">
        <v>46</v>
      </c>
      <c r="U3470" s="1" t="s">
        <v>46</v>
      </c>
      <c r="W3470" s="1" t="s">
        <v>46</v>
      </c>
      <c r="X3470" s="1" t="s">
        <v>2640</v>
      </c>
      <c r="Y3470" s="1" t="n">
        <v>5500</v>
      </c>
    </row>
    <row r="3471" customFormat="false" ht="13.8" hidden="false" customHeight="false" outlineLevel="0" collapsed="false">
      <c r="A3471" s="1" t="s">
        <v>3839</v>
      </c>
      <c r="C3471" s="1" t="s">
        <v>3840</v>
      </c>
      <c r="D3471" s="1" t="s">
        <v>14</v>
      </c>
      <c r="E3471" s="1" t="s">
        <v>3379</v>
      </c>
      <c r="F3471" s="1" t="s">
        <v>3380</v>
      </c>
      <c r="G3471" s="1" t="s">
        <v>3379</v>
      </c>
      <c r="H3471" s="2" t="s">
        <v>3471</v>
      </c>
      <c r="I3471" s="1" t="s">
        <v>3472</v>
      </c>
      <c r="J3471" s="1" t="s">
        <v>52</v>
      </c>
      <c r="K3471" s="1" t="s">
        <v>3471</v>
      </c>
      <c r="L3471" s="36" t="s">
        <v>69</v>
      </c>
      <c r="M3471" s="1" t="s">
        <v>69</v>
      </c>
      <c r="N3471" s="1" t="s">
        <v>3468</v>
      </c>
      <c r="O3471" s="1" t="s">
        <v>46</v>
      </c>
      <c r="P3471" s="1" t="s">
        <v>46</v>
      </c>
      <c r="Q3471" s="1" t="s">
        <v>46</v>
      </c>
      <c r="R3471" s="1" t="s">
        <v>46</v>
      </c>
      <c r="S3471" s="1" t="s">
        <v>46</v>
      </c>
      <c r="T3471" s="1" t="s">
        <v>46</v>
      </c>
      <c r="U3471" s="1" t="s">
        <v>46</v>
      </c>
      <c r="W3471" s="1" t="s">
        <v>46</v>
      </c>
      <c r="X3471" s="1" t="s">
        <v>2640</v>
      </c>
      <c r="Y3471" s="1" t="n">
        <v>5500</v>
      </c>
    </row>
    <row r="3472" customFormat="false" ht="13.8" hidden="false" customHeight="false" outlineLevel="0" collapsed="false">
      <c r="A3472" s="1" t="s">
        <v>3839</v>
      </c>
      <c r="C3472" s="1" t="s">
        <v>3840</v>
      </c>
      <c r="D3472" s="1" t="s">
        <v>14</v>
      </c>
      <c r="E3472" s="1" t="s">
        <v>3379</v>
      </c>
      <c r="F3472" s="1" t="s">
        <v>3380</v>
      </c>
      <c r="G3472" s="1" t="s">
        <v>3379</v>
      </c>
      <c r="H3472" s="2" t="s">
        <v>3473</v>
      </c>
      <c r="I3472" s="1" t="s">
        <v>3474</v>
      </c>
      <c r="J3472" s="1" t="s">
        <v>52</v>
      </c>
      <c r="K3472" s="1" t="s">
        <v>3473</v>
      </c>
      <c r="L3472" s="36" t="s">
        <v>69</v>
      </c>
      <c r="M3472" s="1" t="s">
        <v>69</v>
      </c>
      <c r="N3472" s="1" t="s">
        <v>3468</v>
      </c>
      <c r="O3472" s="1" t="s">
        <v>46</v>
      </c>
      <c r="P3472" s="1" t="s">
        <v>46</v>
      </c>
      <c r="Q3472" s="1" t="s">
        <v>46</v>
      </c>
      <c r="R3472" s="1" t="s">
        <v>46</v>
      </c>
      <c r="S3472" s="1" t="s">
        <v>46</v>
      </c>
      <c r="T3472" s="1" t="s">
        <v>46</v>
      </c>
      <c r="U3472" s="1" t="s">
        <v>46</v>
      </c>
      <c r="W3472" s="1" t="s">
        <v>46</v>
      </c>
      <c r="X3472" s="1" t="s">
        <v>2640</v>
      </c>
      <c r="Y3472" s="1" t="n">
        <v>5500</v>
      </c>
    </row>
    <row r="3473" customFormat="false" ht="13.8" hidden="false" customHeight="false" outlineLevel="0" collapsed="false">
      <c r="A3473" s="1" t="s">
        <v>3839</v>
      </c>
      <c r="C3473" s="1" t="s">
        <v>3840</v>
      </c>
      <c r="D3473" s="1" t="s">
        <v>14</v>
      </c>
      <c r="E3473" s="1" t="s">
        <v>3379</v>
      </c>
      <c r="F3473" s="1" t="s">
        <v>3380</v>
      </c>
      <c r="G3473" s="1" t="s">
        <v>3379</v>
      </c>
      <c r="H3473" s="2" t="s">
        <v>3475</v>
      </c>
      <c r="I3473" s="1" t="s">
        <v>3476</v>
      </c>
      <c r="J3473" s="1" t="s">
        <v>52</v>
      </c>
      <c r="K3473" s="1" t="s">
        <v>3475</v>
      </c>
      <c r="L3473" s="36" t="s">
        <v>69</v>
      </c>
      <c r="M3473" s="1" t="s">
        <v>69</v>
      </c>
      <c r="N3473" s="1" t="s">
        <v>3468</v>
      </c>
      <c r="O3473" s="1" t="s">
        <v>46</v>
      </c>
      <c r="P3473" s="1" t="s">
        <v>46</v>
      </c>
      <c r="Q3473" s="1" t="s">
        <v>46</v>
      </c>
      <c r="R3473" s="1" t="s">
        <v>46</v>
      </c>
      <c r="S3473" s="1" t="s">
        <v>46</v>
      </c>
      <c r="T3473" s="1" t="s">
        <v>46</v>
      </c>
      <c r="U3473" s="1" t="s">
        <v>46</v>
      </c>
      <c r="W3473" s="1" t="s">
        <v>46</v>
      </c>
      <c r="X3473" s="1" t="s">
        <v>2640</v>
      </c>
      <c r="Y3473" s="1" t="n">
        <v>5500</v>
      </c>
    </row>
    <row r="3474" customFormat="false" ht="13.8" hidden="false" customHeight="false" outlineLevel="0" collapsed="false">
      <c r="A3474" s="1" t="s">
        <v>3839</v>
      </c>
      <c r="C3474" s="1" t="s">
        <v>3840</v>
      </c>
      <c r="D3474" s="1" t="s">
        <v>14</v>
      </c>
      <c r="E3474" s="1" t="s">
        <v>3379</v>
      </c>
      <c r="F3474" s="1" t="s">
        <v>3380</v>
      </c>
      <c r="G3474" s="1" t="s">
        <v>3379</v>
      </c>
      <c r="H3474" s="2" t="s">
        <v>3477</v>
      </c>
      <c r="I3474" s="1" t="s">
        <v>3478</v>
      </c>
      <c r="J3474" s="1" t="s">
        <v>52</v>
      </c>
      <c r="K3474" s="1" t="s">
        <v>3477</v>
      </c>
      <c r="L3474" s="36" t="s">
        <v>69</v>
      </c>
      <c r="M3474" s="1" t="s">
        <v>69</v>
      </c>
      <c r="N3474" s="1" t="s">
        <v>3468</v>
      </c>
      <c r="O3474" s="1" t="s">
        <v>46</v>
      </c>
      <c r="P3474" s="1" t="s">
        <v>46</v>
      </c>
      <c r="Q3474" s="1" t="s">
        <v>46</v>
      </c>
      <c r="R3474" s="1" t="s">
        <v>46</v>
      </c>
      <c r="S3474" s="1" t="s">
        <v>46</v>
      </c>
      <c r="T3474" s="1" t="s">
        <v>46</v>
      </c>
      <c r="U3474" s="1" t="s">
        <v>46</v>
      </c>
      <c r="W3474" s="1" t="s">
        <v>46</v>
      </c>
      <c r="X3474" s="1" t="s">
        <v>2640</v>
      </c>
      <c r="Y3474" s="1" t="n">
        <v>5500</v>
      </c>
    </row>
    <row r="3475" customFormat="false" ht="13.8" hidden="false" customHeight="false" outlineLevel="0" collapsed="false">
      <c r="A3475" s="1" t="s">
        <v>3839</v>
      </c>
      <c r="C3475" s="1" t="s">
        <v>3840</v>
      </c>
      <c r="D3475" s="1" t="s">
        <v>14</v>
      </c>
      <c r="E3475" s="1" t="s">
        <v>3379</v>
      </c>
      <c r="F3475" s="1" t="s">
        <v>3380</v>
      </c>
      <c r="G3475" s="1" t="s">
        <v>3379</v>
      </c>
      <c r="H3475" s="2" t="s">
        <v>3479</v>
      </c>
      <c r="I3475" s="1" t="s">
        <v>3480</v>
      </c>
      <c r="J3475" s="1" t="s">
        <v>52</v>
      </c>
      <c r="K3475" s="1" t="s">
        <v>3479</v>
      </c>
      <c r="L3475" s="36" t="s">
        <v>69</v>
      </c>
      <c r="M3475" s="1" t="s">
        <v>69</v>
      </c>
      <c r="N3475" s="1" t="s">
        <v>3468</v>
      </c>
      <c r="O3475" s="1" t="s">
        <v>46</v>
      </c>
      <c r="P3475" s="1" t="s">
        <v>46</v>
      </c>
      <c r="Q3475" s="1" t="s">
        <v>46</v>
      </c>
      <c r="R3475" s="1" t="s">
        <v>46</v>
      </c>
      <c r="S3475" s="1" t="s">
        <v>46</v>
      </c>
      <c r="T3475" s="1" t="s">
        <v>46</v>
      </c>
      <c r="U3475" s="1" t="s">
        <v>46</v>
      </c>
      <c r="W3475" s="1" t="s">
        <v>46</v>
      </c>
      <c r="X3475" s="1" t="s">
        <v>2640</v>
      </c>
      <c r="Y3475" s="1" t="n">
        <v>5500</v>
      </c>
    </row>
    <row r="3476" customFormat="false" ht="13.8" hidden="false" customHeight="false" outlineLevel="0" collapsed="false">
      <c r="A3476" s="1" t="s">
        <v>3839</v>
      </c>
      <c r="C3476" s="1" t="s">
        <v>3840</v>
      </c>
      <c r="D3476" s="1" t="s">
        <v>14</v>
      </c>
      <c r="E3476" s="1" t="s">
        <v>3379</v>
      </c>
      <c r="F3476" s="1" t="s">
        <v>3380</v>
      </c>
      <c r="G3476" s="1" t="s">
        <v>3379</v>
      </c>
      <c r="H3476" s="2" t="s">
        <v>3481</v>
      </c>
      <c r="I3476" s="1" t="s">
        <v>3482</v>
      </c>
      <c r="J3476" s="1" t="s">
        <v>52</v>
      </c>
      <c r="K3476" s="1" t="s">
        <v>3481</v>
      </c>
      <c r="L3476" s="36" t="s">
        <v>69</v>
      </c>
      <c r="M3476" s="1" t="s">
        <v>69</v>
      </c>
      <c r="N3476" s="1" t="s">
        <v>3468</v>
      </c>
      <c r="O3476" s="1" t="s">
        <v>46</v>
      </c>
      <c r="P3476" s="1" t="s">
        <v>46</v>
      </c>
      <c r="Q3476" s="1" t="s">
        <v>46</v>
      </c>
      <c r="R3476" s="1" t="s">
        <v>46</v>
      </c>
      <c r="S3476" s="1" t="s">
        <v>46</v>
      </c>
      <c r="T3476" s="1" t="s">
        <v>46</v>
      </c>
      <c r="U3476" s="1" t="s">
        <v>46</v>
      </c>
      <c r="W3476" s="1" t="s">
        <v>46</v>
      </c>
      <c r="X3476" s="1" t="s">
        <v>2640</v>
      </c>
      <c r="Y3476" s="1" t="n">
        <v>5500</v>
      </c>
    </row>
    <row r="3477" customFormat="false" ht="13.8" hidden="false" customHeight="false" outlineLevel="0" collapsed="false">
      <c r="A3477" s="1" t="s">
        <v>3839</v>
      </c>
      <c r="C3477" s="1" t="s">
        <v>3840</v>
      </c>
      <c r="D3477" s="1" t="s">
        <v>14</v>
      </c>
      <c r="E3477" s="1" t="s">
        <v>3379</v>
      </c>
      <c r="F3477" s="1" t="s">
        <v>3380</v>
      </c>
      <c r="G3477" s="1" t="s">
        <v>3379</v>
      </c>
      <c r="H3477" s="2" t="s">
        <v>3483</v>
      </c>
      <c r="I3477" s="1" t="s">
        <v>3484</v>
      </c>
      <c r="J3477" s="1" t="s">
        <v>52</v>
      </c>
      <c r="K3477" s="1" t="s">
        <v>3483</v>
      </c>
      <c r="L3477" s="36" t="s">
        <v>69</v>
      </c>
      <c r="M3477" s="1" t="s">
        <v>69</v>
      </c>
      <c r="N3477" s="1" t="s">
        <v>3468</v>
      </c>
      <c r="O3477" s="1" t="s">
        <v>46</v>
      </c>
      <c r="P3477" s="1" t="s">
        <v>46</v>
      </c>
      <c r="Q3477" s="1" t="s">
        <v>46</v>
      </c>
      <c r="R3477" s="1" t="s">
        <v>46</v>
      </c>
      <c r="S3477" s="1" t="s">
        <v>46</v>
      </c>
      <c r="T3477" s="1" t="s">
        <v>46</v>
      </c>
      <c r="U3477" s="1" t="s">
        <v>46</v>
      </c>
      <c r="W3477" s="1" t="s">
        <v>46</v>
      </c>
      <c r="X3477" s="1" t="s">
        <v>2640</v>
      </c>
      <c r="Y3477" s="1" t="n">
        <v>5500</v>
      </c>
    </row>
    <row r="3478" customFormat="false" ht="13.8" hidden="false" customHeight="false" outlineLevel="0" collapsed="false">
      <c r="A3478" s="1" t="s">
        <v>3839</v>
      </c>
      <c r="C3478" s="1" t="s">
        <v>3840</v>
      </c>
      <c r="D3478" s="1" t="s">
        <v>14</v>
      </c>
      <c r="E3478" s="1" t="s">
        <v>3379</v>
      </c>
      <c r="F3478" s="1" t="s">
        <v>3380</v>
      </c>
      <c r="G3478" s="1" t="s">
        <v>3379</v>
      </c>
      <c r="H3478" s="2" t="s">
        <v>3485</v>
      </c>
      <c r="I3478" s="1" t="s">
        <v>3486</v>
      </c>
      <c r="J3478" s="1" t="s">
        <v>52</v>
      </c>
      <c r="K3478" s="1" t="s">
        <v>3485</v>
      </c>
      <c r="L3478" s="36" t="s">
        <v>69</v>
      </c>
      <c r="M3478" s="1" t="s">
        <v>69</v>
      </c>
      <c r="N3478" s="1" t="s">
        <v>3468</v>
      </c>
      <c r="O3478" s="1" t="s">
        <v>46</v>
      </c>
      <c r="P3478" s="1" t="s">
        <v>46</v>
      </c>
      <c r="Q3478" s="1" t="s">
        <v>46</v>
      </c>
      <c r="R3478" s="1" t="s">
        <v>46</v>
      </c>
      <c r="S3478" s="1" t="s">
        <v>46</v>
      </c>
      <c r="T3478" s="1" t="s">
        <v>46</v>
      </c>
      <c r="U3478" s="1" t="s">
        <v>46</v>
      </c>
      <c r="W3478" s="1" t="s">
        <v>46</v>
      </c>
      <c r="X3478" s="1" t="s">
        <v>2640</v>
      </c>
      <c r="Y3478" s="1" t="n">
        <v>5500</v>
      </c>
    </row>
    <row r="3479" customFormat="false" ht="13.8" hidden="false" customHeight="false" outlineLevel="0" collapsed="false">
      <c r="A3479" s="1" t="s">
        <v>3839</v>
      </c>
      <c r="C3479" s="1" t="s">
        <v>3840</v>
      </c>
      <c r="D3479" s="1" t="s">
        <v>14</v>
      </c>
      <c r="E3479" s="1" t="s">
        <v>3379</v>
      </c>
      <c r="F3479" s="1" t="s">
        <v>3380</v>
      </c>
      <c r="G3479" s="1" t="s">
        <v>3379</v>
      </c>
      <c r="H3479" s="2" t="s">
        <v>3487</v>
      </c>
      <c r="I3479" s="1" t="s">
        <v>3488</v>
      </c>
      <c r="J3479" s="1" t="s">
        <v>52</v>
      </c>
      <c r="K3479" s="1" t="s">
        <v>3487</v>
      </c>
      <c r="L3479" s="36" t="s">
        <v>69</v>
      </c>
      <c r="M3479" s="1" t="s">
        <v>69</v>
      </c>
      <c r="N3479" s="1" t="s">
        <v>3468</v>
      </c>
      <c r="O3479" s="1" t="s">
        <v>46</v>
      </c>
      <c r="P3479" s="1" t="s">
        <v>46</v>
      </c>
      <c r="Q3479" s="1" t="s">
        <v>46</v>
      </c>
      <c r="R3479" s="1" t="s">
        <v>46</v>
      </c>
      <c r="S3479" s="1" t="s">
        <v>46</v>
      </c>
      <c r="T3479" s="1" t="s">
        <v>46</v>
      </c>
      <c r="U3479" s="1" t="s">
        <v>46</v>
      </c>
      <c r="W3479" s="1" t="s">
        <v>46</v>
      </c>
      <c r="X3479" s="1" t="s">
        <v>2640</v>
      </c>
      <c r="Y3479" s="1" t="n">
        <v>5500</v>
      </c>
    </row>
    <row r="3480" customFormat="false" ht="13.8" hidden="false" customHeight="false" outlineLevel="0" collapsed="false">
      <c r="A3480" s="1" t="s">
        <v>3839</v>
      </c>
      <c r="C3480" s="1" t="s">
        <v>3840</v>
      </c>
      <c r="D3480" s="1" t="s">
        <v>14</v>
      </c>
      <c r="E3480" s="1" t="s">
        <v>3379</v>
      </c>
      <c r="F3480" s="1" t="s">
        <v>3380</v>
      </c>
      <c r="G3480" s="1" t="s">
        <v>3379</v>
      </c>
      <c r="H3480" s="2" t="s">
        <v>3489</v>
      </c>
      <c r="I3480" s="1" t="s">
        <v>3490</v>
      </c>
      <c r="J3480" s="1" t="s">
        <v>52</v>
      </c>
      <c r="K3480" s="1" t="s">
        <v>3489</v>
      </c>
      <c r="L3480" s="36" t="s">
        <v>69</v>
      </c>
      <c r="M3480" s="1" t="s">
        <v>69</v>
      </c>
      <c r="N3480" s="1" t="s">
        <v>3468</v>
      </c>
      <c r="O3480" s="1" t="s">
        <v>46</v>
      </c>
      <c r="P3480" s="1" t="s">
        <v>46</v>
      </c>
      <c r="Q3480" s="1" t="s">
        <v>46</v>
      </c>
      <c r="R3480" s="1" t="s">
        <v>46</v>
      </c>
      <c r="S3480" s="1" t="s">
        <v>46</v>
      </c>
      <c r="T3480" s="1" t="s">
        <v>46</v>
      </c>
      <c r="U3480" s="1" t="s">
        <v>46</v>
      </c>
      <c r="W3480" s="1" t="s">
        <v>46</v>
      </c>
      <c r="X3480" s="1" t="s">
        <v>2640</v>
      </c>
      <c r="Y3480" s="1" t="n">
        <v>5500</v>
      </c>
    </row>
    <row r="3481" customFormat="false" ht="13.8" hidden="false" customHeight="false" outlineLevel="0" collapsed="false">
      <c r="A3481" s="1" t="s">
        <v>3839</v>
      </c>
      <c r="C3481" s="1" t="s">
        <v>3840</v>
      </c>
      <c r="D3481" s="1" t="s">
        <v>14</v>
      </c>
      <c r="E3481" s="1" t="s">
        <v>3379</v>
      </c>
      <c r="F3481" s="1" t="s">
        <v>3380</v>
      </c>
      <c r="G3481" s="1" t="s">
        <v>3379</v>
      </c>
      <c r="H3481" s="2" t="s">
        <v>3491</v>
      </c>
      <c r="I3481" s="1" t="s">
        <v>3492</v>
      </c>
      <c r="J3481" s="1" t="s">
        <v>52</v>
      </c>
      <c r="K3481" s="1" t="s">
        <v>3491</v>
      </c>
      <c r="L3481" s="36" t="s">
        <v>69</v>
      </c>
      <c r="M3481" s="1" t="s">
        <v>69</v>
      </c>
      <c r="N3481" s="1" t="s">
        <v>3468</v>
      </c>
      <c r="O3481" s="1" t="s">
        <v>46</v>
      </c>
      <c r="P3481" s="1" t="s">
        <v>46</v>
      </c>
      <c r="Q3481" s="1" t="s">
        <v>46</v>
      </c>
      <c r="R3481" s="1" t="s">
        <v>46</v>
      </c>
      <c r="S3481" s="1" t="s">
        <v>46</v>
      </c>
      <c r="T3481" s="1" t="s">
        <v>46</v>
      </c>
      <c r="U3481" s="1" t="s">
        <v>46</v>
      </c>
      <c r="W3481" s="1" t="s">
        <v>46</v>
      </c>
      <c r="X3481" s="1" t="s">
        <v>2640</v>
      </c>
      <c r="Y3481" s="1" t="n">
        <v>5500</v>
      </c>
    </row>
    <row r="3482" customFormat="false" ht="13.8" hidden="false" customHeight="false" outlineLevel="0" collapsed="false">
      <c r="A3482" s="1" t="s">
        <v>3839</v>
      </c>
      <c r="C3482" s="1" t="s">
        <v>3840</v>
      </c>
      <c r="D3482" s="1" t="s">
        <v>14</v>
      </c>
      <c r="E3482" s="1" t="s">
        <v>3379</v>
      </c>
      <c r="F3482" s="1" t="s">
        <v>3380</v>
      </c>
      <c r="G3482" s="1" t="s">
        <v>3379</v>
      </c>
      <c r="H3482" s="2" t="s">
        <v>3493</v>
      </c>
      <c r="I3482" s="1" t="s">
        <v>3494</v>
      </c>
      <c r="J3482" s="1" t="s">
        <v>52</v>
      </c>
      <c r="K3482" s="1" t="s">
        <v>3493</v>
      </c>
      <c r="L3482" s="36" t="s">
        <v>69</v>
      </c>
      <c r="M3482" s="1" t="s">
        <v>69</v>
      </c>
      <c r="N3482" s="1" t="s">
        <v>3468</v>
      </c>
      <c r="O3482" s="1" t="s">
        <v>46</v>
      </c>
      <c r="P3482" s="1" t="s">
        <v>46</v>
      </c>
      <c r="Q3482" s="1" t="s">
        <v>46</v>
      </c>
      <c r="R3482" s="1" t="s">
        <v>46</v>
      </c>
      <c r="S3482" s="1" t="s">
        <v>46</v>
      </c>
      <c r="T3482" s="1" t="s">
        <v>46</v>
      </c>
      <c r="U3482" s="1" t="s">
        <v>46</v>
      </c>
      <c r="W3482" s="1" t="s">
        <v>46</v>
      </c>
      <c r="X3482" s="1" t="s">
        <v>2640</v>
      </c>
      <c r="Y3482" s="1" t="n">
        <v>5500</v>
      </c>
    </row>
    <row r="3483" customFormat="false" ht="13.8" hidden="false" customHeight="false" outlineLevel="0" collapsed="false">
      <c r="A3483" s="1" t="s">
        <v>3839</v>
      </c>
      <c r="C3483" s="1" t="s">
        <v>3840</v>
      </c>
      <c r="D3483" s="1" t="s">
        <v>14</v>
      </c>
      <c r="E3483" s="1" t="s">
        <v>3379</v>
      </c>
      <c r="F3483" s="1" t="s">
        <v>3380</v>
      </c>
      <c r="G3483" s="1" t="s">
        <v>3379</v>
      </c>
      <c r="H3483" s="2" t="s">
        <v>3495</v>
      </c>
      <c r="I3483" s="1" t="s">
        <v>3496</v>
      </c>
      <c r="J3483" s="1" t="s">
        <v>52</v>
      </c>
      <c r="K3483" s="1" t="s">
        <v>3495</v>
      </c>
      <c r="L3483" s="36" t="s">
        <v>69</v>
      </c>
      <c r="M3483" s="1" t="s">
        <v>69</v>
      </c>
      <c r="N3483" s="1" t="s">
        <v>3468</v>
      </c>
      <c r="O3483" s="1" t="s">
        <v>46</v>
      </c>
      <c r="P3483" s="1" t="s">
        <v>46</v>
      </c>
      <c r="Q3483" s="1" t="s">
        <v>46</v>
      </c>
      <c r="R3483" s="1" t="s">
        <v>46</v>
      </c>
      <c r="S3483" s="1" t="s">
        <v>46</v>
      </c>
      <c r="T3483" s="1" t="s">
        <v>46</v>
      </c>
      <c r="U3483" s="1" t="s">
        <v>46</v>
      </c>
      <c r="W3483" s="1" t="s">
        <v>46</v>
      </c>
      <c r="X3483" s="1" t="s">
        <v>2640</v>
      </c>
      <c r="Y3483" s="1" t="n">
        <v>5500</v>
      </c>
    </row>
    <row r="3484" customFormat="false" ht="13.8" hidden="false" customHeight="false" outlineLevel="0" collapsed="false">
      <c r="A3484" s="1" t="s">
        <v>3841</v>
      </c>
      <c r="C3484" s="1" t="s">
        <v>3842</v>
      </c>
      <c r="D3484" s="1" t="s">
        <v>14</v>
      </c>
      <c r="E3484" s="1" t="s">
        <v>3379</v>
      </c>
      <c r="F3484" s="1" t="s">
        <v>3380</v>
      </c>
      <c r="G3484" s="1" t="s">
        <v>3379</v>
      </c>
      <c r="H3484" s="2" t="s">
        <v>3598</v>
      </c>
      <c r="I3484" s="1" t="s">
        <v>3599</v>
      </c>
      <c r="J3484" s="1" t="s">
        <v>52</v>
      </c>
      <c r="K3484" s="1" t="s">
        <v>3598</v>
      </c>
      <c r="L3484" s="36" t="s">
        <v>69</v>
      </c>
      <c r="M3484" s="1" t="s">
        <v>69</v>
      </c>
      <c r="N3484" s="1" t="s">
        <v>3383</v>
      </c>
      <c r="O3484" s="1" t="s">
        <v>3784</v>
      </c>
      <c r="P3484" s="1" t="s">
        <v>3385</v>
      </c>
      <c r="Q3484" s="1" t="s">
        <v>3385</v>
      </c>
      <c r="R3484" s="1" t="s">
        <v>46</v>
      </c>
      <c r="S3484" s="1" t="s">
        <v>69</v>
      </c>
      <c r="T3484" s="1" t="s">
        <v>69</v>
      </c>
      <c r="U3484" s="1" t="s">
        <v>46</v>
      </c>
      <c r="V3484" s="1" t="n">
        <v>1</v>
      </c>
      <c r="W3484" s="1" t="s">
        <v>46</v>
      </c>
      <c r="X3484" s="1" t="s">
        <v>2640</v>
      </c>
      <c r="Y3484" s="1" t="n">
        <v>5500</v>
      </c>
    </row>
    <row r="3485" customFormat="false" ht="13.8" hidden="false" customHeight="false" outlineLevel="0" collapsed="false">
      <c r="A3485" s="1" t="s">
        <v>3841</v>
      </c>
      <c r="C3485" s="1" t="s">
        <v>3842</v>
      </c>
      <c r="D3485" s="1" t="s">
        <v>14</v>
      </c>
      <c r="E3485" s="1" t="s">
        <v>3379</v>
      </c>
      <c r="F3485" s="1" t="s">
        <v>3380</v>
      </c>
      <c r="G3485" s="1" t="s">
        <v>3379</v>
      </c>
      <c r="H3485" s="2" t="s">
        <v>3601</v>
      </c>
      <c r="I3485" s="1" t="s">
        <v>3602</v>
      </c>
      <c r="J3485" s="1" t="s">
        <v>52</v>
      </c>
      <c r="K3485" s="1" t="s">
        <v>3601</v>
      </c>
      <c r="L3485" s="36" t="s">
        <v>69</v>
      </c>
      <c r="M3485" s="1" t="s">
        <v>69</v>
      </c>
      <c r="N3485" s="1" t="s">
        <v>3383</v>
      </c>
      <c r="O3485" s="1" t="s">
        <v>3784</v>
      </c>
      <c r="P3485" s="1" t="s">
        <v>3385</v>
      </c>
      <c r="Q3485" s="1" t="s">
        <v>3385</v>
      </c>
      <c r="R3485" s="1" t="s">
        <v>46</v>
      </c>
      <c r="S3485" s="1" t="s">
        <v>69</v>
      </c>
      <c r="T3485" s="1" t="s">
        <v>69</v>
      </c>
      <c r="U3485" s="1" t="s">
        <v>46</v>
      </c>
      <c r="V3485" s="1" t="n">
        <v>2</v>
      </c>
      <c r="W3485" s="1" t="s">
        <v>46</v>
      </c>
      <c r="X3485" s="1" t="s">
        <v>2640</v>
      </c>
      <c r="Y3485" s="1" t="n">
        <v>5500</v>
      </c>
    </row>
    <row r="3486" customFormat="false" ht="13.8" hidden="false" customHeight="false" outlineLevel="0" collapsed="false">
      <c r="A3486" s="1" t="s">
        <v>3841</v>
      </c>
      <c r="C3486" s="1" t="s">
        <v>3842</v>
      </c>
      <c r="D3486" s="1" t="s">
        <v>14</v>
      </c>
      <c r="E3486" s="1" t="s">
        <v>3379</v>
      </c>
      <c r="F3486" s="1" t="s">
        <v>3380</v>
      </c>
      <c r="G3486" s="1" t="s">
        <v>3379</v>
      </c>
      <c r="H3486" s="2" t="s">
        <v>3603</v>
      </c>
      <c r="I3486" s="1" t="s">
        <v>3604</v>
      </c>
      <c r="J3486" s="1" t="s">
        <v>52</v>
      </c>
      <c r="K3486" s="1" t="s">
        <v>3603</v>
      </c>
      <c r="L3486" s="36" t="s">
        <v>69</v>
      </c>
      <c r="M3486" s="1" t="s">
        <v>69</v>
      </c>
      <c r="N3486" s="1" t="s">
        <v>3383</v>
      </c>
      <c r="O3486" s="1" t="s">
        <v>3784</v>
      </c>
      <c r="P3486" s="1" t="s">
        <v>3385</v>
      </c>
      <c r="Q3486" s="1" t="s">
        <v>3385</v>
      </c>
      <c r="R3486" s="1" t="s">
        <v>46</v>
      </c>
      <c r="S3486" s="1" t="s">
        <v>69</v>
      </c>
      <c r="T3486" s="1" t="s">
        <v>69</v>
      </c>
      <c r="U3486" s="1" t="s">
        <v>46</v>
      </c>
      <c r="V3486" s="1" t="n">
        <v>3</v>
      </c>
      <c r="W3486" s="1" t="s">
        <v>46</v>
      </c>
      <c r="X3486" s="1" t="s">
        <v>2640</v>
      </c>
      <c r="Y3486" s="1" t="n">
        <v>5500</v>
      </c>
    </row>
    <row r="3487" customFormat="false" ht="13.8" hidden="false" customHeight="false" outlineLevel="0" collapsed="false">
      <c r="A3487" s="1" t="s">
        <v>3841</v>
      </c>
      <c r="C3487" s="1" t="s">
        <v>3842</v>
      </c>
      <c r="D3487" s="1" t="s">
        <v>14</v>
      </c>
      <c r="E3487" s="1" t="s">
        <v>3379</v>
      </c>
      <c r="F3487" s="1" t="s">
        <v>3380</v>
      </c>
      <c r="G3487" s="1" t="s">
        <v>3379</v>
      </c>
      <c r="H3487" s="2" t="s">
        <v>3605</v>
      </c>
      <c r="I3487" s="1" t="s">
        <v>3606</v>
      </c>
      <c r="J3487" s="1" t="s">
        <v>52</v>
      </c>
      <c r="K3487" s="1" t="s">
        <v>3605</v>
      </c>
      <c r="L3487" s="36" t="s">
        <v>69</v>
      </c>
      <c r="M3487" s="1" t="s">
        <v>69</v>
      </c>
      <c r="N3487" s="1" t="s">
        <v>3383</v>
      </c>
      <c r="O3487" s="1" t="s">
        <v>3784</v>
      </c>
      <c r="P3487" s="1" t="s">
        <v>3385</v>
      </c>
      <c r="Q3487" s="1" t="s">
        <v>3385</v>
      </c>
      <c r="R3487" s="1" t="s">
        <v>46</v>
      </c>
      <c r="S3487" s="1" t="s">
        <v>69</v>
      </c>
      <c r="T3487" s="1" t="s">
        <v>69</v>
      </c>
      <c r="U3487" s="1" t="s">
        <v>46</v>
      </c>
      <c r="V3487" s="1" t="n">
        <v>4</v>
      </c>
      <c r="W3487" s="1" t="s">
        <v>46</v>
      </c>
      <c r="X3487" s="1" t="s">
        <v>2640</v>
      </c>
      <c r="Y3487" s="1" t="n">
        <v>5500</v>
      </c>
    </row>
    <row r="3488" customFormat="false" ht="13.8" hidden="false" customHeight="false" outlineLevel="0" collapsed="false">
      <c r="A3488" s="1" t="s">
        <v>3841</v>
      </c>
      <c r="C3488" s="1" t="s">
        <v>3842</v>
      </c>
      <c r="D3488" s="1" t="s">
        <v>14</v>
      </c>
      <c r="E3488" s="1" t="s">
        <v>3379</v>
      </c>
      <c r="F3488" s="1" t="s">
        <v>3380</v>
      </c>
      <c r="G3488" s="1" t="s">
        <v>3379</v>
      </c>
      <c r="H3488" s="2" t="s">
        <v>3607</v>
      </c>
      <c r="I3488" s="1" t="s">
        <v>3608</v>
      </c>
      <c r="J3488" s="1" t="s">
        <v>52</v>
      </c>
      <c r="K3488" s="1" t="s">
        <v>3607</v>
      </c>
      <c r="L3488" s="36" t="s">
        <v>69</v>
      </c>
      <c r="M3488" s="1" t="s">
        <v>69</v>
      </c>
      <c r="N3488" s="1" t="s">
        <v>3383</v>
      </c>
      <c r="O3488" s="1" t="s">
        <v>3784</v>
      </c>
      <c r="P3488" s="1" t="s">
        <v>3385</v>
      </c>
      <c r="Q3488" s="1" t="s">
        <v>3385</v>
      </c>
      <c r="R3488" s="1" t="s">
        <v>46</v>
      </c>
      <c r="S3488" s="1" t="s">
        <v>69</v>
      </c>
      <c r="T3488" s="1" t="s">
        <v>69</v>
      </c>
      <c r="U3488" s="1" t="s">
        <v>46</v>
      </c>
      <c r="V3488" s="1" t="n">
        <v>5</v>
      </c>
      <c r="W3488" s="1" t="s">
        <v>46</v>
      </c>
      <c r="X3488" s="1" t="s">
        <v>2640</v>
      </c>
      <c r="Y3488" s="1" t="n">
        <v>5500</v>
      </c>
    </row>
    <row r="3489" customFormat="false" ht="13.8" hidden="false" customHeight="false" outlineLevel="0" collapsed="false">
      <c r="A3489" s="1" t="s">
        <v>3841</v>
      </c>
      <c r="C3489" s="1" t="s">
        <v>3842</v>
      </c>
      <c r="D3489" s="1" t="s">
        <v>14</v>
      </c>
      <c r="E3489" s="1" t="s">
        <v>3379</v>
      </c>
      <c r="F3489" s="1" t="s">
        <v>3380</v>
      </c>
      <c r="G3489" s="1" t="s">
        <v>3379</v>
      </c>
      <c r="H3489" s="2" t="s">
        <v>3655</v>
      </c>
      <c r="I3489" s="1" t="s">
        <v>3656</v>
      </c>
      <c r="J3489" s="1" t="s">
        <v>52</v>
      </c>
      <c r="K3489" s="1" t="s">
        <v>3655</v>
      </c>
      <c r="L3489" s="36" t="s">
        <v>69</v>
      </c>
      <c r="M3489" s="1" t="s">
        <v>69</v>
      </c>
      <c r="N3489" s="1" t="s">
        <v>3383</v>
      </c>
      <c r="O3489" s="1" t="s">
        <v>3785</v>
      </c>
      <c r="P3489" s="1" t="s">
        <v>3385</v>
      </c>
      <c r="Q3489" s="1" t="s">
        <v>3385</v>
      </c>
      <c r="R3489" s="1" t="s">
        <v>46</v>
      </c>
      <c r="S3489" s="1" t="s">
        <v>69</v>
      </c>
      <c r="T3489" s="1" t="s">
        <v>69</v>
      </c>
      <c r="U3489" s="1" t="s">
        <v>46</v>
      </c>
      <c r="V3489" s="1" t="n">
        <v>1</v>
      </c>
      <c r="W3489" s="1" t="s">
        <v>46</v>
      </c>
      <c r="X3489" s="1" t="s">
        <v>2640</v>
      </c>
      <c r="Y3489" s="1" t="n">
        <v>5500</v>
      </c>
    </row>
    <row r="3490" customFormat="false" ht="13.8" hidden="false" customHeight="false" outlineLevel="0" collapsed="false">
      <c r="A3490" s="1" t="s">
        <v>3841</v>
      </c>
      <c r="C3490" s="1" t="s">
        <v>3842</v>
      </c>
      <c r="D3490" s="1" t="s">
        <v>14</v>
      </c>
      <c r="E3490" s="1" t="s">
        <v>3379</v>
      </c>
      <c r="F3490" s="1" t="s">
        <v>3380</v>
      </c>
      <c r="G3490" s="1" t="s">
        <v>3379</v>
      </c>
      <c r="H3490" s="2" t="s">
        <v>3658</v>
      </c>
      <c r="I3490" s="1" t="s">
        <v>3659</v>
      </c>
      <c r="J3490" s="1" t="s">
        <v>52</v>
      </c>
      <c r="K3490" s="1" t="s">
        <v>3658</v>
      </c>
      <c r="L3490" s="36" t="s">
        <v>69</v>
      </c>
      <c r="M3490" s="1" t="s">
        <v>69</v>
      </c>
      <c r="N3490" s="1" t="s">
        <v>3383</v>
      </c>
      <c r="O3490" s="1" t="s">
        <v>3785</v>
      </c>
      <c r="P3490" s="1" t="s">
        <v>3385</v>
      </c>
      <c r="Q3490" s="1" t="s">
        <v>3385</v>
      </c>
      <c r="R3490" s="1" t="s">
        <v>46</v>
      </c>
      <c r="S3490" s="1" t="s">
        <v>69</v>
      </c>
      <c r="T3490" s="1" t="s">
        <v>69</v>
      </c>
      <c r="U3490" s="1" t="s">
        <v>46</v>
      </c>
      <c r="V3490" s="1" t="n">
        <v>2</v>
      </c>
      <c r="W3490" s="1" t="s">
        <v>46</v>
      </c>
      <c r="X3490" s="1" t="s">
        <v>2640</v>
      </c>
      <c r="Y3490" s="1" t="n">
        <v>5500</v>
      </c>
    </row>
    <row r="3491" customFormat="false" ht="13.8" hidden="false" customHeight="false" outlineLevel="0" collapsed="false">
      <c r="A3491" s="1" t="s">
        <v>3841</v>
      </c>
      <c r="C3491" s="1" t="s">
        <v>3842</v>
      </c>
      <c r="D3491" s="1" t="s">
        <v>14</v>
      </c>
      <c r="E3491" s="1" t="s">
        <v>3379</v>
      </c>
      <c r="F3491" s="1" t="s">
        <v>3380</v>
      </c>
      <c r="G3491" s="1" t="s">
        <v>3379</v>
      </c>
      <c r="H3491" s="2" t="s">
        <v>3660</v>
      </c>
      <c r="I3491" s="1" t="s">
        <v>3661</v>
      </c>
      <c r="J3491" s="1" t="s">
        <v>52</v>
      </c>
      <c r="K3491" s="1" t="s">
        <v>3660</v>
      </c>
      <c r="L3491" s="36" t="s">
        <v>69</v>
      </c>
      <c r="M3491" s="1" t="s">
        <v>69</v>
      </c>
      <c r="N3491" s="1" t="s">
        <v>3383</v>
      </c>
      <c r="O3491" s="1" t="s">
        <v>3785</v>
      </c>
      <c r="P3491" s="1" t="s">
        <v>3385</v>
      </c>
      <c r="Q3491" s="1" t="s">
        <v>3385</v>
      </c>
      <c r="R3491" s="1" t="s">
        <v>46</v>
      </c>
      <c r="S3491" s="1" t="s">
        <v>69</v>
      </c>
      <c r="T3491" s="1" t="s">
        <v>69</v>
      </c>
      <c r="U3491" s="1" t="s">
        <v>46</v>
      </c>
      <c r="V3491" s="1" t="n">
        <v>3</v>
      </c>
      <c r="W3491" s="1" t="s">
        <v>46</v>
      </c>
      <c r="X3491" s="1" t="s">
        <v>2640</v>
      </c>
      <c r="Y3491" s="1" t="n">
        <v>5500</v>
      </c>
    </row>
    <row r="3492" customFormat="false" ht="13.8" hidden="false" customHeight="false" outlineLevel="0" collapsed="false">
      <c r="A3492" s="1" t="s">
        <v>3841</v>
      </c>
      <c r="C3492" s="1" t="s">
        <v>3842</v>
      </c>
      <c r="D3492" s="1" t="s">
        <v>14</v>
      </c>
      <c r="E3492" s="1" t="s">
        <v>3379</v>
      </c>
      <c r="F3492" s="1" t="s">
        <v>3380</v>
      </c>
      <c r="G3492" s="1" t="s">
        <v>3379</v>
      </c>
      <c r="H3492" s="2" t="s">
        <v>3662</v>
      </c>
      <c r="I3492" s="1" t="s">
        <v>3663</v>
      </c>
      <c r="J3492" s="1" t="s">
        <v>52</v>
      </c>
      <c r="K3492" s="1" t="s">
        <v>3662</v>
      </c>
      <c r="L3492" s="36" t="s">
        <v>69</v>
      </c>
      <c r="M3492" s="1" t="s">
        <v>69</v>
      </c>
      <c r="N3492" s="1" t="s">
        <v>3383</v>
      </c>
      <c r="O3492" s="1" t="s">
        <v>3785</v>
      </c>
      <c r="P3492" s="1" t="s">
        <v>3385</v>
      </c>
      <c r="Q3492" s="1" t="s">
        <v>3385</v>
      </c>
      <c r="R3492" s="1" t="s">
        <v>46</v>
      </c>
      <c r="S3492" s="1" t="s">
        <v>69</v>
      </c>
      <c r="T3492" s="1" t="s">
        <v>69</v>
      </c>
      <c r="U3492" s="1" t="s">
        <v>46</v>
      </c>
      <c r="V3492" s="1" t="n">
        <v>4</v>
      </c>
      <c r="W3492" s="1" t="s">
        <v>46</v>
      </c>
      <c r="X3492" s="1" t="s">
        <v>2640</v>
      </c>
      <c r="Y3492" s="1" t="n">
        <v>5500</v>
      </c>
    </row>
    <row r="3493" customFormat="false" ht="13.8" hidden="false" customHeight="false" outlineLevel="0" collapsed="false">
      <c r="A3493" s="1" t="s">
        <v>3841</v>
      </c>
      <c r="C3493" s="1" t="s">
        <v>3842</v>
      </c>
      <c r="D3493" s="1" t="s">
        <v>14</v>
      </c>
      <c r="E3493" s="1" t="s">
        <v>3379</v>
      </c>
      <c r="F3493" s="1" t="s">
        <v>3380</v>
      </c>
      <c r="G3493" s="1" t="s">
        <v>3379</v>
      </c>
      <c r="H3493" s="2" t="s">
        <v>3664</v>
      </c>
      <c r="I3493" s="1" t="s">
        <v>3665</v>
      </c>
      <c r="J3493" s="1" t="s">
        <v>52</v>
      </c>
      <c r="K3493" s="1" t="s">
        <v>3664</v>
      </c>
      <c r="L3493" s="36" t="s">
        <v>69</v>
      </c>
      <c r="M3493" s="1" t="s">
        <v>69</v>
      </c>
      <c r="N3493" s="1" t="s">
        <v>3383</v>
      </c>
      <c r="O3493" s="1" t="s">
        <v>3785</v>
      </c>
      <c r="P3493" s="1" t="s">
        <v>3385</v>
      </c>
      <c r="Q3493" s="1" t="s">
        <v>3385</v>
      </c>
      <c r="R3493" s="1" t="s">
        <v>46</v>
      </c>
      <c r="S3493" s="1" t="s">
        <v>69</v>
      </c>
      <c r="T3493" s="1" t="s">
        <v>69</v>
      </c>
      <c r="U3493" s="1" t="s">
        <v>46</v>
      </c>
      <c r="V3493" s="1" t="n">
        <v>5</v>
      </c>
      <c r="W3493" s="1" t="s">
        <v>46</v>
      </c>
      <c r="X3493" s="1" t="s">
        <v>2640</v>
      </c>
      <c r="Y3493" s="1" t="n">
        <v>5500</v>
      </c>
    </row>
    <row r="3494" customFormat="false" ht="13.8" hidden="false" customHeight="false" outlineLevel="0" collapsed="false">
      <c r="A3494" s="1" t="s">
        <v>3841</v>
      </c>
      <c r="C3494" s="1" t="s">
        <v>3842</v>
      </c>
      <c r="D3494" s="1" t="s">
        <v>14</v>
      </c>
      <c r="E3494" s="1" t="s">
        <v>3379</v>
      </c>
      <c r="F3494" s="1" t="s">
        <v>3380</v>
      </c>
      <c r="G3494" s="1" t="s">
        <v>3379</v>
      </c>
      <c r="H3494" s="2" t="s">
        <v>3436</v>
      </c>
      <c r="I3494" s="1" t="s">
        <v>3437</v>
      </c>
      <c r="J3494" s="1" t="s">
        <v>52</v>
      </c>
      <c r="K3494" s="1" t="s">
        <v>3436</v>
      </c>
      <c r="L3494" s="36" t="s">
        <v>69</v>
      </c>
      <c r="M3494" s="1" t="s">
        <v>69</v>
      </c>
      <c r="N3494" s="1" t="s">
        <v>1935</v>
      </c>
      <c r="O3494" s="1" t="s">
        <v>46</v>
      </c>
      <c r="P3494" s="1" t="s">
        <v>46</v>
      </c>
      <c r="Q3494" s="1" t="s">
        <v>46</v>
      </c>
      <c r="R3494" s="1" t="s">
        <v>46</v>
      </c>
      <c r="S3494" s="1" t="s">
        <v>46</v>
      </c>
      <c r="T3494" s="1" t="s">
        <v>46</v>
      </c>
      <c r="U3494" s="1" t="s">
        <v>46</v>
      </c>
      <c r="W3494" s="1" t="s">
        <v>46</v>
      </c>
      <c r="X3494" s="1" t="s">
        <v>2640</v>
      </c>
      <c r="Y3494" s="1" t="n">
        <v>5500</v>
      </c>
    </row>
    <row r="3495" customFormat="false" ht="13.8" hidden="false" customHeight="false" outlineLevel="0" collapsed="false">
      <c r="A3495" s="1" t="s">
        <v>3841</v>
      </c>
      <c r="C3495" s="1" t="s">
        <v>3842</v>
      </c>
      <c r="D3495" s="1" t="s">
        <v>14</v>
      </c>
      <c r="E3495" s="1" t="s">
        <v>3379</v>
      </c>
      <c r="F3495" s="1" t="s">
        <v>3380</v>
      </c>
      <c r="G3495" s="1" t="s">
        <v>3379</v>
      </c>
      <c r="H3495" s="2" t="s">
        <v>3438</v>
      </c>
      <c r="I3495" s="1" t="s">
        <v>3439</v>
      </c>
      <c r="J3495" s="1" t="s">
        <v>52</v>
      </c>
      <c r="K3495" s="1" t="s">
        <v>3438</v>
      </c>
      <c r="L3495" s="36" t="s">
        <v>69</v>
      </c>
      <c r="M3495" s="1" t="s">
        <v>69</v>
      </c>
      <c r="N3495" s="1" t="s">
        <v>1935</v>
      </c>
      <c r="O3495" s="1" t="s">
        <v>46</v>
      </c>
      <c r="P3495" s="1" t="s">
        <v>46</v>
      </c>
      <c r="Q3495" s="1" t="s">
        <v>46</v>
      </c>
      <c r="R3495" s="1" t="s">
        <v>46</v>
      </c>
      <c r="S3495" s="1" t="s">
        <v>46</v>
      </c>
      <c r="T3495" s="1" t="s">
        <v>46</v>
      </c>
      <c r="U3495" s="1" t="s">
        <v>46</v>
      </c>
      <c r="W3495" s="1" t="s">
        <v>46</v>
      </c>
      <c r="X3495" s="1" t="s">
        <v>2640</v>
      </c>
      <c r="Y3495" s="1" t="n">
        <v>5500</v>
      </c>
    </row>
    <row r="3496" customFormat="false" ht="13.8" hidden="false" customHeight="false" outlineLevel="0" collapsed="false">
      <c r="A3496" s="1" t="s">
        <v>3841</v>
      </c>
      <c r="C3496" s="1" t="s">
        <v>3842</v>
      </c>
      <c r="D3496" s="1" t="s">
        <v>14</v>
      </c>
      <c r="E3496" s="1" t="s">
        <v>3379</v>
      </c>
      <c r="F3496" s="1" t="s">
        <v>3380</v>
      </c>
      <c r="G3496" s="1" t="s">
        <v>3379</v>
      </c>
      <c r="H3496" s="2" t="s">
        <v>3440</v>
      </c>
      <c r="I3496" s="1" t="s">
        <v>3441</v>
      </c>
      <c r="J3496" s="1" t="s">
        <v>52</v>
      </c>
      <c r="K3496" s="1" t="s">
        <v>3440</v>
      </c>
      <c r="L3496" s="36" t="s">
        <v>69</v>
      </c>
      <c r="M3496" s="1" t="s">
        <v>69</v>
      </c>
      <c r="N3496" s="1" t="s">
        <v>1935</v>
      </c>
      <c r="O3496" s="1" t="s">
        <v>46</v>
      </c>
      <c r="P3496" s="1" t="s">
        <v>46</v>
      </c>
      <c r="Q3496" s="1" t="s">
        <v>46</v>
      </c>
      <c r="R3496" s="1" t="s">
        <v>46</v>
      </c>
      <c r="S3496" s="1" t="s">
        <v>46</v>
      </c>
      <c r="T3496" s="1" t="s">
        <v>46</v>
      </c>
      <c r="U3496" s="1" t="s">
        <v>46</v>
      </c>
      <c r="W3496" s="1" t="s">
        <v>46</v>
      </c>
      <c r="X3496" s="1" t="s">
        <v>2640</v>
      </c>
      <c r="Y3496" s="1" t="n">
        <v>5500</v>
      </c>
    </row>
    <row r="3497" customFormat="false" ht="13.8" hidden="false" customHeight="false" outlineLevel="0" collapsed="false">
      <c r="A3497" s="1" t="s">
        <v>3841</v>
      </c>
      <c r="C3497" s="1" t="s">
        <v>3842</v>
      </c>
      <c r="D3497" s="1" t="s">
        <v>14</v>
      </c>
      <c r="E3497" s="1" t="s">
        <v>3379</v>
      </c>
      <c r="F3497" s="1" t="s">
        <v>3380</v>
      </c>
      <c r="G3497" s="1" t="s">
        <v>3379</v>
      </c>
      <c r="H3497" s="2" t="s">
        <v>3442</v>
      </c>
      <c r="I3497" s="1" t="s">
        <v>3443</v>
      </c>
      <c r="J3497" s="1" t="s">
        <v>52</v>
      </c>
      <c r="K3497" s="1" t="s">
        <v>3442</v>
      </c>
      <c r="L3497" s="36" t="s">
        <v>69</v>
      </c>
      <c r="M3497" s="1" t="s">
        <v>69</v>
      </c>
      <c r="N3497" s="1" t="s">
        <v>1935</v>
      </c>
      <c r="O3497" s="1" t="s">
        <v>46</v>
      </c>
      <c r="P3497" s="1" t="s">
        <v>46</v>
      </c>
      <c r="Q3497" s="1" t="s">
        <v>46</v>
      </c>
      <c r="R3497" s="1" t="s">
        <v>46</v>
      </c>
      <c r="S3497" s="1" t="s">
        <v>46</v>
      </c>
      <c r="T3497" s="1" t="s">
        <v>46</v>
      </c>
      <c r="U3497" s="1" t="s">
        <v>46</v>
      </c>
      <c r="W3497" s="1" t="s">
        <v>46</v>
      </c>
      <c r="X3497" s="1" t="s">
        <v>2640</v>
      </c>
      <c r="Y3497" s="1" t="n">
        <v>5500</v>
      </c>
    </row>
    <row r="3498" customFormat="false" ht="13.8" hidden="false" customHeight="false" outlineLevel="0" collapsed="false">
      <c r="A3498" s="1" t="s">
        <v>3841</v>
      </c>
      <c r="C3498" s="1" t="s">
        <v>3842</v>
      </c>
      <c r="D3498" s="1" t="s">
        <v>14</v>
      </c>
      <c r="E3498" s="1" t="s">
        <v>3379</v>
      </c>
      <c r="F3498" s="1" t="s">
        <v>3380</v>
      </c>
      <c r="G3498" s="1" t="s">
        <v>3379</v>
      </c>
      <c r="H3498" s="2" t="s">
        <v>3444</v>
      </c>
      <c r="I3498" s="1" t="s">
        <v>3445</v>
      </c>
      <c r="J3498" s="1" t="s">
        <v>52</v>
      </c>
      <c r="K3498" s="1" t="s">
        <v>3444</v>
      </c>
      <c r="L3498" s="36" t="s">
        <v>69</v>
      </c>
      <c r="M3498" s="1" t="s">
        <v>69</v>
      </c>
      <c r="N3498" s="1" t="s">
        <v>1935</v>
      </c>
      <c r="O3498" s="1" t="s">
        <v>46</v>
      </c>
      <c r="P3498" s="1" t="s">
        <v>46</v>
      </c>
      <c r="Q3498" s="1" t="s">
        <v>46</v>
      </c>
      <c r="R3498" s="1" t="s">
        <v>46</v>
      </c>
      <c r="S3498" s="1" t="s">
        <v>46</v>
      </c>
      <c r="T3498" s="1" t="s">
        <v>46</v>
      </c>
      <c r="U3498" s="1" t="s">
        <v>46</v>
      </c>
      <c r="W3498" s="1" t="s">
        <v>46</v>
      </c>
      <c r="X3498" s="1" t="s">
        <v>2640</v>
      </c>
      <c r="Y3498" s="1" t="n">
        <v>5500</v>
      </c>
    </row>
    <row r="3499" customFormat="false" ht="13.8" hidden="false" customHeight="false" outlineLevel="0" collapsed="false">
      <c r="A3499" s="1" t="s">
        <v>3841</v>
      </c>
      <c r="C3499" s="1" t="s">
        <v>3842</v>
      </c>
      <c r="D3499" s="1" t="s">
        <v>14</v>
      </c>
      <c r="E3499" s="1" t="s">
        <v>3379</v>
      </c>
      <c r="F3499" s="1" t="s">
        <v>3380</v>
      </c>
      <c r="G3499" s="1" t="s">
        <v>3379</v>
      </c>
      <c r="H3499" s="2" t="s">
        <v>3446</v>
      </c>
      <c r="I3499" s="1" t="s">
        <v>3447</v>
      </c>
      <c r="J3499" s="1" t="s">
        <v>52</v>
      </c>
      <c r="K3499" s="1" t="s">
        <v>3446</v>
      </c>
      <c r="L3499" s="36" t="s">
        <v>69</v>
      </c>
      <c r="M3499" s="1" t="s">
        <v>69</v>
      </c>
      <c r="N3499" s="1" t="s">
        <v>1935</v>
      </c>
      <c r="O3499" s="1" t="s">
        <v>46</v>
      </c>
      <c r="P3499" s="1" t="s">
        <v>46</v>
      </c>
      <c r="Q3499" s="1" t="s">
        <v>46</v>
      </c>
      <c r="R3499" s="1" t="s">
        <v>46</v>
      </c>
      <c r="S3499" s="1" t="s">
        <v>46</v>
      </c>
      <c r="T3499" s="1" t="s">
        <v>46</v>
      </c>
      <c r="U3499" s="1" t="s">
        <v>46</v>
      </c>
      <c r="W3499" s="1" t="s">
        <v>46</v>
      </c>
      <c r="X3499" s="1" t="s">
        <v>2640</v>
      </c>
      <c r="Y3499" s="1" t="n">
        <v>5500</v>
      </c>
    </row>
    <row r="3500" customFormat="false" ht="13.8" hidden="false" customHeight="false" outlineLevel="0" collapsed="false">
      <c r="A3500" s="1" t="s">
        <v>3841</v>
      </c>
      <c r="C3500" s="1" t="s">
        <v>3842</v>
      </c>
      <c r="D3500" s="1" t="s">
        <v>14</v>
      </c>
      <c r="E3500" s="1" t="s">
        <v>3379</v>
      </c>
      <c r="F3500" s="1" t="s">
        <v>3380</v>
      </c>
      <c r="G3500" s="1" t="s">
        <v>3379</v>
      </c>
      <c r="H3500" s="2" t="s">
        <v>3448</v>
      </c>
      <c r="I3500" s="1" t="s">
        <v>3449</v>
      </c>
      <c r="J3500" s="1" t="s">
        <v>52</v>
      </c>
      <c r="K3500" s="1" t="s">
        <v>3448</v>
      </c>
      <c r="L3500" s="36" t="s">
        <v>69</v>
      </c>
      <c r="M3500" s="1" t="s">
        <v>69</v>
      </c>
      <c r="N3500" s="1" t="s">
        <v>1935</v>
      </c>
      <c r="O3500" s="1" t="s">
        <v>46</v>
      </c>
      <c r="P3500" s="1" t="s">
        <v>46</v>
      </c>
      <c r="Q3500" s="1" t="s">
        <v>46</v>
      </c>
      <c r="R3500" s="1" t="s">
        <v>46</v>
      </c>
      <c r="S3500" s="1" t="s">
        <v>46</v>
      </c>
      <c r="T3500" s="1" t="s">
        <v>46</v>
      </c>
      <c r="U3500" s="1" t="s">
        <v>46</v>
      </c>
      <c r="W3500" s="1" t="s">
        <v>46</v>
      </c>
      <c r="X3500" s="1" t="s">
        <v>2640</v>
      </c>
      <c r="Y3500" s="1" t="n">
        <v>5500</v>
      </c>
    </row>
    <row r="3501" customFormat="false" ht="13.8" hidden="false" customHeight="false" outlineLevel="0" collapsed="false">
      <c r="A3501" s="1" t="s">
        <v>3841</v>
      </c>
      <c r="C3501" s="1" t="s">
        <v>3842</v>
      </c>
      <c r="D3501" s="1" t="s">
        <v>14</v>
      </c>
      <c r="E3501" s="1" t="s">
        <v>3379</v>
      </c>
      <c r="F3501" s="1" t="s">
        <v>3380</v>
      </c>
      <c r="G3501" s="1" t="s">
        <v>3379</v>
      </c>
      <c r="H3501" s="2" t="s">
        <v>3450</v>
      </c>
      <c r="I3501" s="1" t="s">
        <v>3451</v>
      </c>
      <c r="J3501" s="1" t="s">
        <v>52</v>
      </c>
      <c r="K3501" s="1" t="s">
        <v>3450</v>
      </c>
      <c r="L3501" s="36" t="s">
        <v>69</v>
      </c>
      <c r="M3501" s="1" t="s">
        <v>69</v>
      </c>
      <c r="N3501" s="1" t="s">
        <v>1935</v>
      </c>
      <c r="O3501" s="1" t="s">
        <v>46</v>
      </c>
      <c r="P3501" s="1" t="s">
        <v>46</v>
      </c>
      <c r="Q3501" s="1" t="s">
        <v>46</v>
      </c>
      <c r="R3501" s="1" t="s">
        <v>46</v>
      </c>
      <c r="S3501" s="1" t="s">
        <v>46</v>
      </c>
      <c r="T3501" s="1" t="s">
        <v>46</v>
      </c>
      <c r="U3501" s="1" t="s">
        <v>46</v>
      </c>
      <c r="W3501" s="1" t="s">
        <v>46</v>
      </c>
      <c r="X3501" s="1" t="s">
        <v>2640</v>
      </c>
      <c r="Y3501" s="1" t="n">
        <v>5500</v>
      </c>
    </row>
    <row r="3502" customFormat="false" ht="13.8" hidden="false" customHeight="false" outlineLevel="0" collapsed="false">
      <c r="A3502" s="1" t="s">
        <v>3841</v>
      </c>
      <c r="C3502" s="1" t="s">
        <v>3842</v>
      </c>
      <c r="D3502" s="1" t="s">
        <v>14</v>
      </c>
      <c r="E3502" s="1" t="s">
        <v>3379</v>
      </c>
      <c r="F3502" s="1" t="s">
        <v>3380</v>
      </c>
      <c r="G3502" s="1" t="s">
        <v>3379</v>
      </c>
      <c r="H3502" s="2" t="s">
        <v>3452</v>
      </c>
      <c r="I3502" s="1" t="s">
        <v>3453</v>
      </c>
      <c r="J3502" s="1" t="s">
        <v>52</v>
      </c>
      <c r="K3502" s="1" t="s">
        <v>3452</v>
      </c>
      <c r="L3502" s="36" t="s">
        <v>69</v>
      </c>
      <c r="M3502" s="1" t="s">
        <v>69</v>
      </c>
      <c r="N3502" s="1" t="s">
        <v>1935</v>
      </c>
      <c r="O3502" s="1" t="s">
        <v>46</v>
      </c>
      <c r="P3502" s="1" t="s">
        <v>46</v>
      </c>
      <c r="Q3502" s="1" t="s">
        <v>46</v>
      </c>
      <c r="R3502" s="1" t="s">
        <v>46</v>
      </c>
      <c r="S3502" s="1" t="s">
        <v>46</v>
      </c>
      <c r="T3502" s="1" t="s">
        <v>46</v>
      </c>
      <c r="U3502" s="1" t="s">
        <v>46</v>
      </c>
      <c r="W3502" s="1" t="s">
        <v>46</v>
      </c>
      <c r="X3502" s="1" t="s">
        <v>2640</v>
      </c>
      <c r="Y3502" s="1" t="n">
        <v>5500</v>
      </c>
    </row>
    <row r="3503" customFormat="false" ht="13.8" hidden="false" customHeight="false" outlineLevel="0" collapsed="false">
      <c r="A3503" s="1" t="s">
        <v>3841</v>
      </c>
      <c r="C3503" s="1" t="s">
        <v>3842</v>
      </c>
      <c r="D3503" s="1" t="s">
        <v>14</v>
      </c>
      <c r="E3503" s="1" t="s">
        <v>3379</v>
      </c>
      <c r="F3503" s="1" t="s">
        <v>3380</v>
      </c>
      <c r="G3503" s="1" t="s">
        <v>3379</v>
      </c>
      <c r="H3503" s="2" t="s">
        <v>3454</v>
      </c>
      <c r="I3503" s="1" t="s">
        <v>3455</v>
      </c>
      <c r="J3503" s="1" t="s">
        <v>52</v>
      </c>
      <c r="K3503" s="1" t="s">
        <v>3454</v>
      </c>
      <c r="L3503" s="36" t="s">
        <v>69</v>
      </c>
      <c r="M3503" s="1" t="s">
        <v>69</v>
      </c>
      <c r="N3503" s="1" t="s">
        <v>1935</v>
      </c>
      <c r="O3503" s="1" t="s">
        <v>46</v>
      </c>
      <c r="P3503" s="1" t="s">
        <v>46</v>
      </c>
      <c r="Q3503" s="1" t="s">
        <v>46</v>
      </c>
      <c r="R3503" s="1" t="s">
        <v>46</v>
      </c>
      <c r="S3503" s="1" t="s">
        <v>46</v>
      </c>
      <c r="T3503" s="1" t="s">
        <v>46</v>
      </c>
      <c r="U3503" s="1" t="s">
        <v>46</v>
      </c>
      <c r="W3503" s="1" t="s">
        <v>46</v>
      </c>
      <c r="X3503" s="1" t="s">
        <v>2640</v>
      </c>
      <c r="Y3503" s="1" t="n">
        <v>5500</v>
      </c>
    </row>
    <row r="3504" customFormat="false" ht="13.8" hidden="false" customHeight="false" outlineLevel="0" collapsed="false">
      <c r="A3504" s="1" t="s">
        <v>3841</v>
      </c>
      <c r="C3504" s="1" t="s">
        <v>3842</v>
      </c>
      <c r="D3504" s="1" t="s">
        <v>14</v>
      </c>
      <c r="E3504" s="1" t="s">
        <v>3379</v>
      </c>
      <c r="F3504" s="1" t="s">
        <v>3380</v>
      </c>
      <c r="G3504" s="1" t="s">
        <v>3379</v>
      </c>
      <c r="H3504" s="2" t="s">
        <v>3456</v>
      </c>
      <c r="I3504" s="1" t="s">
        <v>3457</v>
      </c>
      <c r="J3504" s="1" t="s">
        <v>52</v>
      </c>
      <c r="K3504" s="1" t="s">
        <v>3456</v>
      </c>
      <c r="L3504" s="36" t="s">
        <v>69</v>
      </c>
      <c r="M3504" s="1" t="s">
        <v>69</v>
      </c>
      <c r="N3504" s="1" t="s">
        <v>1935</v>
      </c>
      <c r="O3504" s="1" t="s">
        <v>46</v>
      </c>
      <c r="P3504" s="1" t="s">
        <v>46</v>
      </c>
      <c r="Q3504" s="1" t="s">
        <v>46</v>
      </c>
      <c r="R3504" s="1" t="s">
        <v>46</v>
      </c>
      <c r="S3504" s="1" t="s">
        <v>46</v>
      </c>
      <c r="T3504" s="1" t="s">
        <v>46</v>
      </c>
      <c r="U3504" s="1" t="s">
        <v>46</v>
      </c>
      <c r="W3504" s="1" t="s">
        <v>46</v>
      </c>
      <c r="X3504" s="1" t="s">
        <v>2640</v>
      </c>
      <c r="Y3504" s="1" t="n">
        <v>5500</v>
      </c>
    </row>
    <row r="3505" customFormat="false" ht="13.8" hidden="false" customHeight="false" outlineLevel="0" collapsed="false">
      <c r="A3505" s="1" t="s">
        <v>3841</v>
      </c>
      <c r="C3505" s="1" t="s">
        <v>3842</v>
      </c>
      <c r="D3505" s="1" t="s">
        <v>14</v>
      </c>
      <c r="E3505" s="1" t="s">
        <v>3379</v>
      </c>
      <c r="F3505" s="1" t="s">
        <v>3380</v>
      </c>
      <c r="G3505" s="1" t="s">
        <v>3379</v>
      </c>
      <c r="H3505" s="2" t="s">
        <v>3458</v>
      </c>
      <c r="I3505" s="1" t="s">
        <v>3459</v>
      </c>
      <c r="J3505" s="1" t="s">
        <v>52</v>
      </c>
      <c r="K3505" s="1" t="s">
        <v>3458</v>
      </c>
      <c r="L3505" s="36" t="s">
        <v>69</v>
      </c>
      <c r="M3505" s="1" t="s">
        <v>69</v>
      </c>
      <c r="N3505" s="1" t="s">
        <v>1935</v>
      </c>
      <c r="O3505" s="1" t="s">
        <v>46</v>
      </c>
      <c r="P3505" s="1" t="s">
        <v>46</v>
      </c>
      <c r="Q3505" s="1" t="s">
        <v>46</v>
      </c>
      <c r="R3505" s="1" t="s">
        <v>46</v>
      </c>
      <c r="S3505" s="1" t="s">
        <v>46</v>
      </c>
      <c r="T3505" s="1" t="s">
        <v>46</v>
      </c>
      <c r="U3505" s="1" t="s">
        <v>46</v>
      </c>
      <c r="W3505" s="1" t="s">
        <v>46</v>
      </c>
      <c r="X3505" s="1" t="s">
        <v>2640</v>
      </c>
      <c r="Y3505" s="1" t="n">
        <v>5500</v>
      </c>
    </row>
    <row r="3506" customFormat="false" ht="13.8" hidden="false" customHeight="false" outlineLevel="0" collapsed="false">
      <c r="A3506" s="1" t="s">
        <v>3841</v>
      </c>
      <c r="C3506" s="1" t="s">
        <v>3842</v>
      </c>
      <c r="D3506" s="1" t="s">
        <v>14</v>
      </c>
      <c r="E3506" s="1" t="s">
        <v>3379</v>
      </c>
      <c r="F3506" s="1" t="s">
        <v>3380</v>
      </c>
      <c r="G3506" s="1" t="s">
        <v>3379</v>
      </c>
      <c r="H3506" s="2" t="s">
        <v>3460</v>
      </c>
      <c r="I3506" s="1" t="s">
        <v>3461</v>
      </c>
      <c r="J3506" s="1" t="s">
        <v>52</v>
      </c>
      <c r="K3506" s="1" t="s">
        <v>3460</v>
      </c>
      <c r="L3506" s="36" t="s">
        <v>69</v>
      </c>
      <c r="M3506" s="1" t="s">
        <v>69</v>
      </c>
      <c r="N3506" s="1" t="s">
        <v>1935</v>
      </c>
      <c r="O3506" s="1" t="s">
        <v>46</v>
      </c>
      <c r="P3506" s="1" t="s">
        <v>46</v>
      </c>
      <c r="Q3506" s="1" t="s">
        <v>46</v>
      </c>
      <c r="R3506" s="1" t="s">
        <v>46</v>
      </c>
      <c r="S3506" s="1" t="s">
        <v>46</v>
      </c>
      <c r="T3506" s="1" t="s">
        <v>46</v>
      </c>
      <c r="U3506" s="1" t="s">
        <v>46</v>
      </c>
      <c r="W3506" s="1" t="s">
        <v>46</v>
      </c>
      <c r="X3506" s="1" t="s">
        <v>2640</v>
      </c>
      <c r="Y3506" s="1" t="n">
        <v>5500</v>
      </c>
    </row>
    <row r="3507" customFormat="false" ht="13.8" hidden="false" customHeight="false" outlineLevel="0" collapsed="false">
      <c r="A3507" s="1" t="s">
        <v>3841</v>
      </c>
      <c r="C3507" s="1" t="s">
        <v>3842</v>
      </c>
      <c r="D3507" s="1" t="s">
        <v>14</v>
      </c>
      <c r="E3507" s="1" t="s">
        <v>3379</v>
      </c>
      <c r="F3507" s="1" t="s">
        <v>3380</v>
      </c>
      <c r="G3507" s="1" t="s">
        <v>3379</v>
      </c>
      <c r="H3507" s="2" t="s">
        <v>3462</v>
      </c>
      <c r="I3507" s="1" t="s">
        <v>3463</v>
      </c>
      <c r="J3507" s="1" t="s">
        <v>52</v>
      </c>
      <c r="K3507" s="1" t="s">
        <v>3462</v>
      </c>
      <c r="L3507" s="36" t="s">
        <v>69</v>
      </c>
      <c r="M3507" s="1" t="s">
        <v>69</v>
      </c>
      <c r="N3507" s="1" t="s">
        <v>1935</v>
      </c>
      <c r="O3507" s="1" t="s">
        <v>46</v>
      </c>
      <c r="P3507" s="1" t="s">
        <v>46</v>
      </c>
      <c r="Q3507" s="1" t="s">
        <v>46</v>
      </c>
      <c r="R3507" s="1" t="s">
        <v>46</v>
      </c>
      <c r="S3507" s="1" t="s">
        <v>46</v>
      </c>
      <c r="T3507" s="1" t="s">
        <v>46</v>
      </c>
      <c r="U3507" s="1" t="s">
        <v>46</v>
      </c>
      <c r="W3507" s="1" t="s">
        <v>46</v>
      </c>
      <c r="X3507" s="1" t="s">
        <v>2640</v>
      </c>
      <c r="Y3507" s="1" t="n">
        <v>5500</v>
      </c>
    </row>
    <row r="3508" customFormat="false" ht="13.8" hidden="false" customHeight="false" outlineLevel="0" collapsed="false">
      <c r="A3508" s="1" t="s">
        <v>3841</v>
      </c>
      <c r="C3508" s="1" t="s">
        <v>3842</v>
      </c>
      <c r="D3508" s="1" t="s">
        <v>14</v>
      </c>
      <c r="E3508" s="1" t="s">
        <v>3379</v>
      </c>
      <c r="F3508" s="1" t="s">
        <v>3380</v>
      </c>
      <c r="G3508" s="1" t="s">
        <v>3379</v>
      </c>
      <c r="H3508" s="2" t="s">
        <v>3464</v>
      </c>
      <c r="I3508" s="1" t="s">
        <v>3465</v>
      </c>
      <c r="J3508" s="1" t="s">
        <v>52</v>
      </c>
      <c r="K3508" s="1" t="s">
        <v>3464</v>
      </c>
      <c r="L3508" s="36" t="s">
        <v>69</v>
      </c>
      <c r="M3508" s="1" t="s">
        <v>69</v>
      </c>
      <c r="N3508" s="1" t="s">
        <v>1935</v>
      </c>
      <c r="O3508" s="1" t="s">
        <v>46</v>
      </c>
      <c r="P3508" s="1" t="s">
        <v>46</v>
      </c>
      <c r="Q3508" s="1" t="s">
        <v>46</v>
      </c>
      <c r="R3508" s="1" t="s">
        <v>46</v>
      </c>
      <c r="S3508" s="1" t="s">
        <v>46</v>
      </c>
      <c r="T3508" s="1" t="s">
        <v>46</v>
      </c>
      <c r="U3508" s="1" t="s">
        <v>46</v>
      </c>
      <c r="W3508" s="1" t="s">
        <v>46</v>
      </c>
      <c r="X3508" s="1" t="s">
        <v>2640</v>
      </c>
      <c r="Y3508" s="1" t="n">
        <v>5500</v>
      </c>
    </row>
    <row r="3509" customFormat="false" ht="13.8" hidden="false" customHeight="false" outlineLevel="0" collapsed="false">
      <c r="A3509" s="1" t="s">
        <v>3841</v>
      </c>
      <c r="C3509" s="1" t="s">
        <v>3842</v>
      </c>
      <c r="D3509" s="1" t="s">
        <v>14</v>
      </c>
      <c r="E3509" s="1" t="s">
        <v>3379</v>
      </c>
      <c r="F3509" s="1" t="s">
        <v>3380</v>
      </c>
      <c r="G3509" s="1" t="s">
        <v>3379</v>
      </c>
      <c r="H3509" s="2" t="s">
        <v>3466</v>
      </c>
      <c r="I3509" s="1" t="s">
        <v>3467</v>
      </c>
      <c r="J3509" s="1" t="s">
        <v>52</v>
      </c>
      <c r="K3509" s="1" t="s">
        <v>3466</v>
      </c>
      <c r="L3509" s="36" t="s">
        <v>69</v>
      </c>
      <c r="M3509" s="1" t="s">
        <v>69</v>
      </c>
      <c r="N3509" s="1" t="s">
        <v>3468</v>
      </c>
      <c r="O3509" s="1" t="s">
        <v>46</v>
      </c>
      <c r="P3509" s="1" t="s">
        <v>46</v>
      </c>
      <c r="Q3509" s="1" t="s">
        <v>46</v>
      </c>
      <c r="R3509" s="1" t="s">
        <v>46</v>
      </c>
      <c r="S3509" s="1" t="s">
        <v>46</v>
      </c>
      <c r="T3509" s="1" t="s">
        <v>46</v>
      </c>
      <c r="U3509" s="1" t="s">
        <v>46</v>
      </c>
      <c r="W3509" s="1" t="s">
        <v>46</v>
      </c>
      <c r="X3509" s="1" t="s">
        <v>2640</v>
      </c>
      <c r="Y3509" s="1" t="n">
        <v>5500</v>
      </c>
    </row>
    <row r="3510" customFormat="false" ht="13.8" hidden="false" customHeight="false" outlineLevel="0" collapsed="false">
      <c r="A3510" s="1" t="s">
        <v>3841</v>
      </c>
      <c r="C3510" s="1" t="s">
        <v>3842</v>
      </c>
      <c r="D3510" s="1" t="s">
        <v>14</v>
      </c>
      <c r="E3510" s="1" t="s">
        <v>3379</v>
      </c>
      <c r="F3510" s="1" t="s">
        <v>3380</v>
      </c>
      <c r="G3510" s="1" t="s">
        <v>3379</v>
      </c>
      <c r="H3510" s="2" t="s">
        <v>3469</v>
      </c>
      <c r="I3510" s="1" t="s">
        <v>3470</v>
      </c>
      <c r="J3510" s="1" t="s">
        <v>52</v>
      </c>
      <c r="K3510" s="1" t="s">
        <v>3469</v>
      </c>
      <c r="L3510" s="36" t="s">
        <v>69</v>
      </c>
      <c r="M3510" s="1" t="s">
        <v>69</v>
      </c>
      <c r="N3510" s="1" t="s">
        <v>3468</v>
      </c>
      <c r="O3510" s="1" t="s">
        <v>46</v>
      </c>
      <c r="P3510" s="1" t="s">
        <v>46</v>
      </c>
      <c r="Q3510" s="1" t="s">
        <v>46</v>
      </c>
      <c r="R3510" s="1" t="s">
        <v>46</v>
      </c>
      <c r="S3510" s="1" t="s">
        <v>46</v>
      </c>
      <c r="T3510" s="1" t="s">
        <v>46</v>
      </c>
      <c r="U3510" s="1" t="s">
        <v>46</v>
      </c>
      <c r="W3510" s="1" t="s">
        <v>46</v>
      </c>
      <c r="X3510" s="1" t="s">
        <v>2640</v>
      </c>
      <c r="Y3510" s="1" t="n">
        <v>5500</v>
      </c>
    </row>
    <row r="3511" customFormat="false" ht="13.8" hidden="false" customHeight="false" outlineLevel="0" collapsed="false">
      <c r="A3511" s="1" t="s">
        <v>3841</v>
      </c>
      <c r="C3511" s="1" t="s">
        <v>3842</v>
      </c>
      <c r="D3511" s="1" t="s">
        <v>14</v>
      </c>
      <c r="E3511" s="1" t="s">
        <v>3379</v>
      </c>
      <c r="F3511" s="1" t="s">
        <v>3380</v>
      </c>
      <c r="G3511" s="1" t="s">
        <v>3379</v>
      </c>
      <c r="H3511" s="2" t="s">
        <v>3471</v>
      </c>
      <c r="I3511" s="1" t="s">
        <v>3472</v>
      </c>
      <c r="J3511" s="1" t="s">
        <v>52</v>
      </c>
      <c r="K3511" s="1" t="s">
        <v>3471</v>
      </c>
      <c r="L3511" s="36" t="s">
        <v>69</v>
      </c>
      <c r="M3511" s="1" t="s">
        <v>69</v>
      </c>
      <c r="N3511" s="1" t="s">
        <v>3468</v>
      </c>
      <c r="O3511" s="1" t="s">
        <v>46</v>
      </c>
      <c r="P3511" s="1" t="s">
        <v>46</v>
      </c>
      <c r="Q3511" s="1" t="s">
        <v>46</v>
      </c>
      <c r="R3511" s="1" t="s">
        <v>46</v>
      </c>
      <c r="S3511" s="1" t="s">
        <v>46</v>
      </c>
      <c r="T3511" s="1" t="s">
        <v>46</v>
      </c>
      <c r="U3511" s="1" t="s">
        <v>46</v>
      </c>
      <c r="W3511" s="1" t="s">
        <v>46</v>
      </c>
      <c r="X3511" s="1" t="s">
        <v>2640</v>
      </c>
      <c r="Y3511" s="1" t="n">
        <v>5500</v>
      </c>
    </row>
    <row r="3512" customFormat="false" ht="13.8" hidden="false" customHeight="false" outlineLevel="0" collapsed="false">
      <c r="A3512" s="1" t="s">
        <v>3841</v>
      </c>
      <c r="C3512" s="1" t="s">
        <v>3842</v>
      </c>
      <c r="D3512" s="1" t="s">
        <v>14</v>
      </c>
      <c r="E3512" s="1" t="s">
        <v>3379</v>
      </c>
      <c r="F3512" s="1" t="s">
        <v>3380</v>
      </c>
      <c r="G3512" s="1" t="s">
        <v>3379</v>
      </c>
      <c r="H3512" s="2" t="s">
        <v>3473</v>
      </c>
      <c r="I3512" s="1" t="s">
        <v>3474</v>
      </c>
      <c r="J3512" s="1" t="s">
        <v>52</v>
      </c>
      <c r="K3512" s="1" t="s">
        <v>3473</v>
      </c>
      <c r="L3512" s="36" t="s">
        <v>69</v>
      </c>
      <c r="M3512" s="1" t="s">
        <v>69</v>
      </c>
      <c r="N3512" s="1" t="s">
        <v>3468</v>
      </c>
      <c r="O3512" s="1" t="s">
        <v>46</v>
      </c>
      <c r="P3512" s="1" t="s">
        <v>46</v>
      </c>
      <c r="Q3512" s="1" t="s">
        <v>46</v>
      </c>
      <c r="R3512" s="1" t="s">
        <v>46</v>
      </c>
      <c r="S3512" s="1" t="s">
        <v>46</v>
      </c>
      <c r="T3512" s="1" t="s">
        <v>46</v>
      </c>
      <c r="U3512" s="1" t="s">
        <v>46</v>
      </c>
      <c r="W3512" s="1" t="s">
        <v>46</v>
      </c>
      <c r="X3512" s="1" t="s">
        <v>2640</v>
      </c>
      <c r="Y3512" s="1" t="n">
        <v>5500</v>
      </c>
    </row>
    <row r="3513" customFormat="false" ht="13.8" hidden="false" customHeight="false" outlineLevel="0" collapsed="false">
      <c r="A3513" s="1" t="s">
        <v>3841</v>
      </c>
      <c r="C3513" s="1" t="s">
        <v>3842</v>
      </c>
      <c r="D3513" s="1" t="s">
        <v>14</v>
      </c>
      <c r="E3513" s="1" t="s">
        <v>3379</v>
      </c>
      <c r="F3513" s="1" t="s">
        <v>3380</v>
      </c>
      <c r="G3513" s="1" t="s">
        <v>3379</v>
      </c>
      <c r="H3513" s="2" t="s">
        <v>3475</v>
      </c>
      <c r="I3513" s="1" t="s">
        <v>3476</v>
      </c>
      <c r="J3513" s="1" t="s">
        <v>52</v>
      </c>
      <c r="K3513" s="1" t="s">
        <v>3475</v>
      </c>
      <c r="L3513" s="36" t="s">
        <v>69</v>
      </c>
      <c r="M3513" s="1" t="s">
        <v>69</v>
      </c>
      <c r="N3513" s="1" t="s">
        <v>3468</v>
      </c>
      <c r="O3513" s="1" t="s">
        <v>46</v>
      </c>
      <c r="P3513" s="1" t="s">
        <v>46</v>
      </c>
      <c r="Q3513" s="1" t="s">
        <v>46</v>
      </c>
      <c r="R3513" s="1" t="s">
        <v>46</v>
      </c>
      <c r="S3513" s="1" t="s">
        <v>46</v>
      </c>
      <c r="T3513" s="1" t="s">
        <v>46</v>
      </c>
      <c r="U3513" s="1" t="s">
        <v>46</v>
      </c>
      <c r="W3513" s="1" t="s">
        <v>46</v>
      </c>
      <c r="X3513" s="1" t="s">
        <v>2640</v>
      </c>
      <c r="Y3513" s="1" t="n">
        <v>5500</v>
      </c>
    </row>
    <row r="3514" customFormat="false" ht="13.8" hidden="false" customHeight="false" outlineLevel="0" collapsed="false">
      <c r="A3514" s="1" t="s">
        <v>3841</v>
      </c>
      <c r="C3514" s="1" t="s">
        <v>3842</v>
      </c>
      <c r="D3514" s="1" t="s">
        <v>14</v>
      </c>
      <c r="E3514" s="1" t="s">
        <v>3379</v>
      </c>
      <c r="F3514" s="1" t="s">
        <v>3380</v>
      </c>
      <c r="G3514" s="1" t="s">
        <v>3379</v>
      </c>
      <c r="H3514" s="2" t="s">
        <v>3477</v>
      </c>
      <c r="I3514" s="1" t="s">
        <v>3478</v>
      </c>
      <c r="J3514" s="1" t="s">
        <v>52</v>
      </c>
      <c r="K3514" s="1" t="s">
        <v>3477</v>
      </c>
      <c r="L3514" s="36" t="s">
        <v>69</v>
      </c>
      <c r="M3514" s="1" t="s">
        <v>69</v>
      </c>
      <c r="N3514" s="1" t="s">
        <v>3468</v>
      </c>
      <c r="O3514" s="1" t="s">
        <v>46</v>
      </c>
      <c r="P3514" s="1" t="s">
        <v>46</v>
      </c>
      <c r="Q3514" s="1" t="s">
        <v>46</v>
      </c>
      <c r="R3514" s="1" t="s">
        <v>46</v>
      </c>
      <c r="S3514" s="1" t="s">
        <v>46</v>
      </c>
      <c r="T3514" s="1" t="s">
        <v>46</v>
      </c>
      <c r="U3514" s="1" t="s">
        <v>46</v>
      </c>
      <c r="W3514" s="1" t="s">
        <v>46</v>
      </c>
      <c r="X3514" s="1" t="s">
        <v>2640</v>
      </c>
      <c r="Y3514" s="1" t="n">
        <v>5500</v>
      </c>
    </row>
    <row r="3515" customFormat="false" ht="13.8" hidden="false" customHeight="false" outlineLevel="0" collapsed="false">
      <c r="A3515" s="1" t="s">
        <v>3841</v>
      </c>
      <c r="C3515" s="1" t="s">
        <v>3842</v>
      </c>
      <c r="D3515" s="1" t="s">
        <v>14</v>
      </c>
      <c r="E3515" s="1" t="s">
        <v>3379</v>
      </c>
      <c r="F3515" s="1" t="s">
        <v>3380</v>
      </c>
      <c r="G3515" s="1" t="s">
        <v>3379</v>
      </c>
      <c r="H3515" s="2" t="s">
        <v>3479</v>
      </c>
      <c r="I3515" s="1" t="s">
        <v>3480</v>
      </c>
      <c r="J3515" s="1" t="s">
        <v>52</v>
      </c>
      <c r="K3515" s="1" t="s">
        <v>3479</v>
      </c>
      <c r="L3515" s="36" t="s">
        <v>69</v>
      </c>
      <c r="M3515" s="1" t="s">
        <v>69</v>
      </c>
      <c r="N3515" s="1" t="s">
        <v>3468</v>
      </c>
      <c r="O3515" s="1" t="s">
        <v>46</v>
      </c>
      <c r="P3515" s="1" t="s">
        <v>46</v>
      </c>
      <c r="Q3515" s="1" t="s">
        <v>46</v>
      </c>
      <c r="R3515" s="1" t="s">
        <v>46</v>
      </c>
      <c r="S3515" s="1" t="s">
        <v>46</v>
      </c>
      <c r="T3515" s="1" t="s">
        <v>46</v>
      </c>
      <c r="U3515" s="1" t="s">
        <v>46</v>
      </c>
      <c r="W3515" s="1" t="s">
        <v>46</v>
      </c>
      <c r="X3515" s="1" t="s">
        <v>2640</v>
      </c>
      <c r="Y3515" s="1" t="n">
        <v>5500</v>
      </c>
    </row>
    <row r="3516" customFormat="false" ht="13.8" hidden="false" customHeight="false" outlineLevel="0" collapsed="false">
      <c r="A3516" s="1" t="s">
        <v>3841</v>
      </c>
      <c r="C3516" s="1" t="s">
        <v>3842</v>
      </c>
      <c r="D3516" s="1" t="s">
        <v>14</v>
      </c>
      <c r="E3516" s="1" t="s">
        <v>3379</v>
      </c>
      <c r="F3516" s="1" t="s">
        <v>3380</v>
      </c>
      <c r="G3516" s="1" t="s">
        <v>3379</v>
      </c>
      <c r="H3516" s="2" t="s">
        <v>3481</v>
      </c>
      <c r="I3516" s="1" t="s">
        <v>3482</v>
      </c>
      <c r="J3516" s="1" t="s">
        <v>52</v>
      </c>
      <c r="K3516" s="1" t="s">
        <v>3481</v>
      </c>
      <c r="L3516" s="36" t="s">
        <v>69</v>
      </c>
      <c r="M3516" s="1" t="s">
        <v>69</v>
      </c>
      <c r="N3516" s="1" t="s">
        <v>3468</v>
      </c>
      <c r="O3516" s="1" t="s">
        <v>46</v>
      </c>
      <c r="P3516" s="1" t="s">
        <v>46</v>
      </c>
      <c r="Q3516" s="1" t="s">
        <v>46</v>
      </c>
      <c r="R3516" s="1" t="s">
        <v>46</v>
      </c>
      <c r="S3516" s="1" t="s">
        <v>46</v>
      </c>
      <c r="T3516" s="1" t="s">
        <v>46</v>
      </c>
      <c r="U3516" s="1" t="s">
        <v>46</v>
      </c>
      <c r="W3516" s="1" t="s">
        <v>46</v>
      </c>
      <c r="X3516" s="1" t="s">
        <v>2640</v>
      </c>
      <c r="Y3516" s="1" t="n">
        <v>5500</v>
      </c>
    </row>
    <row r="3517" customFormat="false" ht="13.8" hidden="false" customHeight="false" outlineLevel="0" collapsed="false">
      <c r="A3517" s="1" t="s">
        <v>3841</v>
      </c>
      <c r="C3517" s="1" t="s">
        <v>3842</v>
      </c>
      <c r="D3517" s="1" t="s">
        <v>14</v>
      </c>
      <c r="E3517" s="1" t="s">
        <v>3379</v>
      </c>
      <c r="F3517" s="1" t="s">
        <v>3380</v>
      </c>
      <c r="G3517" s="1" t="s">
        <v>3379</v>
      </c>
      <c r="H3517" s="2" t="s">
        <v>3483</v>
      </c>
      <c r="I3517" s="1" t="s">
        <v>3484</v>
      </c>
      <c r="J3517" s="1" t="s">
        <v>52</v>
      </c>
      <c r="K3517" s="1" t="s">
        <v>3483</v>
      </c>
      <c r="L3517" s="36" t="s">
        <v>69</v>
      </c>
      <c r="M3517" s="1" t="s">
        <v>69</v>
      </c>
      <c r="N3517" s="1" t="s">
        <v>3468</v>
      </c>
      <c r="O3517" s="1" t="s">
        <v>46</v>
      </c>
      <c r="P3517" s="1" t="s">
        <v>46</v>
      </c>
      <c r="Q3517" s="1" t="s">
        <v>46</v>
      </c>
      <c r="R3517" s="1" t="s">
        <v>46</v>
      </c>
      <c r="S3517" s="1" t="s">
        <v>46</v>
      </c>
      <c r="T3517" s="1" t="s">
        <v>46</v>
      </c>
      <c r="U3517" s="1" t="s">
        <v>46</v>
      </c>
      <c r="W3517" s="1" t="s">
        <v>46</v>
      </c>
      <c r="X3517" s="1" t="s">
        <v>2640</v>
      </c>
      <c r="Y3517" s="1" t="n">
        <v>5500</v>
      </c>
    </row>
    <row r="3518" customFormat="false" ht="13.8" hidden="false" customHeight="false" outlineLevel="0" collapsed="false">
      <c r="A3518" s="1" t="s">
        <v>3841</v>
      </c>
      <c r="C3518" s="1" t="s">
        <v>3842</v>
      </c>
      <c r="D3518" s="1" t="s">
        <v>14</v>
      </c>
      <c r="E3518" s="1" t="s">
        <v>3379</v>
      </c>
      <c r="F3518" s="1" t="s">
        <v>3380</v>
      </c>
      <c r="G3518" s="1" t="s">
        <v>3379</v>
      </c>
      <c r="H3518" s="2" t="s">
        <v>3485</v>
      </c>
      <c r="I3518" s="1" t="s">
        <v>3486</v>
      </c>
      <c r="J3518" s="1" t="s">
        <v>52</v>
      </c>
      <c r="K3518" s="1" t="s">
        <v>3485</v>
      </c>
      <c r="L3518" s="36" t="s">
        <v>69</v>
      </c>
      <c r="M3518" s="1" t="s">
        <v>69</v>
      </c>
      <c r="N3518" s="1" t="s">
        <v>3468</v>
      </c>
      <c r="O3518" s="1" t="s">
        <v>46</v>
      </c>
      <c r="P3518" s="1" t="s">
        <v>46</v>
      </c>
      <c r="Q3518" s="1" t="s">
        <v>46</v>
      </c>
      <c r="R3518" s="1" t="s">
        <v>46</v>
      </c>
      <c r="S3518" s="1" t="s">
        <v>46</v>
      </c>
      <c r="T3518" s="1" t="s">
        <v>46</v>
      </c>
      <c r="U3518" s="1" t="s">
        <v>46</v>
      </c>
      <c r="W3518" s="1" t="s">
        <v>46</v>
      </c>
      <c r="X3518" s="1" t="s">
        <v>2640</v>
      </c>
      <c r="Y3518" s="1" t="n">
        <v>5500</v>
      </c>
    </row>
    <row r="3519" customFormat="false" ht="13.8" hidden="false" customHeight="false" outlineLevel="0" collapsed="false">
      <c r="A3519" s="1" t="s">
        <v>3841</v>
      </c>
      <c r="C3519" s="1" t="s">
        <v>3842</v>
      </c>
      <c r="D3519" s="1" t="s">
        <v>14</v>
      </c>
      <c r="E3519" s="1" t="s">
        <v>3379</v>
      </c>
      <c r="F3519" s="1" t="s">
        <v>3380</v>
      </c>
      <c r="G3519" s="1" t="s">
        <v>3379</v>
      </c>
      <c r="H3519" s="2" t="s">
        <v>3487</v>
      </c>
      <c r="I3519" s="1" t="s">
        <v>3488</v>
      </c>
      <c r="J3519" s="1" t="s">
        <v>52</v>
      </c>
      <c r="K3519" s="1" t="s">
        <v>3487</v>
      </c>
      <c r="L3519" s="36" t="s">
        <v>69</v>
      </c>
      <c r="M3519" s="1" t="s">
        <v>69</v>
      </c>
      <c r="N3519" s="1" t="s">
        <v>3468</v>
      </c>
      <c r="O3519" s="1" t="s">
        <v>46</v>
      </c>
      <c r="P3519" s="1" t="s">
        <v>46</v>
      </c>
      <c r="Q3519" s="1" t="s">
        <v>46</v>
      </c>
      <c r="R3519" s="1" t="s">
        <v>46</v>
      </c>
      <c r="S3519" s="1" t="s">
        <v>46</v>
      </c>
      <c r="T3519" s="1" t="s">
        <v>46</v>
      </c>
      <c r="U3519" s="1" t="s">
        <v>46</v>
      </c>
      <c r="W3519" s="1" t="s">
        <v>46</v>
      </c>
      <c r="X3519" s="1" t="s">
        <v>2640</v>
      </c>
      <c r="Y3519" s="1" t="n">
        <v>5500</v>
      </c>
    </row>
    <row r="3520" customFormat="false" ht="13.8" hidden="false" customHeight="false" outlineLevel="0" collapsed="false">
      <c r="A3520" s="1" t="s">
        <v>3841</v>
      </c>
      <c r="C3520" s="1" t="s">
        <v>3842</v>
      </c>
      <c r="D3520" s="1" t="s">
        <v>14</v>
      </c>
      <c r="E3520" s="1" t="s">
        <v>3379</v>
      </c>
      <c r="F3520" s="1" t="s">
        <v>3380</v>
      </c>
      <c r="G3520" s="1" t="s">
        <v>3379</v>
      </c>
      <c r="H3520" s="2" t="s">
        <v>3489</v>
      </c>
      <c r="I3520" s="1" t="s">
        <v>3490</v>
      </c>
      <c r="J3520" s="1" t="s">
        <v>52</v>
      </c>
      <c r="K3520" s="1" t="s">
        <v>3489</v>
      </c>
      <c r="L3520" s="36" t="s">
        <v>69</v>
      </c>
      <c r="M3520" s="1" t="s">
        <v>69</v>
      </c>
      <c r="N3520" s="1" t="s">
        <v>3468</v>
      </c>
      <c r="O3520" s="1" t="s">
        <v>46</v>
      </c>
      <c r="P3520" s="1" t="s">
        <v>46</v>
      </c>
      <c r="Q3520" s="1" t="s">
        <v>46</v>
      </c>
      <c r="R3520" s="1" t="s">
        <v>46</v>
      </c>
      <c r="S3520" s="1" t="s">
        <v>46</v>
      </c>
      <c r="T3520" s="1" t="s">
        <v>46</v>
      </c>
      <c r="U3520" s="1" t="s">
        <v>46</v>
      </c>
      <c r="W3520" s="1" t="s">
        <v>46</v>
      </c>
      <c r="X3520" s="1" t="s">
        <v>2640</v>
      </c>
      <c r="Y3520" s="1" t="n">
        <v>5500</v>
      </c>
    </row>
    <row r="3521" customFormat="false" ht="13.8" hidden="false" customHeight="false" outlineLevel="0" collapsed="false">
      <c r="A3521" s="1" t="s">
        <v>3841</v>
      </c>
      <c r="C3521" s="1" t="s">
        <v>3842</v>
      </c>
      <c r="D3521" s="1" t="s">
        <v>14</v>
      </c>
      <c r="E3521" s="1" t="s">
        <v>3379</v>
      </c>
      <c r="F3521" s="1" t="s">
        <v>3380</v>
      </c>
      <c r="G3521" s="1" t="s">
        <v>3379</v>
      </c>
      <c r="H3521" s="2" t="s">
        <v>3491</v>
      </c>
      <c r="I3521" s="1" t="s">
        <v>3492</v>
      </c>
      <c r="J3521" s="1" t="s">
        <v>52</v>
      </c>
      <c r="K3521" s="1" t="s">
        <v>3491</v>
      </c>
      <c r="L3521" s="36" t="s">
        <v>69</v>
      </c>
      <c r="M3521" s="1" t="s">
        <v>69</v>
      </c>
      <c r="N3521" s="1" t="s">
        <v>3468</v>
      </c>
      <c r="O3521" s="1" t="s">
        <v>46</v>
      </c>
      <c r="P3521" s="1" t="s">
        <v>46</v>
      </c>
      <c r="Q3521" s="1" t="s">
        <v>46</v>
      </c>
      <c r="R3521" s="1" t="s">
        <v>46</v>
      </c>
      <c r="S3521" s="1" t="s">
        <v>46</v>
      </c>
      <c r="T3521" s="1" t="s">
        <v>46</v>
      </c>
      <c r="U3521" s="1" t="s">
        <v>46</v>
      </c>
      <c r="W3521" s="1" t="s">
        <v>46</v>
      </c>
      <c r="X3521" s="1" t="s">
        <v>2640</v>
      </c>
      <c r="Y3521" s="1" t="n">
        <v>5500</v>
      </c>
    </row>
    <row r="3522" customFormat="false" ht="13.8" hidden="false" customHeight="false" outlineLevel="0" collapsed="false">
      <c r="A3522" s="1" t="s">
        <v>3841</v>
      </c>
      <c r="C3522" s="1" t="s">
        <v>3842</v>
      </c>
      <c r="D3522" s="1" t="s">
        <v>14</v>
      </c>
      <c r="E3522" s="1" t="s">
        <v>3379</v>
      </c>
      <c r="F3522" s="1" t="s">
        <v>3380</v>
      </c>
      <c r="G3522" s="1" t="s">
        <v>3379</v>
      </c>
      <c r="H3522" s="2" t="s">
        <v>3493</v>
      </c>
      <c r="I3522" s="1" t="s">
        <v>3494</v>
      </c>
      <c r="J3522" s="1" t="s">
        <v>52</v>
      </c>
      <c r="K3522" s="1" t="s">
        <v>3493</v>
      </c>
      <c r="L3522" s="36" t="s">
        <v>69</v>
      </c>
      <c r="M3522" s="1" t="s">
        <v>69</v>
      </c>
      <c r="N3522" s="1" t="s">
        <v>3468</v>
      </c>
      <c r="O3522" s="1" t="s">
        <v>46</v>
      </c>
      <c r="P3522" s="1" t="s">
        <v>46</v>
      </c>
      <c r="Q3522" s="1" t="s">
        <v>46</v>
      </c>
      <c r="R3522" s="1" t="s">
        <v>46</v>
      </c>
      <c r="S3522" s="1" t="s">
        <v>46</v>
      </c>
      <c r="T3522" s="1" t="s">
        <v>46</v>
      </c>
      <c r="U3522" s="1" t="s">
        <v>46</v>
      </c>
      <c r="W3522" s="1" t="s">
        <v>46</v>
      </c>
      <c r="X3522" s="1" t="s">
        <v>2640</v>
      </c>
      <c r="Y3522" s="1" t="n">
        <v>5500</v>
      </c>
    </row>
    <row r="3523" customFormat="false" ht="13.8" hidden="false" customHeight="false" outlineLevel="0" collapsed="false">
      <c r="A3523" s="1" t="s">
        <v>3841</v>
      </c>
      <c r="C3523" s="1" t="s">
        <v>3842</v>
      </c>
      <c r="D3523" s="1" t="s">
        <v>14</v>
      </c>
      <c r="E3523" s="1" t="s">
        <v>3379</v>
      </c>
      <c r="F3523" s="1" t="s">
        <v>3380</v>
      </c>
      <c r="G3523" s="1" t="s">
        <v>3379</v>
      </c>
      <c r="H3523" s="2" t="s">
        <v>3495</v>
      </c>
      <c r="I3523" s="1" t="s">
        <v>3496</v>
      </c>
      <c r="J3523" s="1" t="s">
        <v>52</v>
      </c>
      <c r="K3523" s="1" t="s">
        <v>3495</v>
      </c>
      <c r="L3523" s="36" t="s">
        <v>69</v>
      </c>
      <c r="M3523" s="1" t="s">
        <v>69</v>
      </c>
      <c r="N3523" s="1" t="s">
        <v>3468</v>
      </c>
      <c r="O3523" s="1" t="s">
        <v>46</v>
      </c>
      <c r="P3523" s="1" t="s">
        <v>46</v>
      </c>
      <c r="Q3523" s="1" t="s">
        <v>46</v>
      </c>
      <c r="R3523" s="1" t="s">
        <v>46</v>
      </c>
      <c r="S3523" s="1" t="s">
        <v>46</v>
      </c>
      <c r="T3523" s="1" t="s">
        <v>46</v>
      </c>
      <c r="U3523" s="1" t="s">
        <v>46</v>
      </c>
      <c r="W3523" s="1" t="s">
        <v>46</v>
      </c>
      <c r="X3523" s="1" t="s">
        <v>2640</v>
      </c>
      <c r="Y3523" s="1" t="n">
        <v>5500</v>
      </c>
    </row>
    <row r="3524" customFormat="false" ht="13.8" hidden="false" customHeight="false" outlineLevel="0" collapsed="false">
      <c r="A3524" s="1" t="s">
        <v>3843</v>
      </c>
      <c r="C3524" s="1" t="s">
        <v>3844</v>
      </c>
      <c r="D3524" s="1" t="s">
        <v>14</v>
      </c>
      <c r="E3524" s="1" t="s">
        <v>3379</v>
      </c>
      <c r="F3524" s="1" t="s">
        <v>3380</v>
      </c>
      <c r="G3524" s="1" t="s">
        <v>3379</v>
      </c>
      <c r="H3524" s="2" t="s">
        <v>3554</v>
      </c>
      <c r="I3524" s="1" t="s">
        <v>3555</v>
      </c>
      <c r="J3524" s="1" t="s">
        <v>52</v>
      </c>
      <c r="K3524" s="1" t="s">
        <v>3554</v>
      </c>
      <c r="L3524" s="36" t="s">
        <v>69</v>
      </c>
      <c r="M3524" s="1" t="s">
        <v>69</v>
      </c>
      <c r="N3524" s="1" t="s">
        <v>3383</v>
      </c>
      <c r="O3524" s="1" t="s">
        <v>3784</v>
      </c>
      <c r="P3524" s="1" t="s">
        <v>3385</v>
      </c>
      <c r="Q3524" s="1" t="s">
        <v>3385</v>
      </c>
      <c r="R3524" s="1" t="s">
        <v>46</v>
      </c>
      <c r="S3524" s="1" t="s">
        <v>69</v>
      </c>
      <c r="T3524" s="1" t="s">
        <v>69</v>
      </c>
      <c r="U3524" s="1" t="s">
        <v>46</v>
      </c>
      <c r="V3524" s="1" t="n">
        <v>1</v>
      </c>
      <c r="W3524" s="1" t="s">
        <v>46</v>
      </c>
      <c r="X3524" s="1" t="s">
        <v>2640</v>
      </c>
      <c r="Y3524" s="1" t="n">
        <v>5500</v>
      </c>
    </row>
    <row r="3525" customFormat="false" ht="13.8" hidden="false" customHeight="false" outlineLevel="0" collapsed="false">
      <c r="A3525" s="1" t="s">
        <v>3843</v>
      </c>
      <c r="C3525" s="1" t="s">
        <v>3844</v>
      </c>
      <c r="D3525" s="1" t="s">
        <v>14</v>
      </c>
      <c r="E3525" s="1" t="s">
        <v>3379</v>
      </c>
      <c r="F3525" s="1" t="s">
        <v>3380</v>
      </c>
      <c r="G3525" s="1" t="s">
        <v>3379</v>
      </c>
      <c r="H3525" s="2" t="s">
        <v>3557</v>
      </c>
      <c r="I3525" s="1" t="s">
        <v>3558</v>
      </c>
      <c r="J3525" s="1" t="s">
        <v>52</v>
      </c>
      <c r="K3525" s="1" t="s">
        <v>3557</v>
      </c>
      <c r="L3525" s="36" t="s">
        <v>69</v>
      </c>
      <c r="M3525" s="1" t="s">
        <v>69</v>
      </c>
      <c r="N3525" s="1" t="s">
        <v>3383</v>
      </c>
      <c r="O3525" s="1" t="s">
        <v>3784</v>
      </c>
      <c r="P3525" s="1" t="s">
        <v>3385</v>
      </c>
      <c r="Q3525" s="1" t="s">
        <v>3385</v>
      </c>
      <c r="R3525" s="1" t="s">
        <v>46</v>
      </c>
      <c r="S3525" s="1" t="s">
        <v>69</v>
      </c>
      <c r="T3525" s="1" t="s">
        <v>69</v>
      </c>
      <c r="U3525" s="1" t="s">
        <v>46</v>
      </c>
      <c r="V3525" s="1" t="n">
        <v>2</v>
      </c>
      <c r="W3525" s="1" t="s">
        <v>46</v>
      </c>
      <c r="X3525" s="1" t="s">
        <v>2640</v>
      </c>
      <c r="Y3525" s="1" t="n">
        <v>5500</v>
      </c>
    </row>
    <row r="3526" customFormat="false" ht="13.8" hidden="false" customHeight="false" outlineLevel="0" collapsed="false">
      <c r="A3526" s="1" t="s">
        <v>3843</v>
      </c>
      <c r="C3526" s="1" t="s">
        <v>3844</v>
      </c>
      <c r="D3526" s="1" t="s">
        <v>14</v>
      </c>
      <c r="E3526" s="1" t="s">
        <v>3379</v>
      </c>
      <c r="F3526" s="1" t="s">
        <v>3380</v>
      </c>
      <c r="G3526" s="1" t="s">
        <v>3379</v>
      </c>
      <c r="H3526" s="2" t="s">
        <v>3559</v>
      </c>
      <c r="I3526" s="1" t="s">
        <v>3560</v>
      </c>
      <c r="J3526" s="1" t="s">
        <v>52</v>
      </c>
      <c r="K3526" s="1" t="s">
        <v>3559</v>
      </c>
      <c r="L3526" s="36" t="s">
        <v>69</v>
      </c>
      <c r="M3526" s="1" t="s">
        <v>69</v>
      </c>
      <c r="N3526" s="1" t="s">
        <v>3383</v>
      </c>
      <c r="O3526" s="1" t="s">
        <v>3784</v>
      </c>
      <c r="P3526" s="1" t="s">
        <v>3385</v>
      </c>
      <c r="Q3526" s="1" t="s">
        <v>3385</v>
      </c>
      <c r="R3526" s="1" t="s">
        <v>46</v>
      </c>
      <c r="S3526" s="1" t="s">
        <v>69</v>
      </c>
      <c r="T3526" s="1" t="s">
        <v>69</v>
      </c>
      <c r="U3526" s="1" t="s">
        <v>46</v>
      </c>
      <c r="V3526" s="1" t="n">
        <v>3</v>
      </c>
      <c r="W3526" s="1" t="s">
        <v>46</v>
      </c>
      <c r="X3526" s="1" t="s">
        <v>2640</v>
      </c>
      <c r="Y3526" s="1" t="n">
        <v>5500</v>
      </c>
    </row>
    <row r="3527" customFormat="false" ht="13.8" hidden="false" customHeight="false" outlineLevel="0" collapsed="false">
      <c r="A3527" s="1" t="s">
        <v>3843</v>
      </c>
      <c r="C3527" s="1" t="s">
        <v>3844</v>
      </c>
      <c r="D3527" s="1" t="s">
        <v>14</v>
      </c>
      <c r="E3527" s="1" t="s">
        <v>3379</v>
      </c>
      <c r="F3527" s="1" t="s">
        <v>3380</v>
      </c>
      <c r="G3527" s="1" t="s">
        <v>3379</v>
      </c>
      <c r="H3527" s="2" t="s">
        <v>3561</v>
      </c>
      <c r="I3527" s="1" t="s">
        <v>3562</v>
      </c>
      <c r="J3527" s="1" t="s">
        <v>52</v>
      </c>
      <c r="K3527" s="1" t="s">
        <v>3561</v>
      </c>
      <c r="L3527" s="36" t="s">
        <v>69</v>
      </c>
      <c r="M3527" s="1" t="s">
        <v>69</v>
      </c>
      <c r="N3527" s="1" t="s">
        <v>3383</v>
      </c>
      <c r="O3527" s="1" t="s">
        <v>3784</v>
      </c>
      <c r="P3527" s="1" t="s">
        <v>3385</v>
      </c>
      <c r="Q3527" s="1" t="s">
        <v>3385</v>
      </c>
      <c r="R3527" s="1" t="s">
        <v>46</v>
      </c>
      <c r="S3527" s="1" t="s">
        <v>69</v>
      </c>
      <c r="T3527" s="1" t="s">
        <v>69</v>
      </c>
      <c r="U3527" s="1" t="s">
        <v>46</v>
      </c>
      <c r="V3527" s="1" t="n">
        <v>4</v>
      </c>
      <c r="W3527" s="1" t="s">
        <v>46</v>
      </c>
      <c r="X3527" s="1" t="s">
        <v>2640</v>
      </c>
      <c r="Y3527" s="1" t="n">
        <v>5500</v>
      </c>
    </row>
    <row r="3528" customFormat="false" ht="13.8" hidden="false" customHeight="false" outlineLevel="0" collapsed="false">
      <c r="A3528" s="1" t="s">
        <v>3843</v>
      </c>
      <c r="C3528" s="1" t="s">
        <v>3844</v>
      </c>
      <c r="D3528" s="1" t="s">
        <v>14</v>
      </c>
      <c r="E3528" s="1" t="s">
        <v>3379</v>
      </c>
      <c r="F3528" s="1" t="s">
        <v>3380</v>
      </c>
      <c r="G3528" s="1" t="s">
        <v>3379</v>
      </c>
      <c r="H3528" s="2" t="s">
        <v>3563</v>
      </c>
      <c r="I3528" s="1" t="s">
        <v>3564</v>
      </c>
      <c r="J3528" s="1" t="s">
        <v>52</v>
      </c>
      <c r="K3528" s="1" t="s">
        <v>3563</v>
      </c>
      <c r="L3528" s="36" t="s">
        <v>69</v>
      </c>
      <c r="M3528" s="1" t="s">
        <v>69</v>
      </c>
      <c r="N3528" s="1" t="s">
        <v>3383</v>
      </c>
      <c r="O3528" s="1" t="s">
        <v>3784</v>
      </c>
      <c r="P3528" s="1" t="s">
        <v>3385</v>
      </c>
      <c r="Q3528" s="1" t="s">
        <v>3385</v>
      </c>
      <c r="R3528" s="1" t="s">
        <v>46</v>
      </c>
      <c r="S3528" s="1" t="s">
        <v>69</v>
      </c>
      <c r="T3528" s="1" t="s">
        <v>69</v>
      </c>
      <c r="U3528" s="1" t="s">
        <v>46</v>
      </c>
      <c r="V3528" s="1" t="n">
        <v>5</v>
      </c>
      <c r="W3528" s="1" t="s">
        <v>46</v>
      </c>
      <c r="X3528" s="1" t="s">
        <v>2640</v>
      </c>
      <c r="Y3528" s="1" t="n">
        <v>5500</v>
      </c>
    </row>
    <row r="3529" customFormat="false" ht="13.8" hidden="false" customHeight="false" outlineLevel="0" collapsed="false">
      <c r="A3529" s="1" t="s">
        <v>3843</v>
      </c>
      <c r="C3529" s="1" t="s">
        <v>3844</v>
      </c>
      <c r="D3529" s="1" t="s">
        <v>14</v>
      </c>
      <c r="E3529" s="1" t="s">
        <v>3379</v>
      </c>
      <c r="F3529" s="1" t="s">
        <v>3380</v>
      </c>
      <c r="G3529" s="1" t="s">
        <v>3379</v>
      </c>
      <c r="H3529" s="2" t="s">
        <v>3611</v>
      </c>
      <c r="I3529" s="1" t="s">
        <v>3612</v>
      </c>
      <c r="J3529" s="1" t="s">
        <v>52</v>
      </c>
      <c r="K3529" s="1" t="s">
        <v>3611</v>
      </c>
      <c r="L3529" s="36" t="s">
        <v>69</v>
      </c>
      <c r="M3529" s="1" t="s">
        <v>69</v>
      </c>
      <c r="N3529" s="1" t="s">
        <v>3383</v>
      </c>
      <c r="O3529" s="1" t="s">
        <v>3785</v>
      </c>
      <c r="P3529" s="1" t="s">
        <v>3385</v>
      </c>
      <c r="Q3529" s="1" t="s">
        <v>3385</v>
      </c>
      <c r="R3529" s="1" t="s">
        <v>46</v>
      </c>
      <c r="S3529" s="1" t="s">
        <v>69</v>
      </c>
      <c r="T3529" s="1" t="s">
        <v>69</v>
      </c>
      <c r="U3529" s="1" t="s">
        <v>46</v>
      </c>
      <c r="V3529" s="1" t="n">
        <v>1</v>
      </c>
      <c r="W3529" s="1" t="s">
        <v>46</v>
      </c>
      <c r="X3529" s="1" t="s">
        <v>2640</v>
      </c>
      <c r="Y3529" s="1" t="n">
        <v>5500</v>
      </c>
    </row>
    <row r="3530" customFormat="false" ht="13.8" hidden="false" customHeight="false" outlineLevel="0" collapsed="false">
      <c r="A3530" s="1" t="s">
        <v>3843</v>
      </c>
      <c r="C3530" s="1" t="s">
        <v>3844</v>
      </c>
      <c r="D3530" s="1" t="s">
        <v>14</v>
      </c>
      <c r="E3530" s="1" t="s">
        <v>3379</v>
      </c>
      <c r="F3530" s="1" t="s">
        <v>3380</v>
      </c>
      <c r="G3530" s="1" t="s">
        <v>3379</v>
      </c>
      <c r="H3530" s="2" t="s">
        <v>3614</v>
      </c>
      <c r="I3530" s="1" t="s">
        <v>3615</v>
      </c>
      <c r="J3530" s="1" t="s">
        <v>52</v>
      </c>
      <c r="K3530" s="1" t="s">
        <v>3614</v>
      </c>
      <c r="L3530" s="36" t="s">
        <v>69</v>
      </c>
      <c r="M3530" s="1" t="s">
        <v>69</v>
      </c>
      <c r="N3530" s="1" t="s">
        <v>3383</v>
      </c>
      <c r="O3530" s="1" t="s">
        <v>3785</v>
      </c>
      <c r="P3530" s="1" t="s">
        <v>3385</v>
      </c>
      <c r="Q3530" s="1" t="s">
        <v>3385</v>
      </c>
      <c r="R3530" s="1" t="s">
        <v>46</v>
      </c>
      <c r="S3530" s="1" t="s">
        <v>69</v>
      </c>
      <c r="T3530" s="1" t="s">
        <v>69</v>
      </c>
      <c r="U3530" s="1" t="s">
        <v>46</v>
      </c>
      <c r="V3530" s="1" t="n">
        <v>2</v>
      </c>
      <c r="W3530" s="1" t="s">
        <v>46</v>
      </c>
      <c r="X3530" s="1" t="s">
        <v>2640</v>
      </c>
      <c r="Y3530" s="1" t="n">
        <v>5500</v>
      </c>
    </row>
    <row r="3531" customFormat="false" ht="13.8" hidden="false" customHeight="false" outlineLevel="0" collapsed="false">
      <c r="A3531" s="1" t="s">
        <v>3843</v>
      </c>
      <c r="C3531" s="1" t="s">
        <v>3844</v>
      </c>
      <c r="D3531" s="1" t="s">
        <v>14</v>
      </c>
      <c r="E3531" s="1" t="s">
        <v>3379</v>
      </c>
      <c r="F3531" s="1" t="s">
        <v>3380</v>
      </c>
      <c r="G3531" s="1" t="s">
        <v>3379</v>
      </c>
      <c r="H3531" s="2" t="s">
        <v>3616</v>
      </c>
      <c r="I3531" s="1" t="s">
        <v>3617</v>
      </c>
      <c r="J3531" s="1" t="s">
        <v>52</v>
      </c>
      <c r="K3531" s="1" t="s">
        <v>3616</v>
      </c>
      <c r="L3531" s="36" t="s">
        <v>69</v>
      </c>
      <c r="M3531" s="1" t="s">
        <v>69</v>
      </c>
      <c r="N3531" s="1" t="s">
        <v>3383</v>
      </c>
      <c r="O3531" s="1" t="s">
        <v>3785</v>
      </c>
      <c r="P3531" s="1" t="s">
        <v>3385</v>
      </c>
      <c r="Q3531" s="1" t="s">
        <v>3385</v>
      </c>
      <c r="R3531" s="1" t="s">
        <v>46</v>
      </c>
      <c r="S3531" s="1" t="s">
        <v>69</v>
      </c>
      <c r="T3531" s="1" t="s">
        <v>69</v>
      </c>
      <c r="U3531" s="1" t="s">
        <v>46</v>
      </c>
      <c r="V3531" s="1" t="n">
        <v>3</v>
      </c>
      <c r="W3531" s="1" t="s">
        <v>46</v>
      </c>
      <c r="X3531" s="1" t="s">
        <v>2640</v>
      </c>
      <c r="Y3531" s="1" t="n">
        <v>5500</v>
      </c>
    </row>
    <row r="3532" customFormat="false" ht="13.8" hidden="false" customHeight="false" outlineLevel="0" collapsed="false">
      <c r="A3532" s="1" t="s">
        <v>3843</v>
      </c>
      <c r="C3532" s="1" t="s">
        <v>3844</v>
      </c>
      <c r="D3532" s="1" t="s">
        <v>14</v>
      </c>
      <c r="E3532" s="1" t="s">
        <v>3379</v>
      </c>
      <c r="F3532" s="1" t="s">
        <v>3380</v>
      </c>
      <c r="G3532" s="1" t="s">
        <v>3379</v>
      </c>
      <c r="H3532" s="2" t="s">
        <v>3618</v>
      </c>
      <c r="I3532" s="1" t="s">
        <v>3619</v>
      </c>
      <c r="J3532" s="1" t="s">
        <v>52</v>
      </c>
      <c r="K3532" s="1" t="s">
        <v>3618</v>
      </c>
      <c r="L3532" s="36" t="s">
        <v>69</v>
      </c>
      <c r="M3532" s="1" t="s">
        <v>69</v>
      </c>
      <c r="N3532" s="1" t="s">
        <v>3383</v>
      </c>
      <c r="O3532" s="1" t="s">
        <v>3785</v>
      </c>
      <c r="P3532" s="1" t="s">
        <v>3385</v>
      </c>
      <c r="Q3532" s="1" t="s">
        <v>3385</v>
      </c>
      <c r="R3532" s="1" t="s">
        <v>46</v>
      </c>
      <c r="S3532" s="1" t="s">
        <v>69</v>
      </c>
      <c r="T3532" s="1" t="s">
        <v>69</v>
      </c>
      <c r="U3532" s="1" t="s">
        <v>46</v>
      </c>
      <c r="V3532" s="1" t="n">
        <v>4</v>
      </c>
      <c r="W3532" s="1" t="s">
        <v>46</v>
      </c>
      <c r="X3532" s="1" t="s">
        <v>2640</v>
      </c>
      <c r="Y3532" s="1" t="n">
        <v>5500</v>
      </c>
    </row>
    <row r="3533" customFormat="false" ht="13.8" hidden="false" customHeight="false" outlineLevel="0" collapsed="false">
      <c r="A3533" s="1" t="s">
        <v>3843</v>
      </c>
      <c r="C3533" s="1" t="s">
        <v>3844</v>
      </c>
      <c r="D3533" s="1" t="s">
        <v>14</v>
      </c>
      <c r="E3533" s="1" t="s">
        <v>3379</v>
      </c>
      <c r="F3533" s="1" t="s">
        <v>3380</v>
      </c>
      <c r="G3533" s="1" t="s">
        <v>3379</v>
      </c>
      <c r="H3533" s="2" t="s">
        <v>3620</v>
      </c>
      <c r="I3533" s="1" t="s">
        <v>3621</v>
      </c>
      <c r="J3533" s="1" t="s">
        <v>52</v>
      </c>
      <c r="K3533" s="1" t="s">
        <v>3620</v>
      </c>
      <c r="L3533" s="36" t="s">
        <v>69</v>
      </c>
      <c r="M3533" s="1" t="s">
        <v>69</v>
      </c>
      <c r="N3533" s="1" t="s">
        <v>3383</v>
      </c>
      <c r="O3533" s="1" t="s">
        <v>3785</v>
      </c>
      <c r="P3533" s="1" t="s">
        <v>3385</v>
      </c>
      <c r="Q3533" s="1" t="s">
        <v>3385</v>
      </c>
      <c r="R3533" s="1" t="s">
        <v>46</v>
      </c>
      <c r="S3533" s="1" t="s">
        <v>69</v>
      </c>
      <c r="T3533" s="1" t="s">
        <v>69</v>
      </c>
      <c r="U3533" s="1" t="s">
        <v>46</v>
      </c>
      <c r="V3533" s="1" t="n">
        <v>5</v>
      </c>
      <c r="W3533" s="1" t="s">
        <v>46</v>
      </c>
      <c r="X3533" s="1" t="s">
        <v>2640</v>
      </c>
      <c r="Y3533" s="1" t="n">
        <v>5500</v>
      </c>
    </row>
    <row r="3534" customFormat="false" ht="13.8" hidden="false" customHeight="false" outlineLevel="0" collapsed="false">
      <c r="A3534" s="1" t="s">
        <v>3843</v>
      </c>
      <c r="C3534" s="1" t="s">
        <v>3844</v>
      </c>
      <c r="D3534" s="1" t="s">
        <v>14</v>
      </c>
      <c r="E3534" s="1" t="s">
        <v>3379</v>
      </c>
      <c r="F3534" s="1" t="s">
        <v>3380</v>
      </c>
      <c r="G3534" s="1" t="s">
        <v>3379</v>
      </c>
      <c r="H3534" s="2" t="s">
        <v>3436</v>
      </c>
      <c r="I3534" s="1" t="s">
        <v>3437</v>
      </c>
      <c r="J3534" s="1" t="s">
        <v>52</v>
      </c>
      <c r="K3534" s="1" t="s">
        <v>3436</v>
      </c>
      <c r="L3534" s="36" t="s">
        <v>69</v>
      </c>
      <c r="M3534" s="1" t="s">
        <v>69</v>
      </c>
      <c r="N3534" s="1" t="s">
        <v>1935</v>
      </c>
      <c r="O3534" s="1" t="s">
        <v>46</v>
      </c>
      <c r="P3534" s="1" t="s">
        <v>46</v>
      </c>
      <c r="Q3534" s="1" t="s">
        <v>46</v>
      </c>
      <c r="R3534" s="1" t="s">
        <v>46</v>
      </c>
      <c r="S3534" s="1" t="s">
        <v>46</v>
      </c>
      <c r="T3534" s="1" t="s">
        <v>46</v>
      </c>
      <c r="U3534" s="1" t="s">
        <v>46</v>
      </c>
      <c r="W3534" s="1" t="s">
        <v>46</v>
      </c>
      <c r="X3534" s="1" t="s">
        <v>2640</v>
      </c>
      <c r="Y3534" s="1" t="n">
        <v>5500</v>
      </c>
    </row>
    <row r="3535" customFormat="false" ht="13.8" hidden="false" customHeight="false" outlineLevel="0" collapsed="false">
      <c r="A3535" s="1" t="s">
        <v>3843</v>
      </c>
      <c r="C3535" s="1" t="s">
        <v>3844</v>
      </c>
      <c r="D3535" s="1" t="s">
        <v>14</v>
      </c>
      <c r="E3535" s="1" t="s">
        <v>3379</v>
      </c>
      <c r="F3535" s="1" t="s">
        <v>3380</v>
      </c>
      <c r="G3535" s="1" t="s">
        <v>3379</v>
      </c>
      <c r="H3535" s="2" t="s">
        <v>3438</v>
      </c>
      <c r="I3535" s="1" t="s">
        <v>3439</v>
      </c>
      <c r="J3535" s="1" t="s">
        <v>52</v>
      </c>
      <c r="K3535" s="1" t="s">
        <v>3438</v>
      </c>
      <c r="L3535" s="36" t="s">
        <v>69</v>
      </c>
      <c r="M3535" s="1" t="s">
        <v>69</v>
      </c>
      <c r="N3535" s="1" t="s">
        <v>1935</v>
      </c>
      <c r="O3535" s="1" t="s">
        <v>46</v>
      </c>
      <c r="P3535" s="1" t="s">
        <v>46</v>
      </c>
      <c r="Q3535" s="1" t="s">
        <v>46</v>
      </c>
      <c r="R3535" s="1" t="s">
        <v>46</v>
      </c>
      <c r="S3535" s="1" t="s">
        <v>46</v>
      </c>
      <c r="T3535" s="1" t="s">
        <v>46</v>
      </c>
      <c r="U3535" s="1" t="s">
        <v>46</v>
      </c>
      <c r="W3535" s="1" t="s">
        <v>46</v>
      </c>
      <c r="X3535" s="1" t="s">
        <v>2640</v>
      </c>
      <c r="Y3535" s="1" t="n">
        <v>5500</v>
      </c>
    </row>
    <row r="3536" customFormat="false" ht="13.8" hidden="false" customHeight="false" outlineLevel="0" collapsed="false">
      <c r="A3536" s="1" t="s">
        <v>3843</v>
      </c>
      <c r="C3536" s="1" t="s">
        <v>3844</v>
      </c>
      <c r="D3536" s="1" t="s">
        <v>14</v>
      </c>
      <c r="E3536" s="1" t="s">
        <v>3379</v>
      </c>
      <c r="F3536" s="1" t="s">
        <v>3380</v>
      </c>
      <c r="G3536" s="1" t="s">
        <v>3379</v>
      </c>
      <c r="H3536" s="2" t="s">
        <v>3440</v>
      </c>
      <c r="I3536" s="1" t="s">
        <v>3441</v>
      </c>
      <c r="J3536" s="1" t="s">
        <v>52</v>
      </c>
      <c r="K3536" s="1" t="s">
        <v>3440</v>
      </c>
      <c r="L3536" s="36" t="s">
        <v>69</v>
      </c>
      <c r="M3536" s="1" t="s">
        <v>69</v>
      </c>
      <c r="N3536" s="1" t="s">
        <v>1935</v>
      </c>
      <c r="O3536" s="1" t="s">
        <v>46</v>
      </c>
      <c r="P3536" s="1" t="s">
        <v>46</v>
      </c>
      <c r="Q3536" s="1" t="s">
        <v>46</v>
      </c>
      <c r="R3536" s="1" t="s">
        <v>46</v>
      </c>
      <c r="S3536" s="1" t="s">
        <v>46</v>
      </c>
      <c r="T3536" s="1" t="s">
        <v>46</v>
      </c>
      <c r="U3536" s="1" t="s">
        <v>46</v>
      </c>
      <c r="W3536" s="1" t="s">
        <v>46</v>
      </c>
      <c r="X3536" s="1" t="s">
        <v>2640</v>
      </c>
      <c r="Y3536" s="1" t="n">
        <v>5500</v>
      </c>
    </row>
    <row r="3537" customFormat="false" ht="13.8" hidden="false" customHeight="false" outlineLevel="0" collapsed="false">
      <c r="A3537" s="1" t="s">
        <v>3843</v>
      </c>
      <c r="C3537" s="1" t="s">
        <v>3844</v>
      </c>
      <c r="D3537" s="1" t="s">
        <v>14</v>
      </c>
      <c r="E3537" s="1" t="s">
        <v>3379</v>
      </c>
      <c r="F3537" s="1" t="s">
        <v>3380</v>
      </c>
      <c r="G3537" s="1" t="s">
        <v>3379</v>
      </c>
      <c r="H3537" s="2" t="s">
        <v>3442</v>
      </c>
      <c r="I3537" s="1" t="s">
        <v>3443</v>
      </c>
      <c r="J3537" s="1" t="s">
        <v>52</v>
      </c>
      <c r="K3537" s="1" t="s">
        <v>3442</v>
      </c>
      <c r="L3537" s="36" t="s">
        <v>69</v>
      </c>
      <c r="M3537" s="1" t="s">
        <v>69</v>
      </c>
      <c r="N3537" s="1" t="s">
        <v>1935</v>
      </c>
      <c r="O3537" s="1" t="s">
        <v>46</v>
      </c>
      <c r="P3537" s="1" t="s">
        <v>46</v>
      </c>
      <c r="Q3537" s="1" t="s">
        <v>46</v>
      </c>
      <c r="R3537" s="1" t="s">
        <v>46</v>
      </c>
      <c r="S3537" s="1" t="s">
        <v>46</v>
      </c>
      <c r="T3537" s="1" t="s">
        <v>46</v>
      </c>
      <c r="U3537" s="1" t="s">
        <v>46</v>
      </c>
      <c r="W3537" s="1" t="s">
        <v>46</v>
      </c>
      <c r="X3537" s="1" t="s">
        <v>2640</v>
      </c>
      <c r="Y3537" s="1" t="n">
        <v>5500</v>
      </c>
    </row>
    <row r="3538" customFormat="false" ht="13.8" hidden="false" customHeight="false" outlineLevel="0" collapsed="false">
      <c r="A3538" s="1" t="s">
        <v>3843</v>
      </c>
      <c r="C3538" s="1" t="s">
        <v>3844</v>
      </c>
      <c r="D3538" s="1" t="s">
        <v>14</v>
      </c>
      <c r="E3538" s="1" t="s">
        <v>3379</v>
      </c>
      <c r="F3538" s="1" t="s">
        <v>3380</v>
      </c>
      <c r="G3538" s="1" t="s">
        <v>3379</v>
      </c>
      <c r="H3538" s="2" t="s">
        <v>3444</v>
      </c>
      <c r="I3538" s="1" t="s">
        <v>3445</v>
      </c>
      <c r="J3538" s="1" t="s">
        <v>52</v>
      </c>
      <c r="K3538" s="1" t="s">
        <v>3444</v>
      </c>
      <c r="L3538" s="36" t="s">
        <v>69</v>
      </c>
      <c r="M3538" s="1" t="s">
        <v>69</v>
      </c>
      <c r="N3538" s="1" t="s">
        <v>1935</v>
      </c>
      <c r="O3538" s="1" t="s">
        <v>46</v>
      </c>
      <c r="P3538" s="1" t="s">
        <v>46</v>
      </c>
      <c r="Q3538" s="1" t="s">
        <v>46</v>
      </c>
      <c r="R3538" s="1" t="s">
        <v>46</v>
      </c>
      <c r="S3538" s="1" t="s">
        <v>46</v>
      </c>
      <c r="T3538" s="1" t="s">
        <v>46</v>
      </c>
      <c r="U3538" s="1" t="s">
        <v>46</v>
      </c>
      <c r="W3538" s="1" t="s">
        <v>46</v>
      </c>
      <c r="X3538" s="1" t="s">
        <v>2640</v>
      </c>
      <c r="Y3538" s="1" t="n">
        <v>5500</v>
      </c>
    </row>
    <row r="3539" customFormat="false" ht="13.8" hidden="false" customHeight="false" outlineLevel="0" collapsed="false">
      <c r="A3539" s="1" t="s">
        <v>3843</v>
      </c>
      <c r="B3539" s="36"/>
      <c r="C3539" s="36" t="s">
        <v>3844</v>
      </c>
      <c r="D3539" s="36" t="s">
        <v>14</v>
      </c>
      <c r="E3539" s="36" t="s">
        <v>3379</v>
      </c>
      <c r="F3539" s="36" t="s">
        <v>3380</v>
      </c>
      <c r="G3539" s="36" t="s">
        <v>3379</v>
      </c>
      <c r="H3539" s="36" t="s">
        <v>3446</v>
      </c>
      <c r="I3539" s="36" t="s">
        <v>3447</v>
      </c>
      <c r="J3539" s="36" t="s">
        <v>52</v>
      </c>
      <c r="K3539" s="36" t="s">
        <v>3446</v>
      </c>
      <c r="L3539" s="36" t="s">
        <v>69</v>
      </c>
      <c r="M3539" s="36" t="s">
        <v>69</v>
      </c>
      <c r="N3539" s="36" t="s">
        <v>1935</v>
      </c>
      <c r="O3539" s="36" t="s">
        <v>46</v>
      </c>
      <c r="P3539" s="36" t="s">
        <v>46</v>
      </c>
      <c r="Q3539" s="36" t="s">
        <v>46</v>
      </c>
      <c r="R3539" s="36" t="s">
        <v>46</v>
      </c>
      <c r="S3539" s="36" t="s">
        <v>46</v>
      </c>
      <c r="T3539" s="36" t="s">
        <v>46</v>
      </c>
      <c r="U3539" s="36" t="s">
        <v>46</v>
      </c>
      <c r="V3539" s="36"/>
      <c r="W3539" s="36" t="s">
        <v>46</v>
      </c>
      <c r="X3539" s="36" t="s">
        <v>2640</v>
      </c>
      <c r="Y3539" s="36" t="n">
        <v>5500</v>
      </c>
      <c r="Z3539" s="36"/>
      <c r="AA3539" s="36"/>
      <c r="AB3539" s="36"/>
      <c r="AC3539" s="36"/>
      <c r="AD3539" s="36"/>
      <c r="AE3539" s="36"/>
      <c r="AF3539" s="36"/>
    </row>
    <row r="3540" customFormat="false" ht="13.8" hidden="false" customHeight="false" outlineLevel="0" collapsed="false">
      <c r="A3540" s="1" t="s">
        <v>3843</v>
      </c>
      <c r="B3540" s="36"/>
      <c r="C3540" s="36" t="s">
        <v>3844</v>
      </c>
      <c r="D3540" s="36" t="s">
        <v>14</v>
      </c>
      <c r="E3540" s="36" t="s">
        <v>3379</v>
      </c>
      <c r="F3540" s="36" t="s">
        <v>3380</v>
      </c>
      <c r="G3540" s="36" t="s">
        <v>3379</v>
      </c>
      <c r="H3540" s="36" t="s">
        <v>3448</v>
      </c>
      <c r="I3540" s="36" t="s">
        <v>3449</v>
      </c>
      <c r="J3540" s="36" t="s">
        <v>52</v>
      </c>
      <c r="K3540" s="36" t="s">
        <v>3448</v>
      </c>
      <c r="L3540" s="36" t="s">
        <v>69</v>
      </c>
      <c r="M3540" s="36" t="s">
        <v>69</v>
      </c>
      <c r="N3540" s="36" t="s">
        <v>1935</v>
      </c>
      <c r="O3540" s="36" t="s">
        <v>46</v>
      </c>
      <c r="P3540" s="36" t="s">
        <v>46</v>
      </c>
      <c r="Q3540" s="36" t="s">
        <v>46</v>
      </c>
      <c r="R3540" s="36" t="s">
        <v>46</v>
      </c>
      <c r="S3540" s="36" t="s">
        <v>46</v>
      </c>
      <c r="T3540" s="36" t="s">
        <v>46</v>
      </c>
      <c r="U3540" s="36" t="s">
        <v>46</v>
      </c>
      <c r="V3540" s="36"/>
      <c r="W3540" s="36" t="s">
        <v>46</v>
      </c>
      <c r="X3540" s="36" t="s">
        <v>2640</v>
      </c>
      <c r="Y3540" s="36" t="n">
        <v>5500</v>
      </c>
      <c r="Z3540" s="36"/>
      <c r="AA3540" s="36"/>
      <c r="AB3540" s="36"/>
      <c r="AC3540" s="36"/>
      <c r="AD3540" s="36"/>
      <c r="AE3540" s="36"/>
      <c r="AF3540" s="36"/>
    </row>
    <row r="3541" customFormat="false" ht="13.8" hidden="false" customHeight="false" outlineLevel="0" collapsed="false">
      <c r="A3541" s="1" t="s">
        <v>3843</v>
      </c>
      <c r="B3541" s="36"/>
      <c r="C3541" s="36" t="s">
        <v>3844</v>
      </c>
      <c r="D3541" s="36" t="s">
        <v>14</v>
      </c>
      <c r="E3541" s="36" t="s">
        <v>3379</v>
      </c>
      <c r="F3541" s="36" t="s">
        <v>3380</v>
      </c>
      <c r="G3541" s="36" t="s">
        <v>3379</v>
      </c>
      <c r="H3541" s="36" t="s">
        <v>3450</v>
      </c>
      <c r="I3541" s="36" t="s">
        <v>3451</v>
      </c>
      <c r="J3541" s="36" t="s">
        <v>52</v>
      </c>
      <c r="K3541" s="36" t="s">
        <v>3450</v>
      </c>
      <c r="L3541" s="36" t="s">
        <v>69</v>
      </c>
      <c r="M3541" s="36" t="s">
        <v>69</v>
      </c>
      <c r="N3541" s="36" t="s">
        <v>1935</v>
      </c>
      <c r="O3541" s="36" t="s">
        <v>46</v>
      </c>
      <c r="P3541" s="36" t="s">
        <v>46</v>
      </c>
      <c r="Q3541" s="36" t="s">
        <v>46</v>
      </c>
      <c r="R3541" s="36" t="s">
        <v>46</v>
      </c>
      <c r="S3541" s="36" t="s">
        <v>46</v>
      </c>
      <c r="T3541" s="36" t="s">
        <v>46</v>
      </c>
      <c r="U3541" s="36" t="s">
        <v>46</v>
      </c>
      <c r="V3541" s="36"/>
      <c r="W3541" s="36" t="s">
        <v>46</v>
      </c>
      <c r="X3541" s="36" t="s">
        <v>2640</v>
      </c>
      <c r="Y3541" s="36" t="n">
        <v>5500</v>
      </c>
      <c r="Z3541" s="36"/>
      <c r="AA3541" s="36"/>
      <c r="AB3541" s="36"/>
      <c r="AC3541" s="36"/>
      <c r="AD3541" s="36"/>
      <c r="AE3541" s="36"/>
      <c r="AF3541" s="36"/>
    </row>
    <row r="3542" customFormat="false" ht="13.8" hidden="false" customHeight="false" outlineLevel="0" collapsed="false">
      <c r="A3542" s="1" t="s">
        <v>3843</v>
      </c>
      <c r="B3542" s="36"/>
      <c r="C3542" s="36" t="s">
        <v>3844</v>
      </c>
      <c r="D3542" s="36" t="s">
        <v>14</v>
      </c>
      <c r="E3542" s="36" t="s">
        <v>3379</v>
      </c>
      <c r="F3542" s="36" t="s">
        <v>3380</v>
      </c>
      <c r="G3542" s="36" t="s">
        <v>3379</v>
      </c>
      <c r="H3542" s="36" t="s">
        <v>3452</v>
      </c>
      <c r="I3542" s="36" t="s">
        <v>3453</v>
      </c>
      <c r="J3542" s="36" t="s">
        <v>52</v>
      </c>
      <c r="K3542" s="36" t="s">
        <v>3452</v>
      </c>
      <c r="L3542" s="36" t="s">
        <v>69</v>
      </c>
      <c r="M3542" s="36" t="s">
        <v>69</v>
      </c>
      <c r="N3542" s="36" t="s">
        <v>1935</v>
      </c>
      <c r="O3542" s="36" t="s">
        <v>46</v>
      </c>
      <c r="P3542" s="36" t="s">
        <v>46</v>
      </c>
      <c r="Q3542" s="36" t="s">
        <v>46</v>
      </c>
      <c r="R3542" s="36" t="s">
        <v>46</v>
      </c>
      <c r="S3542" s="36" t="s">
        <v>46</v>
      </c>
      <c r="T3542" s="36" t="s">
        <v>46</v>
      </c>
      <c r="U3542" s="36" t="s">
        <v>46</v>
      </c>
      <c r="V3542" s="36"/>
      <c r="W3542" s="36" t="s">
        <v>46</v>
      </c>
      <c r="X3542" s="36" t="s">
        <v>2640</v>
      </c>
      <c r="Y3542" s="36" t="n">
        <v>5500</v>
      </c>
      <c r="Z3542" s="36"/>
      <c r="AA3542" s="36"/>
      <c r="AB3542" s="36"/>
      <c r="AC3542" s="36"/>
      <c r="AD3542" s="36"/>
      <c r="AE3542" s="36"/>
      <c r="AF3542" s="36"/>
    </row>
    <row r="3543" customFormat="false" ht="13.8" hidden="false" customHeight="false" outlineLevel="0" collapsed="false">
      <c r="A3543" s="1" t="s">
        <v>3843</v>
      </c>
      <c r="B3543" s="36"/>
      <c r="C3543" s="36" t="s">
        <v>3844</v>
      </c>
      <c r="D3543" s="36" t="s">
        <v>14</v>
      </c>
      <c r="E3543" s="36" t="s">
        <v>3379</v>
      </c>
      <c r="F3543" s="36" t="s">
        <v>3380</v>
      </c>
      <c r="G3543" s="36" t="s">
        <v>3379</v>
      </c>
      <c r="H3543" s="36" t="s">
        <v>3454</v>
      </c>
      <c r="I3543" s="36" t="s">
        <v>3455</v>
      </c>
      <c r="J3543" s="36" t="s">
        <v>52</v>
      </c>
      <c r="K3543" s="36" t="s">
        <v>3454</v>
      </c>
      <c r="L3543" s="36" t="s">
        <v>69</v>
      </c>
      <c r="M3543" s="36" t="s">
        <v>69</v>
      </c>
      <c r="N3543" s="36" t="s">
        <v>1935</v>
      </c>
      <c r="O3543" s="36" t="s">
        <v>46</v>
      </c>
      <c r="P3543" s="36" t="s">
        <v>46</v>
      </c>
      <c r="Q3543" s="36" t="s">
        <v>46</v>
      </c>
      <c r="R3543" s="36" t="s">
        <v>46</v>
      </c>
      <c r="S3543" s="36" t="s">
        <v>46</v>
      </c>
      <c r="T3543" s="36" t="s">
        <v>46</v>
      </c>
      <c r="U3543" s="36" t="s">
        <v>46</v>
      </c>
      <c r="V3543" s="36"/>
      <c r="W3543" s="36" t="s">
        <v>46</v>
      </c>
      <c r="X3543" s="36" t="s">
        <v>2640</v>
      </c>
      <c r="Y3543" s="36" t="n">
        <v>5500</v>
      </c>
      <c r="Z3543" s="36"/>
      <c r="AA3543" s="36"/>
      <c r="AB3543" s="36"/>
      <c r="AC3543" s="36"/>
      <c r="AD3543" s="36"/>
      <c r="AE3543" s="36"/>
      <c r="AF3543" s="36"/>
    </row>
    <row r="3544" customFormat="false" ht="13.8" hidden="false" customHeight="false" outlineLevel="0" collapsed="false">
      <c r="A3544" s="1" t="s">
        <v>3843</v>
      </c>
      <c r="B3544" s="36"/>
      <c r="C3544" s="36" t="s">
        <v>3844</v>
      </c>
      <c r="D3544" s="36" t="s">
        <v>14</v>
      </c>
      <c r="E3544" s="36" t="s">
        <v>3379</v>
      </c>
      <c r="F3544" s="36" t="s">
        <v>3380</v>
      </c>
      <c r="G3544" s="36" t="s">
        <v>3379</v>
      </c>
      <c r="H3544" s="36" t="s">
        <v>3456</v>
      </c>
      <c r="I3544" s="36" t="s">
        <v>3457</v>
      </c>
      <c r="J3544" s="36" t="s">
        <v>52</v>
      </c>
      <c r="K3544" s="36" t="s">
        <v>3456</v>
      </c>
      <c r="L3544" s="36" t="s">
        <v>69</v>
      </c>
      <c r="M3544" s="36" t="s">
        <v>69</v>
      </c>
      <c r="N3544" s="36" t="s">
        <v>1935</v>
      </c>
      <c r="O3544" s="36" t="s">
        <v>46</v>
      </c>
      <c r="P3544" s="36" t="s">
        <v>46</v>
      </c>
      <c r="Q3544" s="36" t="s">
        <v>46</v>
      </c>
      <c r="R3544" s="36" t="s">
        <v>46</v>
      </c>
      <c r="S3544" s="36" t="s">
        <v>46</v>
      </c>
      <c r="T3544" s="36" t="s">
        <v>46</v>
      </c>
      <c r="U3544" s="36" t="s">
        <v>46</v>
      </c>
      <c r="V3544" s="36"/>
      <c r="W3544" s="36" t="s">
        <v>46</v>
      </c>
      <c r="X3544" s="36" t="s">
        <v>2640</v>
      </c>
      <c r="Y3544" s="36" t="n">
        <v>5500</v>
      </c>
      <c r="Z3544" s="36"/>
      <c r="AA3544" s="36"/>
      <c r="AB3544" s="36"/>
      <c r="AC3544" s="36"/>
      <c r="AD3544" s="36"/>
      <c r="AE3544" s="36"/>
      <c r="AF3544" s="36"/>
    </row>
    <row r="3545" customFormat="false" ht="13.8" hidden="false" customHeight="false" outlineLevel="0" collapsed="false">
      <c r="A3545" s="1" t="s">
        <v>3843</v>
      </c>
      <c r="B3545" s="36"/>
      <c r="C3545" s="36" t="s">
        <v>3844</v>
      </c>
      <c r="D3545" s="36" t="s">
        <v>14</v>
      </c>
      <c r="E3545" s="36" t="s">
        <v>3379</v>
      </c>
      <c r="F3545" s="36" t="s">
        <v>3380</v>
      </c>
      <c r="G3545" s="36" t="s">
        <v>3379</v>
      </c>
      <c r="H3545" s="36" t="s">
        <v>3458</v>
      </c>
      <c r="I3545" s="36" t="s">
        <v>3459</v>
      </c>
      <c r="J3545" s="36" t="s">
        <v>52</v>
      </c>
      <c r="K3545" s="36" t="s">
        <v>3458</v>
      </c>
      <c r="L3545" s="36" t="s">
        <v>69</v>
      </c>
      <c r="M3545" s="36" t="s">
        <v>69</v>
      </c>
      <c r="N3545" s="36" t="s">
        <v>1935</v>
      </c>
      <c r="O3545" s="36" t="s">
        <v>46</v>
      </c>
      <c r="P3545" s="36" t="s">
        <v>46</v>
      </c>
      <c r="Q3545" s="36" t="s">
        <v>46</v>
      </c>
      <c r="R3545" s="36" t="s">
        <v>46</v>
      </c>
      <c r="S3545" s="36" t="s">
        <v>46</v>
      </c>
      <c r="T3545" s="36" t="s">
        <v>46</v>
      </c>
      <c r="U3545" s="36" t="s">
        <v>46</v>
      </c>
      <c r="V3545" s="36"/>
      <c r="W3545" s="36" t="s">
        <v>46</v>
      </c>
      <c r="X3545" s="36" t="s">
        <v>2640</v>
      </c>
      <c r="Y3545" s="36" t="n">
        <v>5500</v>
      </c>
      <c r="Z3545" s="36"/>
      <c r="AA3545" s="36"/>
      <c r="AB3545" s="36"/>
      <c r="AC3545" s="36"/>
      <c r="AD3545" s="36"/>
      <c r="AE3545" s="36"/>
      <c r="AF3545" s="36"/>
    </row>
    <row r="3546" customFormat="false" ht="13.8" hidden="false" customHeight="false" outlineLevel="0" collapsed="false">
      <c r="A3546" s="1" t="s">
        <v>3843</v>
      </c>
      <c r="B3546" s="36"/>
      <c r="C3546" s="36" t="s">
        <v>3844</v>
      </c>
      <c r="D3546" s="36" t="s">
        <v>14</v>
      </c>
      <c r="E3546" s="36" t="s">
        <v>3379</v>
      </c>
      <c r="F3546" s="36" t="s">
        <v>3380</v>
      </c>
      <c r="G3546" s="36" t="s">
        <v>3379</v>
      </c>
      <c r="H3546" s="36" t="s">
        <v>3460</v>
      </c>
      <c r="I3546" s="36" t="s">
        <v>3461</v>
      </c>
      <c r="J3546" s="36" t="s">
        <v>52</v>
      </c>
      <c r="K3546" s="36" t="s">
        <v>3460</v>
      </c>
      <c r="L3546" s="36" t="s">
        <v>69</v>
      </c>
      <c r="M3546" s="36" t="s">
        <v>69</v>
      </c>
      <c r="N3546" s="36" t="s">
        <v>1935</v>
      </c>
      <c r="O3546" s="36" t="s">
        <v>46</v>
      </c>
      <c r="P3546" s="36" t="s">
        <v>46</v>
      </c>
      <c r="Q3546" s="36" t="s">
        <v>46</v>
      </c>
      <c r="R3546" s="36" t="s">
        <v>46</v>
      </c>
      <c r="S3546" s="36" t="s">
        <v>46</v>
      </c>
      <c r="T3546" s="36" t="s">
        <v>46</v>
      </c>
      <c r="U3546" s="36" t="s">
        <v>46</v>
      </c>
      <c r="V3546" s="36"/>
      <c r="W3546" s="36" t="s">
        <v>46</v>
      </c>
      <c r="X3546" s="36" t="s">
        <v>2640</v>
      </c>
      <c r="Y3546" s="36" t="n">
        <v>5500</v>
      </c>
      <c r="Z3546" s="36"/>
      <c r="AA3546" s="36"/>
      <c r="AB3546" s="36"/>
      <c r="AC3546" s="36"/>
      <c r="AD3546" s="36"/>
      <c r="AE3546" s="36"/>
      <c r="AF3546" s="36"/>
    </row>
    <row r="3547" customFormat="false" ht="13.8" hidden="false" customHeight="false" outlineLevel="0" collapsed="false">
      <c r="A3547" s="1" t="s">
        <v>3843</v>
      </c>
      <c r="B3547" s="36"/>
      <c r="C3547" s="36" t="s">
        <v>3844</v>
      </c>
      <c r="D3547" s="36" t="s">
        <v>14</v>
      </c>
      <c r="E3547" s="36" t="s">
        <v>3379</v>
      </c>
      <c r="F3547" s="36" t="s">
        <v>3380</v>
      </c>
      <c r="G3547" s="36" t="s">
        <v>3379</v>
      </c>
      <c r="H3547" s="36" t="s">
        <v>3462</v>
      </c>
      <c r="I3547" s="36" t="s">
        <v>3463</v>
      </c>
      <c r="J3547" s="36" t="s">
        <v>52</v>
      </c>
      <c r="K3547" s="36" t="s">
        <v>3462</v>
      </c>
      <c r="L3547" s="36" t="s">
        <v>69</v>
      </c>
      <c r="M3547" s="36" t="s">
        <v>69</v>
      </c>
      <c r="N3547" s="36" t="s">
        <v>1935</v>
      </c>
      <c r="O3547" s="36" t="s">
        <v>46</v>
      </c>
      <c r="P3547" s="36" t="s">
        <v>46</v>
      </c>
      <c r="Q3547" s="36" t="s">
        <v>46</v>
      </c>
      <c r="R3547" s="36" t="s">
        <v>46</v>
      </c>
      <c r="S3547" s="36" t="s">
        <v>46</v>
      </c>
      <c r="T3547" s="36" t="s">
        <v>46</v>
      </c>
      <c r="U3547" s="36" t="s">
        <v>46</v>
      </c>
      <c r="V3547" s="36"/>
      <c r="W3547" s="36" t="s">
        <v>46</v>
      </c>
      <c r="X3547" s="36" t="s">
        <v>2640</v>
      </c>
      <c r="Y3547" s="36" t="n">
        <v>5500</v>
      </c>
      <c r="Z3547" s="36"/>
      <c r="AA3547" s="36"/>
      <c r="AB3547" s="36"/>
      <c r="AC3547" s="36"/>
      <c r="AD3547" s="36"/>
      <c r="AE3547" s="36"/>
      <c r="AF3547" s="36"/>
    </row>
    <row r="3548" customFormat="false" ht="13.8" hidden="false" customHeight="false" outlineLevel="0" collapsed="false">
      <c r="A3548" s="1" t="s">
        <v>3843</v>
      </c>
      <c r="B3548" s="36"/>
      <c r="C3548" s="36" t="s">
        <v>3844</v>
      </c>
      <c r="D3548" s="36" t="s">
        <v>14</v>
      </c>
      <c r="E3548" s="36" t="s">
        <v>3379</v>
      </c>
      <c r="F3548" s="36" t="s">
        <v>3380</v>
      </c>
      <c r="G3548" s="36" t="s">
        <v>3379</v>
      </c>
      <c r="H3548" s="36" t="s">
        <v>3464</v>
      </c>
      <c r="I3548" s="36" t="s">
        <v>3465</v>
      </c>
      <c r="J3548" s="36" t="s">
        <v>52</v>
      </c>
      <c r="K3548" s="36" t="s">
        <v>3464</v>
      </c>
      <c r="L3548" s="36" t="s">
        <v>69</v>
      </c>
      <c r="M3548" s="36" t="s">
        <v>69</v>
      </c>
      <c r="N3548" s="36" t="s">
        <v>1935</v>
      </c>
      <c r="O3548" s="36" t="s">
        <v>46</v>
      </c>
      <c r="P3548" s="36" t="s">
        <v>46</v>
      </c>
      <c r="Q3548" s="36" t="s">
        <v>46</v>
      </c>
      <c r="R3548" s="36" t="s">
        <v>46</v>
      </c>
      <c r="S3548" s="36" t="s">
        <v>46</v>
      </c>
      <c r="T3548" s="36" t="s">
        <v>46</v>
      </c>
      <c r="U3548" s="36" t="s">
        <v>46</v>
      </c>
      <c r="V3548" s="36"/>
      <c r="W3548" s="36" t="s">
        <v>46</v>
      </c>
      <c r="X3548" s="36" t="s">
        <v>2640</v>
      </c>
      <c r="Y3548" s="36" t="n">
        <v>5500</v>
      </c>
      <c r="Z3548" s="36"/>
      <c r="AA3548" s="36"/>
      <c r="AB3548" s="36"/>
      <c r="AC3548" s="36"/>
      <c r="AD3548" s="36"/>
      <c r="AE3548" s="36"/>
      <c r="AF3548" s="36"/>
    </row>
    <row r="3549" customFormat="false" ht="13.8" hidden="false" customHeight="false" outlineLevel="0" collapsed="false">
      <c r="A3549" s="1" t="s">
        <v>3843</v>
      </c>
      <c r="B3549" s="36"/>
      <c r="C3549" s="36" t="s">
        <v>3844</v>
      </c>
      <c r="D3549" s="36" t="s">
        <v>14</v>
      </c>
      <c r="E3549" s="36" t="s">
        <v>3379</v>
      </c>
      <c r="F3549" s="36" t="s">
        <v>3380</v>
      </c>
      <c r="G3549" s="36" t="s">
        <v>3379</v>
      </c>
      <c r="H3549" s="36" t="s">
        <v>3466</v>
      </c>
      <c r="I3549" s="36" t="s">
        <v>3467</v>
      </c>
      <c r="J3549" s="36" t="s">
        <v>52</v>
      </c>
      <c r="K3549" s="36" t="s">
        <v>3466</v>
      </c>
      <c r="L3549" s="36" t="s">
        <v>69</v>
      </c>
      <c r="M3549" s="36" t="s">
        <v>69</v>
      </c>
      <c r="N3549" s="36" t="s">
        <v>3468</v>
      </c>
      <c r="O3549" s="36" t="s">
        <v>46</v>
      </c>
      <c r="P3549" s="36" t="s">
        <v>46</v>
      </c>
      <c r="Q3549" s="36" t="s">
        <v>46</v>
      </c>
      <c r="R3549" s="36" t="s">
        <v>46</v>
      </c>
      <c r="S3549" s="36" t="s">
        <v>46</v>
      </c>
      <c r="T3549" s="36" t="s">
        <v>46</v>
      </c>
      <c r="U3549" s="36" t="s">
        <v>46</v>
      </c>
      <c r="V3549" s="36"/>
      <c r="W3549" s="36" t="s">
        <v>46</v>
      </c>
      <c r="X3549" s="36" t="s">
        <v>2640</v>
      </c>
      <c r="Y3549" s="36" t="n">
        <v>5500</v>
      </c>
      <c r="Z3549" s="36"/>
      <c r="AA3549" s="36"/>
      <c r="AB3549" s="36"/>
      <c r="AC3549" s="36"/>
      <c r="AD3549" s="36"/>
      <c r="AE3549" s="36"/>
      <c r="AF3549" s="36"/>
    </row>
    <row r="3550" customFormat="false" ht="13.8" hidden="false" customHeight="false" outlineLevel="0" collapsed="false">
      <c r="A3550" s="1" t="s">
        <v>3843</v>
      </c>
      <c r="B3550" s="36"/>
      <c r="C3550" s="36" t="s">
        <v>3844</v>
      </c>
      <c r="D3550" s="36" t="s">
        <v>14</v>
      </c>
      <c r="E3550" s="36" t="s">
        <v>3379</v>
      </c>
      <c r="F3550" s="36" t="s">
        <v>3380</v>
      </c>
      <c r="G3550" s="36" t="s">
        <v>3379</v>
      </c>
      <c r="H3550" s="36" t="s">
        <v>3469</v>
      </c>
      <c r="I3550" s="36" t="s">
        <v>3470</v>
      </c>
      <c r="J3550" s="36" t="s">
        <v>52</v>
      </c>
      <c r="K3550" s="36" t="s">
        <v>3469</v>
      </c>
      <c r="L3550" s="36" t="s">
        <v>69</v>
      </c>
      <c r="M3550" s="36" t="s">
        <v>69</v>
      </c>
      <c r="N3550" s="36" t="s">
        <v>3468</v>
      </c>
      <c r="O3550" s="36" t="s">
        <v>46</v>
      </c>
      <c r="P3550" s="36" t="s">
        <v>46</v>
      </c>
      <c r="Q3550" s="36" t="s">
        <v>46</v>
      </c>
      <c r="R3550" s="36" t="s">
        <v>46</v>
      </c>
      <c r="S3550" s="36" t="s">
        <v>46</v>
      </c>
      <c r="T3550" s="36" t="s">
        <v>46</v>
      </c>
      <c r="U3550" s="36" t="s">
        <v>46</v>
      </c>
      <c r="V3550" s="36"/>
      <c r="W3550" s="36" t="s">
        <v>46</v>
      </c>
      <c r="X3550" s="36" t="s">
        <v>2640</v>
      </c>
      <c r="Y3550" s="36" t="n">
        <v>5500</v>
      </c>
      <c r="Z3550" s="36"/>
      <c r="AA3550" s="36"/>
      <c r="AB3550" s="36"/>
      <c r="AC3550" s="36"/>
      <c r="AD3550" s="36"/>
      <c r="AE3550" s="36"/>
      <c r="AF3550" s="36"/>
    </row>
    <row r="3551" customFormat="false" ht="13.8" hidden="false" customHeight="false" outlineLevel="0" collapsed="false">
      <c r="A3551" s="1" t="s">
        <v>3843</v>
      </c>
      <c r="B3551" s="36"/>
      <c r="C3551" s="36" t="s">
        <v>3844</v>
      </c>
      <c r="D3551" s="36" t="s">
        <v>14</v>
      </c>
      <c r="E3551" s="36" t="s">
        <v>3379</v>
      </c>
      <c r="F3551" s="36" t="s">
        <v>3380</v>
      </c>
      <c r="G3551" s="36" t="s">
        <v>3379</v>
      </c>
      <c r="H3551" s="36" t="s">
        <v>3471</v>
      </c>
      <c r="I3551" s="36" t="s">
        <v>3472</v>
      </c>
      <c r="J3551" s="36" t="s">
        <v>52</v>
      </c>
      <c r="K3551" s="36" t="s">
        <v>3471</v>
      </c>
      <c r="L3551" s="36" t="s">
        <v>69</v>
      </c>
      <c r="M3551" s="36" t="s">
        <v>69</v>
      </c>
      <c r="N3551" s="36" t="s">
        <v>3468</v>
      </c>
      <c r="O3551" s="36" t="s">
        <v>46</v>
      </c>
      <c r="P3551" s="36" t="s">
        <v>46</v>
      </c>
      <c r="Q3551" s="36" t="s">
        <v>46</v>
      </c>
      <c r="R3551" s="36" t="s">
        <v>46</v>
      </c>
      <c r="S3551" s="36" t="s">
        <v>46</v>
      </c>
      <c r="T3551" s="36" t="s">
        <v>46</v>
      </c>
      <c r="U3551" s="36" t="s">
        <v>46</v>
      </c>
      <c r="V3551" s="36"/>
      <c r="W3551" s="36" t="s">
        <v>46</v>
      </c>
      <c r="X3551" s="36" t="s">
        <v>2640</v>
      </c>
      <c r="Y3551" s="36" t="n">
        <v>5500</v>
      </c>
      <c r="Z3551" s="36"/>
      <c r="AA3551" s="36"/>
      <c r="AB3551" s="36"/>
      <c r="AC3551" s="36"/>
      <c r="AD3551" s="36"/>
      <c r="AE3551" s="36"/>
      <c r="AF3551" s="36"/>
    </row>
    <row r="3552" customFormat="false" ht="13.8" hidden="false" customHeight="false" outlineLevel="0" collapsed="false">
      <c r="A3552" s="1" t="s">
        <v>3843</v>
      </c>
      <c r="B3552" s="36"/>
      <c r="C3552" s="36" t="s">
        <v>3844</v>
      </c>
      <c r="D3552" s="36" t="s">
        <v>14</v>
      </c>
      <c r="E3552" s="36" t="s">
        <v>3379</v>
      </c>
      <c r="F3552" s="36" t="s">
        <v>3380</v>
      </c>
      <c r="G3552" s="36" t="s">
        <v>3379</v>
      </c>
      <c r="H3552" s="36" t="s">
        <v>3473</v>
      </c>
      <c r="I3552" s="36" t="s">
        <v>3474</v>
      </c>
      <c r="J3552" s="36" t="s">
        <v>52</v>
      </c>
      <c r="K3552" s="36" t="s">
        <v>3473</v>
      </c>
      <c r="L3552" s="36" t="s">
        <v>69</v>
      </c>
      <c r="M3552" s="36" t="s">
        <v>69</v>
      </c>
      <c r="N3552" s="36" t="s">
        <v>3468</v>
      </c>
      <c r="O3552" s="36" t="s">
        <v>46</v>
      </c>
      <c r="P3552" s="36" t="s">
        <v>46</v>
      </c>
      <c r="Q3552" s="36" t="s">
        <v>46</v>
      </c>
      <c r="R3552" s="36" t="s">
        <v>46</v>
      </c>
      <c r="S3552" s="36" t="s">
        <v>46</v>
      </c>
      <c r="T3552" s="36" t="s">
        <v>46</v>
      </c>
      <c r="U3552" s="36" t="s">
        <v>46</v>
      </c>
      <c r="V3552" s="36"/>
      <c r="W3552" s="36" t="s">
        <v>46</v>
      </c>
      <c r="X3552" s="36" t="s">
        <v>2640</v>
      </c>
      <c r="Y3552" s="36" t="n">
        <v>5500</v>
      </c>
      <c r="Z3552" s="36"/>
      <c r="AA3552" s="36"/>
      <c r="AB3552" s="36"/>
      <c r="AC3552" s="36"/>
      <c r="AD3552" s="36"/>
      <c r="AE3552" s="36"/>
      <c r="AF3552" s="36"/>
    </row>
    <row r="3553" customFormat="false" ht="13.8" hidden="false" customHeight="false" outlineLevel="0" collapsed="false">
      <c r="A3553" s="1" t="s">
        <v>3843</v>
      </c>
      <c r="B3553" s="36"/>
      <c r="C3553" s="36" t="s">
        <v>3844</v>
      </c>
      <c r="D3553" s="36" t="s">
        <v>14</v>
      </c>
      <c r="E3553" s="36" t="s">
        <v>3379</v>
      </c>
      <c r="F3553" s="36" t="s">
        <v>3380</v>
      </c>
      <c r="G3553" s="36" t="s">
        <v>3379</v>
      </c>
      <c r="H3553" s="36" t="s">
        <v>3475</v>
      </c>
      <c r="I3553" s="36" t="s">
        <v>3476</v>
      </c>
      <c r="J3553" s="36" t="s">
        <v>52</v>
      </c>
      <c r="K3553" s="36" t="s">
        <v>3475</v>
      </c>
      <c r="L3553" s="36" t="s">
        <v>69</v>
      </c>
      <c r="M3553" s="36" t="s">
        <v>69</v>
      </c>
      <c r="N3553" s="36" t="s">
        <v>3468</v>
      </c>
      <c r="O3553" s="36" t="s">
        <v>46</v>
      </c>
      <c r="P3553" s="36" t="s">
        <v>46</v>
      </c>
      <c r="Q3553" s="36" t="s">
        <v>46</v>
      </c>
      <c r="R3553" s="36" t="s">
        <v>46</v>
      </c>
      <c r="S3553" s="36" t="s">
        <v>46</v>
      </c>
      <c r="T3553" s="36" t="s">
        <v>46</v>
      </c>
      <c r="U3553" s="36" t="s">
        <v>46</v>
      </c>
      <c r="V3553" s="36"/>
      <c r="W3553" s="36" t="s">
        <v>46</v>
      </c>
      <c r="X3553" s="36" t="s">
        <v>2640</v>
      </c>
      <c r="Y3553" s="36" t="n">
        <v>5500</v>
      </c>
      <c r="Z3553" s="36"/>
      <c r="AA3553" s="36"/>
      <c r="AB3553" s="36"/>
      <c r="AC3553" s="36"/>
      <c r="AD3553" s="36"/>
      <c r="AE3553" s="36"/>
      <c r="AF3553" s="36"/>
    </row>
    <row r="3554" customFormat="false" ht="13.8" hidden="false" customHeight="false" outlineLevel="0" collapsed="false">
      <c r="A3554" s="1" t="s">
        <v>3843</v>
      </c>
      <c r="B3554" s="36"/>
      <c r="C3554" s="36" t="s">
        <v>3844</v>
      </c>
      <c r="D3554" s="36" t="s">
        <v>14</v>
      </c>
      <c r="E3554" s="36" t="s">
        <v>3379</v>
      </c>
      <c r="F3554" s="36" t="s">
        <v>3380</v>
      </c>
      <c r="G3554" s="36" t="s">
        <v>3379</v>
      </c>
      <c r="H3554" s="36" t="s">
        <v>3477</v>
      </c>
      <c r="I3554" s="36" t="s">
        <v>3478</v>
      </c>
      <c r="J3554" s="36" t="s">
        <v>52</v>
      </c>
      <c r="K3554" s="36" t="s">
        <v>3477</v>
      </c>
      <c r="L3554" s="36" t="s">
        <v>69</v>
      </c>
      <c r="M3554" s="36" t="s">
        <v>69</v>
      </c>
      <c r="N3554" s="36" t="s">
        <v>3468</v>
      </c>
      <c r="O3554" s="36" t="s">
        <v>46</v>
      </c>
      <c r="P3554" s="36" t="s">
        <v>46</v>
      </c>
      <c r="Q3554" s="36" t="s">
        <v>46</v>
      </c>
      <c r="R3554" s="36" t="s">
        <v>46</v>
      </c>
      <c r="S3554" s="36" t="s">
        <v>46</v>
      </c>
      <c r="T3554" s="36" t="s">
        <v>46</v>
      </c>
      <c r="U3554" s="36" t="s">
        <v>46</v>
      </c>
      <c r="V3554" s="36"/>
      <c r="W3554" s="36" t="s">
        <v>46</v>
      </c>
      <c r="X3554" s="36" t="s">
        <v>2640</v>
      </c>
      <c r="Y3554" s="36" t="n">
        <v>5500</v>
      </c>
      <c r="Z3554" s="36"/>
      <c r="AA3554" s="36"/>
      <c r="AB3554" s="36"/>
      <c r="AC3554" s="36"/>
      <c r="AD3554" s="36"/>
      <c r="AE3554" s="36"/>
      <c r="AF3554" s="36"/>
    </row>
    <row r="3555" customFormat="false" ht="13.8" hidden="false" customHeight="false" outlineLevel="0" collapsed="false">
      <c r="A3555" s="1" t="s">
        <v>3843</v>
      </c>
      <c r="B3555" s="36"/>
      <c r="C3555" s="36" t="s">
        <v>3844</v>
      </c>
      <c r="D3555" s="36" t="s">
        <v>14</v>
      </c>
      <c r="E3555" s="36" t="s">
        <v>3379</v>
      </c>
      <c r="F3555" s="36" t="s">
        <v>3380</v>
      </c>
      <c r="G3555" s="36" t="s">
        <v>3379</v>
      </c>
      <c r="H3555" s="36" t="s">
        <v>3479</v>
      </c>
      <c r="I3555" s="36" t="s">
        <v>3480</v>
      </c>
      <c r="J3555" s="36" t="s">
        <v>52</v>
      </c>
      <c r="K3555" s="36" t="s">
        <v>3479</v>
      </c>
      <c r="L3555" s="36" t="s">
        <v>69</v>
      </c>
      <c r="M3555" s="36" t="s">
        <v>69</v>
      </c>
      <c r="N3555" s="36" t="s">
        <v>3468</v>
      </c>
      <c r="O3555" s="36" t="s">
        <v>46</v>
      </c>
      <c r="P3555" s="36" t="s">
        <v>46</v>
      </c>
      <c r="Q3555" s="36" t="s">
        <v>46</v>
      </c>
      <c r="R3555" s="36" t="s">
        <v>46</v>
      </c>
      <c r="S3555" s="36" t="s">
        <v>46</v>
      </c>
      <c r="T3555" s="36" t="s">
        <v>46</v>
      </c>
      <c r="U3555" s="36" t="s">
        <v>46</v>
      </c>
      <c r="V3555" s="36"/>
      <c r="W3555" s="36" t="s">
        <v>46</v>
      </c>
      <c r="X3555" s="36" t="s">
        <v>2640</v>
      </c>
      <c r="Y3555" s="36" t="n">
        <v>5500</v>
      </c>
      <c r="Z3555" s="36"/>
      <c r="AA3555" s="36"/>
      <c r="AB3555" s="36"/>
      <c r="AC3555" s="36"/>
      <c r="AD3555" s="36"/>
      <c r="AE3555" s="36"/>
      <c r="AF3555" s="36"/>
    </row>
    <row r="3556" customFormat="false" ht="13.8" hidden="false" customHeight="false" outlineLevel="0" collapsed="false">
      <c r="A3556" s="1" t="s">
        <v>3843</v>
      </c>
      <c r="B3556" s="36"/>
      <c r="C3556" s="36" t="s">
        <v>3844</v>
      </c>
      <c r="D3556" s="36" t="s">
        <v>14</v>
      </c>
      <c r="E3556" s="36" t="s">
        <v>3379</v>
      </c>
      <c r="F3556" s="36" t="s">
        <v>3380</v>
      </c>
      <c r="G3556" s="36" t="s">
        <v>3379</v>
      </c>
      <c r="H3556" s="36" t="s">
        <v>3481</v>
      </c>
      <c r="I3556" s="36" t="s">
        <v>3482</v>
      </c>
      <c r="J3556" s="36" t="s">
        <v>52</v>
      </c>
      <c r="K3556" s="36" t="s">
        <v>3481</v>
      </c>
      <c r="L3556" s="36" t="s">
        <v>69</v>
      </c>
      <c r="M3556" s="36" t="s">
        <v>69</v>
      </c>
      <c r="N3556" s="36" t="s">
        <v>3468</v>
      </c>
      <c r="O3556" s="36" t="s">
        <v>46</v>
      </c>
      <c r="P3556" s="36" t="s">
        <v>46</v>
      </c>
      <c r="Q3556" s="36" t="s">
        <v>46</v>
      </c>
      <c r="R3556" s="36" t="s">
        <v>46</v>
      </c>
      <c r="S3556" s="36" t="s">
        <v>46</v>
      </c>
      <c r="T3556" s="36" t="s">
        <v>46</v>
      </c>
      <c r="U3556" s="36" t="s">
        <v>46</v>
      </c>
      <c r="V3556" s="36"/>
      <c r="W3556" s="36" t="s">
        <v>46</v>
      </c>
      <c r="X3556" s="36" t="s">
        <v>2640</v>
      </c>
      <c r="Y3556" s="36" t="n">
        <v>5500</v>
      </c>
      <c r="Z3556" s="36"/>
      <c r="AA3556" s="36"/>
      <c r="AB3556" s="36"/>
      <c r="AC3556" s="36"/>
      <c r="AD3556" s="36"/>
      <c r="AE3556" s="36"/>
      <c r="AF3556" s="36"/>
    </row>
    <row r="3557" customFormat="false" ht="13.8" hidden="false" customHeight="false" outlineLevel="0" collapsed="false">
      <c r="A3557" s="1" t="s">
        <v>3843</v>
      </c>
      <c r="B3557" s="36"/>
      <c r="C3557" s="36" t="s">
        <v>3844</v>
      </c>
      <c r="D3557" s="36" t="s">
        <v>14</v>
      </c>
      <c r="E3557" s="36" t="s">
        <v>3379</v>
      </c>
      <c r="F3557" s="36" t="s">
        <v>3380</v>
      </c>
      <c r="G3557" s="36" t="s">
        <v>3379</v>
      </c>
      <c r="H3557" s="36" t="s">
        <v>3483</v>
      </c>
      <c r="I3557" s="36" t="s">
        <v>3484</v>
      </c>
      <c r="J3557" s="36" t="s">
        <v>52</v>
      </c>
      <c r="K3557" s="36" t="s">
        <v>3483</v>
      </c>
      <c r="L3557" s="36" t="s">
        <v>69</v>
      </c>
      <c r="M3557" s="36" t="s">
        <v>69</v>
      </c>
      <c r="N3557" s="36" t="s">
        <v>3468</v>
      </c>
      <c r="O3557" s="36" t="s">
        <v>46</v>
      </c>
      <c r="P3557" s="36" t="s">
        <v>46</v>
      </c>
      <c r="Q3557" s="36" t="s">
        <v>46</v>
      </c>
      <c r="R3557" s="36" t="s">
        <v>46</v>
      </c>
      <c r="S3557" s="36" t="s">
        <v>46</v>
      </c>
      <c r="T3557" s="36" t="s">
        <v>46</v>
      </c>
      <c r="U3557" s="36" t="s">
        <v>46</v>
      </c>
      <c r="V3557" s="36"/>
      <c r="W3557" s="36" t="s">
        <v>46</v>
      </c>
      <c r="X3557" s="36" t="s">
        <v>2640</v>
      </c>
      <c r="Y3557" s="36" t="n">
        <v>5500</v>
      </c>
      <c r="Z3557" s="36"/>
      <c r="AA3557" s="36"/>
      <c r="AB3557" s="36"/>
      <c r="AC3557" s="36"/>
      <c r="AD3557" s="36"/>
      <c r="AE3557" s="36"/>
      <c r="AF3557" s="36"/>
    </row>
    <row r="3558" customFormat="false" ht="13.8" hidden="false" customHeight="false" outlineLevel="0" collapsed="false">
      <c r="A3558" s="1" t="s">
        <v>3843</v>
      </c>
      <c r="B3558" s="36"/>
      <c r="C3558" s="36" t="s">
        <v>3844</v>
      </c>
      <c r="D3558" s="36" t="s">
        <v>14</v>
      </c>
      <c r="E3558" s="36" t="s">
        <v>3379</v>
      </c>
      <c r="F3558" s="36" t="s">
        <v>3380</v>
      </c>
      <c r="G3558" s="36" t="s">
        <v>3379</v>
      </c>
      <c r="H3558" s="36" t="s">
        <v>3485</v>
      </c>
      <c r="I3558" s="36" t="s">
        <v>3486</v>
      </c>
      <c r="J3558" s="36" t="s">
        <v>52</v>
      </c>
      <c r="K3558" s="36" t="s">
        <v>3485</v>
      </c>
      <c r="L3558" s="36" t="s">
        <v>69</v>
      </c>
      <c r="M3558" s="36" t="s">
        <v>69</v>
      </c>
      <c r="N3558" s="36" t="s">
        <v>3468</v>
      </c>
      <c r="O3558" s="36" t="s">
        <v>46</v>
      </c>
      <c r="P3558" s="36" t="s">
        <v>46</v>
      </c>
      <c r="Q3558" s="36" t="s">
        <v>46</v>
      </c>
      <c r="R3558" s="36" t="s">
        <v>46</v>
      </c>
      <c r="S3558" s="36" t="s">
        <v>46</v>
      </c>
      <c r="T3558" s="36" t="s">
        <v>46</v>
      </c>
      <c r="U3558" s="36" t="s">
        <v>46</v>
      </c>
      <c r="V3558" s="36"/>
      <c r="W3558" s="36" t="s">
        <v>46</v>
      </c>
      <c r="X3558" s="36" t="s">
        <v>2640</v>
      </c>
      <c r="Y3558" s="36" t="n">
        <v>5500</v>
      </c>
      <c r="Z3558" s="36"/>
      <c r="AA3558" s="36"/>
      <c r="AB3558" s="36"/>
      <c r="AC3558" s="36"/>
      <c r="AD3558" s="36"/>
      <c r="AE3558" s="36"/>
      <c r="AF3558" s="36"/>
    </row>
    <row r="3559" customFormat="false" ht="13.8" hidden="false" customHeight="false" outlineLevel="0" collapsed="false">
      <c r="A3559" s="1" t="s">
        <v>3843</v>
      </c>
      <c r="B3559" s="36"/>
      <c r="C3559" s="36" t="s">
        <v>3844</v>
      </c>
      <c r="D3559" s="36" t="s">
        <v>14</v>
      </c>
      <c r="E3559" s="36" t="s">
        <v>3379</v>
      </c>
      <c r="F3559" s="36" t="s">
        <v>3380</v>
      </c>
      <c r="G3559" s="36" t="s">
        <v>3379</v>
      </c>
      <c r="H3559" s="36" t="s">
        <v>3487</v>
      </c>
      <c r="I3559" s="36" t="s">
        <v>3488</v>
      </c>
      <c r="J3559" s="36" t="s">
        <v>52</v>
      </c>
      <c r="K3559" s="36" t="s">
        <v>3487</v>
      </c>
      <c r="L3559" s="36" t="s">
        <v>69</v>
      </c>
      <c r="M3559" s="36" t="s">
        <v>69</v>
      </c>
      <c r="N3559" s="36" t="s">
        <v>3468</v>
      </c>
      <c r="O3559" s="36" t="s">
        <v>46</v>
      </c>
      <c r="P3559" s="36" t="s">
        <v>46</v>
      </c>
      <c r="Q3559" s="36" t="s">
        <v>46</v>
      </c>
      <c r="R3559" s="36" t="s">
        <v>46</v>
      </c>
      <c r="S3559" s="36" t="s">
        <v>46</v>
      </c>
      <c r="T3559" s="36" t="s">
        <v>46</v>
      </c>
      <c r="U3559" s="36" t="s">
        <v>46</v>
      </c>
      <c r="V3559" s="36"/>
      <c r="W3559" s="36" t="s">
        <v>46</v>
      </c>
      <c r="X3559" s="36" t="s">
        <v>2640</v>
      </c>
      <c r="Y3559" s="36" t="n">
        <v>5500</v>
      </c>
      <c r="Z3559" s="36"/>
      <c r="AA3559" s="36"/>
      <c r="AB3559" s="36"/>
      <c r="AC3559" s="36"/>
      <c r="AD3559" s="36"/>
      <c r="AE3559" s="36"/>
      <c r="AF3559" s="36"/>
    </row>
    <row r="3560" customFormat="false" ht="13.8" hidden="false" customHeight="false" outlineLevel="0" collapsed="false">
      <c r="A3560" s="1" t="s">
        <v>3843</v>
      </c>
      <c r="B3560" s="36"/>
      <c r="C3560" s="36" t="s">
        <v>3844</v>
      </c>
      <c r="D3560" s="36" t="s">
        <v>14</v>
      </c>
      <c r="E3560" s="36" t="s">
        <v>3379</v>
      </c>
      <c r="F3560" s="36" t="s">
        <v>3380</v>
      </c>
      <c r="G3560" s="36" t="s">
        <v>3379</v>
      </c>
      <c r="H3560" s="36" t="s">
        <v>3489</v>
      </c>
      <c r="I3560" s="36" t="s">
        <v>3490</v>
      </c>
      <c r="J3560" s="36" t="s">
        <v>52</v>
      </c>
      <c r="K3560" s="36" t="s">
        <v>3489</v>
      </c>
      <c r="L3560" s="36" t="s">
        <v>69</v>
      </c>
      <c r="M3560" s="36" t="s">
        <v>69</v>
      </c>
      <c r="N3560" s="36" t="s">
        <v>3468</v>
      </c>
      <c r="O3560" s="36" t="s">
        <v>46</v>
      </c>
      <c r="P3560" s="36" t="s">
        <v>46</v>
      </c>
      <c r="Q3560" s="36" t="s">
        <v>46</v>
      </c>
      <c r="R3560" s="36" t="s">
        <v>46</v>
      </c>
      <c r="S3560" s="36" t="s">
        <v>46</v>
      </c>
      <c r="T3560" s="36" t="s">
        <v>46</v>
      </c>
      <c r="U3560" s="36" t="s">
        <v>46</v>
      </c>
      <c r="V3560" s="36"/>
      <c r="W3560" s="36" t="s">
        <v>46</v>
      </c>
      <c r="X3560" s="36" t="s">
        <v>2640</v>
      </c>
      <c r="Y3560" s="36" t="n">
        <v>5500</v>
      </c>
      <c r="Z3560" s="36"/>
      <c r="AA3560" s="36"/>
      <c r="AB3560" s="36"/>
      <c r="AC3560" s="36"/>
      <c r="AD3560" s="36"/>
      <c r="AE3560" s="36"/>
      <c r="AF3560" s="36"/>
    </row>
    <row r="3561" customFormat="false" ht="13.8" hidden="false" customHeight="false" outlineLevel="0" collapsed="false">
      <c r="A3561" s="1" t="s">
        <v>3843</v>
      </c>
      <c r="B3561" s="36"/>
      <c r="C3561" s="36" t="s">
        <v>3844</v>
      </c>
      <c r="D3561" s="36" t="s">
        <v>14</v>
      </c>
      <c r="E3561" s="36" t="s">
        <v>3379</v>
      </c>
      <c r="F3561" s="36" t="s">
        <v>3380</v>
      </c>
      <c r="G3561" s="36" t="s">
        <v>3379</v>
      </c>
      <c r="H3561" s="36" t="s">
        <v>3491</v>
      </c>
      <c r="I3561" s="36" t="s">
        <v>3492</v>
      </c>
      <c r="J3561" s="36" t="s">
        <v>52</v>
      </c>
      <c r="K3561" s="36" t="s">
        <v>3491</v>
      </c>
      <c r="L3561" s="36" t="s">
        <v>69</v>
      </c>
      <c r="M3561" s="36" t="s">
        <v>69</v>
      </c>
      <c r="N3561" s="36" t="s">
        <v>3468</v>
      </c>
      <c r="O3561" s="36" t="s">
        <v>46</v>
      </c>
      <c r="P3561" s="36" t="s">
        <v>46</v>
      </c>
      <c r="Q3561" s="36" t="s">
        <v>46</v>
      </c>
      <c r="R3561" s="36" t="s">
        <v>46</v>
      </c>
      <c r="S3561" s="36" t="s">
        <v>46</v>
      </c>
      <c r="T3561" s="36" t="s">
        <v>46</v>
      </c>
      <c r="U3561" s="36" t="s">
        <v>46</v>
      </c>
      <c r="V3561" s="36"/>
      <c r="W3561" s="36" t="s">
        <v>46</v>
      </c>
      <c r="X3561" s="36" t="s">
        <v>2640</v>
      </c>
      <c r="Y3561" s="36" t="n">
        <v>5500</v>
      </c>
      <c r="Z3561" s="36"/>
      <c r="AA3561" s="36"/>
      <c r="AB3561" s="36"/>
      <c r="AC3561" s="36"/>
      <c r="AD3561" s="36"/>
      <c r="AE3561" s="36"/>
      <c r="AF3561" s="36"/>
    </row>
    <row r="3562" customFormat="false" ht="13.8" hidden="false" customHeight="false" outlineLevel="0" collapsed="false">
      <c r="A3562" s="1" t="s">
        <v>3843</v>
      </c>
      <c r="B3562" s="36"/>
      <c r="C3562" s="36" t="s">
        <v>3844</v>
      </c>
      <c r="D3562" s="36" t="s">
        <v>14</v>
      </c>
      <c r="E3562" s="36" t="s">
        <v>3379</v>
      </c>
      <c r="F3562" s="36" t="s">
        <v>3380</v>
      </c>
      <c r="G3562" s="36" t="s">
        <v>3379</v>
      </c>
      <c r="H3562" s="36" t="s">
        <v>3493</v>
      </c>
      <c r="I3562" s="36" t="s">
        <v>3494</v>
      </c>
      <c r="J3562" s="36" t="s">
        <v>52</v>
      </c>
      <c r="K3562" s="36" t="s">
        <v>3493</v>
      </c>
      <c r="L3562" s="36" t="s">
        <v>69</v>
      </c>
      <c r="M3562" s="36" t="s">
        <v>69</v>
      </c>
      <c r="N3562" s="36" t="s">
        <v>3468</v>
      </c>
      <c r="O3562" s="36" t="s">
        <v>46</v>
      </c>
      <c r="P3562" s="36" t="s">
        <v>46</v>
      </c>
      <c r="Q3562" s="36" t="s">
        <v>46</v>
      </c>
      <c r="R3562" s="36" t="s">
        <v>46</v>
      </c>
      <c r="S3562" s="36" t="s">
        <v>46</v>
      </c>
      <c r="T3562" s="36" t="s">
        <v>46</v>
      </c>
      <c r="U3562" s="36" t="s">
        <v>46</v>
      </c>
      <c r="V3562" s="36"/>
      <c r="W3562" s="36" t="s">
        <v>46</v>
      </c>
      <c r="X3562" s="36" t="s">
        <v>2640</v>
      </c>
      <c r="Y3562" s="36" t="n">
        <v>5500</v>
      </c>
      <c r="Z3562" s="36"/>
      <c r="AA3562" s="36"/>
      <c r="AB3562" s="36"/>
      <c r="AC3562" s="36"/>
      <c r="AD3562" s="36"/>
      <c r="AE3562" s="36"/>
      <c r="AF3562" s="36"/>
    </row>
    <row r="3563" customFormat="false" ht="13.8" hidden="false" customHeight="false" outlineLevel="0" collapsed="false">
      <c r="A3563" s="1" t="s">
        <v>3843</v>
      </c>
      <c r="B3563" s="36"/>
      <c r="C3563" s="36" t="s">
        <v>3844</v>
      </c>
      <c r="D3563" s="36" t="s">
        <v>14</v>
      </c>
      <c r="E3563" s="36" t="s">
        <v>3379</v>
      </c>
      <c r="F3563" s="36" t="s">
        <v>3380</v>
      </c>
      <c r="G3563" s="36" t="s">
        <v>3379</v>
      </c>
      <c r="H3563" s="36" t="s">
        <v>3495</v>
      </c>
      <c r="I3563" s="36" t="s">
        <v>3496</v>
      </c>
      <c r="J3563" s="36" t="s">
        <v>52</v>
      </c>
      <c r="K3563" s="36" t="s">
        <v>3495</v>
      </c>
      <c r="L3563" s="36" t="s">
        <v>69</v>
      </c>
      <c r="M3563" s="36" t="s">
        <v>69</v>
      </c>
      <c r="N3563" s="36" t="s">
        <v>3468</v>
      </c>
      <c r="O3563" s="36" t="s">
        <v>46</v>
      </c>
      <c r="P3563" s="36" t="s">
        <v>46</v>
      </c>
      <c r="Q3563" s="36" t="s">
        <v>46</v>
      </c>
      <c r="R3563" s="36" t="s">
        <v>46</v>
      </c>
      <c r="S3563" s="36" t="s">
        <v>46</v>
      </c>
      <c r="T3563" s="36" t="s">
        <v>46</v>
      </c>
      <c r="U3563" s="36" t="s">
        <v>46</v>
      </c>
      <c r="V3563" s="36"/>
      <c r="W3563" s="36" t="s">
        <v>46</v>
      </c>
      <c r="X3563" s="36" t="s">
        <v>2640</v>
      </c>
      <c r="Y3563" s="36" t="n">
        <v>5500</v>
      </c>
      <c r="Z3563" s="36"/>
      <c r="AA3563" s="36"/>
      <c r="AB3563" s="36"/>
      <c r="AC3563" s="36"/>
      <c r="AD3563" s="36"/>
      <c r="AE3563" s="36"/>
      <c r="AF3563" s="36"/>
    </row>
    <row r="3564" customFormat="false" ht="13.8" hidden="false" customHeight="false" outlineLevel="0" collapsed="false">
      <c r="A3564" s="1" t="s">
        <v>3845</v>
      </c>
      <c r="C3564" s="1" t="s">
        <v>3846</v>
      </c>
      <c r="D3564" s="1" t="s">
        <v>14</v>
      </c>
      <c r="E3564" s="1" t="s">
        <v>3668</v>
      </c>
      <c r="F3564" s="1" t="s">
        <v>3380</v>
      </c>
      <c r="G3564" s="1" t="s">
        <v>3668</v>
      </c>
      <c r="H3564" s="2" t="s">
        <v>3565</v>
      </c>
      <c r="I3564" s="1" t="s">
        <v>3795</v>
      </c>
      <c r="J3564" s="1" t="s">
        <v>52</v>
      </c>
      <c r="K3564" s="1" t="s">
        <v>3565</v>
      </c>
      <c r="L3564" s="36" t="s">
        <v>69</v>
      </c>
      <c r="M3564" s="1" t="s">
        <v>69</v>
      </c>
      <c r="N3564" s="1" t="s">
        <v>3383</v>
      </c>
      <c r="O3564" s="1" t="s">
        <v>3784</v>
      </c>
      <c r="P3564" s="1" t="s">
        <v>3385</v>
      </c>
      <c r="Q3564" s="1" t="s">
        <v>3385</v>
      </c>
      <c r="R3564" s="1" t="s">
        <v>46</v>
      </c>
      <c r="S3564" s="1" t="s">
        <v>69</v>
      </c>
      <c r="T3564" s="1" t="s">
        <v>69</v>
      </c>
      <c r="U3564" s="1" t="s">
        <v>46</v>
      </c>
      <c r="V3564" s="1" t="n">
        <v>1</v>
      </c>
      <c r="W3564" s="1" t="s">
        <v>46</v>
      </c>
      <c r="X3564" s="1" t="s">
        <v>2640</v>
      </c>
      <c r="Y3564" s="1" t="n">
        <v>5500</v>
      </c>
    </row>
    <row r="3565" customFormat="false" ht="13.8" hidden="false" customHeight="false" outlineLevel="0" collapsed="false">
      <c r="A3565" s="1" t="s">
        <v>3845</v>
      </c>
      <c r="C3565" s="1" t="s">
        <v>3846</v>
      </c>
      <c r="D3565" s="1" t="s">
        <v>14</v>
      </c>
      <c r="E3565" s="1" t="s">
        <v>3668</v>
      </c>
      <c r="F3565" s="1" t="s">
        <v>3380</v>
      </c>
      <c r="G3565" s="1" t="s">
        <v>3668</v>
      </c>
      <c r="H3565" s="2" t="s">
        <v>3568</v>
      </c>
      <c r="I3565" s="1" t="s">
        <v>3796</v>
      </c>
      <c r="J3565" s="1" t="s">
        <v>52</v>
      </c>
      <c r="K3565" s="1" t="s">
        <v>3568</v>
      </c>
      <c r="L3565" s="36" t="s">
        <v>69</v>
      </c>
      <c r="M3565" s="1" t="s">
        <v>69</v>
      </c>
      <c r="N3565" s="1" t="s">
        <v>3383</v>
      </c>
      <c r="O3565" s="1" t="s">
        <v>3784</v>
      </c>
      <c r="P3565" s="1" t="s">
        <v>3385</v>
      </c>
      <c r="Q3565" s="1" t="s">
        <v>3385</v>
      </c>
      <c r="R3565" s="1" t="s">
        <v>46</v>
      </c>
      <c r="S3565" s="1" t="s">
        <v>69</v>
      </c>
      <c r="T3565" s="1" t="s">
        <v>69</v>
      </c>
      <c r="U3565" s="1" t="s">
        <v>46</v>
      </c>
      <c r="V3565" s="1" t="n">
        <v>2</v>
      </c>
      <c r="W3565" s="1" t="s">
        <v>46</v>
      </c>
      <c r="X3565" s="1" t="s">
        <v>2640</v>
      </c>
      <c r="Y3565" s="1" t="n">
        <v>5500</v>
      </c>
    </row>
    <row r="3566" customFormat="false" ht="13.8" hidden="false" customHeight="false" outlineLevel="0" collapsed="false">
      <c r="A3566" s="1" t="s">
        <v>3845</v>
      </c>
      <c r="C3566" s="1" t="s">
        <v>3846</v>
      </c>
      <c r="D3566" s="1" t="s">
        <v>14</v>
      </c>
      <c r="E3566" s="1" t="s">
        <v>3668</v>
      </c>
      <c r="F3566" s="1" t="s">
        <v>3380</v>
      </c>
      <c r="G3566" s="1" t="s">
        <v>3668</v>
      </c>
      <c r="H3566" s="2" t="s">
        <v>3570</v>
      </c>
      <c r="I3566" s="1" t="s">
        <v>3797</v>
      </c>
      <c r="J3566" s="1" t="s">
        <v>52</v>
      </c>
      <c r="K3566" s="1" t="s">
        <v>3570</v>
      </c>
      <c r="L3566" s="36" t="s">
        <v>69</v>
      </c>
      <c r="M3566" s="1" t="s">
        <v>69</v>
      </c>
      <c r="N3566" s="1" t="s">
        <v>3383</v>
      </c>
      <c r="O3566" s="1" t="s">
        <v>3784</v>
      </c>
      <c r="P3566" s="1" t="s">
        <v>3385</v>
      </c>
      <c r="Q3566" s="1" t="s">
        <v>3385</v>
      </c>
      <c r="R3566" s="1" t="s">
        <v>46</v>
      </c>
      <c r="S3566" s="1" t="s">
        <v>69</v>
      </c>
      <c r="T3566" s="1" t="s">
        <v>69</v>
      </c>
      <c r="U3566" s="1" t="s">
        <v>46</v>
      </c>
      <c r="V3566" s="1" t="n">
        <v>3</v>
      </c>
      <c r="W3566" s="1" t="s">
        <v>46</v>
      </c>
      <c r="X3566" s="1" t="s">
        <v>2640</v>
      </c>
      <c r="Y3566" s="1" t="n">
        <v>5500</v>
      </c>
    </row>
    <row r="3567" customFormat="false" ht="13.8" hidden="false" customHeight="false" outlineLevel="0" collapsed="false">
      <c r="A3567" s="1" t="s">
        <v>3845</v>
      </c>
      <c r="C3567" s="1" t="s">
        <v>3846</v>
      </c>
      <c r="D3567" s="1" t="s">
        <v>14</v>
      </c>
      <c r="E3567" s="1" t="s">
        <v>3668</v>
      </c>
      <c r="F3567" s="1" t="s">
        <v>3380</v>
      </c>
      <c r="G3567" s="1" t="s">
        <v>3668</v>
      </c>
      <c r="H3567" s="2" t="s">
        <v>3572</v>
      </c>
      <c r="I3567" s="1" t="s">
        <v>3798</v>
      </c>
      <c r="J3567" s="1" t="s">
        <v>52</v>
      </c>
      <c r="K3567" s="1" t="s">
        <v>3572</v>
      </c>
      <c r="L3567" s="36" t="s">
        <v>69</v>
      </c>
      <c r="M3567" s="1" t="s">
        <v>69</v>
      </c>
      <c r="N3567" s="1" t="s">
        <v>3383</v>
      </c>
      <c r="O3567" s="1" t="s">
        <v>3784</v>
      </c>
      <c r="P3567" s="1" t="s">
        <v>3385</v>
      </c>
      <c r="Q3567" s="1" t="s">
        <v>3385</v>
      </c>
      <c r="R3567" s="1" t="s">
        <v>46</v>
      </c>
      <c r="S3567" s="1" t="s">
        <v>69</v>
      </c>
      <c r="T3567" s="1" t="s">
        <v>69</v>
      </c>
      <c r="U3567" s="1" t="s">
        <v>46</v>
      </c>
      <c r="V3567" s="1" t="n">
        <v>4</v>
      </c>
      <c r="W3567" s="1" t="s">
        <v>46</v>
      </c>
      <c r="X3567" s="1" t="s">
        <v>2640</v>
      </c>
      <c r="Y3567" s="1" t="n">
        <v>5500</v>
      </c>
    </row>
    <row r="3568" customFormat="false" ht="13.8" hidden="false" customHeight="false" outlineLevel="0" collapsed="false">
      <c r="A3568" s="1" t="s">
        <v>3845</v>
      </c>
      <c r="C3568" s="1" t="s">
        <v>3846</v>
      </c>
      <c r="D3568" s="1" t="s">
        <v>14</v>
      </c>
      <c r="E3568" s="1" t="s">
        <v>3668</v>
      </c>
      <c r="F3568" s="1" t="s">
        <v>3380</v>
      </c>
      <c r="G3568" s="1" t="s">
        <v>3668</v>
      </c>
      <c r="H3568" s="2" t="s">
        <v>3574</v>
      </c>
      <c r="I3568" s="1" t="s">
        <v>3799</v>
      </c>
      <c r="J3568" s="1" t="s">
        <v>52</v>
      </c>
      <c r="K3568" s="1" t="s">
        <v>3574</v>
      </c>
      <c r="L3568" s="36" t="s">
        <v>69</v>
      </c>
      <c r="M3568" s="1" t="s">
        <v>69</v>
      </c>
      <c r="N3568" s="1" t="s">
        <v>3383</v>
      </c>
      <c r="O3568" s="1" t="s">
        <v>3784</v>
      </c>
      <c r="P3568" s="1" t="s">
        <v>3385</v>
      </c>
      <c r="Q3568" s="1" t="s">
        <v>3385</v>
      </c>
      <c r="R3568" s="1" t="s">
        <v>46</v>
      </c>
      <c r="S3568" s="1" t="s">
        <v>69</v>
      </c>
      <c r="T3568" s="1" t="s">
        <v>69</v>
      </c>
      <c r="U3568" s="1" t="s">
        <v>46</v>
      </c>
      <c r="V3568" s="1" t="n">
        <v>5</v>
      </c>
      <c r="W3568" s="1" t="s">
        <v>46</v>
      </c>
      <c r="X3568" s="1" t="s">
        <v>2640</v>
      </c>
      <c r="Y3568" s="1" t="n">
        <v>5500</v>
      </c>
    </row>
    <row r="3569" customFormat="false" ht="13.8" hidden="false" customHeight="false" outlineLevel="0" collapsed="false">
      <c r="A3569" s="1" t="s">
        <v>3845</v>
      </c>
      <c r="C3569" s="1" t="s">
        <v>3846</v>
      </c>
      <c r="D3569" s="1" t="s">
        <v>14</v>
      </c>
      <c r="E3569" s="1" t="s">
        <v>3668</v>
      </c>
      <c r="F3569" s="1" t="s">
        <v>3380</v>
      </c>
      <c r="G3569" s="1" t="s">
        <v>3668</v>
      </c>
      <c r="H3569" s="2" t="s">
        <v>3622</v>
      </c>
      <c r="I3569" s="1" t="s">
        <v>3758</v>
      </c>
      <c r="J3569" s="1" t="s">
        <v>52</v>
      </c>
      <c r="K3569" s="1" t="s">
        <v>3622</v>
      </c>
      <c r="L3569" s="36" t="s">
        <v>69</v>
      </c>
      <c r="M3569" s="1" t="s">
        <v>69</v>
      </c>
      <c r="N3569" s="1" t="s">
        <v>3383</v>
      </c>
      <c r="O3569" s="1" t="s">
        <v>3785</v>
      </c>
      <c r="P3569" s="1" t="s">
        <v>3385</v>
      </c>
      <c r="Q3569" s="1" t="s">
        <v>3385</v>
      </c>
      <c r="R3569" s="1" t="s">
        <v>46</v>
      </c>
      <c r="S3569" s="1" t="s">
        <v>69</v>
      </c>
      <c r="T3569" s="1" t="s">
        <v>69</v>
      </c>
      <c r="U3569" s="1" t="s">
        <v>46</v>
      </c>
      <c r="V3569" s="1" t="n">
        <v>1</v>
      </c>
      <c r="W3569" s="1" t="s">
        <v>46</v>
      </c>
      <c r="X3569" s="1" t="s">
        <v>2640</v>
      </c>
      <c r="Y3569" s="1" t="n">
        <v>5500</v>
      </c>
    </row>
    <row r="3570" customFormat="false" ht="13.8" hidden="false" customHeight="false" outlineLevel="0" collapsed="false">
      <c r="A3570" s="1" t="s">
        <v>3845</v>
      </c>
      <c r="C3570" s="1" t="s">
        <v>3846</v>
      </c>
      <c r="D3570" s="1" t="s">
        <v>14</v>
      </c>
      <c r="E3570" s="1" t="s">
        <v>3668</v>
      </c>
      <c r="F3570" s="1" t="s">
        <v>3380</v>
      </c>
      <c r="G3570" s="1" t="s">
        <v>3668</v>
      </c>
      <c r="H3570" s="2" t="s">
        <v>3625</v>
      </c>
      <c r="I3570" s="1" t="s">
        <v>3759</v>
      </c>
      <c r="J3570" s="1" t="s">
        <v>52</v>
      </c>
      <c r="K3570" s="1" t="s">
        <v>3625</v>
      </c>
      <c r="L3570" s="36" t="s">
        <v>69</v>
      </c>
      <c r="M3570" s="1" t="s">
        <v>69</v>
      </c>
      <c r="N3570" s="1" t="s">
        <v>3383</v>
      </c>
      <c r="O3570" s="1" t="s">
        <v>3785</v>
      </c>
      <c r="P3570" s="1" t="s">
        <v>3385</v>
      </c>
      <c r="Q3570" s="1" t="s">
        <v>3385</v>
      </c>
      <c r="R3570" s="1" t="s">
        <v>46</v>
      </c>
      <c r="S3570" s="1" t="s">
        <v>69</v>
      </c>
      <c r="T3570" s="1" t="s">
        <v>69</v>
      </c>
      <c r="U3570" s="1" t="s">
        <v>46</v>
      </c>
      <c r="V3570" s="1" t="n">
        <v>2</v>
      </c>
      <c r="W3570" s="1" t="s">
        <v>46</v>
      </c>
      <c r="X3570" s="1" t="s">
        <v>2640</v>
      </c>
      <c r="Y3570" s="1" t="n">
        <v>5500</v>
      </c>
    </row>
    <row r="3571" customFormat="false" ht="13.8" hidden="false" customHeight="false" outlineLevel="0" collapsed="false">
      <c r="A3571" s="1" t="s">
        <v>3845</v>
      </c>
      <c r="C3571" s="1" t="s">
        <v>3846</v>
      </c>
      <c r="D3571" s="1" t="s">
        <v>14</v>
      </c>
      <c r="E3571" s="1" t="s">
        <v>3668</v>
      </c>
      <c r="F3571" s="1" t="s">
        <v>3380</v>
      </c>
      <c r="G3571" s="1" t="s">
        <v>3668</v>
      </c>
      <c r="H3571" s="2" t="s">
        <v>3627</v>
      </c>
      <c r="I3571" s="1" t="s">
        <v>3760</v>
      </c>
      <c r="J3571" s="1" t="s">
        <v>52</v>
      </c>
      <c r="K3571" s="1" t="s">
        <v>3627</v>
      </c>
      <c r="L3571" s="36" t="s">
        <v>69</v>
      </c>
      <c r="M3571" s="1" t="s">
        <v>69</v>
      </c>
      <c r="N3571" s="1" t="s">
        <v>3383</v>
      </c>
      <c r="O3571" s="1" t="s">
        <v>3785</v>
      </c>
      <c r="P3571" s="1" t="s">
        <v>3385</v>
      </c>
      <c r="Q3571" s="1" t="s">
        <v>3385</v>
      </c>
      <c r="R3571" s="1" t="s">
        <v>46</v>
      </c>
      <c r="S3571" s="1" t="s">
        <v>69</v>
      </c>
      <c r="T3571" s="1" t="s">
        <v>69</v>
      </c>
      <c r="U3571" s="1" t="s">
        <v>46</v>
      </c>
      <c r="V3571" s="1" t="n">
        <v>3</v>
      </c>
      <c r="W3571" s="1" t="s">
        <v>46</v>
      </c>
      <c r="X3571" s="1" t="s">
        <v>2640</v>
      </c>
      <c r="Y3571" s="1" t="n">
        <v>5500</v>
      </c>
    </row>
    <row r="3572" customFormat="false" ht="13.8" hidden="false" customHeight="false" outlineLevel="0" collapsed="false">
      <c r="A3572" s="1" t="s">
        <v>3845</v>
      </c>
      <c r="C3572" s="1" t="s">
        <v>3846</v>
      </c>
      <c r="D3572" s="1" t="s">
        <v>14</v>
      </c>
      <c r="E3572" s="1" t="s">
        <v>3668</v>
      </c>
      <c r="F3572" s="1" t="s">
        <v>3380</v>
      </c>
      <c r="G3572" s="1" t="s">
        <v>3668</v>
      </c>
      <c r="H3572" s="2" t="s">
        <v>3629</v>
      </c>
      <c r="I3572" s="1" t="s">
        <v>3761</v>
      </c>
      <c r="J3572" s="1" t="s">
        <v>52</v>
      </c>
      <c r="K3572" s="1" t="s">
        <v>3629</v>
      </c>
      <c r="L3572" s="36" t="s">
        <v>69</v>
      </c>
      <c r="M3572" s="1" t="s">
        <v>69</v>
      </c>
      <c r="N3572" s="1" t="s">
        <v>3383</v>
      </c>
      <c r="O3572" s="1" t="s">
        <v>3785</v>
      </c>
      <c r="P3572" s="1" t="s">
        <v>3385</v>
      </c>
      <c r="Q3572" s="1" t="s">
        <v>3385</v>
      </c>
      <c r="R3572" s="1" t="s">
        <v>46</v>
      </c>
      <c r="S3572" s="1" t="s">
        <v>69</v>
      </c>
      <c r="T3572" s="1" t="s">
        <v>69</v>
      </c>
      <c r="U3572" s="1" t="s">
        <v>46</v>
      </c>
      <c r="V3572" s="1" t="n">
        <v>4</v>
      </c>
      <c r="W3572" s="1" t="s">
        <v>46</v>
      </c>
      <c r="X3572" s="1" t="s">
        <v>2640</v>
      </c>
      <c r="Y3572" s="1" t="n">
        <v>5500</v>
      </c>
    </row>
    <row r="3573" customFormat="false" ht="13.8" hidden="false" customHeight="false" outlineLevel="0" collapsed="false">
      <c r="A3573" s="1" t="s">
        <v>3845</v>
      </c>
      <c r="C3573" s="1" t="s">
        <v>3846</v>
      </c>
      <c r="D3573" s="1" t="s">
        <v>14</v>
      </c>
      <c r="E3573" s="1" t="s">
        <v>3668</v>
      </c>
      <c r="F3573" s="1" t="s">
        <v>3380</v>
      </c>
      <c r="G3573" s="1" t="s">
        <v>3668</v>
      </c>
      <c r="H3573" s="2" t="s">
        <v>3631</v>
      </c>
      <c r="I3573" s="1" t="s">
        <v>3762</v>
      </c>
      <c r="J3573" s="1" t="s">
        <v>52</v>
      </c>
      <c r="K3573" s="1" t="s">
        <v>3631</v>
      </c>
      <c r="L3573" s="36" t="s">
        <v>69</v>
      </c>
      <c r="M3573" s="1" t="s">
        <v>69</v>
      </c>
      <c r="N3573" s="1" t="s">
        <v>3383</v>
      </c>
      <c r="O3573" s="1" t="s">
        <v>3785</v>
      </c>
      <c r="P3573" s="1" t="s">
        <v>3385</v>
      </c>
      <c r="Q3573" s="1" t="s">
        <v>3385</v>
      </c>
      <c r="R3573" s="1" t="s">
        <v>46</v>
      </c>
      <c r="S3573" s="1" t="s">
        <v>69</v>
      </c>
      <c r="T3573" s="1" t="s">
        <v>69</v>
      </c>
      <c r="U3573" s="1" t="s">
        <v>46</v>
      </c>
      <c r="V3573" s="1" t="n">
        <v>5</v>
      </c>
      <c r="W3573" s="1" t="s">
        <v>46</v>
      </c>
      <c r="X3573" s="1" t="s">
        <v>2640</v>
      </c>
      <c r="Y3573" s="1" t="n">
        <v>5500</v>
      </c>
    </row>
    <row r="3574" customFormat="false" ht="13.8" hidden="false" customHeight="false" outlineLevel="0" collapsed="false">
      <c r="A3574" s="1" t="s">
        <v>3845</v>
      </c>
      <c r="C3574" s="1" t="s">
        <v>3846</v>
      </c>
      <c r="D3574" s="1" t="s">
        <v>14</v>
      </c>
      <c r="E3574" s="1" t="s">
        <v>3668</v>
      </c>
      <c r="F3574" s="1" t="s">
        <v>3380</v>
      </c>
      <c r="G3574" s="1" t="s">
        <v>3668</v>
      </c>
      <c r="H3574" s="2" t="s">
        <v>3436</v>
      </c>
      <c r="I3574" s="1" t="s">
        <v>3693</v>
      </c>
      <c r="J3574" s="1" t="s">
        <v>52</v>
      </c>
      <c r="K3574" s="1" t="s">
        <v>3436</v>
      </c>
      <c r="L3574" s="36" t="s">
        <v>69</v>
      </c>
      <c r="M3574" s="1" t="s">
        <v>69</v>
      </c>
      <c r="N3574" s="1" t="s">
        <v>1935</v>
      </c>
      <c r="O3574" s="1" t="s">
        <v>46</v>
      </c>
      <c r="P3574" s="1" t="s">
        <v>46</v>
      </c>
      <c r="Q3574" s="1" t="s">
        <v>46</v>
      </c>
      <c r="R3574" s="1" t="s">
        <v>46</v>
      </c>
      <c r="S3574" s="1" t="s">
        <v>46</v>
      </c>
      <c r="T3574" s="1" t="s">
        <v>46</v>
      </c>
      <c r="U3574" s="1" t="s">
        <v>46</v>
      </c>
      <c r="W3574" s="1" t="s">
        <v>46</v>
      </c>
      <c r="X3574" s="1" t="s">
        <v>2640</v>
      </c>
      <c r="Y3574" s="1" t="n">
        <v>5500</v>
      </c>
    </row>
    <row r="3575" customFormat="false" ht="13.8" hidden="false" customHeight="false" outlineLevel="0" collapsed="false">
      <c r="A3575" s="1" t="s">
        <v>3845</v>
      </c>
      <c r="C3575" s="1" t="s">
        <v>3846</v>
      </c>
      <c r="D3575" s="1" t="s">
        <v>14</v>
      </c>
      <c r="E3575" s="1" t="s">
        <v>3668</v>
      </c>
      <c r="F3575" s="1" t="s">
        <v>3380</v>
      </c>
      <c r="G3575" s="1" t="s">
        <v>3668</v>
      </c>
      <c r="H3575" s="2" t="s">
        <v>3438</v>
      </c>
      <c r="I3575" s="1" t="s">
        <v>3694</v>
      </c>
      <c r="J3575" s="1" t="s">
        <v>52</v>
      </c>
      <c r="K3575" s="1" t="s">
        <v>3438</v>
      </c>
      <c r="L3575" s="36" t="s">
        <v>69</v>
      </c>
      <c r="M3575" s="1" t="s">
        <v>69</v>
      </c>
      <c r="N3575" s="1" t="s">
        <v>1935</v>
      </c>
      <c r="O3575" s="1" t="s">
        <v>46</v>
      </c>
      <c r="P3575" s="1" t="s">
        <v>46</v>
      </c>
      <c r="Q3575" s="1" t="s">
        <v>46</v>
      </c>
      <c r="R3575" s="1" t="s">
        <v>46</v>
      </c>
      <c r="S3575" s="1" t="s">
        <v>46</v>
      </c>
      <c r="T3575" s="1" t="s">
        <v>46</v>
      </c>
      <c r="U3575" s="1" t="s">
        <v>46</v>
      </c>
      <c r="W3575" s="1" t="s">
        <v>46</v>
      </c>
      <c r="X3575" s="1" t="s">
        <v>2640</v>
      </c>
      <c r="Y3575" s="1" t="n">
        <v>5500</v>
      </c>
    </row>
    <row r="3576" customFormat="false" ht="13.8" hidden="false" customHeight="false" outlineLevel="0" collapsed="false">
      <c r="A3576" s="1" t="s">
        <v>3845</v>
      </c>
      <c r="C3576" s="1" t="s">
        <v>3846</v>
      </c>
      <c r="D3576" s="1" t="s">
        <v>14</v>
      </c>
      <c r="E3576" s="1" t="s">
        <v>3668</v>
      </c>
      <c r="F3576" s="1" t="s">
        <v>3380</v>
      </c>
      <c r="G3576" s="1" t="s">
        <v>3668</v>
      </c>
      <c r="H3576" s="2" t="s">
        <v>3440</v>
      </c>
      <c r="I3576" s="1" t="s">
        <v>3695</v>
      </c>
      <c r="J3576" s="1" t="s">
        <v>52</v>
      </c>
      <c r="K3576" s="1" t="s">
        <v>3440</v>
      </c>
      <c r="L3576" s="36" t="s">
        <v>69</v>
      </c>
      <c r="M3576" s="1" t="s">
        <v>69</v>
      </c>
      <c r="N3576" s="1" t="s">
        <v>1935</v>
      </c>
      <c r="O3576" s="1" t="s">
        <v>46</v>
      </c>
      <c r="P3576" s="1" t="s">
        <v>46</v>
      </c>
      <c r="Q3576" s="1" t="s">
        <v>46</v>
      </c>
      <c r="R3576" s="1" t="s">
        <v>46</v>
      </c>
      <c r="S3576" s="1" t="s">
        <v>46</v>
      </c>
      <c r="T3576" s="1" t="s">
        <v>46</v>
      </c>
      <c r="U3576" s="1" t="s">
        <v>46</v>
      </c>
      <c r="W3576" s="1" t="s">
        <v>46</v>
      </c>
      <c r="X3576" s="1" t="s">
        <v>2640</v>
      </c>
      <c r="Y3576" s="1" t="n">
        <v>5500</v>
      </c>
    </row>
    <row r="3577" customFormat="false" ht="13.8" hidden="false" customHeight="false" outlineLevel="0" collapsed="false">
      <c r="A3577" s="1" t="s">
        <v>3845</v>
      </c>
      <c r="C3577" s="1" t="s">
        <v>3846</v>
      </c>
      <c r="D3577" s="1" t="s">
        <v>14</v>
      </c>
      <c r="E3577" s="1" t="s">
        <v>3668</v>
      </c>
      <c r="F3577" s="1" t="s">
        <v>3380</v>
      </c>
      <c r="G3577" s="1" t="s">
        <v>3668</v>
      </c>
      <c r="H3577" s="2" t="s">
        <v>3442</v>
      </c>
      <c r="I3577" s="1" t="s">
        <v>3696</v>
      </c>
      <c r="J3577" s="1" t="s">
        <v>52</v>
      </c>
      <c r="K3577" s="1" t="s">
        <v>3442</v>
      </c>
      <c r="L3577" s="36" t="s">
        <v>69</v>
      </c>
      <c r="M3577" s="1" t="s">
        <v>69</v>
      </c>
      <c r="N3577" s="1" t="s">
        <v>1935</v>
      </c>
      <c r="O3577" s="1" t="s">
        <v>46</v>
      </c>
      <c r="P3577" s="1" t="s">
        <v>46</v>
      </c>
      <c r="Q3577" s="1" t="s">
        <v>46</v>
      </c>
      <c r="R3577" s="1" t="s">
        <v>46</v>
      </c>
      <c r="S3577" s="1" t="s">
        <v>46</v>
      </c>
      <c r="T3577" s="1" t="s">
        <v>46</v>
      </c>
      <c r="U3577" s="1" t="s">
        <v>46</v>
      </c>
      <c r="W3577" s="1" t="s">
        <v>46</v>
      </c>
      <c r="X3577" s="1" t="s">
        <v>2640</v>
      </c>
      <c r="Y3577" s="1" t="n">
        <v>5500</v>
      </c>
    </row>
    <row r="3578" customFormat="false" ht="13.8" hidden="false" customHeight="false" outlineLevel="0" collapsed="false">
      <c r="A3578" s="1" t="s">
        <v>3845</v>
      </c>
      <c r="C3578" s="1" t="s">
        <v>3846</v>
      </c>
      <c r="D3578" s="1" t="s">
        <v>14</v>
      </c>
      <c r="E3578" s="1" t="s">
        <v>3668</v>
      </c>
      <c r="F3578" s="1" t="s">
        <v>3380</v>
      </c>
      <c r="G3578" s="1" t="s">
        <v>3668</v>
      </c>
      <c r="H3578" s="2" t="s">
        <v>3444</v>
      </c>
      <c r="I3578" s="1" t="s">
        <v>3697</v>
      </c>
      <c r="J3578" s="1" t="s">
        <v>52</v>
      </c>
      <c r="K3578" s="1" t="s">
        <v>3444</v>
      </c>
      <c r="L3578" s="36" t="s">
        <v>69</v>
      </c>
      <c r="M3578" s="1" t="s">
        <v>69</v>
      </c>
      <c r="N3578" s="1" t="s">
        <v>1935</v>
      </c>
      <c r="O3578" s="1" t="s">
        <v>46</v>
      </c>
      <c r="P3578" s="1" t="s">
        <v>46</v>
      </c>
      <c r="Q3578" s="1" t="s">
        <v>46</v>
      </c>
      <c r="R3578" s="1" t="s">
        <v>46</v>
      </c>
      <c r="S3578" s="1" t="s">
        <v>46</v>
      </c>
      <c r="T3578" s="1" t="s">
        <v>46</v>
      </c>
      <c r="U3578" s="1" t="s">
        <v>46</v>
      </c>
      <c r="W3578" s="1" t="s">
        <v>46</v>
      </c>
      <c r="X3578" s="1" t="s">
        <v>2640</v>
      </c>
      <c r="Y3578" s="1" t="n">
        <v>5500</v>
      </c>
    </row>
    <row r="3579" customFormat="false" ht="13.8" hidden="false" customHeight="false" outlineLevel="0" collapsed="false">
      <c r="A3579" s="1" t="s">
        <v>3845</v>
      </c>
      <c r="C3579" s="1" t="s">
        <v>3846</v>
      </c>
      <c r="D3579" s="1" t="s">
        <v>14</v>
      </c>
      <c r="E3579" s="1" t="s">
        <v>3668</v>
      </c>
      <c r="F3579" s="1" t="s">
        <v>3380</v>
      </c>
      <c r="G3579" s="1" t="s">
        <v>3668</v>
      </c>
      <c r="H3579" s="2" t="s">
        <v>3446</v>
      </c>
      <c r="I3579" s="1" t="s">
        <v>3698</v>
      </c>
      <c r="J3579" s="1" t="s">
        <v>52</v>
      </c>
      <c r="K3579" s="1" t="s">
        <v>3446</v>
      </c>
      <c r="L3579" s="36" t="s">
        <v>69</v>
      </c>
      <c r="M3579" s="1" t="s">
        <v>69</v>
      </c>
      <c r="N3579" s="1" t="s">
        <v>1935</v>
      </c>
      <c r="O3579" s="1" t="s">
        <v>46</v>
      </c>
      <c r="P3579" s="1" t="s">
        <v>46</v>
      </c>
      <c r="Q3579" s="1" t="s">
        <v>46</v>
      </c>
      <c r="R3579" s="1" t="s">
        <v>46</v>
      </c>
      <c r="S3579" s="1" t="s">
        <v>46</v>
      </c>
      <c r="T3579" s="1" t="s">
        <v>46</v>
      </c>
      <c r="U3579" s="1" t="s">
        <v>46</v>
      </c>
      <c r="W3579" s="1" t="s">
        <v>46</v>
      </c>
      <c r="X3579" s="1" t="s">
        <v>2640</v>
      </c>
      <c r="Y3579" s="1" t="n">
        <v>5500</v>
      </c>
    </row>
    <row r="3580" customFormat="false" ht="13.8" hidden="false" customHeight="false" outlineLevel="0" collapsed="false">
      <c r="A3580" s="1" t="s">
        <v>3845</v>
      </c>
      <c r="C3580" s="1" t="s">
        <v>3846</v>
      </c>
      <c r="D3580" s="1" t="s">
        <v>14</v>
      </c>
      <c r="E3580" s="1" t="s">
        <v>3668</v>
      </c>
      <c r="F3580" s="1" t="s">
        <v>3380</v>
      </c>
      <c r="G3580" s="1" t="s">
        <v>3668</v>
      </c>
      <c r="H3580" s="2" t="s">
        <v>3448</v>
      </c>
      <c r="I3580" s="1" t="s">
        <v>3699</v>
      </c>
      <c r="J3580" s="1" t="s">
        <v>52</v>
      </c>
      <c r="K3580" s="1" t="s">
        <v>3448</v>
      </c>
      <c r="L3580" s="36" t="s">
        <v>69</v>
      </c>
      <c r="M3580" s="1" t="s">
        <v>69</v>
      </c>
      <c r="N3580" s="1" t="s">
        <v>1935</v>
      </c>
      <c r="O3580" s="1" t="s">
        <v>46</v>
      </c>
      <c r="P3580" s="1" t="s">
        <v>46</v>
      </c>
      <c r="Q3580" s="1" t="s">
        <v>46</v>
      </c>
      <c r="R3580" s="1" t="s">
        <v>46</v>
      </c>
      <c r="S3580" s="1" t="s">
        <v>46</v>
      </c>
      <c r="T3580" s="1" t="s">
        <v>46</v>
      </c>
      <c r="U3580" s="1" t="s">
        <v>46</v>
      </c>
      <c r="W3580" s="1" t="s">
        <v>46</v>
      </c>
      <c r="X3580" s="1" t="s">
        <v>2640</v>
      </c>
      <c r="Y3580" s="1" t="n">
        <v>5500</v>
      </c>
    </row>
    <row r="3581" customFormat="false" ht="13.8" hidden="false" customHeight="false" outlineLevel="0" collapsed="false">
      <c r="A3581" s="1" t="s">
        <v>3845</v>
      </c>
      <c r="C3581" s="1" t="s">
        <v>3846</v>
      </c>
      <c r="D3581" s="1" t="s">
        <v>14</v>
      </c>
      <c r="E3581" s="1" t="s">
        <v>3668</v>
      </c>
      <c r="F3581" s="1" t="s">
        <v>3380</v>
      </c>
      <c r="G3581" s="1" t="s">
        <v>3668</v>
      </c>
      <c r="H3581" s="2" t="s">
        <v>3450</v>
      </c>
      <c r="I3581" s="1" t="s">
        <v>3700</v>
      </c>
      <c r="J3581" s="1" t="s">
        <v>52</v>
      </c>
      <c r="K3581" s="1" t="s">
        <v>3450</v>
      </c>
      <c r="L3581" s="36" t="s">
        <v>69</v>
      </c>
      <c r="M3581" s="1" t="s">
        <v>69</v>
      </c>
      <c r="N3581" s="1" t="s">
        <v>1935</v>
      </c>
      <c r="O3581" s="1" t="s">
        <v>46</v>
      </c>
      <c r="P3581" s="1" t="s">
        <v>46</v>
      </c>
      <c r="Q3581" s="1" t="s">
        <v>46</v>
      </c>
      <c r="R3581" s="1" t="s">
        <v>46</v>
      </c>
      <c r="S3581" s="1" t="s">
        <v>46</v>
      </c>
      <c r="T3581" s="1" t="s">
        <v>46</v>
      </c>
      <c r="U3581" s="1" t="s">
        <v>46</v>
      </c>
      <c r="W3581" s="1" t="s">
        <v>46</v>
      </c>
      <c r="X3581" s="1" t="s">
        <v>2640</v>
      </c>
      <c r="Y3581" s="1" t="n">
        <v>5500</v>
      </c>
    </row>
    <row r="3582" customFormat="false" ht="13.8" hidden="false" customHeight="false" outlineLevel="0" collapsed="false">
      <c r="A3582" s="1" t="s">
        <v>3845</v>
      </c>
      <c r="C3582" s="1" t="s">
        <v>3846</v>
      </c>
      <c r="D3582" s="1" t="s">
        <v>14</v>
      </c>
      <c r="E3582" s="1" t="s">
        <v>3668</v>
      </c>
      <c r="F3582" s="1" t="s">
        <v>3380</v>
      </c>
      <c r="G3582" s="1" t="s">
        <v>3668</v>
      </c>
      <c r="H3582" s="2" t="s">
        <v>3452</v>
      </c>
      <c r="I3582" s="1" t="s">
        <v>3701</v>
      </c>
      <c r="J3582" s="1" t="s">
        <v>52</v>
      </c>
      <c r="K3582" s="1" t="s">
        <v>3452</v>
      </c>
      <c r="L3582" s="36" t="s">
        <v>69</v>
      </c>
      <c r="M3582" s="1" t="s">
        <v>69</v>
      </c>
      <c r="N3582" s="1" t="s">
        <v>1935</v>
      </c>
      <c r="O3582" s="1" t="s">
        <v>46</v>
      </c>
      <c r="P3582" s="1" t="s">
        <v>46</v>
      </c>
      <c r="Q3582" s="1" t="s">
        <v>46</v>
      </c>
      <c r="R3582" s="1" t="s">
        <v>46</v>
      </c>
      <c r="S3582" s="1" t="s">
        <v>46</v>
      </c>
      <c r="T3582" s="1" t="s">
        <v>46</v>
      </c>
      <c r="U3582" s="1" t="s">
        <v>46</v>
      </c>
      <c r="W3582" s="1" t="s">
        <v>46</v>
      </c>
      <c r="X3582" s="1" t="s">
        <v>2640</v>
      </c>
      <c r="Y3582" s="1" t="n">
        <v>5500</v>
      </c>
    </row>
    <row r="3583" customFormat="false" ht="13.8" hidden="false" customHeight="false" outlineLevel="0" collapsed="false">
      <c r="A3583" s="1" t="s">
        <v>3845</v>
      </c>
      <c r="C3583" s="1" t="s">
        <v>3846</v>
      </c>
      <c r="D3583" s="1" t="s">
        <v>14</v>
      </c>
      <c r="E3583" s="1" t="s">
        <v>3668</v>
      </c>
      <c r="F3583" s="1" t="s">
        <v>3380</v>
      </c>
      <c r="G3583" s="1" t="s">
        <v>3668</v>
      </c>
      <c r="H3583" s="2" t="s">
        <v>3454</v>
      </c>
      <c r="I3583" s="1" t="s">
        <v>3702</v>
      </c>
      <c r="J3583" s="1" t="s">
        <v>52</v>
      </c>
      <c r="K3583" s="1" t="s">
        <v>3454</v>
      </c>
      <c r="L3583" s="36" t="s">
        <v>69</v>
      </c>
      <c r="M3583" s="1" t="s">
        <v>69</v>
      </c>
      <c r="N3583" s="1" t="s">
        <v>1935</v>
      </c>
      <c r="O3583" s="1" t="s">
        <v>46</v>
      </c>
      <c r="P3583" s="1" t="s">
        <v>46</v>
      </c>
      <c r="Q3583" s="1" t="s">
        <v>46</v>
      </c>
      <c r="R3583" s="1" t="s">
        <v>46</v>
      </c>
      <c r="S3583" s="1" t="s">
        <v>46</v>
      </c>
      <c r="T3583" s="1" t="s">
        <v>46</v>
      </c>
      <c r="U3583" s="1" t="s">
        <v>46</v>
      </c>
      <c r="W3583" s="1" t="s">
        <v>46</v>
      </c>
      <c r="X3583" s="1" t="s">
        <v>2640</v>
      </c>
      <c r="Y3583" s="1" t="n">
        <v>5500</v>
      </c>
    </row>
    <row r="3584" customFormat="false" ht="13.8" hidden="false" customHeight="false" outlineLevel="0" collapsed="false">
      <c r="A3584" s="1" t="s">
        <v>3845</v>
      </c>
      <c r="C3584" s="1" t="s">
        <v>3846</v>
      </c>
      <c r="D3584" s="1" t="s">
        <v>14</v>
      </c>
      <c r="E3584" s="1" t="s">
        <v>3668</v>
      </c>
      <c r="F3584" s="1" t="s">
        <v>3380</v>
      </c>
      <c r="G3584" s="1" t="s">
        <v>3668</v>
      </c>
      <c r="H3584" s="2" t="s">
        <v>3456</v>
      </c>
      <c r="I3584" s="1" t="s">
        <v>3703</v>
      </c>
      <c r="J3584" s="1" t="s">
        <v>52</v>
      </c>
      <c r="K3584" s="1" t="s">
        <v>3456</v>
      </c>
      <c r="L3584" s="36" t="s">
        <v>69</v>
      </c>
      <c r="M3584" s="1" t="s">
        <v>69</v>
      </c>
      <c r="N3584" s="1" t="s">
        <v>1935</v>
      </c>
      <c r="O3584" s="1" t="s">
        <v>46</v>
      </c>
      <c r="P3584" s="1" t="s">
        <v>46</v>
      </c>
      <c r="Q3584" s="1" t="s">
        <v>46</v>
      </c>
      <c r="R3584" s="1" t="s">
        <v>46</v>
      </c>
      <c r="S3584" s="1" t="s">
        <v>46</v>
      </c>
      <c r="T3584" s="1" t="s">
        <v>46</v>
      </c>
      <c r="U3584" s="1" t="s">
        <v>46</v>
      </c>
      <c r="W3584" s="1" t="s">
        <v>46</v>
      </c>
      <c r="X3584" s="1" t="s">
        <v>2640</v>
      </c>
      <c r="Y3584" s="1" t="n">
        <v>5500</v>
      </c>
    </row>
    <row r="3585" customFormat="false" ht="13.8" hidden="false" customHeight="false" outlineLevel="0" collapsed="false">
      <c r="A3585" s="1" t="s">
        <v>3845</v>
      </c>
      <c r="C3585" s="1" t="s">
        <v>3846</v>
      </c>
      <c r="D3585" s="1" t="s">
        <v>14</v>
      </c>
      <c r="E3585" s="1" t="s">
        <v>3668</v>
      </c>
      <c r="F3585" s="1" t="s">
        <v>3380</v>
      </c>
      <c r="G3585" s="1" t="s">
        <v>3668</v>
      </c>
      <c r="H3585" s="2" t="s">
        <v>3458</v>
      </c>
      <c r="I3585" s="1" t="s">
        <v>3704</v>
      </c>
      <c r="J3585" s="1" t="s">
        <v>52</v>
      </c>
      <c r="K3585" s="1" t="s">
        <v>3458</v>
      </c>
      <c r="L3585" s="36" t="s">
        <v>69</v>
      </c>
      <c r="M3585" s="1" t="s">
        <v>69</v>
      </c>
      <c r="N3585" s="1" t="s">
        <v>1935</v>
      </c>
      <c r="O3585" s="1" t="s">
        <v>46</v>
      </c>
      <c r="P3585" s="1" t="s">
        <v>46</v>
      </c>
      <c r="Q3585" s="1" t="s">
        <v>46</v>
      </c>
      <c r="R3585" s="1" t="s">
        <v>46</v>
      </c>
      <c r="S3585" s="1" t="s">
        <v>46</v>
      </c>
      <c r="T3585" s="1" t="s">
        <v>46</v>
      </c>
      <c r="U3585" s="1" t="s">
        <v>46</v>
      </c>
      <c r="W3585" s="1" t="s">
        <v>46</v>
      </c>
      <c r="X3585" s="1" t="s">
        <v>2640</v>
      </c>
      <c r="Y3585" s="1" t="n">
        <v>5500</v>
      </c>
    </row>
    <row r="3586" customFormat="false" ht="13.8" hidden="false" customHeight="false" outlineLevel="0" collapsed="false">
      <c r="A3586" s="1" t="s">
        <v>3845</v>
      </c>
      <c r="C3586" s="1" t="s">
        <v>3846</v>
      </c>
      <c r="D3586" s="1" t="s">
        <v>14</v>
      </c>
      <c r="E3586" s="1" t="s">
        <v>3668</v>
      </c>
      <c r="F3586" s="1" t="s">
        <v>3380</v>
      </c>
      <c r="G3586" s="1" t="s">
        <v>3668</v>
      </c>
      <c r="H3586" s="2" t="s">
        <v>3460</v>
      </c>
      <c r="I3586" s="1" t="s">
        <v>3705</v>
      </c>
      <c r="J3586" s="1" t="s">
        <v>52</v>
      </c>
      <c r="K3586" s="1" t="s">
        <v>3460</v>
      </c>
      <c r="L3586" s="36" t="s">
        <v>69</v>
      </c>
      <c r="M3586" s="1" t="s">
        <v>69</v>
      </c>
      <c r="N3586" s="1" t="s">
        <v>1935</v>
      </c>
      <c r="O3586" s="1" t="s">
        <v>46</v>
      </c>
      <c r="P3586" s="1" t="s">
        <v>46</v>
      </c>
      <c r="Q3586" s="1" t="s">
        <v>46</v>
      </c>
      <c r="R3586" s="1" t="s">
        <v>46</v>
      </c>
      <c r="S3586" s="1" t="s">
        <v>46</v>
      </c>
      <c r="T3586" s="1" t="s">
        <v>46</v>
      </c>
      <c r="U3586" s="1" t="s">
        <v>46</v>
      </c>
      <c r="W3586" s="1" t="s">
        <v>46</v>
      </c>
      <c r="X3586" s="1" t="s">
        <v>2640</v>
      </c>
      <c r="Y3586" s="1" t="n">
        <v>5500</v>
      </c>
    </row>
    <row r="3587" customFormat="false" ht="13.8" hidden="false" customHeight="false" outlineLevel="0" collapsed="false">
      <c r="A3587" s="1" t="s">
        <v>3845</v>
      </c>
      <c r="C3587" s="1" t="s">
        <v>3846</v>
      </c>
      <c r="D3587" s="1" t="s">
        <v>14</v>
      </c>
      <c r="E3587" s="1" t="s">
        <v>3668</v>
      </c>
      <c r="F3587" s="1" t="s">
        <v>3380</v>
      </c>
      <c r="G3587" s="1" t="s">
        <v>3668</v>
      </c>
      <c r="H3587" s="2" t="s">
        <v>3462</v>
      </c>
      <c r="I3587" s="1" t="s">
        <v>3706</v>
      </c>
      <c r="J3587" s="1" t="s">
        <v>52</v>
      </c>
      <c r="K3587" s="1" t="s">
        <v>3462</v>
      </c>
      <c r="L3587" s="36" t="s">
        <v>69</v>
      </c>
      <c r="M3587" s="1" t="s">
        <v>69</v>
      </c>
      <c r="N3587" s="1" t="s">
        <v>1935</v>
      </c>
      <c r="O3587" s="1" t="s">
        <v>46</v>
      </c>
      <c r="P3587" s="1" t="s">
        <v>46</v>
      </c>
      <c r="Q3587" s="1" t="s">
        <v>46</v>
      </c>
      <c r="R3587" s="1" t="s">
        <v>46</v>
      </c>
      <c r="S3587" s="1" t="s">
        <v>46</v>
      </c>
      <c r="T3587" s="1" t="s">
        <v>46</v>
      </c>
      <c r="U3587" s="1" t="s">
        <v>46</v>
      </c>
      <c r="W3587" s="1" t="s">
        <v>46</v>
      </c>
      <c r="X3587" s="1" t="s">
        <v>2640</v>
      </c>
      <c r="Y3587" s="1" t="n">
        <v>5500</v>
      </c>
    </row>
    <row r="3588" customFormat="false" ht="13.8" hidden="false" customHeight="false" outlineLevel="0" collapsed="false">
      <c r="A3588" s="1" t="s">
        <v>3845</v>
      </c>
      <c r="C3588" s="1" t="s">
        <v>3846</v>
      </c>
      <c r="D3588" s="1" t="s">
        <v>14</v>
      </c>
      <c r="E3588" s="1" t="s">
        <v>3668</v>
      </c>
      <c r="F3588" s="1" t="s">
        <v>3380</v>
      </c>
      <c r="G3588" s="1" t="s">
        <v>3668</v>
      </c>
      <c r="H3588" s="2" t="s">
        <v>3464</v>
      </c>
      <c r="I3588" s="1" t="s">
        <v>3707</v>
      </c>
      <c r="J3588" s="1" t="s">
        <v>52</v>
      </c>
      <c r="K3588" s="1" t="s">
        <v>3464</v>
      </c>
      <c r="L3588" s="36" t="s">
        <v>69</v>
      </c>
      <c r="M3588" s="1" t="s">
        <v>69</v>
      </c>
      <c r="N3588" s="1" t="s">
        <v>1935</v>
      </c>
      <c r="O3588" s="1" t="s">
        <v>46</v>
      </c>
      <c r="P3588" s="1" t="s">
        <v>46</v>
      </c>
      <c r="Q3588" s="1" t="s">
        <v>46</v>
      </c>
      <c r="R3588" s="1" t="s">
        <v>46</v>
      </c>
      <c r="S3588" s="1" t="s">
        <v>46</v>
      </c>
      <c r="T3588" s="1" t="s">
        <v>46</v>
      </c>
      <c r="U3588" s="1" t="s">
        <v>46</v>
      </c>
      <c r="W3588" s="1" t="s">
        <v>46</v>
      </c>
      <c r="X3588" s="1" t="s">
        <v>2640</v>
      </c>
      <c r="Y3588" s="1" t="n">
        <v>5500</v>
      </c>
    </row>
    <row r="3589" customFormat="false" ht="13.8" hidden="false" customHeight="false" outlineLevel="0" collapsed="false">
      <c r="A3589" s="1" t="s">
        <v>3845</v>
      </c>
      <c r="C3589" s="1" t="s">
        <v>3846</v>
      </c>
      <c r="D3589" s="1" t="s">
        <v>14</v>
      </c>
      <c r="E3589" s="1" t="s">
        <v>3668</v>
      </c>
      <c r="F3589" s="1" t="s">
        <v>3380</v>
      </c>
      <c r="G3589" s="1" t="s">
        <v>3668</v>
      </c>
      <c r="H3589" s="2" t="s">
        <v>3466</v>
      </c>
      <c r="I3589" s="1" t="s">
        <v>3708</v>
      </c>
      <c r="J3589" s="1" t="s">
        <v>52</v>
      </c>
      <c r="K3589" s="1" t="s">
        <v>3466</v>
      </c>
      <c r="L3589" s="36" t="s">
        <v>69</v>
      </c>
      <c r="M3589" s="1" t="s">
        <v>69</v>
      </c>
      <c r="N3589" s="1" t="s">
        <v>3468</v>
      </c>
      <c r="O3589" s="1" t="s">
        <v>46</v>
      </c>
      <c r="P3589" s="1" t="s">
        <v>46</v>
      </c>
      <c r="Q3589" s="1" t="s">
        <v>46</v>
      </c>
      <c r="R3589" s="1" t="s">
        <v>46</v>
      </c>
      <c r="S3589" s="1" t="s">
        <v>46</v>
      </c>
      <c r="T3589" s="1" t="s">
        <v>46</v>
      </c>
      <c r="U3589" s="1" t="s">
        <v>46</v>
      </c>
      <c r="W3589" s="1" t="s">
        <v>46</v>
      </c>
      <c r="X3589" s="1" t="s">
        <v>2640</v>
      </c>
      <c r="Y3589" s="1" t="n">
        <v>5500</v>
      </c>
    </row>
    <row r="3590" customFormat="false" ht="13.8" hidden="false" customHeight="false" outlineLevel="0" collapsed="false">
      <c r="A3590" s="1" t="s">
        <v>3845</v>
      </c>
      <c r="C3590" s="1" t="s">
        <v>3846</v>
      </c>
      <c r="D3590" s="1" t="s">
        <v>14</v>
      </c>
      <c r="E3590" s="1" t="s">
        <v>3668</v>
      </c>
      <c r="F3590" s="1" t="s">
        <v>3380</v>
      </c>
      <c r="G3590" s="1" t="s">
        <v>3668</v>
      </c>
      <c r="H3590" s="2" t="s">
        <v>3469</v>
      </c>
      <c r="I3590" s="1" t="s">
        <v>3709</v>
      </c>
      <c r="J3590" s="1" t="s">
        <v>52</v>
      </c>
      <c r="K3590" s="1" t="s">
        <v>3469</v>
      </c>
      <c r="L3590" s="36" t="s">
        <v>69</v>
      </c>
      <c r="M3590" s="1" t="s">
        <v>69</v>
      </c>
      <c r="N3590" s="1" t="s">
        <v>3468</v>
      </c>
      <c r="O3590" s="1" t="s">
        <v>46</v>
      </c>
      <c r="P3590" s="1" t="s">
        <v>46</v>
      </c>
      <c r="Q3590" s="1" t="s">
        <v>46</v>
      </c>
      <c r="R3590" s="1" t="s">
        <v>46</v>
      </c>
      <c r="S3590" s="1" t="s">
        <v>46</v>
      </c>
      <c r="T3590" s="1" t="s">
        <v>46</v>
      </c>
      <c r="U3590" s="1" t="s">
        <v>46</v>
      </c>
      <c r="W3590" s="1" t="s">
        <v>46</v>
      </c>
      <c r="X3590" s="1" t="s">
        <v>2640</v>
      </c>
      <c r="Y3590" s="1" t="n">
        <v>5500</v>
      </c>
    </row>
    <row r="3591" customFormat="false" ht="13.8" hidden="false" customHeight="false" outlineLevel="0" collapsed="false">
      <c r="A3591" s="1" t="s">
        <v>3845</v>
      </c>
      <c r="C3591" s="1" t="s">
        <v>3846</v>
      </c>
      <c r="D3591" s="1" t="s">
        <v>14</v>
      </c>
      <c r="E3591" s="1" t="s">
        <v>3668</v>
      </c>
      <c r="F3591" s="1" t="s">
        <v>3380</v>
      </c>
      <c r="G3591" s="1" t="s">
        <v>3668</v>
      </c>
      <c r="H3591" s="2" t="s">
        <v>3471</v>
      </c>
      <c r="I3591" s="1" t="s">
        <v>3710</v>
      </c>
      <c r="J3591" s="1" t="s">
        <v>52</v>
      </c>
      <c r="K3591" s="1" t="s">
        <v>3471</v>
      </c>
      <c r="L3591" s="36" t="s">
        <v>69</v>
      </c>
      <c r="M3591" s="1" t="s">
        <v>69</v>
      </c>
      <c r="N3591" s="1" t="s">
        <v>3468</v>
      </c>
      <c r="O3591" s="1" t="s">
        <v>46</v>
      </c>
      <c r="P3591" s="1" t="s">
        <v>46</v>
      </c>
      <c r="Q3591" s="1" t="s">
        <v>46</v>
      </c>
      <c r="R3591" s="1" t="s">
        <v>46</v>
      </c>
      <c r="S3591" s="1" t="s">
        <v>46</v>
      </c>
      <c r="T3591" s="1" t="s">
        <v>46</v>
      </c>
      <c r="U3591" s="1" t="s">
        <v>46</v>
      </c>
      <c r="W3591" s="1" t="s">
        <v>46</v>
      </c>
      <c r="X3591" s="1" t="s">
        <v>2640</v>
      </c>
      <c r="Y3591" s="1" t="n">
        <v>5500</v>
      </c>
    </row>
    <row r="3592" customFormat="false" ht="13.8" hidden="false" customHeight="false" outlineLevel="0" collapsed="false">
      <c r="A3592" s="1" t="s">
        <v>3845</v>
      </c>
      <c r="C3592" s="1" t="s">
        <v>3846</v>
      </c>
      <c r="D3592" s="1" t="s">
        <v>14</v>
      </c>
      <c r="E3592" s="1" t="s">
        <v>3668</v>
      </c>
      <c r="F3592" s="1" t="s">
        <v>3380</v>
      </c>
      <c r="G3592" s="1" t="s">
        <v>3668</v>
      </c>
      <c r="H3592" s="2" t="s">
        <v>3473</v>
      </c>
      <c r="I3592" s="1" t="s">
        <v>3711</v>
      </c>
      <c r="J3592" s="1" t="s">
        <v>52</v>
      </c>
      <c r="K3592" s="1" t="s">
        <v>3473</v>
      </c>
      <c r="L3592" s="36" t="s">
        <v>69</v>
      </c>
      <c r="M3592" s="1" t="s">
        <v>69</v>
      </c>
      <c r="N3592" s="1" t="s">
        <v>3468</v>
      </c>
      <c r="O3592" s="1" t="s">
        <v>46</v>
      </c>
      <c r="P3592" s="1" t="s">
        <v>46</v>
      </c>
      <c r="Q3592" s="1" t="s">
        <v>46</v>
      </c>
      <c r="R3592" s="1" t="s">
        <v>46</v>
      </c>
      <c r="S3592" s="1" t="s">
        <v>46</v>
      </c>
      <c r="T3592" s="1" t="s">
        <v>46</v>
      </c>
      <c r="U3592" s="1" t="s">
        <v>46</v>
      </c>
      <c r="W3592" s="1" t="s">
        <v>46</v>
      </c>
      <c r="X3592" s="1" t="s">
        <v>2640</v>
      </c>
      <c r="Y3592" s="1" t="n">
        <v>5500</v>
      </c>
    </row>
    <row r="3593" customFormat="false" ht="13.8" hidden="false" customHeight="false" outlineLevel="0" collapsed="false">
      <c r="A3593" s="1" t="s">
        <v>3845</v>
      </c>
      <c r="C3593" s="1" t="s">
        <v>3846</v>
      </c>
      <c r="D3593" s="1" t="s">
        <v>14</v>
      </c>
      <c r="E3593" s="1" t="s">
        <v>3668</v>
      </c>
      <c r="F3593" s="1" t="s">
        <v>3380</v>
      </c>
      <c r="G3593" s="1" t="s">
        <v>3668</v>
      </c>
      <c r="H3593" s="2" t="s">
        <v>3475</v>
      </c>
      <c r="I3593" s="1" t="s">
        <v>3712</v>
      </c>
      <c r="J3593" s="1" t="s">
        <v>52</v>
      </c>
      <c r="K3593" s="1" t="s">
        <v>3475</v>
      </c>
      <c r="L3593" s="36" t="s">
        <v>69</v>
      </c>
      <c r="M3593" s="1" t="s">
        <v>69</v>
      </c>
      <c r="N3593" s="1" t="s">
        <v>3468</v>
      </c>
      <c r="O3593" s="1" t="s">
        <v>46</v>
      </c>
      <c r="P3593" s="1" t="s">
        <v>46</v>
      </c>
      <c r="Q3593" s="1" t="s">
        <v>46</v>
      </c>
      <c r="R3593" s="1" t="s">
        <v>46</v>
      </c>
      <c r="S3593" s="1" t="s">
        <v>46</v>
      </c>
      <c r="T3593" s="1" t="s">
        <v>46</v>
      </c>
      <c r="U3593" s="1" t="s">
        <v>46</v>
      </c>
      <c r="W3593" s="1" t="s">
        <v>46</v>
      </c>
      <c r="X3593" s="1" t="s">
        <v>2640</v>
      </c>
      <c r="Y3593" s="1" t="n">
        <v>5500</v>
      </c>
    </row>
    <row r="3594" customFormat="false" ht="13.8" hidden="false" customHeight="false" outlineLevel="0" collapsed="false">
      <c r="A3594" s="1" t="s">
        <v>3845</v>
      </c>
      <c r="C3594" s="1" t="s">
        <v>3846</v>
      </c>
      <c r="D3594" s="1" t="s">
        <v>14</v>
      </c>
      <c r="E3594" s="1" t="s">
        <v>3668</v>
      </c>
      <c r="F3594" s="1" t="s">
        <v>3380</v>
      </c>
      <c r="G3594" s="1" t="s">
        <v>3668</v>
      </c>
      <c r="H3594" s="2" t="s">
        <v>3477</v>
      </c>
      <c r="I3594" s="1" t="s">
        <v>3713</v>
      </c>
      <c r="J3594" s="1" t="s">
        <v>52</v>
      </c>
      <c r="K3594" s="1" t="s">
        <v>3477</v>
      </c>
      <c r="L3594" s="36" t="s">
        <v>69</v>
      </c>
      <c r="M3594" s="1" t="s">
        <v>69</v>
      </c>
      <c r="N3594" s="1" t="s">
        <v>3468</v>
      </c>
      <c r="O3594" s="1" t="s">
        <v>46</v>
      </c>
      <c r="P3594" s="1" t="s">
        <v>46</v>
      </c>
      <c r="Q3594" s="1" t="s">
        <v>46</v>
      </c>
      <c r="R3594" s="1" t="s">
        <v>46</v>
      </c>
      <c r="S3594" s="1" t="s">
        <v>46</v>
      </c>
      <c r="T3594" s="1" t="s">
        <v>46</v>
      </c>
      <c r="U3594" s="1" t="s">
        <v>46</v>
      </c>
      <c r="W3594" s="1" t="s">
        <v>46</v>
      </c>
      <c r="X3594" s="1" t="s">
        <v>2640</v>
      </c>
      <c r="Y3594" s="1" t="n">
        <v>5500</v>
      </c>
    </row>
    <row r="3595" customFormat="false" ht="13.8" hidden="false" customHeight="false" outlineLevel="0" collapsed="false">
      <c r="A3595" s="1" t="s">
        <v>3845</v>
      </c>
      <c r="C3595" s="1" t="s">
        <v>3846</v>
      </c>
      <c r="D3595" s="1" t="s">
        <v>14</v>
      </c>
      <c r="E3595" s="1" t="s">
        <v>3668</v>
      </c>
      <c r="F3595" s="1" t="s">
        <v>3380</v>
      </c>
      <c r="G3595" s="1" t="s">
        <v>3668</v>
      </c>
      <c r="H3595" s="2" t="s">
        <v>3479</v>
      </c>
      <c r="I3595" s="1" t="s">
        <v>3714</v>
      </c>
      <c r="J3595" s="1" t="s">
        <v>52</v>
      </c>
      <c r="K3595" s="1" t="s">
        <v>3479</v>
      </c>
      <c r="L3595" s="36" t="s">
        <v>69</v>
      </c>
      <c r="M3595" s="1" t="s">
        <v>69</v>
      </c>
      <c r="N3595" s="1" t="s">
        <v>3468</v>
      </c>
      <c r="O3595" s="1" t="s">
        <v>46</v>
      </c>
      <c r="P3595" s="1" t="s">
        <v>46</v>
      </c>
      <c r="Q3595" s="1" t="s">
        <v>46</v>
      </c>
      <c r="R3595" s="1" t="s">
        <v>46</v>
      </c>
      <c r="S3595" s="1" t="s">
        <v>46</v>
      </c>
      <c r="T3595" s="1" t="s">
        <v>46</v>
      </c>
      <c r="U3595" s="1" t="s">
        <v>46</v>
      </c>
      <c r="W3595" s="1" t="s">
        <v>46</v>
      </c>
      <c r="X3595" s="1" t="s">
        <v>2640</v>
      </c>
      <c r="Y3595" s="1" t="n">
        <v>5500</v>
      </c>
    </row>
    <row r="3596" customFormat="false" ht="13.8" hidden="false" customHeight="false" outlineLevel="0" collapsed="false">
      <c r="A3596" s="1" t="s">
        <v>3845</v>
      </c>
      <c r="C3596" s="1" t="s">
        <v>3846</v>
      </c>
      <c r="D3596" s="1" t="s">
        <v>14</v>
      </c>
      <c r="E3596" s="1" t="s">
        <v>3668</v>
      </c>
      <c r="F3596" s="1" t="s">
        <v>3380</v>
      </c>
      <c r="G3596" s="1" t="s">
        <v>3668</v>
      </c>
      <c r="H3596" s="2" t="s">
        <v>3481</v>
      </c>
      <c r="I3596" s="1" t="s">
        <v>3715</v>
      </c>
      <c r="J3596" s="1" t="s">
        <v>52</v>
      </c>
      <c r="K3596" s="1" t="s">
        <v>3481</v>
      </c>
      <c r="L3596" s="36" t="s">
        <v>69</v>
      </c>
      <c r="M3596" s="1" t="s">
        <v>69</v>
      </c>
      <c r="N3596" s="1" t="s">
        <v>3468</v>
      </c>
      <c r="O3596" s="1" t="s">
        <v>46</v>
      </c>
      <c r="P3596" s="1" t="s">
        <v>46</v>
      </c>
      <c r="Q3596" s="1" t="s">
        <v>46</v>
      </c>
      <c r="R3596" s="1" t="s">
        <v>46</v>
      </c>
      <c r="S3596" s="1" t="s">
        <v>46</v>
      </c>
      <c r="T3596" s="1" t="s">
        <v>46</v>
      </c>
      <c r="U3596" s="1" t="s">
        <v>46</v>
      </c>
      <c r="W3596" s="1" t="s">
        <v>46</v>
      </c>
      <c r="X3596" s="1" t="s">
        <v>2640</v>
      </c>
      <c r="Y3596" s="1" t="n">
        <v>5500</v>
      </c>
    </row>
    <row r="3597" customFormat="false" ht="13.8" hidden="false" customHeight="false" outlineLevel="0" collapsed="false">
      <c r="A3597" s="1" t="s">
        <v>3845</v>
      </c>
      <c r="C3597" s="1" t="s">
        <v>3846</v>
      </c>
      <c r="D3597" s="1" t="s">
        <v>14</v>
      </c>
      <c r="E3597" s="1" t="s">
        <v>3668</v>
      </c>
      <c r="F3597" s="1" t="s">
        <v>3380</v>
      </c>
      <c r="G3597" s="1" t="s">
        <v>3668</v>
      </c>
      <c r="H3597" s="2" t="s">
        <v>3483</v>
      </c>
      <c r="I3597" s="1" t="s">
        <v>3716</v>
      </c>
      <c r="J3597" s="1" t="s">
        <v>52</v>
      </c>
      <c r="K3597" s="1" t="s">
        <v>3483</v>
      </c>
      <c r="L3597" s="36" t="s">
        <v>69</v>
      </c>
      <c r="M3597" s="1" t="s">
        <v>69</v>
      </c>
      <c r="N3597" s="1" t="s">
        <v>3468</v>
      </c>
      <c r="O3597" s="1" t="s">
        <v>46</v>
      </c>
      <c r="P3597" s="1" t="s">
        <v>46</v>
      </c>
      <c r="Q3597" s="1" t="s">
        <v>46</v>
      </c>
      <c r="R3597" s="1" t="s">
        <v>46</v>
      </c>
      <c r="S3597" s="1" t="s">
        <v>46</v>
      </c>
      <c r="T3597" s="1" t="s">
        <v>46</v>
      </c>
      <c r="U3597" s="1" t="s">
        <v>46</v>
      </c>
      <c r="W3597" s="1" t="s">
        <v>46</v>
      </c>
      <c r="X3597" s="1" t="s">
        <v>2640</v>
      </c>
      <c r="Y3597" s="1" t="n">
        <v>5500</v>
      </c>
    </row>
    <row r="3598" customFormat="false" ht="13.8" hidden="false" customHeight="false" outlineLevel="0" collapsed="false">
      <c r="A3598" s="1" t="s">
        <v>3845</v>
      </c>
      <c r="C3598" s="1" t="s">
        <v>3846</v>
      </c>
      <c r="D3598" s="1" t="s">
        <v>14</v>
      </c>
      <c r="E3598" s="1" t="s">
        <v>3668</v>
      </c>
      <c r="F3598" s="1" t="s">
        <v>3380</v>
      </c>
      <c r="G3598" s="1" t="s">
        <v>3668</v>
      </c>
      <c r="H3598" s="2" t="s">
        <v>3485</v>
      </c>
      <c r="I3598" s="1" t="s">
        <v>3717</v>
      </c>
      <c r="J3598" s="1" t="s">
        <v>52</v>
      </c>
      <c r="K3598" s="1" t="s">
        <v>3485</v>
      </c>
      <c r="L3598" s="36" t="s">
        <v>69</v>
      </c>
      <c r="M3598" s="1" t="s">
        <v>69</v>
      </c>
      <c r="N3598" s="1" t="s">
        <v>3468</v>
      </c>
      <c r="O3598" s="1" t="s">
        <v>46</v>
      </c>
      <c r="P3598" s="1" t="s">
        <v>46</v>
      </c>
      <c r="Q3598" s="1" t="s">
        <v>46</v>
      </c>
      <c r="R3598" s="1" t="s">
        <v>46</v>
      </c>
      <c r="S3598" s="1" t="s">
        <v>46</v>
      </c>
      <c r="T3598" s="1" t="s">
        <v>46</v>
      </c>
      <c r="U3598" s="1" t="s">
        <v>46</v>
      </c>
      <c r="W3598" s="1" t="s">
        <v>46</v>
      </c>
      <c r="X3598" s="1" t="s">
        <v>2640</v>
      </c>
      <c r="Y3598" s="1" t="n">
        <v>5500</v>
      </c>
    </row>
    <row r="3599" customFormat="false" ht="13.8" hidden="false" customHeight="false" outlineLevel="0" collapsed="false">
      <c r="A3599" s="1" t="s">
        <v>3845</v>
      </c>
      <c r="C3599" s="1" t="s">
        <v>3846</v>
      </c>
      <c r="D3599" s="1" t="s">
        <v>14</v>
      </c>
      <c r="E3599" s="1" t="s">
        <v>3668</v>
      </c>
      <c r="F3599" s="1" t="s">
        <v>3380</v>
      </c>
      <c r="G3599" s="1" t="s">
        <v>3668</v>
      </c>
      <c r="H3599" s="2" t="s">
        <v>3487</v>
      </c>
      <c r="I3599" s="1" t="s">
        <v>3718</v>
      </c>
      <c r="J3599" s="1" t="s">
        <v>52</v>
      </c>
      <c r="K3599" s="1" t="s">
        <v>3487</v>
      </c>
      <c r="L3599" s="36" t="s">
        <v>69</v>
      </c>
      <c r="M3599" s="1" t="s">
        <v>69</v>
      </c>
      <c r="N3599" s="1" t="s">
        <v>3468</v>
      </c>
      <c r="O3599" s="1" t="s">
        <v>46</v>
      </c>
      <c r="P3599" s="1" t="s">
        <v>46</v>
      </c>
      <c r="Q3599" s="1" t="s">
        <v>46</v>
      </c>
      <c r="R3599" s="1" t="s">
        <v>46</v>
      </c>
      <c r="S3599" s="1" t="s">
        <v>46</v>
      </c>
      <c r="T3599" s="1" t="s">
        <v>46</v>
      </c>
      <c r="U3599" s="1" t="s">
        <v>46</v>
      </c>
      <c r="W3599" s="1" t="s">
        <v>46</v>
      </c>
      <c r="X3599" s="1" t="s">
        <v>2640</v>
      </c>
      <c r="Y3599" s="1" t="n">
        <v>5500</v>
      </c>
    </row>
    <row r="3600" customFormat="false" ht="13.8" hidden="false" customHeight="false" outlineLevel="0" collapsed="false">
      <c r="A3600" s="1" t="s">
        <v>3845</v>
      </c>
      <c r="C3600" s="1" t="s">
        <v>3846</v>
      </c>
      <c r="D3600" s="1" t="s">
        <v>14</v>
      </c>
      <c r="E3600" s="1" t="s">
        <v>3668</v>
      </c>
      <c r="F3600" s="1" t="s">
        <v>3380</v>
      </c>
      <c r="G3600" s="1" t="s">
        <v>3668</v>
      </c>
      <c r="H3600" s="2" t="s">
        <v>3489</v>
      </c>
      <c r="I3600" s="1" t="s">
        <v>3719</v>
      </c>
      <c r="J3600" s="1" t="s">
        <v>52</v>
      </c>
      <c r="K3600" s="1" t="s">
        <v>3489</v>
      </c>
      <c r="L3600" s="36" t="s">
        <v>69</v>
      </c>
      <c r="M3600" s="1" t="s">
        <v>69</v>
      </c>
      <c r="N3600" s="1" t="s">
        <v>3468</v>
      </c>
      <c r="O3600" s="1" t="s">
        <v>46</v>
      </c>
      <c r="P3600" s="1" t="s">
        <v>46</v>
      </c>
      <c r="Q3600" s="1" t="s">
        <v>46</v>
      </c>
      <c r="R3600" s="1" t="s">
        <v>46</v>
      </c>
      <c r="S3600" s="1" t="s">
        <v>46</v>
      </c>
      <c r="T3600" s="1" t="s">
        <v>46</v>
      </c>
      <c r="U3600" s="1" t="s">
        <v>46</v>
      </c>
      <c r="W3600" s="1" t="s">
        <v>46</v>
      </c>
      <c r="X3600" s="1" t="s">
        <v>2640</v>
      </c>
      <c r="Y3600" s="1" t="n">
        <v>5500</v>
      </c>
    </row>
    <row r="3601" customFormat="false" ht="13.8" hidden="false" customHeight="false" outlineLevel="0" collapsed="false">
      <c r="A3601" s="1" t="s">
        <v>3845</v>
      </c>
      <c r="C3601" s="1" t="s">
        <v>3846</v>
      </c>
      <c r="D3601" s="1" t="s">
        <v>14</v>
      </c>
      <c r="E3601" s="1" t="s">
        <v>3668</v>
      </c>
      <c r="F3601" s="1" t="s">
        <v>3380</v>
      </c>
      <c r="G3601" s="1" t="s">
        <v>3668</v>
      </c>
      <c r="H3601" s="2" t="s">
        <v>3491</v>
      </c>
      <c r="I3601" s="1" t="s">
        <v>3720</v>
      </c>
      <c r="J3601" s="1" t="s">
        <v>52</v>
      </c>
      <c r="K3601" s="1" t="s">
        <v>3491</v>
      </c>
      <c r="L3601" s="36" t="s">
        <v>69</v>
      </c>
      <c r="M3601" s="1" t="s">
        <v>69</v>
      </c>
      <c r="N3601" s="1" t="s">
        <v>3468</v>
      </c>
      <c r="O3601" s="1" t="s">
        <v>46</v>
      </c>
      <c r="P3601" s="1" t="s">
        <v>46</v>
      </c>
      <c r="Q3601" s="1" t="s">
        <v>46</v>
      </c>
      <c r="R3601" s="1" t="s">
        <v>46</v>
      </c>
      <c r="S3601" s="1" t="s">
        <v>46</v>
      </c>
      <c r="T3601" s="1" t="s">
        <v>46</v>
      </c>
      <c r="U3601" s="1" t="s">
        <v>46</v>
      </c>
      <c r="W3601" s="1" t="s">
        <v>46</v>
      </c>
      <c r="X3601" s="1" t="s">
        <v>2640</v>
      </c>
      <c r="Y3601" s="1" t="n">
        <v>5500</v>
      </c>
    </row>
    <row r="3602" customFormat="false" ht="13.8" hidden="false" customHeight="false" outlineLevel="0" collapsed="false">
      <c r="A3602" s="1" t="s">
        <v>3845</v>
      </c>
      <c r="C3602" s="1" t="s">
        <v>3846</v>
      </c>
      <c r="D3602" s="1" t="s">
        <v>14</v>
      </c>
      <c r="E3602" s="1" t="s">
        <v>3668</v>
      </c>
      <c r="F3602" s="1" t="s">
        <v>3380</v>
      </c>
      <c r="G3602" s="1" t="s">
        <v>3668</v>
      </c>
      <c r="H3602" s="2" t="s">
        <v>3493</v>
      </c>
      <c r="I3602" s="1" t="s">
        <v>3721</v>
      </c>
      <c r="J3602" s="1" t="s">
        <v>52</v>
      </c>
      <c r="K3602" s="1" t="s">
        <v>3493</v>
      </c>
      <c r="L3602" s="36" t="s">
        <v>69</v>
      </c>
      <c r="M3602" s="1" t="s">
        <v>69</v>
      </c>
      <c r="N3602" s="1" t="s">
        <v>3468</v>
      </c>
      <c r="O3602" s="1" t="s">
        <v>46</v>
      </c>
      <c r="P3602" s="1" t="s">
        <v>46</v>
      </c>
      <c r="Q3602" s="1" t="s">
        <v>46</v>
      </c>
      <c r="R3602" s="1" t="s">
        <v>46</v>
      </c>
      <c r="S3602" s="1" t="s">
        <v>46</v>
      </c>
      <c r="T3602" s="1" t="s">
        <v>46</v>
      </c>
      <c r="U3602" s="1" t="s">
        <v>46</v>
      </c>
      <c r="W3602" s="1" t="s">
        <v>46</v>
      </c>
      <c r="X3602" s="1" t="s">
        <v>2640</v>
      </c>
      <c r="Y3602" s="1" t="n">
        <v>5500</v>
      </c>
    </row>
    <row r="3603" customFormat="false" ht="13.8" hidden="false" customHeight="false" outlineLevel="0" collapsed="false">
      <c r="A3603" s="1" t="s">
        <v>3845</v>
      </c>
      <c r="C3603" s="1" t="s">
        <v>3846</v>
      </c>
      <c r="D3603" s="1" t="s">
        <v>14</v>
      </c>
      <c r="E3603" s="1" t="s">
        <v>3668</v>
      </c>
      <c r="F3603" s="1" t="s">
        <v>3380</v>
      </c>
      <c r="G3603" s="1" t="s">
        <v>3668</v>
      </c>
      <c r="H3603" s="2" t="s">
        <v>3495</v>
      </c>
      <c r="I3603" s="1" t="s">
        <v>3722</v>
      </c>
      <c r="J3603" s="1" t="s">
        <v>52</v>
      </c>
      <c r="K3603" s="1" t="s">
        <v>3495</v>
      </c>
      <c r="L3603" s="36" t="s">
        <v>69</v>
      </c>
      <c r="M3603" s="1" t="s">
        <v>69</v>
      </c>
      <c r="N3603" s="1" t="s">
        <v>3468</v>
      </c>
      <c r="O3603" s="1" t="s">
        <v>46</v>
      </c>
      <c r="P3603" s="1" t="s">
        <v>46</v>
      </c>
      <c r="Q3603" s="1" t="s">
        <v>46</v>
      </c>
      <c r="R3603" s="1" t="s">
        <v>46</v>
      </c>
      <c r="S3603" s="1" t="s">
        <v>46</v>
      </c>
      <c r="T3603" s="1" t="s">
        <v>46</v>
      </c>
      <c r="U3603" s="1" t="s">
        <v>46</v>
      </c>
      <c r="W3603" s="1" t="s">
        <v>46</v>
      </c>
      <c r="X3603" s="1" t="s">
        <v>2640</v>
      </c>
      <c r="Y3603" s="1" t="n">
        <v>5500</v>
      </c>
    </row>
    <row r="3604" customFormat="false" ht="13.8" hidden="false" customHeight="false" outlineLevel="0" collapsed="false">
      <c r="A3604" s="1" t="s">
        <v>3847</v>
      </c>
      <c r="C3604" s="1" t="s">
        <v>3848</v>
      </c>
      <c r="D3604" s="1" t="s">
        <v>14</v>
      </c>
      <c r="E3604" s="1" t="s">
        <v>3668</v>
      </c>
      <c r="F3604" s="1" t="s">
        <v>3380</v>
      </c>
      <c r="G3604" s="1" t="s">
        <v>3668</v>
      </c>
      <c r="H3604" s="2" t="s">
        <v>3576</v>
      </c>
      <c r="I3604" s="1" t="s">
        <v>3800</v>
      </c>
      <c r="J3604" s="1" t="s">
        <v>52</v>
      </c>
      <c r="K3604" s="1" t="s">
        <v>3576</v>
      </c>
      <c r="L3604" s="36" t="s">
        <v>69</v>
      </c>
      <c r="M3604" s="1" t="s">
        <v>69</v>
      </c>
      <c r="N3604" s="1" t="s">
        <v>3383</v>
      </c>
      <c r="O3604" s="1" t="s">
        <v>3784</v>
      </c>
      <c r="P3604" s="1" t="s">
        <v>3385</v>
      </c>
      <c r="Q3604" s="1" t="s">
        <v>3385</v>
      </c>
      <c r="R3604" s="1" t="s">
        <v>46</v>
      </c>
      <c r="S3604" s="1" t="s">
        <v>69</v>
      </c>
      <c r="T3604" s="1" t="s">
        <v>69</v>
      </c>
      <c r="U3604" s="1" t="s">
        <v>46</v>
      </c>
      <c r="V3604" s="1" t="n">
        <v>1</v>
      </c>
      <c r="W3604" s="1" t="s">
        <v>46</v>
      </c>
      <c r="X3604" s="1" t="s">
        <v>2640</v>
      </c>
      <c r="Y3604" s="1" t="n">
        <v>5500</v>
      </c>
    </row>
    <row r="3605" customFormat="false" ht="13.8" hidden="false" customHeight="false" outlineLevel="0" collapsed="false">
      <c r="A3605" s="1" t="s">
        <v>3847</v>
      </c>
      <c r="C3605" s="1" t="s">
        <v>3848</v>
      </c>
      <c r="D3605" s="1" t="s">
        <v>14</v>
      </c>
      <c r="E3605" s="1" t="s">
        <v>3668</v>
      </c>
      <c r="F3605" s="1" t="s">
        <v>3380</v>
      </c>
      <c r="G3605" s="1" t="s">
        <v>3668</v>
      </c>
      <c r="H3605" s="2" t="s">
        <v>3579</v>
      </c>
      <c r="I3605" s="1" t="s">
        <v>3801</v>
      </c>
      <c r="J3605" s="1" t="s">
        <v>52</v>
      </c>
      <c r="K3605" s="1" t="s">
        <v>3579</v>
      </c>
      <c r="L3605" s="36" t="s">
        <v>69</v>
      </c>
      <c r="M3605" s="1" t="s">
        <v>69</v>
      </c>
      <c r="N3605" s="1" t="s">
        <v>3383</v>
      </c>
      <c r="O3605" s="1" t="s">
        <v>3784</v>
      </c>
      <c r="P3605" s="1" t="s">
        <v>3385</v>
      </c>
      <c r="Q3605" s="1" t="s">
        <v>3385</v>
      </c>
      <c r="R3605" s="1" t="s">
        <v>46</v>
      </c>
      <c r="S3605" s="1" t="s">
        <v>69</v>
      </c>
      <c r="T3605" s="1" t="s">
        <v>69</v>
      </c>
      <c r="U3605" s="1" t="s">
        <v>46</v>
      </c>
      <c r="V3605" s="1" t="n">
        <v>2</v>
      </c>
      <c r="W3605" s="1" t="s">
        <v>46</v>
      </c>
      <c r="X3605" s="1" t="s">
        <v>2640</v>
      </c>
      <c r="Y3605" s="1" t="n">
        <v>5500</v>
      </c>
    </row>
    <row r="3606" customFormat="false" ht="13.8" hidden="false" customHeight="false" outlineLevel="0" collapsed="false">
      <c r="A3606" s="1" t="s">
        <v>3847</v>
      </c>
      <c r="C3606" s="1" t="s">
        <v>3848</v>
      </c>
      <c r="D3606" s="1" t="s">
        <v>14</v>
      </c>
      <c r="E3606" s="1" t="s">
        <v>3668</v>
      </c>
      <c r="F3606" s="1" t="s">
        <v>3380</v>
      </c>
      <c r="G3606" s="1" t="s">
        <v>3668</v>
      </c>
      <c r="H3606" s="2" t="s">
        <v>3581</v>
      </c>
      <c r="I3606" s="1" t="s">
        <v>3802</v>
      </c>
      <c r="J3606" s="1" t="s">
        <v>52</v>
      </c>
      <c r="K3606" s="1" t="s">
        <v>3581</v>
      </c>
      <c r="L3606" s="36" t="s">
        <v>69</v>
      </c>
      <c r="M3606" s="1" t="s">
        <v>69</v>
      </c>
      <c r="N3606" s="1" t="s">
        <v>3383</v>
      </c>
      <c r="O3606" s="1" t="s">
        <v>3784</v>
      </c>
      <c r="P3606" s="1" t="s">
        <v>3385</v>
      </c>
      <c r="Q3606" s="1" t="s">
        <v>3385</v>
      </c>
      <c r="R3606" s="1" t="s">
        <v>46</v>
      </c>
      <c r="S3606" s="1" t="s">
        <v>69</v>
      </c>
      <c r="T3606" s="1" t="s">
        <v>69</v>
      </c>
      <c r="U3606" s="1" t="s">
        <v>46</v>
      </c>
      <c r="V3606" s="1" t="n">
        <v>3</v>
      </c>
      <c r="W3606" s="1" t="s">
        <v>46</v>
      </c>
      <c r="X3606" s="1" t="s">
        <v>2640</v>
      </c>
      <c r="Y3606" s="1" t="n">
        <v>5500</v>
      </c>
    </row>
    <row r="3607" customFormat="false" ht="13.8" hidden="false" customHeight="false" outlineLevel="0" collapsed="false">
      <c r="A3607" s="1" t="s">
        <v>3847</v>
      </c>
      <c r="C3607" s="1" t="s">
        <v>3848</v>
      </c>
      <c r="D3607" s="1" t="s">
        <v>14</v>
      </c>
      <c r="E3607" s="1" t="s">
        <v>3668</v>
      </c>
      <c r="F3607" s="1" t="s">
        <v>3380</v>
      </c>
      <c r="G3607" s="1" t="s">
        <v>3668</v>
      </c>
      <c r="H3607" s="2" t="s">
        <v>3583</v>
      </c>
      <c r="I3607" s="1" t="s">
        <v>3803</v>
      </c>
      <c r="J3607" s="1" t="s">
        <v>52</v>
      </c>
      <c r="K3607" s="1" t="s">
        <v>3583</v>
      </c>
      <c r="L3607" s="36" t="s">
        <v>69</v>
      </c>
      <c r="M3607" s="1" t="s">
        <v>69</v>
      </c>
      <c r="N3607" s="1" t="s">
        <v>3383</v>
      </c>
      <c r="O3607" s="1" t="s">
        <v>3784</v>
      </c>
      <c r="P3607" s="1" t="s">
        <v>3385</v>
      </c>
      <c r="Q3607" s="1" t="s">
        <v>3385</v>
      </c>
      <c r="R3607" s="1" t="s">
        <v>46</v>
      </c>
      <c r="S3607" s="1" t="s">
        <v>69</v>
      </c>
      <c r="T3607" s="1" t="s">
        <v>69</v>
      </c>
      <c r="U3607" s="1" t="s">
        <v>46</v>
      </c>
      <c r="V3607" s="1" t="n">
        <v>4</v>
      </c>
      <c r="W3607" s="1" t="s">
        <v>46</v>
      </c>
      <c r="X3607" s="1" t="s">
        <v>2640</v>
      </c>
      <c r="Y3607" s="1" t="n">
        <v>5500</v>
      </c>
    </row>
    <row r="3608" customFormat="false" ht="13.8" hidden="false" customHeight="false" outlineLevel="0" collapsed="false">
      <c r="A3608" s="1" t="s">
        <v>3847</v>
      </c>
      <c r="C3608" s="1" t="s">
        <v>3848</v>
      </c>
      <c r="D3608" s="1" t="s">
        <v>14</v>
      </c>
      <c r="E3608" s="1" t="s">
        <v>3668</v>
      </c>
      <c r="F3608" s="1" t="s">
        <v>3380</v>
      </c>
      <c r="G3608" s="1" t="s">
        <v>3668</v>
      </c>
      <c r="H3608" s="2" t="s">
        <v>3585</v>
      </c>
      <c r="I3608" s="1" t="s">
        <v>3804</v>
      </c>
      <c r="J3608" s="1" t="s">
        <v>52</v>
      </c>
      <c r="K3608" s="1" t="s">
        <v>3585</v>
      </c>
      <c r="L3608" s="36" t="s">
        <v>69</v>
      </c>
      <c r="M3608" s="1" t="s">
        <v>69</v>
      </c>
      <c r="N3608" s="1" t="s">
        <v>3383</v>
      </c>
      <c r="O3608" s="1" t="s">
        <v>3784</v>
      </c>
      <c r="P3608" s="1" t="s">
        <v>3385</v>
      </c>
      <c r="Q3608" s="1" t="s">
        <v>3385</v>
      </c>
      <c r="R3608" s="1" t="s">
        <v>46</v>
      </c>
      <c r="S3608" s="1" t="s">
        <v>69</v>
      </c>
      <c r="T3608" s="1" t="s">
        <v>69</v>
      </c>
      <c r="U3608" s="1" t="s">
        <v>46</v>
      </c>
      <c r="V3608" s="1" t="n">
        <v>5</v>
      </c>
      <c r="W3608" s="1" t="s">
        <v>46</v>
      </c>
      <c r="X3608" s="1" t="s">
        <v>2640</v>
      </c>
      <c r="Y3608" s="1" t="n">
        <v>5500</v>
      </c>
    </row>
    <row r="3609" customFormat="false" ht="13.8" hidden="false" customHeight="false" outlineLevel="0" collapsed="false">
      <c r="A3609" s="1" t="s">
        <v>3847</v>
      </c>
      <c r="C3609" s="1" t="s">
        <v>3848</v>
      </c>
      <c r="D3609" s="1" t="s">
        <v>14</v>
      </c>
      <c r="E3609" s="1" t="s">
        <v>3668</v>
      </c>
      <c r="F3609" s="1" t="s">
        <v>3380</v>
      </c>
      <c r="G3609" s="1" t="s">
        <v>3668</v>
      </c>
      <c r="H3609" s="2" t="s">
        <v>3633</v>
      </c>
      <c r="I3609" s="1" t="s">
        <v>3763</v>
      </c>
      <c r="J3609" s="1" t="s">
        <v>52</v>
      </c>
      <c r="K3609" s="1" t="s">
        <v>3633</v>
      </c>
      <c r="L3609" s="36" t="s">
        <v>69</v>
      </c>
      <c r="M3609" s="1" t="s">
        <v>69</v>
      </c>
      <c r="N3609" s="1" t="s">
        <v>3383</v>
      </c>
      <c r="O3609" s="1" t="s">
        <v>3785</v>
      </c>
      <c r="P3609" s="1" t="s">
        <v>3385</v>
      </c>
      <c r="Q3609" s="1" t="s">
        <v>3385</v>
      </c>
      <c r="R3609" s="1" t="s">
        <v>46</v>
      </c>
      <c r="S3609" s="1" t="s">
        <v>69</v>
      </c>
      <c r="T3609" s="1" t="s">
        <v>69</v>
      </c>
      <c r="U3609" s="1" t="s">
        <v>46</v>
      </c>
      <c r="V3609" s="1" t="n">
        <v>1</v>
      </c>
      <c r="W3609" s="1" t="s">
        <v>46</v>
      </c>
      <c r="X3609" s="1" t="s">
        <v>2640</v>
      </c>
      <c r="Y3609" s="1" t="n">
        <v>5500</v>
      </c>
    </row>
    <row r="3610" customFormat="false" ht="13.8" hidden="false" customHeight="false" outlineLevel="0" collapsed="false">
      <c r="A3610" s="1" t="s">
        <v>3847</v>
      </c>
      <c r="C3610" s="1" t="s">
        <v>3848</v>
      </c>
      <c r="D3610" s="1" t="s">
        <v>14</v>
      </c>
      <c r="E3610" s="1" t="s">
        <v>3668</v>
      </c>
      <c r="F3610" s="1" t="s">
        <v>3380</v>
      </c>
      <c r="G3610" s="1" t="s">
        <v>3668</v>
      </c>
      <c r="H3610" s="2" t="s">
        <v>3636</v>
      </c>
      <c r="I3610" s="1" t="s">
        <v>3764</v>
      </c>
      <c r="J3610" s="1" t="s">
        <v>52</v>
      </c>
      <c r="K3610" s="1" t="s">
        <v>3636</v>
      </c>
      <c r="L3610" s="36" t="s">
        <v>69</v>
      </c>
      <c r="M3610" s="1" t="s">
        <v>69</v>
      </c>
      <c r="N3610" s="1" t="s">
        <v>3383</v>
      </c>
      <c r="O3610" s="1" t="s">
        <v>3785</v>
      </c>
      <c r="P3610" s="1" t="s">
        <v>3385</v>
      </c>
      <c r="Q3610" s="1" t="s">
        <v>3385</v>
      </c>
      <c r="R3610" s="1" t="s">
        <v>46</v>
      </c>
      <c r="S3610" s="1" t="s">
        <v>69</v>
      </c>
      <c r="T3610" s="1" t="s">
        <v>69</v>
      </c>
      <c r="U3610" s="1" t="s">
        <v>46</v>
      </c>
      <c r="V3610" s="1" t="n">
        <v>2</v>
      </c>
      <c r="W3610" s="1" t="s">
        <v>46</v>
      </c>
      <c r="X3610" s="1" t="s">
        <v>2640</v>
      </c>
      <c r="Y3610" s="1" t="n">
        <v>5500</v>
      </c>
    </row>
    <row r="3611" customFormat="false" ht="13.8" hidden="false" customHeight="false" outlineLevel="0" collapsed="false">
      <c r="A3611" s="1" t="s">
        <v>3847</v>
      </c>
      <c r="C3611" s="1" t="s">
        <v>3848</v>
      </c>
      <c r="D3611" s="1" t="s">
        <v>14</v>
      </c>
      <c r="E3611" s="1" t="s">
        <v>3668</v>
      </c>
      <c r="F3611" s="1" t="s">
        <v>3380</v>
      </c>
      <c r="G3611" s="1" t="s">
        <v>3668</v>
      </c>
      <c r="H3611" s="2" t="s">
        <v>3638</v>
      </c>
      <c r="I3611" s="1" t="s">
        <v>3765</v>
      </c>
      <c r="J3611" s="1" t="s">
        <v>52</v>
      </c>
      <c r="K3611" s="1" t="s">
        <v>3638</v>
      </c>
      <c r="L3611" s="36" t="s">
        <v>69</v>
      </c>
      <c r="M3611" s="1" t="s">
        <v>69</v>
      </c>
      <c r="N3611" s="1" t="s">
        <v>3383</v>
      </c>
      <c r="O3611" s="1" t="s">
        <v>3785</v>
      </c>
      <c r="P3611" s="1" t="s">
        <v>3385</v>
      </c>
      <c r="Q3611" s="1" t="s">
        <v>3385</v>
      </c>
      <c r="R3611" s="1" t="s">
        <v>46</v>
      </c>
      <c r="S3611" s="1" t="s">
        <v>69</v>
      </c>
      <c r="T3611" s="1" t="s">
        <v>69</v>
      </c>
      <c r="U3611" s="1" t="s">
        <v>46</v>
      </c>
      <c r="V3611" s="1" t="n">
        <v>3</v>
      </c>
      <c r="W3611" s="1" t="s">
        <v>46</v>
      </c>
      <c r="X3611" s="1" t="s">
        <v>2640</v>
      </c>
      <c r="Y3611" s="1" t="n">
        <v>5500</v>
      </c>
    </row>
    <row r="3612" customFormat="false" ht="13.8" hidden="false" customHeight="false" outlineLevel="0" collapsed="false">
      <c r="A3612" s="1" t="s">
        <v>3847</v>
      </c>
      <c r="C3612" s="1" t="s">
        <v>3848</v>
      </c>
      <c r="D3612" s="1" t="s">
        <v>14</v>
      </c>
      <c r="E3612" s="1" t="s">
        <v>3668</v>
      </c>
      <c r="F3612" s="1" t="s">
        <v>3380</v>
      </c>
      <c r="G3612" s="1" t="s">
        <v>3668</v>
      </c>
      <c r="H3612" s="2" t="s">
        <v>3640</v>
      </c>
      <c r="I3612" s="1" t="s">
        <v>3766</v>
      </c>
      <c r="J3612" s="1" t="s">
        <v>52</v>
      </c>
      <c r="K3612" s="1" t="s">
        <v>3640</v>
      </c>
      <c r="L3612" s="36" t="s">
        <v>69</v>
      </c>
      <c r="M3612" s="1" t="s">
        <v>69</v>
      </c>
      <c r="N3612" s="1" t="s">
        <v>3383</v>
      </c>
      <c r="O3612" s="1" t="s">
        <v>3785</v>
      </c>
      <c r="P3612" s="1" t="s">
        <v>3385</v>
      </c>
      <c r="Q3612" s="1" t="s">
        <v>3385</v>
      </c>
      <c r="R3612" s="1" t="s">
        <v>46</v>
      </c>
      <c r="S3612" s="1" t="s">
        <v>69</v>
      </c>
      <c r="T3612" s="1" t="s">
        <v>69</v>
      </c>
      <c r="U3612" s="1" t="s">
        <v>46</v>
      </c>
      <c r="V3612" s="1" t="n">
        <v>4</v>
      </c>
      <c r="W3612" s="1" t="s">
        <v>46</v>
      </c>
      <c r="X3612" s="1" t="s">
        <v>2640</v>
      </c>
      <c r="Y3612" s="1" t="n">
        <v>5500</v>
      </c>
    </row>
    <row r="3613" customFormat="false" ht="13.8" hidden="false" customHeight="false" outlineLevel="0" collapsed="false">
      <c r="A3613" s="1" t="s">
        <v>3847</v>
      </c>
      <c r="C3613" s="1" t="s">
        <v>3848</v>
      </c>
      <c r="D3613" s="1" t="s">
        <v>14</v>
      </c>
      <c r="E3613" s="1" t="s">
        <v>3668</v>
      </c>
      <c r="F3613" s="1" t="s">
        <v>3380</v>
      </c>
      <c r="G3613" s="1" t="s">
        <v>3668</v>
      </c>
      <c r="H3613" s="2" t="s">
        <v>3642</v>
      </c>
      <c r="I3613" s="1" t="s">
        <v>3767</v>
      </c>
      <c r="J3613" s="1" t="s">
        <v>52</v>
      </c>
      <c r="K3613" s="1" t="s">
        <v>3642</v>
      </c>
      <c r="L3613" s="36" t="s">
        <v>69</v>
      </c>
      <c r="M3613" s="1" t="s">
        <v>69</v>
      </c>
      <c r="N3613" s="1" t="s">
        <v>3383</v>
      </c>
      <c r="O3613" s="1" t="s">
        <v>3785</v>
      </c>
      <c r="P3613" s="1" t="s">
        <v>3385</v>
      </c>
      <c r="Q3613" s="1" t="s">
        <v>3385</v>
      </c>
      <c r="R3613" s="1" t="s">
        <v>46</v>
      </c>
      <c r="S3613" s="1" t="s">
        <v>69</v>
      </c>
      <c r="T3613" s="1" t="s">
        <v>69</v>
      </c>
      <c r="U3613" s="1" t="s">
        <v>46</v>
      </c>
      <c r="V3613" s="1" t="n">
        <v>5</v>
      </c>
      <c r="W3613" s="1" t="s">
        <v>46</v>
      </c>
      <c r="X3613" s="1" t="s">
        <v>2640</v>
      </c>
      <c r="Y3613" s="1" t="n">
        <v>5500</v>
      </c>
    </row>
    <row r="3614" customFormat="false" ht="13.8" hidden="false" customHeight="false" outlineLevel="0" collapsed="false">
      <c r="A3614" s="1" t="s">
        <v>3847</v>
      </c>
      <c r="C3614" s="1" t="s">
        <v>3848</v>
      </c>
      <c r="D3614" s="1" t="s">
        <v>14</v>
      </c>
      <c r="E3614" s="1" t="s">
        <v>3668</v>
      </c>
      <c r="F3614" s="1" t="s">
        <v>3380</v>
      </c>
      <c r="G3614" s="1" t="s">
        <v>3668</v>
      </c>
      <c r="H3614" s="2" t="s">
        <v>3436</v>
      </c>
      <c r="I3614" s="1" t="s">
        <v>3693</v>
      </c>
      <c r="J3614" s="1" t="s">
        <v>52</v>
      </c>
      <c r="K3614" s="1" t="s">
        <v>3436</v>
      </c>
      <c r="L3614" s="36" t="s">
        <v>69</v>
      </c>
      <c r="M3614" s="1" t="s">
        <v>69</v>
      </c>
      <c r="N3614" s="1" t="s">
        <v>1935</v>
      </c>
      <c r="O3614" s="1" t="s">
        <v>46</v>
      </c>
      <c r="P3614" s="1" t="s">
        <v>46</v>
      </c>
      <c r="Q3614" s="1" t="s">
        <v>46</v>
      </c>
      <c r="R3614" s="1" t="s">
        <v>46</v>
      </c>
      <c r="S3614" s="1" t="s">
        <v>46</v>
      </c>
      <c r="T3614" s="1" t="s">
        <v>46</v>
      </c>
      <c r="U3614" s="1" t="s">
        <v>46</v>
      </c>
      <c r="W3614" s="1" t="s">
        <v>46</v>
      </c>
      <c r="X3614" s="1" t="s">
        <v>2640</v>
      </c>
      <c r="Y3614" s="1" t="n">
        <v>5500</v>
      </c>
    </row>
    <row r="3615" customFormat="false" ht="13.8" hidden="false" customHeight="false" outlineLevel="0" collapsed="false">
      <c r="A3615" s="1" t="s">
        <v>3847</v>
      </c>
      <c r="C3615" s="1" t="s">
        <v>3848</v>
      </c>
      <c r="D3615" s="1" t="s">
        <v>14</v>
      </c>
      <c r="E3615" s="1" t="s">
        <v>3668</v>
      </c>
      <c r="F3615" s="1" t="s">
        <v>3380</v>
      </c>
      <c r="G3615" s="1" t="s">
        <v>3668</v>
      </c>
      <c r="H3615" s="2" t="s">
        <v>3438</v>
      </c>
      <c r="I3615" s="1" t="s">
        <v>3694</v>
      </c>
      <c r="J3615" s="1" t="s">
        <v>52</v>
      </c>
      <c r="K3615" s="1" t="s">
        <v>3438</v>
      </c>
      <c r="L3615" s="36" t="s">
        <v>69</v>
      </c>
      <c r="M3615" s="1" t="s">
        <v>69</v>
      </c>
      <c r="N3615" s="1" t="s">
        <v>1935</v>
      </c>
      <c r="O3615" s="1" t="s">
        <v>46</v>
      </c>
      <c r="P3615" s="1" t="s">
        <v>46</v>
      </c>
      <c r="Q3615" s="1" t="s">
        <v>46</v>
      </c>
      <c r="R3615" s="1" t="s">
        <v>46</v>
      </c>
      <c r="S3615" s="1" t="s">
        <v>46</v>
      </c>
      <c r="T3615" s="1" t="s">
        <v>46</v>
      </c>
      <c r="U3615" s="1" t="s">
        <v>46</v>
      </c>
      <c r="W3615" s="1" t="s">
        <v>46</v>
      </c>
      <c r="X3615" s="1" t="s">
        <v>2640</v>
      </c>
      <c r="Y3615" s="1" t="n">
        <v>5500</v>
      </c>
    </row>
    <row r="3616" customFormat="false" ht="13.8" hidden="false" customHeight="false" outlineLevel="0" collapsed="false">
      <c r="A3616" s="1" t="s">
        <v>3847</v>
      </c>
      <c r="C3616" s="1" t="s">
        <v>3848</v>
      </c>
      <c r="D3616" s="1" t="s">
        <v>14</v>
      </c>
      <c r="E3616" s="1" t="s">
        <v>3668</v>
      </c>
      <c r="F3616" s="1" t="s">
        <v>3380</v>
      </c>
      <c r="G3616" s="1" t="s">
        <v>3668</v>
      </c>
      <c r="H3616" s="2" t="s">
        <v>3440</v>
      </c>
      <c r="I3616" s="1" t="s">
        <v>3695</v>
      </c>
      <c r="J3616" s="1" t="s">
        <v>52</v>
      </c>
      <c r="K3616" s="1" t="s">
        <v>3440</v>
      </c>
      <c r="L3616" s="36" t="s">
        <v>69</v>
      </c>
      <c r="M3616" s="1" t="s">
        <v>69</v>
      </c>
      <c r="N3616" s="1" t="s">
        <v>1935</v>
      </c>
      <c r="O3616" s="1" t="s">
        <v>46</v>
      </c>
      <c r="P3616" s="1" t="s">
        <v>46</v>
      </c>
      <c r="Q3616" s="1" t="s">
        <v>46</v>
      </c>
      <c r="R3616" s="1" t="s">
        <v>46</v>
      </c>
      <c r="S3616" s="1" t="s">
        <v>46</v>
      </c>
      <c r="T3616" s="1" t="s">
        <v>46</v>
      </c>
      <c r="U3616" s="1" t="s">
        <v>46</v>
      </c>
      <c r="W3616" s="1" t="s">
        <v>46</v>
      </c>
      <c r="X3616" s="1" t="s">
        <v>2640</v>
      </c>
      <c r="Y3616" s="1" t="n">
        <v>5500</v>
      </c>
    </row>
    <row r="3617" customFormat="false" ht="13.8" hidden="false" customHeight="false" outlineLevel="0" collapsed="false">
      <c r="A3617" s="1" t="s">
        <v>3847</v>
      </c>
      <c r="C3617" s="1" t="s">
        <v>3848</v>
      </c>
      <c r="D3617" s="1" t="s">
        <v>14</v>
      </c>
      <c r="E3617" s="1" t="s">
        <v>3668</v>
      </c>
      <c r="F3617" s="1" t="s">
        <v>3380</v>
      </c>
      <c r="G3617" s="1" t="s">
        <v>3668</v>
      </c>
      <c r="H3617" s="2" t="s">
        <v>3442</v>
      </c>
      <c r="I3617" s="1" t="s">
        <v>3696</v>
      </c>
      <c r="J3617" s="1" t="s">
        <v>52</v>
      </c>
      <c r="K3617" s="1" t="s">
        <v>3442</v>
      </c>
      <c r="L3617" s="36" t="s">
        <v>69</v>
      </c>
      <c r="M3617" s="1" t="s">
        <v>69</v>
      </c>
      <c r="N3617" s="1" t="s">
        <v>1935</v>
      </c>
      <c r="O3617" s="1" t="s">
        <v>46</v>
      </c>
      <c r="P3617" s="1" t="s">
        <v>46</v>
      </c>
      <c r="Q3617" s="1" t="s">
        <v>46</v>
      </c>
      <c r="R3617" s="1" t="s">
        <v>46</v>
      </c>
      <c r="S3617" s="1" t="s">
        <v>46</v>
      </c>
      <c r="T3617" s="1" t="s">
        <v>46</v>
      </c>
      <c r="U3617" s="1" t="s">
        <v>46</v>
      </c>
      <c r="W3617" s="1" t="s">
        <v>46</v>
      </c>
      <c r="X3617" s="1" t="s">
        <v>2640</v>
      </c>
      <c r="Y3617" s="1" t="n">
        <v>5500</v>
      </c>
    </row>
    <row r="3618" customFormat="false" ht="13.8" hidden="false" customHeight="false" outlineLevel="0" collapsed="false">
      <c r="A3618" s="1" t="s">
        <v>3847</v>
      </c>
      <c r="C3618" s="1" t="s">
        <v>3848</v>
      </c>
      <c r="D3618" s="1" t="s">
        <v>14</v>
      </c>
      <c r="E3618" s="1" t="s">
        <v>3668</v>
      </c>
      <c r="F3618" s="1" t="s">
        <v>3380</v>
      </c>
      <c r="G3618" s="1" t="s">
        <v>3668</v>
      </c>
      <c r="H3618" s="2" t="s">
        <v>3444</v>
      </c>
      <c r="I3618" s="1" t="s">
        <v>3697</v>
      </c>
      <c r="J3618" s="1" t="s">
        <v>52</v>
      </c>
      <c r="K3618" s="1" t="s">
        <v>3444</v>
      </c>
      <c r="L3618" s="36" t="s">
        <v>69</v>
      </c>
      <c r="M3618" s="1" t="s">
        <v>69</v>
      </c>
      <c r="N3618" s="1" t="s">
        <v>1935</v>
      </c>
      <c r="O3618" s="1" t="s">
        <v>46</v>
      </c>
      <c r="P3618" s="1" t="s">
        <v>46</v>
      </c>
      <c r="Q3618" s="1" t="s">
        <v>46</v>
      </c>
      <c r="R3618" s="1" t="s">
        <v>46</v>
      </c>
      <c r="S3618" s="1" t="s">
        <v>46</v>
      </c>
      <c r="T3618" s="1" t="s">
        <v>46</v>
      </c>
      <c r="U3618" s="1" t="s">
        <v>46</v>
      </c>
      <c r="W3618" s="1" t="s">
        <v>46</v>
      </c>
      <c r="X3618" s="1" t="s">
        <v>2640</v>
      </c>
      <c r="Y3618" s="1" t="n">
        <v>5500</v>
      </c>
    </row>
    <row r="3619" customFormat="false" ht="13.8" hidden="false" customHeight="false" outlineLevel="0" collapsed="false">
      <c r="A3619" s="1" t="s">
        <v>3847</v>
      </c>
      <c r="C3619" s="1" t="s">
        <v>3848</v>
      </c>
      <c r="D3619" s="1" t="s">
        <v>14</v>
      </c>
      <c r="E3619" s="1" t="s">
        <v>3668</v>
      </c>
      <c r="F3619" s="1" t="s">
        <v>3380</v>
      </c>
      <c r="G3619" s="1" t="s">
        <v>3668</v>
      </c>
      <c r="H3619" s="2" t="s">
        <v>3446</v>
      </c>
      <c r="I3619" s="1" t="s">
        <v>3698</v>
      </c>
      <c r="J3619" s="1" t="s">
        <v>52</v>
      </c>
      <c r="K3619" s="1" t="s">
        <v>3446</v>
      </c>
      <c r="L3619" s="36" t="s">
        <v>69</v>
      </c>
      <c r="M3619" s="1" t="s">
        <v>69</v>
      </c>
      <c r="N3619" s="1" t="s">
        <v>1935</v>
      </c>
      <c r="O3619" s="1" t="s">
        <v>46</v>
      </c>
      <c r="P3619" s="1" t="s">
        <v>46</v>
      </c>
      <c r="Q3619" s="1" t="s">
        <v>46</v>
      </c>
      <c r="R3619" s="1" t="s">
        <v>46</v>
      </c>
      <c r="S3619" s="1" t="s">
        <v>46</v>
      </c>
      <c r="T3619" s="1" t="s">
        <v>46</v>
      </c>
      <c r="U3619" s="1" t="s">
        <v>46</v>
      </c>
      <c r="W3619" s="1" t="s">
        <v>46</v>
      </c>
      <c r="X3619" s="1" t="s">
        <v>2640</v>
      </c>
      <c r="Y3619" s="1" t="n">
        <v>5500</v>
      </c>
    </row>
    <row r="3620" customFormat="false" ht="13.8" hidden="false" customHeight="false" outlineLevel="0" collapsed="false">
      <c r="A3620" s="1" t="s">
        <v>3847</v>
      </c>
      <c r="C3620" s="1" t="s">
        <v>3848</v>
      </c>
      <c r="D3620" s="1" t="s">
        <v>14</v>
      </c>
      <c r="E3620" s="1" t="s">
        <v>3668</v>
      </c>
      <c r="F3620" s="1" t="s">
        <v>3380</v>
      </c>
      <c r="G3620" s="1" t="s">
        <v>3668</v>
      </c>
      <c r="H3620" s="2" t="s">
        <v>3448</v>
      </c>
      <c r="I3620" s="1" t="s">
        <v>3699</v>
      </c>
      <c r="J3620" s="1" t="s">
        <v>52</v>
      </c>
      <c r="K3620" s="1" t="s">
        <v>3448</v>
      </c>
      <c r="L3620" s="36" t="s">
        <v>69</v>
      </c>
      <c r="M3620" s="1" t="s">
        <v>69</v>
      </c>
      <c r="N3620" s="1" t="s">
        <v>1935</v>
      </c>
      <c r="O3620" s="1" t="s">
        <v>46</v>
      </c>
      <c r="P3620" s="1" t="s">
        <v>46</v>
      </c>
      <c r="Q3620" s="1" t="s">
        <v>46</v>
      </c>
      <c r="R3620" s="1" t="s">
        <v>46</v>
      </c>
      <c r="S3620" s="1" t="s">
        <v>46</v>
      </c>
      <c r="T3620" s="1" t="s">
        <v>46</v>
      </c>
      <c r="U3620" s="1" t="s">
        <v>46</v>
      </c>
      <c r="W3620" s="1" t="s">
        <v>46</v>
      </c>
      <c r="X3620" s="1" t="s">
        <v>2640</v>
      </c>
      <c r="Y3620" s="1" t="n">
        <v>5500</v>
      </c>
    </row>
    <row r="3621" customFormat="false" ht="13.8" hidden="false" customHeight="false" outlineLevel="0" collapsed="false">
      <c r="A3621" s="1" t="s">
        <v>3847</v>
      </c>
      <c r="C3621" s="1" t="s">
        <v>3848</v>
      </c>
      <c r="D3621" s="1" t="s">
        <v>14</v>
      </c>
      <c r="E3621" s="1" t="s">
        <v>3668</v>
      </c>
      <c r="F3621" s="1" t="s">
        <v>3380</v>
      </c>
      <c r="G3621" s="1" t="s">
        <v>3668</v>
      </c>
      <c r="H3621" s="2" t="s">
        <v>3450</v>
      </c>
      <c r="I3621" s="1" t="s">
        <v>3700</v>
      </c>
      <c r="J3621" s="1" t="s">
        <v>52</v>
      </c>
      <c r="K3621" s="1" t="s">
        <v>3450</v>
      </c>
      <c r="L3621" s="36" t="s">
        <v>69</v>
      </c>
      <c r="M3621" s="1" t="s">
        <v>69</v>
      </c>
      <c r="N3621" s="1" t="s">
        <v>1935</v>
      </c>
      <c r="O3621" s="1" t="s">
        <v>46</v>
      </c>
      <c r="P3621" s="1" t="s">
        <v>46</v>
      </c>
      <c r="Q3621" s="1" t="s">
        <v>46</v>
      </c>
      <c r="R3621" s="1" t="s">
        <v>46</v>
      </c>
      <c r="S3621" s="1" t="s">
        <v>46</v>
      </c>
      <c r="T3621" s="1" t="s">
        <v>46</v>
      </c>
      <c r="U3621" s="1" t="s">
        <v>46</v>
      </c>
      <c r="W3621" s="1" t="s">
        <v>46</v>
      </c>
      <c r="X3621" s="1" t="s">
        <v>2640</v>
      </c>
      <c r="Y3621" s="1" t="n">
        <v>5500</v>
      </c>
    </row>
    <row r="3622" customFormat="false" ht="13.8" hidden="false" customHeight="false" outlineLevel="0" collapsed="false">
      <c r="A3622" s="1" t="s">
        <v>3847</v>
      </c>
      <c r="C3622" s="1" t="s">
        <v>3848</v>
      </c>
      <c r="D3622" s="1" t="s">
        <v>14</v>
      </c>
      <c r="E3622" s="1" t="s">
        <v>3668</v>
      </c>
      <c r="F3622" s="1" t="s">
        <v>3380</v>
      </c>
      <c r="G3622" s="1" t="s">
        <v>3668</v>
      </c>
      <c r="H3622" s="2" t="s">
        <v>3452</v>
      </c>
      <c r="I3622" s="1" t="s">
        <v>3701</v>
      </c>
      <c r="J3622" s="1" t="s">
        <v>52</v>
      </c>
      <c r="K3622" s="1" t="s">
        <v>3452</v>
      </c>
      <c r="L3622" s="36" t="s">
        <v>69</v>
      </c>
      <c r="M3622" s="1" t="s">
        <v>69</v>
      </c>
      <c r="N3622" s="1" t="s">
        <v>1935</v>
      </c>
      <c r="O3622" s="1" t="s">
        <v>46</v>
      </c>
      <c r="P3622" s="1" t="s">
        <v>46</v>
      </c>
      <c r="Q3622" s="1" t="s">
        <v>46</v>
      </c>
      <c r="R3622" s="1" t="s">
        <v>46</v>
      </c>
      <c r="S3622" s="1" t="s">
        <v>46</v>
      </c>
      <c r="T3622" s="1" t="s">
        <v>46</v>
      </c>
      <c r="U3622" s="1" t="s">
        <v>46</v>
      </c>
      <c r="W3622" s="1" t="s">
        <v>46</v>
      </c>
      <c r="X3622" s="1" t="s">
        <v>2640</v>
      </c>
      <c r="Y3622" s="1" t="n">
        <v>5500</v>
      </c>
    </row>
    <row r="3623" customFormat="false" ht="13.8" hidden="false" customHeight="false" outlineLevel="0" collapsed="false">
      <c r="A3623" s="1" t="s">
        <v>3847</v>
      </c>
      <c r="C3623" s="1" t="s">
        <v>3848</v>
      </c>
      <c r="D3623" s="1" t="s">
        <v>14</v>
      </c>
      <c r="E3623" s="1" t="s">
        <v>3668</v>
      </c>
      <c r="F3623" s="1" t="s">
        <v>3380</v>
      </c>
      <c r="G3623" s="1" t="s">
        <v>3668</v>
      </c>
      <c r="H3623" s="2" t="s">
        <v>3454</v>
      </c>
      <c r="I3623" s="1" t="s">
        <v>3702</v>
      </c>
      <c r="J3623" s="1" t="s">
        <v>52</v>
      </c>
      <c r="K3623" s="1" t="s">
        <v>3454</v>
      </c>
      <c r="L3623" s="36" t="s">
        <v>69</v>
      </c>
      <c r="M3623" s="1" t="s">
        <v>69</v>
      </c>
      <c r="N3623" s="1" t="s">
        <v>1935</v>
      </c>
      <c r="O3623" s="1" t="s">
        <v>46</v>
      </c>
      <c r="P3623" s="1" t="s">
        <v>46</v>
      </c>
      <c r="Q3623" s="1" t="s">
        <v>46</v>
      </c>
      <c r="R3623" s="1" t="s">
        <v>46</v>
      </c>
      <c r="S3623" s="1" t="s">
        <v>46</v>
      </c>
      <c r="T3623" s="1" t="s">
        <v>46</v>
      </c>
      <c r="U3623" s="1" t="s">
        <v>46</v>
      </c>
      <c r="W3623" s="1" t="s">
        <v>46</v>
      </c>
      <c r="X3623" s="1" t="s">
        <v>2640</v>
      </c>
      <c r="Y3623" s="1" t="n">
        <v>5500</v>
      </c>
    </row>
    <row r="3624" customFormat="false" ht="13.8" hidden="false" customHeight="false" outlineLevel="0" collapsed="false">
      <c r="A3624" s="1" t="s">
        <v>3847</v>
      </c>
      <c r="C3624" s="1" t="s">
        <v>3848</v>
      </c>
      <c r="D3624" s="1" t="s">
        <v>14</v>
      </c>
      <c r="E3624" s="1" t="s">
        <v>3668</v>
      </c>
      <c r="F3624" s="1" t="s">
        <v>3380</v>
      </c>
      <c r="G3624" s="1" t="s">
        <v>3668</v>
      </c>
      <c r="H3624" s="2" t="s">
        <v>3456</v>
      </c>
      <c r="I3624" s="1" t="s">
        <v>3703</v>
      </c>
      <c r="J3624" s="1" t="s">
        <v>52</v>
      </c>
      <c r="K3624" s="1" t="s">
        <v>3456</v>
      </c>
      <c r="L3624" s="36" t="s">
        <v>69</v>
      </c>
      <c r="M3624" s="1" t="s">
        <v>69</v>
      </c>
      <c r="N3624" s="1" t="s">
        <v>1935</v>
      </c>
      <c r="O3624" s="1" t="s">
        <v>46</v>
      </c>
      <c r="P3624" s="1" t="s">
        <v>46</v>
      </c>
      <c r="Q3624" s="1" t="s">
        <v>46</v>
      </c>
      <c r="R3624" s="1" t="s">
        <v>46</v>
      </c>
      <c r="S3624" s="1" t="s">
        <v>46</v>
      </c>
      <c r="T3624" s="1" t="s">
        <v>46</v>
      </c>
      <c r="U3624" s="1" t="s">
        <v>46</v>
      </c>
      <c r="W3624" s="1" t="s">
        <v>46</v>
      </c>
      <c r="X3624" s="1" t="s">
        <v>2640</v>
      </c>
      <c r="Y3624" s="1" t="n">
        <v>5500</v>
      </c>
    </row>
    <row r="3625" customFormat="false" ht="13.8" hidden="false" customHeight="false" outlineLevel="0" collapsed="false">
      <c r="A3625" s="1" t="s">
        <v>3847</v>
      </c>
      <c r="C3625" s="1" t="s">
        <v>3848</v>
      </c>
      <c r="D3625" s="1" t="s">
        <v>14</v>
      </c>
      <c r="E3625" s="1" t="s">
        <v>3668</v>
      </c>
      <c r="F3625" s="1" t="s">
        <v>3380</v>
      </c>
      <c r="G3625" s="1" t="s">
        <v>3668</v>
      </c>
      <c r="H3625" s="2" t="s">
        <v>3458</v>
      </c>
      <c r="I3625" s="1" t="s">
        <v>3704</v>
      </c>
      <c r="J3625" s="1" t="s">
        <v>52</v>
      </c>
      <c r="K3625" s="1" t="s">
        <v>3458</v>
      </c>
      <c r="L3625" s="36" t="s">
        <v>69</v>
      </c>
      <c r="M3625" s="1" t="s">
        <v>69</v>
      </c>
      <c r="N3625" s="1" t="s">
        <v>1935</v>
      </c>
      <c r="O3625" s="1" t="s">
        <v>46</v>
      </c>
      <c r="P3625" s="1" t="s">
        <v>46</v>
      </c>
      <c r="Q3625" s="1" t="s">
        <v>46</v>
      </c>
      <c r="R3625" s="1" t="s">
        <v>46</v>
      </c>
      <c r="S3625" s="1" t="s">
        <v>46</v>
      </c>
      <c r="T3625" s="1" t="s">
        <v>46</v>
      </c>
      <c r="U3625" s="1" t="s">
        <v>46</v>
      </c>
      <c r="W3625" s="1" t="s">
        <v>46</v>
      </c>
      <c r="X3625" s="1" t="s">
        <v>2640</v>
      </c>
      <c r="Y3625" s="1" t="n">
        <v>5500</v>
      </c>
    </row>
    <row r="3626" customFormat="false" ht="13.8" hidden="false" customHeight="false" outlineLevel="0" collapsed="false">
      <c r="A3626" s="1" t="s">
        <v>3847</v>
      </c>
      <c r="C3626" s="1" t="s">
        <v>3848</v>
      </c>
      <c r="D3626" s="1" t="s">
        <v>14</v>
      </c>
      <c r="E3626" s="1" t="s">
        <v>3668</v>
      </c>
      <c r="F3626" s="1" t="s">
        <v>3380</v>
      </c>
      <c r="G3626" s="1" t="s">
        <v>3668</v>
      </c>
      <c r="H3626" s="2" t="s">
        <v>3460</v>
      </c>
      <c r="I3626" s="1" t="s">
        <v>3705</v>
      </c>
      <c r="J3626" s="1" t="s">
        <v>52</v>
      </c>
      <c r="K3626" s="1" t="s">
        <v>3460</v>
      </c>
      <c r="L3626" s="36" t="s">
        <v>69</v>
      </c>
      <c r="M3626" s="1" t="s">
        <v>69</v>
      </c>
      <c r="N3626" s="1" t="s">
        <v>1935</v>
      </c>
      <c r="O3626" s="1" t="s">
        <v>46</v>
      </c>
      <c r="P3626" s="1" t="s">
        <v>46</v>
      </c>
      <c r="Q3626" s="1" t="s">
        <v>46</v>
      </c>
      <c r="R3626" s="1" t="s">
        <v>46</v>
      </c>
      <c r="S3626" s="1" t="s">
        <v>46</v>
      </c>
      <c r="T3626" s="1" t="s">
        <v>46</v>
      </c>
      <c r="U3626" s="1" t="s">
        <v>46</v>
      </c>
      <c r="W3626" s="1" t="s">
        <v>46</v>
      </c>
      <c r="X3626" s="1" t="s">
        <v>2640</v>
      </c>
      <c r="Y3626" s="1" t="n">
        <v>5500</v>
      </c>
    </row>
    <row r="3627" customFormat="false" ht="13.8" hidden="false" customHeight="false" outlineLevel="0" collapsed="false">
      <c r="A3627" s="1" t="s">
        <v>3847</v>
      </c>
      <c r="C3627" s="1" t="s">
        <v>3848</v>
      </c>
      <c r="D3627" s="1" t="s">
        <v>14</v>
      </c>
      <c r="E3627" s="1" t="s">
        <v>3668</v>
      </c>
      <c r="F3627" s="1" t="s">
        <v>3380</v>
      </c>
      <c r="G3627" s="1" t="s">
        <v>3668</v>
      </c>
      <c r="H3627" s="2" t="s">
        <v>3462</v>
      </c>
      <c r="I3627" s="1" t="s">
        <v>3706</v>
      </c>
      <c r="J3627" s="1" t="s">
        <v>52</v>
      </c>
      <c r="K3627" s="1" t="s">
        <v>3462</v>
      </c>
      <c r="L3627" s="36" t="s">
        <v>69</v>
      </c>
      <c r="M3627" s="1" t="s">
        <v>69</v>
      </c>
      <c r="N3627" s="1" t="s">
        <v>1935</v>
      </c>
      <c r="O3627" s="1" t="s">
        <v>46</v>
      </c>
      <c r="P3627" s="1" t="s">
        <v>46</v>
      </c>
      <c r="Q3627" s="1" t="s">
        <v>46</v>
      </c>
      <c r="R3627" s="1" t="s">
        <v>46</v>
      </c>
      <c r="S3627" s="1" t="s">
        <v>46</v>
      </c>
      <c r="T3627" s="1" t="s">
        <v>46</v>
      </c>
      <c r="U3627" s="1" t="s">
        <v>46</v>
      </c>
      <c r="W3627" s="1" t="s">
        <v>46</v>
      </c>
      <c r="X3627" s="1" t="s">
        <v>2640</v>
      </c>
      <c r="Y3627" s="1" t="n">
        <v>5500</v>
      </c>
    </row>
    <row r="3628" customFormat="false" ht="13.8" hidden="false" customHeight="false" outlineLevel="0" collapsed="false">
      <c r="A3628" s="1" t="s">
        <v>3847</v>
      </c>
      <c r="C3628" s="1" t="s">
        <v>3848</v>
      </c>
      <c r="D3628" s="1" t="s">
        <v>14</v>
      </c>
      <c r="E3628" s="1" t="s">
        <v>3668</v>
      </c>
      <c r="F3628" s="1" t="s">
        <v>3380</v>
      </c>
      <c r="G3628" s="1" t="s">
        <v>3668</v>
      </c>
      <c r="H3628" s="2" t="s">
        <v>3464</v>
      </c>
      <c r="I3628" s="1" t="s">
        <v>3707</v>
      </c>
      <c r="J3628" s="1" t="s">
        <v>52</v>
      </c>
      <c r="K3628" s="1" t="s">
        <v>3464</v>
      </c>
      <c r="L3628" s="36" t="s">
        <v>69</v>
      </c>
      <c r="M3628" s="1" t="s">
        <v>69</v>
      </c>
      <c r="N3628" s="1" t="s">
        <v>1935</v>
      </c>
      <c r="O3628" s="1" t="s">
        <v>46</v>
      </c>
      <c r="P3628" s="1" t="s">
        <v>46</v>
      </c>
      <c r="Q3628" s="1" t="s">
        <v>46</v>
      </c>
      <c r="R3628" s="1" t="s">
        <v>46</v>
      </c>
      <c r="S3628" s="1" t="s">
        <v>46</v>
      </c>
      <c r="T3628" s="1" t="s">
        <v>46</v>
      </c>
      <c r="U3628" s="1" t="s">
        <v>46</v>
      </c>
      <c r="W3628" s="1" t="s">
        <v>46</v>
      </c>
      <c r="X3628" s="1" t="s">
        <v>2640</v>
      </c>
      <c r="Y3628" s="1" t="n">
        <v>5500</v>
      </c>
    </row>
    <row r="3629" customFormat="false" ht="13.8" hidden="false" customHeight="false" outlineLevel="0" collapsed="false">
      <c r="A3629" s="1" t="s">
        <v>3847</v>
      </c>
      <c r="C3629" s="1" t="s">
        <v>3848</v>
      </c>
      <c r="D3629" s="1" t="s">
        <v>14</v>
      </c>
      <c r="E3629" s="1" t="s">
        <v>3668</v>
      </c>
      <c r="F3629" s="1" t="s">
        <v>3380</v>
      </c>
      <c r="G3629" s="1" t="s">
        <v>3668</v>
      </c>
      <c r="H3629" s="2" t="s">
        <v>3466</v>
      </c>
      <c r="I3629" s="1" t="s">
        <v>3708</v>
      </c>
      <c r="J3629" s="1" t="s">
        <v>52</v>
      </c>
      <c r="K3629" s="1" t="s">
        <v>3466</v>
      </c>
      <c r="L3629" s="36" t="s">
        <v>69</v>
      </c>
      <c r="M3629" s="1" t="s">
        <v>69</v>
      </c>
      <c r="N3629" s="1" t="s">
        <v>3468</v>
      </c>
      <c r="O3629" s="1" t="s">
        <v>46</v>
      </c>
      <c r="P3629" s="1" t="s">
        <v>46</v>
      </c>
      <c r="Q3629" s="1" t="s">
        <v>46</v>
      </c>
      <c r="R3629" s="1" t="s">
        <v>46</v>
      </c>
      <c r="S3629" s="1" t="s">
        <v>46</v>
      </c>
      <c r="T3629" s="1" t="s">
        <v>46</v>
      </c>
      <c r="U3629" s="1" t="s">
        <v>46</v>
      </c>
      <c r="W3629" s="1" t="s">
        <v>46</v>
      </c>
      <c r="X3629" s="1" t="s">
        <v>2640</v>
      </c>
      <c r="Y3629" s="1" t="n">
        <v>5500</v>
      </c>
    </row>
    <row r="3630" customFormat="false" ht="13.8" hidden="false" customHeight="false" outlineLevel="0" collapsed="false">
      <c r="A3630" s="1" t="s">
        <v>3847</v>
      </c>
      <c r="C3630" s="1" t="s">
        <v>3848</v>
      </c>
      <c r="D3630" s="1" t="s">
        <v>14</v>
      </c>
      <c r="E3630" s="1" t="s">
        <v>3668</v>
      </c>
      <c r="F3630" s="1" t="s">
        <v>3380</v>
      </c>
      <c r="G3630" s="1" t="s">
        <v>3668</v>
      </c>
      <c r="H3630" s="2" t="s">
        <v>3469</v>
      </c>
      <c r="I3630" s="1" t="s">
        <v>3709</v>
      </c>
      <c r="J3630" s="1" t="s">
        <v>52</v>
      </c>
      <c r="K3630" s="1" t="s">
        <v>3469</v>
      </c>
      <c r="L3630" s="36" t="s">
        <v>69</v>
      </c>
      <c r="M3630" s="1" t="s">
        <v>69</v>
      </c>
      <c r="N3630" s="1" t="s">
        <v>3468</v>
      </c>
      <c r="O3630" s="1" t="s">
        <v>46</v>
      </c>
      <c r="P3630" s="1" t="s">
        <v>46</v>
      </c>
      <c r="Q3630" s="1" t="s">
        <v>46</v>
      </c>
      <c r="R3630" s="1" t="s">
        <v>46</v>
      </c>
      <c r="S3630" s="1" t="s">
        <v>46</v>
      </c>
      <c r="T3630" s="1" t="s">
        <v>46</v>
      </c>
      <c r="U3630" s="1" t="s">
        <v>46</v>
      </c>
      <c r="W3630" s="1" t="s">
        <v>46</v>
      </c>
      <c r="X3630" s="1" t="s">
        <v>2640</v>
      </c>
      <c r="Y3630" s="1" t="n">
        <v>5500</v>
      </c>
    </row>
    <row r="3631" customFormat="false" ht="13.8" hidden="false" customHeight="false" outlineLevel="0" collapsed="false">
      <c r="A3631" s="1" t="s">
        <v>3847</v>
      </c>
      <c r="C3631" s="1" t="s">
        <v>3848</v>
      </c>
      <c r="D3631" s="1" t="s">
        <v>14</v>
      </c>
      <c r="E3631" s="1" t="s">
        <v>3668</v>
      </c>
      <c r="F3631" s="1" t="s">
        <v>3380</v>
      </c>
      <c r="G3631" s="1" t="s">
        <v>3668</v>
      </c>
      <c r="H3631" s="2" t="s">
        <v>3471</v>
      </c>
      <c r="I3631" s="1" t="s">
        <v>3710</v>
      </c>
      <c r="J3631" s="1" t="s">
        <v>52</v>
      </c>
      <c r="K3631" s="1" t="s">
        <v>3471</v>
      </c>
      <c r="L3631" s="36" t="s">
        <v>69</v>
      </c>
      <c r="M3631" s="1" t="s">
        <v>69</v>
      </c>
      <c r="N3631" s="1" t="s">
        <v>3468</v>
      </c>
      <c r="O3631" s="1" t="s">
        <v>46</v>
      </c>
      <c r="P3631" s="1" t="s">
        <v>46</v>
      </c>
      <c r="Q3631" s="1" t="s">
        <v>46</v>
      </c>
      <c r="R3631" s="1" t="s">
        <v>46</v>
      </c>
      <c r="S3631" s="1" t="s">
        <v>46</v>
      </c>
      <c r="T3631" s="1" t="s">
        <v>46</v>
      </c>
      <c r="U3631" s="1" t="s">
        <v>46</v>
      </c>
      <c r="W3631" s="1" t="s">
        <v>46</v>
      </c>
      <c r="X3631" s="1" t="s">
        <v>2640</v>
      </c>
      <c r="Y3631" s="1" t="n">
        <v>5500</v>
      </c>
    </row>
    <row r="3632" customFormat="false" ht="13.8" hidden="false" customHeight="false" outlineLevel="0" collapsed="false">
      <c r="A3632" s="1" t="s">
        <v>3847</v>
      </c>
      <c r="C3632" s="1" t="s">
        <v>3848</v>
      </c>
      <c r="D3632" s="1" t="s">
        <v>14</v>
      </c>
      <c r="E3632" s="1" t="s">
        <v>3668</v>
      </c>
      <c r="F3632" s="1" t="s">
        <v>3380</v>
      </c>
      <c r="G3632" s="1" t="s">
        <v>3668</v>
      </c>
      <c r="H3632" s="2" t="s">
        <v>3473</v>
      </c>
      <c r="I3632" s="1" t="s">
        <v>3711</v>
      </c>
      <c r="J3632" s="1" t="s">
        <v>52</v>
      </c>
      <c r="K3632" s="1" t="s">
        <v>3473</v>
      </c>
      <c r="L3632" s="36" t="s">
        <v>69</v>
      </c>
      <c r="M3632" s="1" t="s">
        <v>69</v>
      </c>
      <c r="N3632" s="1" t="s">
        <v>3468</v>
      </c>
      <c r="O3632" s="1" t="s">
        <v>46</v>
      </c>
      <c r="P3632" s="1" t="s">
        <v>46</v>
      </c>
      <c r="Q3632" s="1" t="s">
        <v>46</v>
      </c>
      <c r="R3632" s="1" t="s">
        <v>46</v>
      </c>
      <c r="S3632" s="1" t="s">
        <v>46</v>
      </c>
      <c r="T3632" s="1" t="s">
        <v>46</v>
      </c>
      <c r="U3632" s="1" t="s">
        <v>46</v>
      </c>
      <c r="W3632" s="1" t="s">
        <v>46</v>
      </c>
      <c r="X3632" s="1" t="s">
        <v>2640</v>
      </c>
      <c r="Y3632" s="1" t="n">
        <v>5500</v>
      </c>
    </row>
    <row r="3633" customFormat="false" ht="13.8" hidden="false" customHeight="false" outlineLevel="0" collapsed="false">
      <c r="A3633" s="1" t="s">
        <v>3847</v>
      </c>
      <c r="C3633" s="1" t="s">
        <v>3848</v>
      </c>
      <c r="D3633" s="1" t="s">
        <v>14</v>
      </c>
      <c r="E3633" s="1" t="s">
        <v>3668</v>
      </c>
      <c r="F3633" s="1" t="s">
        <v>3380</v>
      </c>
      <c r="G3633" s="1" t="s">
        <v>3668</v>
      </c>
      <c r="H3633" s="2" t="s">
        <v>3475</v>
      </c>
      <c r="I3633" s="1" t="s">
        <v>3712</v>
      </c>
      <c r="J3633" s="1" t="s">
        <v>52</v>
      </c>
      <c r="K3633" s="1" t="s">
        <v>3475</v>
      </c>
      <c r="L3633" s="36" t="s">
        <v>69</v>
      </c>
      <c r="M3633" s="1" t="s">
        <v>69</v>
      </c>
      <c r="N3633" s="1" t="s">
        <v>3468</v>
      </c>
      <c r="O3633" s="1" t="s">
        <v>46</v>
      </c>
      <c r="P3633" s="1" t="s">
        <v>46</v>
      </c>
      <c r="Q3633" s="1" t="s">
        <v>46</v>
      </c>
      <c r="R3633" s="1" t="s">
        <v>46</v>
      </c>
      <c r="S3633" s="1" t="s">
        <v>46</v>
      </c>
      <c r="T3633" s="1" t="s">
        <v>46</v>
      </c>
      <c r="U3633" s="1" t="s">
        <v>46</v>
      </c>
      <c r="W3633" s="1" t="s">
        <v>46</v>
      </c>
      <c r="X3633" s="1" t="s">
        <v>2640</v>
      </c>
      <c r="Y3633" s="1" t="n">
        <v>5500</v>
      </c>
    </row>
    <row r="3634" customFormat="false" ht="13.8" hidden="false" customHeight="false" outlineLevel="0" collapsed="false">
      <c r="A3634" s="1" t="s">
        <v>3847</v>
      </c>
      <c r="C3634" s="1" t="s">
        <v>3848</v>
      </c>
      <c r="D3634" s="1" t="s">
        <v>14</v>
      </c>
      <c r="E3634" s="1" t="s">
        <v>3668</v>
      </c>
      <c r="F3634" s="1" t="s">
        <v>3380</v>
      </c>
      <c r="G3634" s="1" t="s">
        <v>3668</v>
      </c>
      <c r="H3634" s="2" t="s">
        <v>3477</v>
      </c>
      <c r="I3634" s="1" t="s">
        <v>3713</v>
      </c>
      <c r="J3634" s="1" t="s">
        <v>52</v>
      </c>
      <c r="K3634" s="1" t="s">
        <v>3477</v>
      </c>
      <c r="L3634" s="36" t="s">
        <v>69</v>
      </c>
      <c r="M3634" s="1" t="s">
        <v>69</v>
      </c>
      <c r="N3634" s="1" t="s">
        <v>3468</v>
      </c>
      <c r="O3634" s="1" t="s">
        <v>46</v>
      </c>
      <c r="P3634" s="1" t="s">
        <v>46</v>
      </c>
      <c r="Q3634" s="1" t="s">
        <v>46</v>
      </c>
      <c r="R3634" s="1" t="s">
        <v>46</v>
      </c>
      <c r="S3634" s="1" t="s">
        <v>46</v>
      </c>
      <c r="T3634" s="1" t="s">
        <v>46</v>
      </c>
      <c r="U3634" s="1" t="s">
        <v>46</v>
      </c>
      <c r="W3634" s="1" t="s">
        <v>46</v>
      </c>
      <c r="X3634" s="1" t="s">
        <v>2640</v>
      </c>
      <c r="Y3634" s="1" t="n">
        <v>5500</v>
      </c>
    </row>
    <row r="3635" customFormat="false" ht="13.8" hidden="false" customHeight="false" outlineLevel="0" collapsed="false">
      <c r="A3635" s="1" t="s">
        <v>3847</v>
      </c>
      <c r="C3635" s="1" t="s">
        <v>3848</v>
      </c>
      <c r="D3635" s="1" t="s">
        <v>14</v>
      </c>
      <c r="E3635" s="1" t="s">
        <v>3668</v>
      </c>
      <c r="F3635" s="1" t="s">
        <v>3380</v>
      </c>
      <c r="G3635" s="1" t="s">
        <v>3668</v>
      </c>
      <c r="H3635" s="2" t="s">
        <v>3479</v>
      </c>
      <c r="I3635" s="1" t="s">
        <v>3714</v>
      </c>
      <c r="J3635" s="1" t="s">
        <v>52</v>
      </c>
      <c r="K3635" s="1" t="s">
        <v>3479</v>
      </c>
      <c r="L3635" s="36" t="s">
        <v>69</v>
      </c>
      <c r="M3635" s="1" t="s">
        <v>69</v>
      </c>
      <c r="N3635" s="1" t="s">
        <v>3468</v>
      </c>
      <c r="O3635" s="1" t="s">
        <v>46</v>
      </c>
      <c r="P3635" s="1" t="s">
        <v>46</v>
      </c>
      <c r="Q3635" s="1" t="s">
        <v>46</v>
      </c>
      <c r="R3635" s="1" t="s">
        <v>46</v>
      </c>
      <c r="S3635" s="1" t="s">
        <v>46</v>
      </c>
      <c r="T3635" s="1" t="s">
        <v>46</v>
      </c>
      <c r="U3635" s="1" t="s">
        <v>46</v>
      </c>
      <c r="W3635" s="1" t="s">
        <v>46</v>
      </c>
      <c r="X3635" s="1" t="s">
        <v>2640</v>
      </c>
      <c r="Y3635" s="1" t="n">
        <v>5500</v>
      </c>
    </row>
    <row r="3636" customFormat="false" ht="13.8" hidden="false" customHeight="false" outlineLevel="0" collapsed="false">
      <c r="A3636" s="1" t="s">
        <v>3847</v>
      </c>
      <c r="C3636" s="1" t="s">
        <v>3848</v>
      </c>
      <c r="D3636" s="1" t="s">
        <v>14</v>
      </c>
      <c r="E3636" s="1" t="s">
        <v>3668</v>
      </c>
      <c r="F3636" s="1" t="s">
        <v>3380</v>
      </c>
      <c r="G3636" s="1" t="s">
        <v>3668</v>
      </c>
      <c r="H3636" s="2" t="s">
        <v>3481</v>
      </c>
      <c r="I3636" s="1" t="s">
        <v>3715</v>
      </c>
      <c r="J3636" s="1" t="s">
        <v>52</v>
      </c>
      <c r="K3636" s="1" t="s">
        <v>3481</v>
      </c>
      <c r="L3636" s="36" t="s">
        <v>69</v>
      </c>
      <c r="M3636" s="1" t="s">
        <v>69</v>
      </c>
      <c r="N3636" s="1" t="s">
        <v>3468</v>
      </c>
      <c r="O3636" s="1" t="s">
        <v>46</v>
      </c>
      <c r="P3636" s="1" t="s">
        <v>46</v>
      </c>
      <c r="Q3636" s="1" t="s">
        <v>46</v>
      </c>
      <c r="R3636" s="1" t="s">
        <v>46</v>
      </c>
      <c r="S3636" s="1" t="s">
        <v>46</v>
      </c>
      <c r="T3636" s="1" t="s">
        <v>46</v>
      </c>
      <c r="U3636" s="1" t="s">
        <v>46</v>
      </c>
      <c r="W3636" s="1" t="s">
        <v>46</v>
      </c>
      <c r="X3636" s="1" t="s">
        <v>2640</v>
      </c>
      <c r="Y3636" s="1" t="n">
        <v>5500</v>
      </c>
    </row>
    <row r="3637" customFormat="false" ht="13.8" hidden="false" customHeight="false" outlineLevel="0" collapsed="false">
      <c r="A3637" s="1" t="s">
        <v>3847</v>
      </c>
      <c r="C3637" s="1" t="s">
        <v>3848</v>
      </c>
      <c r="D3637" s="1" t="s">
        <v>14</v>
      </c>
      <c r="E3637" s="1" t="s">
        <v>3668</v>
      </c>
      <c r="F3637" s="1" t="s">
        <v>3380</v>
      </c>
      <c r="G3637" s="1" t="s">
        <v>3668</v>
      </c>
      <c r="H3637" s="2" t="s">
        <v>3483</v>
      </c>
      <c r="I3637" s="1" t="s">
        <v>3716</v>
      </c>
      <c r="J3637" s="1" t="s">
        <v>52</v>
      </c>
      <c r="K3637" s="1" t="s">
        <v>3483</v>
      </c>
      <c r="L3637" s="36" t="s">
        <v>69</v>
      </c>
      <c r="M3637" s="1" t="s">
        <v>69</v>
      </c>
      <c r="N3637" s="1" t="s">
        <v>3468</v>
      </c>
      <c r="O3637" s="1" t="s">
        <v>46</v>
      </c>
      <c r="P3637" s="1" t="s">
        <v>46</v>
      </c>
      <c r="Q3637" s="1" t="s">
        <v>46</v>
      </c>
      <c r="R3637" s="1" t="s">
        <v>46</v>
      </c>
      <c r="S3637" s="1" t="s">
        <v>46</v>
      </c>
      <c r="T3637" s="1" t="s">
        <v>46</v>
      </c>
      <c r="U3637" s="1" t="s">
        <v>46</v>
      </c>
      <c r="W3637" s="1" t="s">
        <v>46</v>
      </c>
      <c r="X3637" s="1" t="s">
        <v>2640</v>
      </c>
      <c r="Y3637" s="1" t="n">
        <v>5500</v>
      </c>
    </row>
    <row r="3638" customFormat="false" ht="13.8" hidden="false" customHeight="false" outlineLevel="0" collapsed="false">
      <c r="A3638" s="1" t="s">
        <v>3847</v>
      </c>
      <c r="C3638" s="1" t="s">
        <v>3848</v>
      </c>
      <c r="D3638" s="1" t="s">
        <v>14</v>
      </c>
      <c r="E3638" s="1" t="s">
        <v>3668</v>
      </c>
      <c r="F3638" s="1" t="s">
        <v>3380</v>
      </c>
      <c r="G3638" s="1" t="s">
        <v>3668</v>
      </c>
      <c r="H3638" s="2" t="s">
        <v>3485</v>
      </c>
      <c r="I3638" s="1" t="s">
        <v>3717</v>
      </c>
      <c r="J3638" s="1" t="s">
        <v>52</v>
      </c>
      <c r="K3638" s="1" t="s">
        <v>3485</v>
      </c>
      <c r="L3638" s="36" t="s">
        <v>69</v>
      </c>
      <c r="M3638" s="1" t="s">
        <v>69</v>
      </c>
      <c r="N3638" s="1" t="s">
        <v>3468</v>
      </c>
      <c r="O3638" s="1" t="s">
        <v>46</v>
      </c>
      <c r="P3638" s="1" t="s">
        <v>46</v>
      </c>
      <c r="Q3638" s="1" t="s">
        <v>46</v>
      </c>
      <c r="R3638" s="1" t="s">
        <v>46</v>
      </c>
      <c r="S3638" s="1" t="s">
        <v>46</v>
      </c>
      <c r="T3638" s="1" t="s">
        <v>46</v>
      </c>
      <c r="U3638" s="1" t="s">
        <v>46</v>
      </c>
      <c r="W3638" s="1" t="s">
        <v>46</v>
      </c>
      <c r="X3638" s="1" t="s">
        <v>2640</v>
      </c>
      <c r="Y3638" s="1" t="n">
        <v>5500</v>
      </c>
    </row>
    <row r="3639" customFormat="false" ht="13.8" hidden="false" customHeight="false" outlineLevel="0" collapsed="false">
      <c r="A3639" s="1" t="s">
        <v>3847</v>
      </c>
      <c r="C3639" s="1" t="s">
        <v>3848</v>
      </c>
      <c r="D3639" s="1" t="s">
        <v>14</v>
      </c>
      <c r="E3639" s="1" t="s">
        <v>3668</v>
      </c>
      <c r="F3639" s="1" t="s">
        <v>3380</v>
      </c>
      <c r="G3639" s="1" t="s">
        <v>3668</v>
      </c>
      <c r="H3639" s="2" t="s">
        <v>3487</v>
      </c>
      <c r="I3639" s="1" t="s">
        <v>3718</v>
      </c>
      <c r="J3639" s="1" t="s">
        <v>52</v>
      </c>
      <c r="K3639" s="1" t="s">
        <v>3487</v>
      </c>
      <c r="L3639" s="36" t="s">
        <v>69</v>
      </c>
      <c r="M3639" s="1" t="s">
        <v>69</v>
      </c>
      <c r="N3639" s="1" t="s">
        <v>3468</v>
      </c>
      <c r="O3639" s="1" t="s">
        <v>46</v>
      </c>
      <c r="P3639" s="1" t="s">
        <v>46</v>
      </c>
      <c r="Q3639" s="1" t="s">
        <v>46</v>
      </c>
      <c r="R3639" s="1" t="s">
        <v>46</v>
      </c>
      <c r="S3639" s="1" t="s">
        <v>46</v>
      </c>
      <c r="T3639" s="1" t="s">
        <v>46</v>
      </c>
      <c r="U3639" s="1" t="s">
        <v>46</v>
      </c>
      <c r="W3639" s="1" t="s">
        <v>46</v>
      </c>
      <c r="X3639" s="1" t="s">
        <v>2640</v>
      </c>
      <c r="Y3639" s="1" t="n">
        <v>5500</v>
      </c>
    </row>
    <row r="3640" customFormat="false" ht="13.8" hidden="false" customHeight="false" outlineLevel="0" collapsed="false">
      <c r="A3640" s="1" t="s">
        <v>3847</v>
      </c>
      <c r="C3640" s="1" t="s">
        <v>3848</v>
      </c>
      <c r="D3640" s="1" t="s">
        <v>14</v>
      </c>
      <c r="E3640" s="1" t="s">
        <v>3668</v>
      </c>
      <c r="F3640" s="1" t="s">
        <v>3380</v>
      </c>
      <c r="G3640" s="1" t="s">
        <v>3668</v>
      </c>
      <c r="H3640" s="2" t="s">
        <v>3489</v>
      </c>
      <c r="I3640" s="1" t="s">
        <v>3719</v>
      </c>
      <c r="J3640" s="1" t="s">
        <v>52</v>
      </c>
      <c r="K3640" s="1" t="s">
        <v>3489</v>
      </c>
      <c r="L3640" s="36" t="s">
        <v>69</v>
      </c>
      <c r="M3640" s="1" t="s">
        <v>69</v>
      </c>
      <c r="N3640" s="1" t="s">
        <v>3468</v>
      </c>
      <c r="O3640" s="1" t="s">
        <v>46</v>
      </c>
      <c r="P3640" s="1" t="s">
        <v>46</v>
      </c>
      <c r="Q3640" s="1" t="s">
        <v>46</v>
      </c>
      <c r="R3640" s="1" t="s">
        <v>46</v>
      </c>
      <c r="S3640" s="1" t="s">
        <v>46</v>
      </c>
      <c r="T3640" s="1" t="s">
        <v>46</v>
      </c>
      <c r="U3640" s="1" t="s">
        <v>46</v>
      </c>
      <c r="W3640" s="1" t="s">
        <v>46</v>
      </c>
      <c r="X3640" s="1" t="s">
        <v>2640</v>
      </c>
      <c r="Y3640" s="1" t="n">
        <v>5500</v>
      </c>
    </row>
    <row r="3641" customFormat="false" ht="13.8" hidden="false" customHeight="false" outlineLevel="0" collapsed="false">
      <c r="A3641" s="1" t="s">
        <v>3847</v>
      </c>
      <c r="C3641" s="1" t="s">
        <v>3848</v>
      </c>
      <c r="D3641" s="1" t="s">
        <v>14</v>
      </c>
      <c r="E3641" s="1" t="s">
        <v>3668</v>
      </c>
      <c r="F3641" s="1" t="s">
        <v>3380</v>
      </c>
      <c r="G3641" s="1" t="s">
        <v>3668</v>
      </c>
      <c r="H3641" s="2" t="s">
        <v>3491</v>
      </c>
      <c r="I3641" s="1" t="s">
        <v>3720</v>
      </c>
      <c r="J3641" s="1" t="s">
        <v>52</v>
      </c>
      <c r="K3641" s="1" t="s">
        <v>3491</v>
      </c>
      <c r="L3641" s="36" t="s">
        <v>69</v>
      </c>
      <c r="M3641" s="1" t="s">
        <v>69</v>
      </c>
      <c r="N3641" s="1" t="s">
        <v>3468</v>
      </c>
      <c r="O3641" s="1" t="s">
        <v>46</v>
      </c>
      <c r="P3641" s="1" t="s">
        <v>46</v>
      </c>
      <c r="Q3641" s="1" t="s">
        <v>46</v>
      </c>
      <c r="R3641" s="1" t="s">
        <v>46</v>
      </c>
      <c r="S3641" s="1" t="s">
        <v>46</v>
      </c>
      <c r="T3641" s="1" t="s">
        <v>46</v>
      </c>
      <c r="U3641" s="1" t="s">
        <v>46</v>
      </c>
      <c r="W3641" s="1" t="s">
        <v>46</v>
      </c>
      <c r="X3641" s="1" t="s">
        <v>2640</v>
      </c>
      <c r="Y3641" s="1" t="n">
        <v>5500</v>
      </c>
    </row>
    <row r="3642" customFormat="false" ht="13.8" hidden="false" customHeight="false" outlineLevel="0" collapsed="false">
      <c r="A3642" s="1" t="s">
        <v>3847</v>
      </c>
      <c r="C3642" s="1" t="s">
        <v>3848</v>
      </c>
      <c r="D3642" s="1" t="s">
        <v>14</v>
      </c>
      <c r="E3642" s="1" t="s">
        <v>3668</v>
      </c>
      <c r="F3642" s="1" t="s">
        <v>3380</v>
      </c>
      <c r="G3642" s="1" t="s">
        <v>3668</v>
      </c>
      <c r="H3642" s="2" t="s">
        <v>3493</v>
      </c>
      <c r="I3642" s="1" t="s">
        <v>3721</v>
      </c>
      <c r="J3642" s="1" t="s">
        <v>52</v>
      </c>
      <c r="K3642" s="1" t="s">
        <v>3493</v>
      </c>
      <c r="L3642" s="36" t="s">
        <v>69</v>
      </c>
      <c r="M3642" s="1" t="s">
        <v>69</v>
      </c>
      <c r="N3642" s="1" t="s">
        <v>3468</v>
      </c>
      <c r="O3642" s="1" t="s">
        <v>46</v>
      </c>
      <c r="P3642" s="1" t="s">
        <v>46</v>
      </c>
      <c r="Q3642" s="1" t="s">
        <v>46</v>
      </c>
      <c r="R3642" s="1" t="s">
        <v>46</v>
      </c>
      <c r="S3642" s="1" t="s">
        <v>46</v>
      </c>
      <c r="T3642" s="1" t="s">
        <v>46</v>
      </c>
      <c r="U3642" s="1" t="s">
        <v>46</v>
      </c>
      <c r="W3642" s="1" t="s">
        <v>46</v>
      </c>
      <c r="X3642" s="1" t="s">
        <v>2640</v>
      </c>
      <c r="Y3642" s="1" t="n">
        <v>5500</v>
      </c>
    </row>
    <row r="3643" customFormat="false" ht="13.8" hidden="false" customHeight="false" outlineLevel="0" collapsed="false">
      <c r="A3643" s="1" t="s">
        <v>3847</v>
      </c>
      <c r="C3643" s="1" t="s">
        <v>3848</v>
      </c>
      <c r="D3643" s="1" t="s">
        <v>14</v>
      </c>
      <c r="E3643" s="1" t="s">
        <v>3668</v>
      </c>
      <c r="F3643" s="1" t="s">
        <v>3380</v>
      </c>
      <c r="G3643" s="1" t="s">
        <v>3668</v>
      </c>
      <c r="H3643" s="2" t="s">
        <v>3495</v>
      </c>
      <c r="I3643" s="1" t="s">
        <v>3722</v>
      </c>
      <c r="J3643" s="1" t="s">
        <v>52</v>
      </c>
      <c r="K3643" s="1" t="s">
        <v>3495</v>
      </c>
      <c r="L3643" s="36" t="s">
        <v>69</v>
      </c>
      <c r="M3643" s="1" t="s">
        <v>69</v>
      </c>
      <c r="N3643" s="1" t="s">
        <v>3468</v>
      </c>
      <c r="O3643" s="1" t="s">
        <v>46</v>
      </c>
      <c r="P3643" s="1" t="s">
        <v>46</v>
      </c>
      <c r="Q3643" s="1" t="s">
        <v>46</v>
      </c>
      <c r="R3643" s="1" t="s">
        <v>46</v>
      </c>
      <c r="S3643" s="1" t="s">
        <v>46</v>
      </c>
      <c r="T3643" s="1" t="s">
        <v>46</v>
      </c>
      <c r="U3643" s="1" t="s">
        <v>46</v>
      </c>
      <c r="W3643" s="1" t="s">
        <v>46</v>
      </c>
      <c r="X3643" s="1" t="s">
        <v>2640</v>
      </c>
      <c r="Y3643" s="1" t="n">
        <v>5500</v>
      </c>
    </row>
    <row r="3644" customFormat="false" ht="13.8" hidden="false" customHeight="false" outlineLevel="0" collapsed="false">
      <c r="A3644" s="1" t="s">
        <v>3849</v>
      </c>
      <c r="C3644" s="1" t="s">
        <v>3850</v>
      </c>
      <c r="D3644" s="1" t="s">
        <v>14</v>
      </c>
      <c r="E3644" s="1" t="s">
        <v>3668</v>
      </c>
      <c r="F3644" s="1" t="s">
        <v>3380</v>
      </c>
      <c r="G3644" s="1" t="s">
        <v>3668</v>
      </c>
      <c r="H3644" s="2" t="s">
        <v>3587</v>
      </c>
      <c r="I3644" s="1" t="s">
        <v>3805</v>
      </c>
      <c r="J3644" s="1" t="s">
        <v>52</v>
      </c>
      <c r="K3644" s="1" t="s">
        <v>3587</v>
      </c>
      <c r="L3644" s="36" t="s">
        <v>69</v>
      </c>
      <c r="M3644" s="1" t="s">
        <v>69</v>
      </c>
      <c r="N3644" s="1" t="s">
        <v>3383</v>
      </c>
      <c r="O3644" s="1" t="s">
        <v>3784</v>
      </c>
      <c r="P3644" s="1" t="s">
        <v>3385</v>
      </c>
      <c r="Q3644" s="1" t="s">
        <v>3385</v>
      </c>
      <c r="R3644" s="1" t="s">
        <v>46</v>
      </c>
      <c r="S3644" s="1" t="s">
        <v>69</v>
      </c>
      <c r="T3644" s="1" t="s">
        <v>69</v>
      </c>
      <c r="U3644" s="1" t="s">
        <v>46</v>
      </c>
      <c r="V3644" s="1" t="n">
        <v>1</v>
      </c>
      <c r="W3644" s="1" t="s">
        <v>46</v>
      </c>
      <c r="X3644" s="1" t="s">
        <v>2640</v>
      </c>
      <c r="Y3644" s="1" t="n">
        <v>5500</v>
      </c>
    </row>
    <row r="3645" customFormat="false" ht="13.8" hidden="false" customHeight="false" outlineLevel="0" collapsed="false">
      <c r="A3645" s="1" t="s">
        <v>3849</v>
      </c>
      <c r="C3645" s="1" t="s">
        <v>3850</v>
      </c>
      <c r="D3645" s="1" t="s">
        <v>14</v>
      </c>
      <c r="E3645" s="1" t="s">
        <v>3668</v>
      </c>
      <c r="F3645" s="1" t="s">
        <v>3380</v>
      </c>
      <c r="G3645" s="1" t="s">
        <v>3668</v>
      </c>
      <c r="H3645" s="2" t="s">
        <v>3590</v>
      </c>
      <c r="I3645" s="1" t="s">
        <v>3806</v>
      </c>
      <c r="J3645" s="1" t="s">
        <v>52</v>
      </c>
      <c r="K3645" s="1" t="s">
        <v>3590</v>
      </c>
      <c r="L3645" s="36" t="s">
        <v>69</v>
      </c>
      <c r="M3645" s="1" t="s">
        <v>69</v>
      </c>
      <c r="N3645" s="1" t="s">
        <v>3383</v>
      </c>
      <c r="O3645" s="1" t="s">
        <v>3784</v>
      </c>
      <c r="P3645" s="1" t="s">
        <v>3385</v>
      </c>
      <c r="Q3645" s="1" t="s">
        <v>3385</v>
      </c>
      <c r="R3645" s="1" t="s">
        <v>46</v>
      </c>
      <c r="S3645" s="1" t="s">
        <v>69</v>
      </c>
      <c r="T3645" s="1" t="s">
        <v>69</v>
      </c>
      <c r="U3645" s="1" t="s">
        <v>46</v>
      </c>
      <c r="V3645" s="1" t="n">
        <v>2</v>
      </c>
      <c r="W3645" s="1" t="s">
        <v>46</v>
      </c>
      <c r="X3645" s="1" t="s">
        <v>2640</v>
      </c>
      <c r="Y3645" s="1" t="n">
        <v>5500</v>
      </c>
    </row>
    <row r="3646" customFormat="false" ht="13.8" hidden="false" customHeight="false" outlineLevel="0" collapsed="false">
      <c r="A3646" s="1" t="s">
        <v>3849</v>
      </c>
      <c r="C3646" s="1" t="s">
        <v>3850</v>
      </c>
      <c r="D3646" s="1" t="s">
        <v>14</v>
      </c>
      <c r="E3646" s="1" t="s">
        <v>3668</v>
      </c>
      <c r="F3646" s="1" t="s">
        <v>3380</v>
      </c>
      <c r="G3646" s="1" t="s">
        <v>3668</v>
      </c>
      <c r="H3646" s="2" t="s">
        <v>3592</v>
      </c>
      <c r="I3646" s="1" t="s">
        <v>3807</v>
      </c>
      <c r="J3646" s="1" t="s">
        <v>52</v>
      </c>
      <c r="K3646" s="1" t="s">
        <v>3592</v>
      </c>
      <c r="L3646" s="36" t="s">
        <v>69</v>
      </c>
      <c r="M3646" s="1" t="s">
        <v>69</v>
      </c>
      <c r="N3646" s="1" t="s">
        <v>3383</v>
      </c>
      <c r="O3646" s="1" t="s">
        <v>3784</v>
      </c>
      <c r="P3646" s="1" t="s">
        <v>3385</v>
      </c>
      <c r="Q3646" s="1" t="s">
        <v>3385</v>
      </c>
      <c r="R3646" s="1" t="s">
        <v>46</v>
      </c>
      <c r="S3646" s="1" t="s">
        <v>69</v>
      </c>
      <c r="T3646" s="1" t="s">
        <v>69</v>
      </c>
      <c r="U3646" s="1" t="s">
        <v>46</v>
      </c>
      <c r="V3646" s="1" t="n">
        <v>3</v>
      </c>
      <c r="W3646" s="1" t="s">
        <v>46</v>
      </c>
      <c r="X3646" s="1" t="s">
        <v>2640</v>
      </c>
      <c r="Y3646" s="1" t="n">
        <v>5500</v>
      </c>
    </row>
    <row r="3647" customFormat="false" ht="13.8" hidden="false" customHeight="false" outlineLevel="0" collapsed="false">
      <c r="A3647" s="1" t="s">
        <v>3849</v>
      </c>
      <c r="C3647" s="1" t="s">
        <v>3850</v>
      </c>
      <c r="D3647" s="1" t="s">
        <v>14</v>
      </c>
      <c r="E3647" s="1" t="s">
        <v>3668</v>
      </c>
      <c r="F3647" s="1" t="s">
        <v>3380</v>
      </c>
      <c r="G3647" s="1" t="s">
        <v>3668</v>
      </c>
      <c r="H3647" s="2" t="s">
        <v>3594</v>
      </c>
      <c r="I3647" s="1" t="s">
        <v>3808</v>
      </c>
      <c r="J3647" s="1" t="s">
        <v>52</v>
      </c>
      <c r="K3647" s="1" t="s">
        <v>3594</v>
      </c>
      <c r="L3647" s="36" t="s">
        <v>69</v>
      </c>
      <c r="M3647" s="1" t="s">
        <v>69</v>
      </c>
      <c r="N3647" s="1" t="s">
        <v>3383</v>
      </c>
      <c r="O3647" s="1" t="s">
        <v>3784</v>
      </c>
      <c r="P3647" s="1" t="s">
        <v>3385</v>
      </c>
      <c r="Q3647" s="1" t="s">
        <v>3385</v>
      </c>
      <c r="R3647" s="1" t="s">
        <v>46</v>
      </c>
      <c r="S3647" s="1" t="s">
        <v>69</v>
      </c>
      <c r="T3647" s="1" t="s">
        <v>69</v>
      </c>
      <c r="U3647" s="1" t="s">
        <v>46</v>
      </c>
      <c r="V3647" s="1" t="n">
        <v>4</v>
      </c>
      <c r="W3647" s="1" t="s">
        <v>46</v>
      </c>
      <c r="X3647" s="1" t="s">
        <v>2640</v>
      </c>
      <c r="Y3647" s="1" t="n">
        <v>5500</v>
      </c>
    </row>
    <row r="3648" customFormat="false" ht="13.8" hidden="false" customHeight="false" outlineLevel="0" collapsed="false">
      <c r="A3648" s="1" t="s">
        <v>3849</v>
      </c>
      <c r="C3648" s="1" t="s">
        <v>3850</v>
      </c>
      <c r="D3648" s="1" t="s">
        <v>14</v>
      </c>
      <c r="E3648" s="1" t="s">
        <v>3668</v>
      </c>
      <c r="F3648" s="1" t="s">
        <v>3380</v>
      </c>
      <c r="G3648" s="1" t="s">
        <v>3668</v>
      </c>
      <c r="H3648" s="2" t="s">
        <v>3596</v>
      </c>
      <c r="I3648" s="1" t="s">
        <v>3809</v>
      </c>
      <c r="J3648" s="1" t="s">
        <v>52</v>
      </c>
      <c r="K3648" s="1" t="s">
        <v>3596</v>
      </c>
      <c r="L3648" s="36" t="s">
        <v>69</v>
      </c>
      <c r="M3648" s="1" t="s">
        <v>69</v>
      </c>
      <c r="N3648" s="1" t="s">
        <v>3383</v>
      </c>
      <c r="O3648" s="1" t="s">
        <v>3784</v>
      </c>
      <c r="P3648" s="1" t="s">
        <v>3385</v>
      </c>
      <c r="Q3648" s="1" t="s">
        <v>3385</v>
      </c>
      <c r="R3648" s="1" t="s">
        <v>46</v>
      </c>
      <c r="S3648" s="1" t="s">
        <v>69</v>
      </c>
      <c r="T3648" s="1" t="s">
        <v>69</v>
      </c>
      <c r="U3648" s="1" t="s">
        <v>46</v>
      </c>
      <c r="V3648" s="1" t="n">
        <v>5</v>
      </c>
      <c r="W3648" s="1" t="s">
        <v>46</v>
      </c>
      <c r="X3648" s="1" t="s">
        <v>2640</v>
      </c>
      <c r="Y3648" s="1" t="n">
        <v>5500</v>
      </c>
    </row>
    <row r="3649" customFormat="false" ht="13.8" hidden="false" customHeight="false" outlineLevel="0" collapsed="false">
      <c r="A3649" s="1" t="s">
        <v>3849</v>
      </c>
      <c r="C3649" s="1" t="s">
        <v>3850</v>
      </c>
      <c r="D3649" s="1" t="s">
        <v>14</v>
      </c>
      <c r="E3649" s="1" t="s">
        <v>3668</v>
      </c>
      <c r="F3649" s="1" t="s">
        <v>3380</v>
      </c>
      <c r="G3649" s="1" t="s">
        <v>3668</v>
      </c>
      <c r="H3649" s="2" t="s">
        <v>3644</v>
      </c>
      <c r="I3649" s="1" t="s">
        <v>3768</v>
      </c>
      <c r="J3649" s="1" t="s">
        <v>52</v>
      </c>
      <c r="K3649" s="1" t="s">
        <v>3644</v>
      </c>
      <c r="L3649" s="36" t="s">
        <v>69</v>
      </c>
      <c r="M3649" s="1" t="s">
        <v>69</v>
      </c>
      <c r="N3649" s="1" t="s">
        <v>3383</v>
      </c>
      <c r="O3649" s="1" t="s">
        <v>3785</v>
      </c>
      <c r="P3649" s="1" t="s">
        <v>3385</v>
      </c>
      <c r="Q3649" s="1" t="s">
        <v>3385</v>
      </c>
      <c r="R3649" s="1" t="s">
        <v>46</v>
      </c>
      <c r="S3649" s="1" t="s">
        <v>69</v>
      </c>
      <c r="T3649" s="1" t="s">
        <v>69</v>
      </c>
      <c r="U3649" s="1" t="s">
        <v>46</v>
      </c>
      <c r="V3649" s="1" t="n">
        <v>1</v>
      </c>
      <c r="W3649" s="1" t="s">
        <v>46</v>
      </c>
      <c r="X3649" s="1" t="s">
        <v>2640</v>
      </c>
      <c r="Y3649" s="1" t="n">
        <v>5500</v>
      </c>
    </row>
    <row r="3650" customFormat="false" ht="13.8" hidden="false" customHeight="false" outlineLevel="0" collapsed="false">
      <c r="A3650" s="1" t="s">
        <v>3849</v>
      </c>
      <c r="C3650" s="1" t="s">
        <v>3850</v>
      </c>
      <c r="D3650" s="1" t="s">
        <v>14</v>
      </c>
      <c r="E3650" s="1" t="s">
        <v>3668</v>
      </c>
      <c r="F3650" s="1" t="s">
        <v>3380</v>
      </c>
      <c r="G3650" s="1" t="s">
        <v>3668</v>
      </c>
      <c r="H3650" s="2" t="s">
        <v>3647</v>
      </c>
      <c r="I3650" s="1" t="s">
        <v>3769</v>
      </c>
      <c r="J3650" s="1" t="s">
        <v>52</v>
      </c>
      <c r="K3650" s="1" t="s">
        <v>3647</v>
      </c>
      <c r="L3650" s="36" t="s">
        <v>69</v>
      </c>
      <c r="M3650" s="1" t="s">
        <v>69</v>
      </c>
      <c r="N3650" s="1" t="s">
        <v>3383</v>
      </c>
      <c r="O3650" s="1" t="s">
        <v>3785</v>
      </c>
      <c r="P3650" s="1" t="s">
        <v>3385</v>
      </c>
      <c r="Q3650" s="1" t="s">
        <v>3385</v>
      </c>
      <c r="R3650" s="1" t="s">
        <v>46</v>
      </c>
      <c r="S3650" s="1" t="s">
        <v>69</v>
      </c>
      <c r="T3650" s="1" t="s">
        <v>69</v>
      </c>
      <c r="U3650" s="1" t="s">
        <v>46</v>
      </c>
      <c r="V3650" s="1" t="n">
        <v>2</v>
      </c>
      <c r="W3650" s="1" t="s">
        <v>46</v>
      </c>
      <c r="X3650" s="1" t="s">
        <v>2640</v>
      </c>
      <c r="Y3650" s="1" t="n">
        <v>5500</v>
      </c>
    </row>
    <row r="3651" customFormat="false" ht="13.8" hidden="false" customHeight="false" outlineLevel="0" collapsed="false">
      <c r="A3651" s="1" t="s">
        <v>3849</v>
      </c>
      <c r="C3651" s="1" t="s">
        <v>3850</v>
      </c>
      <c r="D3651" s="1" t="s">
        <v>14</v>
      </c>
      <c r="E3651" s="1" t="s">
        <v>3668</v>
      </c>
      <c r="F3651" s="1" t="s">
        <v>3380</v>
      </c>
      <c r="G3651" s="1" t="s">
        <v>3668</v>
      </c>
      <c r="H3651" s="2" t="s">
        <v>3649</v>
      </c>
      <c r="I3651" s="1" t="s">
        <v>3770</v>
      </c>
      <c r="J3651" s="1" t="s">
        <v>52</v>
      </c>
      <c r="K3651" s="1" t="s">
        <v>3649</v>
      </c>
      <c r="L3651" s="36" t="s">
        <v>69</v>
      </c>
      <c r="M3651" s="1" t="s">
        <v>69</v>
      </c>
      <c r="N3651" s="1" t="s">
        <v>3383</v>
      </c>
      <c r="O3651" s="1" t="s">
        <v>3785</v>
      </c>
      <c r="P3651" s="1" t="s">
        <v>3385</v>
      </c>
      <c r="Q3651" s="1" t="s">
        <v>3385</v>
      </c>
      <c r="R3651" s="1" t="s">
        <v>46</v>
      </c>
      <c r="S3651" s="1" t="s">
        <v>69</v>
      </c>
      <c r="T3651" s="1" t="s">
        <v>69</v>
      </c>
      <c r="U3651" s="1" t="s">
        <v>46</v>
      </c>
      <c r="V3651" s="1" t="n">
        <v>3</v>
      </c>
      <c r="W3651" s="1" t="s">
        <v>46</v>
      </c>
      <c r="X3651" s="1" t="s">
        <v>2640</v>
      </c>
      <c r="Y3651" s="1" t="n">
        <v>5500</v>
      </c>
    </row>
    <row r="3652" customFormat="false" ht="13.8" hidden="false" customHeight="false" outlineLevel="0" collapsed="false">
      <c r="A3652" s="1" t="s">
        <v>3849</v>
      </c>
      <c r="C3652" s="1" t="s">
        <v>3850</v>
      </c>
      <c r="D3652" s="1" t="s">
        <v>14</v>
      </c>
      <c r="E3652" s="1" t="s">
        <v>3668</v>
      </c>
      <c r="F3652" s="1" t="s">
        <v>3380</v>
      </c>
      <c r="G3652" s="1" t="s">
        <v>3668</v>
      </c>
      <c r="H3652" s="2" t="s">
        <v>3651</v>
      </c>
      <c r="I3652" s="1" t="s">
        <v>3771</v>
      </c>
      <c r="J3652" s="1" t="s">
        <v>52</v>
      </c>
      <c r="K3652" s="1" t="s">
        <v>3651</v>
      </c>
      <c r="L3652" s="36" t="s">
        <v>69</v>
      </c>
      <c r="M3652" s="1" t="s">
        <v>69</v>
      </c>
      <c r="N3652" s="1" t="s">
        <v>3383</v>
      </c>
      <c r="O3652" s="1" t="s">
        <v>3785</v>
      </c>
      <c r="P3652" s="1" t="s">
        <v>3385</v>
      </c>
      <c r="Q3652" s="1" t="s">
        <v>3385</v>
      </c>
      <c r="R3652" s="1" t="s">
        <v>46</v>
      </c>
      <c r="S3652" s="1" t="s">
        <v>69</v>
      </c>
      <c r="T3652" s="1" t="s">
        <v>69</v>
      </c>
      <c r="U3652" s="1" t="s">
        <v>46</v>
      </c>
      <c r="V3652" s="1" t="n">
        <v>4</v>
      </c>
      <c r="W3652" s="1" t="s">
        <v>46</v>
      </c>
      <c r="X3652" s="1" t="s">
        <v>2640</v>
      </c>
      <c r="Y3652" s="1" t="n">
        <v>5500</v>
      </c>
    </row>
    <row r="3653" customFormat="false" ht="13.8" hidden="false" customHeight="false" outlineLevel="0" collapsed="false">
      <c r="A3653" s="1" t="s">
        <v>3849</v>
      </c>
      <c r="C3653" s="1" t="s">
        <v>3850</v>
      </c>
      <c r="D3653" s="1" t="s">
        <v>14</v>
      </c>
      <c r="E3653" s="1" t="s">
        <v>3668</v>
      </c>
      <c r="F3653" s="1" t="s">
        <v>3380</v>
      </c>
      <c r="G3653" s="1" t="s">
        <v>3668</v>
      </c>
      <c r="H3653" s="2" t="s">
        <v>3653</v>
      </c>
      <c r="I3653" s="1" t="s">
        <v>3772</v>
      </c>
      <c r="J3653" s="1" t="s">
        <v>52</v>
      </c>
      <c r="K3653" s="1" t="s">
        <v>3653</v>
      </c>
      <c r="L3653" s="36" t="s">
        <v>69</v>
      </c>
      <c r="M3653" s="1" t="s">
        <v>69</v>
      </c>
      <c r="N3653" s="1" t="s">
        <v>3383</v>
      </c>
      <c r="O3653" s="1" t="s">
        <v>3785</v>
      </c>
      <c r="P3653" s="1" t="s">
        <v>3385</v>
      </c>
      <c r="Q3653" s="1" t="s">
        <v>3385</v>
      </c>
      <c r="R3653" s="1" t="s">
        <v>46</v>
      </c>
      <c r="S3653" s="1" t="s">
        <v>69</v>
      </c>
      <c r="T3653" s="1" t="s">
        <v>69</v>
      </c>
      <c r="U3653" s="1" t="s">
        <v>46</v>
      </c>
      <c r="V3653" s="1" t="n">
        <v>5</v>
      </c>
      <c r="W3653" s="1" t="s">
        <v>46</v>
      </c>
      <c r="X3653" s="1" t="s">
        <v>2640</v>
      </c>
      <c r="Y3653" s="1" t="n">
        <v>5500</v>
      </c>
    </row>
    <row r="3654" customFormat="false" ht="13.8" hidden="false" customHeight="false" outlineLevel="0" collapsed="false">
      <c r="A3654" s="1" t="s">
        <v>3849</v>
      </c>
      <c r="C3654" s="1" t="s">
        <v>3850</v>
      </c>
      <c r="D3654" s="1" t="s">
        <v>14</v>
      </c>
      <c r="E3654" s="1" t="s">
        <v>3668</v>
      </c>
      <c r="F3654" s="1" t="s">
        <v>3380</v>
      </c>
      <c r="G3654" s="1" t="s">
        <v>3668</v>
      </c>
      <c r="H3654" s="2" t="s">
        <v>3436</v>
      </c>
      <c r="I3654" s="1" t="s">
        <v>3693</v>
      </c>
      <c r="J3654" s="1" t="s">
        <v>52</v>
      </c>
      <c r="K3654" s="1" t="s">
        <v>3436</v>
      </c>
      <c r="L3654" s="36" t="s">
        <v>69</v>
      </c>
      <c r="M3654" s="1" t="s">
        <v>69</v>
      </c>
      <c r="N3654" s="1" t="s">
        <v>1935</v>
      </c>
      <c r="O3654" s="1" t="s">
        <v>46</v>
      </c>
      <c r="P3654" s="1" t="s">
        <v>46</v>
      </c>
      <c r="Q3654" s="1" t="s">
        <v>46</v>
      </c>
      <c r="R3654" s="1" t="s">
        <v>46</v>
      </c>
      <c r="S3654" s="1" t="s">
        <v>46</v>
      </c>
      <c r="T3654" s="1" t="s">
        <v>46</v>
      </c>
      <c r="U3654" s="1" t="s">
        <v>46</v>
      </c>
      <c r="W3654" s="1" t="s">
        <v>46</v>
      </c>
      <c r="X3654" s="1" t="s">
        <v>2640</v>
      </c>
      <c r="Y3654" s="1" t="n">
        <v>5500</v>
      </c>
    </row>
    <row r="3655" customFormat="false" ht="13.8" hidden="false" customHeight="false" outlineLevel="0" collapsed="false">
      <c r="A3655" s="1" t="s">
        <v>3849</v>
      </c>
      <c r="C3655" s="1" t="s">
        <v>3850</v>
      </c>
      <c r="D3655" s="1" t="s">
        <v>14</v>
      </c>
      <c r="E3655" s="1" t="s">
        <v>3668</v>
      </c>
      <c r="F3655" s="1" t="s">
        <v>3380</v>
      </c>
      <c r="G3655" s="1" t="s">
        <v>3668</v>
      </c>
      <c r="H3655" s="2" t="s">
        <v>3438</v>
      </c>
      <c r="I3655" s="1" t="s">
        <v>3694</v>
      </c>
      <c r="J3655" s="1" t="s">
        <v>52</v>
      </c>
      <c r="K3655" s="1" t="s">
        <v>3438</v>
      </c>
      <c r="L3655" s="36" t="s">
        <v>69</v>
      </c>
      <c r="M3655" s="1" t="s">
        <v>69</v>
      </c>
      <c r="N3655" s="1" t="s">
        <v>1935</v>
      </c>
      <c r="O3655" s="1" t="s">
        <v>46</v>
      </c>
      <c r="P3655" s="1" t="s">
        <v>46</v>
      </c>
      <c r="Q3655" s="1" t="s">
        <v>46</v>
      </c>
      <c r="R3655" s="1" t="s">
        <v>46</v>
      </c>
      <c r="S3655" s="1" t="s">
        <v>46</v>
      </c>
      <c r="T3655" s="1" t="s">
        <v>46</v>
      </c>
      <c r="U3655" s="1" t="s">
        <v>46</v>
      </c>
      <c r="W3655" s="1" t="s">
        <v>46</v>
      </c>
      <c r="X3655" s="1" t="s">
        <v>2640</v>
      </c>
      <c r="Y3655" s="1" t="n">
        <v>5500</v>
      </c>
    </row>
    <row r="3656" customFormat="false" ht="13.8" hidden="false" customHeight="false" outlineLevel="0" collapsed="false">
      <c r="A3656" s="1" t="s">
        <v>3849</v>
      </c>
      <c r="C3656" s="1" t="s">
        <v>3850</v>
      </c>
      <c r="D3656" s="1" t="s">
        <v>14</v>
      </c>
      <c r="E3656" s="1" t="s">
        <v>3668</v>
      </c>
      <c r="F3656" s="1" t="s">
        <v>3380</v>
      </c>
      <c r="G3656" s="1" t="s">
        <v>3668</v>
      </c>
      <c r="H3656" s="2" t="s">
        <v>3440</v>
      </c>
      <c r="I3656" s="1" t="s">
        <v>3695</v>
      </c>
      <c r="J3656" s="1" t="s">
        <v>52</v>
      </c>
      <c r="K3656" s="1" t="s">
        <v>3440</v>
      </c>
      <c r="L3656" s="36" t="s">
        <v>69</v>
      </c>
      <c r="M3656" s="1" t="s">
        <v>69</v>
      </c>
      <c r="N3656" s="1" t="s">
        <v>1935</v>
      </c>
      <c r="O3656" s="1" t="s">
        <v>46</v>
      </c>
      <c r="P3656" s="1" t="s">
        <v>46</v>
      </c>
      <c r="Q3656" s="1" t="s">
        <v>46</v>
      </c>
      <c r="R3656" s="1" t="s">
        <v>46</v>
      </c>
      <c r="S3656" s="1" t="s">
        <v>46</v>
      </c>
      <c r="T3656" s="1" t="s">
        <v>46</v>
      </c>
      <c r="U3656" s="1" t="s">
        <v>46</v>
      </c>
      <c r="W3656" s="1" t="s">
        <v>46</v>
      </c>
      <c r="X3656" s="1" t="s">
        <v>2640</v>
      </c>
      <c r="Y3656" s="1" t="n">
        <v>5500</v>
      </c>
    </row>
    <row r="3657" customFormat="false" ht="13.8" hidden="false" customHeight="false" outlineLevel="0" collapsed="false">
      <c r="A3657" s="1" t="s">
        <v>3849</v>
      </c>
      <c r="C3657" s="1" t="s">
        <v>3850</v>
      </c>
      <c r="D3657" s="1" t="s">
        <v>14</v>
      </c>
      <c r="E3657" s="1" t="s">
        <v>3668</v>
      </c>
      <c r="F3657" s="1" t="s">
        <v>3380</v>
      </c>
      <c r="G3657" s="1" t="s">
        <v>3668</v>
      </c>
      <c r="H3657" s="2" t="s">
        <v>3442</v>
      </c>
      <c r="I3657" s="1" t="s">
        <v>3696</v>
      </c>
      <c r="J3657" s="1" t="s">
        <v>52</v>
      </c>
      <c r="K3657" s="1" t="s">
        <v>3442</v>
      </c>
      <c r="L3657" s="36" t="s">
        <v>69</v>
      </c>
      <c r="M3657" s="1" t="s">
        <v>69</v>
      </c>
      <c r="N3657" s="1" t="s">
        <v>1935</v>
      </c>
      <c r="O3657" s="1" t="s">
        <v>46</v>
      </c>
      <c r="P3657" s="1" t="s">
        <v>46</v>
      </c>
      <c r="Q3657" s="1" t="s">
        <v>46</v>
      </c>
      <c r="R3657" s="1" t="s">
        <v>46</v>
      </c>
      <c r="S3657" s="1" t="s">
        <v>46</v>
      </c>
      <c r="T3657" s="1" t="s">
        <v>46</v>
      </c>
      <c r="U3657" s="1" t="s">
        <v>46</v>
      </c>
      <c r="W3657" s="1" t="s">
        <v>46</v>
      </c>
      <c r="X3657" s="1" t="s">
        <v>2640</v>
      </c>
      <c r="Y3657" s="1" t="n">
        <v>5500</v>
      </c>
    </row>
    <row r="3658" customFormat="false" ht="13.8" hidden="false" customHeight="false" outlineLevel="0" collapsed="false">
      <c r="A3658" s="1" t="s">
        <v>3849</v>
      </c>
      <c r="C3658" s="1" t="s">
        <v>3850</v>
      </c>
      <c r="D3658" s="1" t="s">
        <v>14</v>
      </c>
      <c r="E3658" s="1" t="s">
        <v>3668</v>
      </c>
      <c r="F3658" s="1" t="s">
        <v>3380</v>
      </c>
      <c r="G3658" s="1" t="s">
        <v>3668</v>
      </c>
      <c r="H3658" s="2" t="s">
        <v>3444</v>
      </c>
      <c r="I3658" s="1" t="s">
        <v>3697</v>
      </c>
      <c r="J3658" s="1" t="s">
        <v>52</v>
      </c>
      <c r="K3658" s="1" t="s">
        <v>3444</v>
      </c>
      <c r="L3658" s="36" t="s">
        <v>69</v>
      </c>
      <c r="M3658" s="1" t="s">
        <v>69</v>
      </c>
      <c r="N3658" s="1" t="s">
        <v>1935</v>
      </c>
      <c r="O3658" s="1" t="s">
        <v>46</v>
      </c>
      <c r="P3658" s="1" t="s">
        <v>46</v>
      </c>
      <c r="Q3658" s="1" t="s">
        <v>46</v>
      </c>
      <c r="R3658" s="1" t="s">
        <v>46</v>
      </c>
      <c r="S3658" s="1" t="s">
        <v>46</v>
      </c>
      <c r="T3658" s="1" t="s">
        <v>46</v>
      </c>
      <c r="U3658" s="1" t="s">
        <v>46</v>
      </c>
      <c r="W3658" s="1" t="s">
        <v>46</v>
      </c>
      <c r="X3658" s="1" t="s">
        <v>2640</v>
      </c>
      <c r="Y3658" s="1" t="n">
        <v>5500</v>
      </c>
    </row>
    <row r="3659" customFormat="false" ht="13.8" hidden="false" customHeight="false" outlineLevel="0" collapsed="false">
      <c r="A3659" s="1" t="s">
        <v>3849</v>
      </c>
      <c r="C3659" s="1" t="s">
        <v>3850</v>
      </c>
      <c r="D3659" s="1" t="s">
        <v>14</v>
      </c>
      <c r="E3659" s="1" t="s">
        <v>3668</v>
      </c>
      <c r="F3659" s="1" t="s">
        <v>3380</v>
      </c>
      <c r="G3659" s="1" t="s">
        <v>3668</v>
      </c>
      <c r="H3659" s="2" t="s">
        <v>3446</v>
      </c>
      <c r="I3659" s="1" t="s">
        <v>3698</v>
      </c>
      <c r="J3659" s="1" t="s">
        <v>52</v>
      </c>
      <c r="K3659" s="1" t="s">
        <v>3446</v>
      </c>
      <c r="L3659" s="36" t="s">
        <v>69</v>
      </c>
      <c r="M3659" s="1" t="s">
        <v>69</v>
      </c>
      <c r="N3659" s="1" t="s">
        <v>1935</v>
      </c>
      <c r="O3659" s="1" t="s">
        <v>46</v>
      </c>
      <c r="P3659" s="1" t="s">
        <v>46</v>
      </c>
      <c r="Q3659" s="1" t="s">
        <v>46</v>
      </c>
      <c r="R3659" s="1" t="s">
        <v>46</v>
      </c>
      <c r="S3659" s="1" t="s">
        <v>46</v>
      </c>
      <c r="T3659" s="1" t="s">
        <v>46</v>
      </c>
      <c r="U3659" s="1" t="s">
        <v>46</v>
      </c>
      <c r="W3659" s="1" t="s">
        <v>46</v>
      </c>
      <c r="X3659" s="1" t="s">
        <v>2640</v>
      </c>
      <c r="Y3659" s="1" t="n">
        <v>5500</v>
      </c>
    </row>
    <row r="3660" customFormat="false" ht="13.8" hidden="false" customHeight="false" outlineLevel="0" collapsed="false">
      <c r="A3660" s="1" t="s">
        <v>3849</v>
      </c>
      <c r="C3660" s="1" t="s">
        <v>3850</v>
      </c>
      <c r="D3660" s="1" t="s">
        <v>14</v>
      </c>
      <c r="E3660" s="1" t="s">
        <v>3668</v>
      </c>
      <c r="F3660" s="1" t="s">
        <v>3380</v>
      </c>
      <c r="G3660" s="1" t="s">
        <v>3668</v>
      </c>
      <c r="H3660" s="2" t="s">
        <v>3448</v>
      </c>
      <c r="I3660" s="1" t="s">
        <v>3699</v>
      </c>
      <c r="J3660" s="1" t="s">
        <v>52</v>
      </c>
      <c r="K3660" s="1" t="s">
        <v>3448</v>
      </c>
      <c r="L3660" s="36" t="s">
        <v>69</v>
      </c>
      <c r="M3660" s="1" t="s">
        <v>69</v>
      </c>
      <c r="N3660" s="1" t="s">
        <v>1935</v>
      </c>
      <c r="O3660" s="1" t="s">
        <v>46</v>
      </c>
      <c r="P3660" s="1" t="s">
        <v>46</v>
      </c>
      <c r="Q3660" s="1" t="s">
        <v>46</v>
      </c>
      <c r="R3660" s="1" t="s">
        <v>46</v>
      </c>
      <c r="S3660" s="1" t="s">
        <v>46</v>
      </c>
      <c r="T3660" s="1" t="s">
        <v>46</v>
      </c>
      <c r="U3660" s="1" t="s">
        <v>46</v>
      </c>
      <c r="W3660" s="1" t="s">
        <v>46</v>
      </c>
      <c r="X3660" s="1" t="s">
        <v>2640</v>
      </c>
      <c r="Y3660" s="1" t="n">
        <v>5500</v>
      </c>
    </row>
    <row r="3661" customFormat="false" ht="13.8" hidden="false" customHeight="false" outlineLevel="0" collapsed="false">
      <c r="A3661" s="1" t="s">
        <v>3849</v>
      </c>
      <c r="C3661" s="1" t="s">
        <v>3850</v>
      </c>
      <c r="D3661" s="1" t="s">
        <v>14</v>
      </c>
      <c r="E3661" s="1" t="s">
        <v>3668</v>
      </c>
      <c r="F3661" s="1" t="s">
        <v>3380</v>
      </c>
      <c r="G3661" s="1" t="s">
        <v>3668</v>
      </c>
      <c r="H3661" s="2" t="s">
        <v>3450</v>
      </c>
      <c r="I3661" s="1" t="s">
        <v>3700</v>
      </c>
      <c r="J3661" s="1" t="s">
        <v>52</v>
      </c>
      <c r="K3661" s="1" t="s">
        <v>3450</v>
      </c>
      <c r="L3661" s="36" t="s">
        <v>69</v>
      </c>
      <c r="M3661" s="1" t="s">
        <v>69</v>
      </c>
      <c r="N3661" s="1" t="s">
        <v>1935</v>
      </c>
      <c r="O3661" s="1" t="s">
        <v>46</v>
      </c>
      <c r="P3661" s="1" t="s">
        <v>46</v>
      </c>
      <c r="Q3661" s="1" t="s">
        <v>46</v>
      </c>
      <c r="R3661" s="1" t="s">
        <v>46</v>
      </c>
      <c r="S3661" s="1" t="s">
        <v>46</v>
      </c>
      <c r="T3661" s="1" t="s">
        <v>46</v>
      </c>
      <c r="U3661" s="1" t="s">
        <v>46</v>
      </c>
      <c r="W3661" s="1" t="s">
        <v>46</v>
      </c>
      <c r="X3661" s="1" t="s">
        <v>2640</v>
      </c>
      <c r="Y3661" s="1" t="n">
        <v>5500</v>
      </c>
    </row>
    <row r="3662" customFormat="false" ht="13.8" hidden="false" customHeight="false" outlineLevel="0" collapsed="false">
      <c r="A3662" s="1" t="s">
        <v>3849</v>
      </c>
      <c r="C3662" s="1" t="s">
        <v>3850</v>
      </c>
      <c r="D3662" s="1" t="s">
        <v>14</v>
      </c>
      <c r="E3662" s="1" t="s">
        <v>3668</v>
      </c>
      <c r="F3662" s="1" t="s">
        <v>3380</v>
      </c>
      <c r="G3662" s="1" t="s">
        <v>3668</v>
      </c>
      <c r="H3662" s="2" t="s">
        <v>3452</v>
      </c>
      <c r="I3662" s="1" t="s">
        <v>3701</v>
      </c>
      <c r="J3662" s="1" t="s">
        <v>52</v>
      </c>
      <c r="K3662" s="1" t="s">
        <v>3452</v>
      </c>
      <c r="L3662" s="36" t="s">
        <v>69</v>
      </c>
      <c r="M3662" s="1" t="s">
        <v>69</v>
      </c>
      <c r="N3662" s="1" t="s">
        <v>1935</v>
      </c>
      <c r="O3662" s="1" t="s">
        <v>46</v>
      </c>
      <c r="P3662" s="1" t="s">
        <v>46</v>
      </c>
      <c r="Q3662" s="1" t="s">
        <v>46</v>
      </c>
      <c r="R3662" s="1" t="s">
        <v>46</v>
      </c>
      <c r="S3662" s="1" t="s">
        <v>46</v>
      </c>
      <c r="T3662" s="1" t="s">
        <v>46</v>
      </c>
      <c r="U3662" s="1" t="s">
        <v>46</v>
      </c>
      <c r="W3662" s="1" t="s">
        <v>46</v>
      </c>
      <c r="X3662" s="1" t="s">
        <v>2640</v>
      </c>
      <c r="Y3662" s="1" t="n">
        <v>5500</v>
      </c>
    </row>
    <row r="3663" customFormat="false" ht="13.8" hidden="false" customHeight="false" outlineLevel="0" collapsed="false">
      <c r="A3663" s="1" t="s">
        <v>3849</v>
      </c>
      <c r="C3663" s="1" t="s">
        <v>3850</v>
      </c>
      <c r="D3663" s="1" t="s">
        <v>14</v>
      </c>
      <c r="E3663" s="1" t="s">
        <v>3668</v>
      </c>
      <c r="F3663" s="1" t="s">
        <v>3380</v>
      </c>
      <c r="G3663" s="1" t="s">
        <v>3668</v>
      </c>
      <c r="H3663" s="2" t="s">
        <v>3454</v>
      </c>
      <c r="I3663" s="1" t="s">
        <v>3702</v>
      </c>
      <c r="J3663" s="1" t="s">
        <v>52</v>
      </c>
      <c r="K3663" s="1" t="s">
        <v>3454</v>
      </c>
      <c r="L3663" s="36" t="s">
        <v>69</v>
      </c>
      <c r="M3663" s="1" t="s">
        <v>69</v>
      </c>
      <c r="N3663" s="1" t="s">
        <v>1935</v>
      </c>
      <c r="O3663" s="1" t="s">
        <v>46</v>
      </c>
      <c r="P3663" s="1" t="s">
        <v>46</v>
      </c>
      <c r="Q3663" s="1" t="s">
        <v>46</v>
      </c>
      <c r="R3663" s="1" t="s">
        <v>46</v>
      </c>
      <c r="S3663" s="1" t="s">
        <v>46</v>
      </c>
      <c r="T3663" s="1" t="s">
        <v>46</v>
      </c>
      <c r="U3663" s="1" t="s">
        <v>46</v>
      </c>
      <c r="W3663" s="1" t="s">
        <v>46</v>
      </c>
      <c r="X3663" s="1" t="s">
        <v>2640</v>
      </c>
      <c r="Y3663" s="1" t="n">
        <v>5500</v>
      </c>
    </row>
    <row r="3664" customFormat="false" ht="13.8" hidden="false" customHeight="false" outlineLevel="0" collapsed="false">
      <c r="A3664" s="1" t="s">
        <v>3849</v>
      </c>
      <c r="C3664" s="1" t="s">
        <v>3850</v>
      </c>
      <c r="D3664" s="1" t="s">
        <v>14</v>
      </c>
      <c r="E3664" s="1" t="s">
        <v>3668</v>
      </c>
      <c r="F3664" s="1" t="s">
        <v>3380</v>
      </c>
      <c r="G3664" s="1" t="s">
        <v>3668</v>
      </c>
      <c r="H3664" s="2" t="s">
        <v>3456</v>
      </c>
      <c r="I3664" s="1" t="s">
        <v>3703</v>
      </c>
      <c r="J3664" s="1" t="s">
        <v>52</v>
      </c>
      <c r="K3664" s="1" t="s">
        <v>3456</v>
      </c>
      <c r="L3664" s="36" t="s">
        <v>69</v>
      </c>
      <c r="M3664" s="1" t="s">
        <v>69</v>
      </c>
      <c r="N3664" s="1" t="s">
        <v>1935</v>
      </c>
      <c r="O3664" s="1" t="s">
        <v>46</v>
      </c>
      <c r="P3664" s="1" t="s">
        <v>46</v>
      </c>
      <c r="Q3664" s="1" t="s">
        <v>46</v>
      </c>
      <c r="R3664" s="1" t="s">
        <v>46</v>
      </c>
      <c r="S3664" s="1" t="s">
        <v>46</v>
      </c>
      <c r="T3664" s="1" t="s">
        <v>46</v>
      </c>
      <c r="U3664" s="1" t="s">
        <v>46</v>
      </c>
      <c r="W3664" s="1" t="s">
        <v>46</v>
      </c>
      <c r="X3664" s="1" t="s">
        <v>2640</v>
      </c>
      <c r="Y3664" s="1" t="n">
        <v>5500</v>
      </c>
    </row>
    <row r="3665" customFormat="false" ht="13.8" hidden="false" customHeight="false" outlineLevel="0" collapsed="false">
      <c r="A3665" s="1" t="s">
        <v>3849</v>
      </c>
      <c r="C3665" s="1" t="s">
        <v>3850</v>
      </c>
      <c r="D3665" s="1" t="s">
        <v>14</v>
      </c>
      <c r="E3665" s="1" t="s">
        <v>3668</v>
      </c>
      <c r="F3665" s="1" t="s">
        <v>3380</v>
      </c>
      <c r="G3665" s="1" t="s">
        <v>3668</v>
      </c>
      <c r="H3665" s="2" t="s">
        <v>3458</v>
      </c>
      <c r="I3665" s="1" t="s">
        <v>3704</v>
      </c>
      <c r="J3665" s="1" t="s">
        <v>52</v>
      </c>
      <c r="K3665" s="1" t="s">
        <v>3458</v>
      </c>
      <c r="L3665" s="36" t="s">
        <v>69</v>
      </c>
      <c r="M3665" s="1" t="s">
        <v>69</v>
      </c>
      <c r="N3665" s="1" t="s">
        <v>1935</v>
      </c>
      <c r="O3665" s="1" t="s">
        <v>46</v>
      </c>
      <c r="P3665" s="1" t="s">
        <v>46</v>
      </c>
      <c r="Q3665" s="1" t="s">
        <v>46</v>
      </c>
      <c r="R3665" s="1" t="s">
        <v>46</v>
      </c>
      <c r="S3665" s="1" t="s">
        <v>46</v>
      </c>
      <c r="T3665" s="1" t="s">
        <v>46</v>
      </c>
      <c r="U3665" s="1" t="s">
        <v>46</v>
      </c>
      <c r="W3665" s="1" t="s">
        <v>46</v>
      </c>
      <c r="X3665" s="1" t="s">
        <v>2640</v>
      </c>
      <c r="Y3665" s="1" t="n">
        <v>5500</v>
      </c>
    </row>
    <row r="3666" customFormat="false" ht="13.8" hidden="false" customHeight="false" outlineLevel="0" collapsed="false">
      <c r="A3666" s="1" t="s">
        <v>3849</v>
      </c>
      <c r="C3666" s="1" t="s">
        <v>3850</v>
      </c>
      <c r="D3666" s="1" t="s">
        <v>14</v>
      </c>
      <c r="E3666" s="1" t="s">
        <v>3668</v>
      </c>
      <c r="F3666" s="1" t="s">
        <v>3380</v>
      </c>
      <c r="G3666" s="1" t="s">
        <v>3668</v>
      </c>
      <c r="H3666" s="2" t="s">
        <v>3460</v>
      </c>
      <c r="I3666" s="1" t="s">
        <v>3705</v>
      </c>
      <c r="J3666" s="1" t="s">
        <v>52</v>
      </c>
      <c r="K3666" s="1" t="s">
        <v>3460</v>
      </c>
      <c r="L3666" s="36" t="s">
        <v>69</v>
      </c>
      <c r="M3666" s="1" t="s">
        <v>69</v>
      </c>
      <c r="N3666" s="1" t="s">
        <v>1935</v>
      </c>
      <c r="O3666" s="1" t="s">
        <v>46</v>
      </c>
      <c r="P3666" s="1" t="s">
        <v>46</v>
      </c>
      <c r="Q3666" s="1" t="s">
        <v>46</v>
      </c>
      <c r="R3666" s="1" t="s">
        <v>46</v>
      </c>
      <c r="S3666" s="1" t="s">
        <v>46</v>
      </c>
      <c r="T3666" s="1" t="s">
        <v>46</v>
      </c>
      <c r="U3666" s="1" t="s">
        <v>46</v>
      </c>
      <c r="W3666" s="1" t="s">
        <v>46</v>
      </c>
      <c r="X3666" s="1" t="s">
        <v>2640</v>
      </c>
      <c r="Y3666" s="1" t="n">
        <v>5500</v>
      </c>
    </row>
    <row r="3667" customFormat="false" ht="13.8" hidden="false" customHeight="false" outlineLevel="0" collapsed="false">
      <c r="A3667" s="1" t="s">
        <v>3849</v>
      </c>
      <c r="C3667" s="1" t="s">
        <v>3850</v>
      </c>
      <c r="D3667" s="1" t="s">
        <v>14</v>
      </c>
      <c r="E3667" s="1" t="s">
        <v>3668</v>
      </c>
      <c r="F3667" s="1" t="s">
        <v>3380</v>
      </c>
      <c r="G3667" s="1" t="s">
        <v>3668</v>
      </c>
      <c r="H3667" s="2" t="s">
        <v>3462</v>
      </c>
      <c r="I3667" s="1" t="s">
        <v>3706</v>
      </c>
      <c r="J3667" s="1" t="s">
        <v>52</v>
      </c>
      <c r="K3667" s="1" t="s">
        <v>3462</v>
      </c>
      <c r="L3667" s="36" t="s">
        <v>69</v>
      </c>
      <c r="M3667" s="1" t="s">
        <v>69</v>
      </c>
      <c r="N3667" s="1" t="s">
        <v>1935</v>
      </c>
      <c r="O3667" s="1" t="s">
        <v>46</v>
      </c>
      <c r="P3667" s="1" t="s">
        <v>46</v>
      </c>
      <c r="Q3667" s="1" t="s">
        <v>46</v>
      </c>
      <c r="R3667" s="1" t="s">
        <v>46</v>
      </c>
      <c r="S3667" s="1" t="s">
        <v>46</v>
      </c>
      <c r="T3667" s="1" t="s">
        <v>46</v>
      </c>
      <c r="U3667" s="1" t="s">
        <v>46</v>
      </c>
      <c r="W3667" s="1" t="s">
        <v>46</v>
      </c>
      <c r="X3667" s="1" t="s">
        <v>2640</v>
      </c>
      <c r="Y3667" s="1" t="n">
        <v>5500</v>
      </c>
    </row>
    <row r="3668" customFormat="false" ht="13.8" hidden="false" customHeight="false" outlineLevel="0" collapsed="false">
      <c r="A3668" s="1" t="s">
        <v>3849</v>
      </c>
      <c r="C3668" s="1" t="s">
        <v>3850</v>
      </c>
      <c r="D3668" s="1" t="s">
        <v>14</v>
      </c>
      <c r="E3668" s="1" t="s">
        <v>3668</v>
      </c>
      <c r="F3668" s="1" t="s">
        <v>3380</v>
      </c>
      <c r="G3668" s="1" t="s">
        <v>3668</v>
      </c>
      <c r="H3668" s="2" t="s">
        <v>3464</v>
      </c>
      <c r="I3668" s="1" t="s">
        <v>3707</v>
      </c>
      <c r="J3668" s="1" t="s">
        <v>52</v>
      </c>
      <c r="K3668" s="1" t="s">
        <v>3464</v>
      </c>
      <c r="L3668" s="36" t="s">
        <v>69</v>
      </c>
      <c r="M3668" s="1" t="s">
        <v>69</v>
      </c>
      <c r="N3668" s="1" t="s">
        <v>1935</v>
      </c>
      <c r="O3668" s="1" t="s">
        <v>46</v>
      </c>
      <c r="P3668" s="1" t="s">
        <v>46</v>
      </c>
      <c r="Q3668" s="1" t="s">
        <v>46</v>
      </c>
      <c r="R3668" s="1" t="s">
        <v>46</v>
      </c>
      <c r="S3668" s="1" t="s">
        <v>46</v>
      </c>
      <c r="T3668" s="1" t="s">
        <v>46</v>
      </c>
      <c r="U3668" s="1" t="s">
        <v>46</v>
      </c>
      <c r="W3668" s="1" t="s">
        <v>46</v>
      </c>
      <c r="X3668" s="1" t="s">
        <v>2640</v>
      </c>
      <c r="Y3668" s="1" t="n">
        <v>5500</v>
      </c>
    </row>
    <row r="3669" customFormat="false" ht="13.8" hidden="false" customHeight="false" outlineLevel="0" collapsed="false">
      <c r="A3669" s="1" t="s">
        <v>3849</v>
      </c>
      <c r="C3669" s="1" t="s">
        <v>3850</v>
      </c>
      <c r="D3669" s="1" t="s">
        <v>14</v>
      </c>
      <c r="E3669" s="1" t="s">
        <v>3668</v>
      </c>
      <c r="F3669" s="1" t="s">
        <v>3380</v>
      </c>
      <c r="G3669" s="1" t="s">
        <v>3668</v>
      </c>
      <c r="H3669" s="2" t="s">
        <v>3466</v>
      </c>
      <c r="I3669" s="1" t="s">
        <v>3708</v>
      </c>
      <c r="J3669" s="1" t="s">
        <v>52</v>
      </c>
      <c r="K3669" s="1" t="s">
        <v>3466</v>
      </c>
      <c r="L3669" s="36" t="s">
        <v>69</v>
      </c>
      <c r="M3669" s="1" t="s">
        <v>69</v>
      </c>
      <c r="N3669" s="1" t="s">
        <v>3468</v>
      </c>
      <c r="O3669" s="1" t="s">
        <v>46</v>
      </c>
      <c r="P3669" s="1" t="s">
        <v>46</v>
      </c>
      <c r="Q3669" s="1" t="s">
        <v>46</v>
      </c>
      <c r="R3669" s="1" t="s">
        <v>46</v>
      </c>
      <c r="S3669" s="1" t="s">
        <v>46</v>
      </c>
      <c r="T3669" s="1" t="s">
        <v>46</v>
      </c>
      <c r="U3669" s="1" t="s">
        <v>46</v>
      </c>
      <c r="W3669" s="1" t="s">
        <v>46</v>
      </c>
      <c r="X3669" s="1" t="s">
        <v>2640</v>
      </c>
      <c r="Y3669" s="1" t="n">
        <v>5500</v>
      </c>
    </row>
    <row r="3670" customFormat="false" ht="13.8" hidden="false" customHeight="false" outlineLevel="0" collapsed="false">
      <c r="A3670" s="1" t="s">
        <v>3849</v>
      </c>
      <c r="C3670" s="1" t="s">
        <v>3850</v>
      </c>
      <c r="D3670" s="1" t="s">
        <v>14</v>
      </c>
      <c r="E3670" s="1" t="s">
        <v>3668</v>
      </c>
      <c r="F3670" s="1" t="s">
        <v>3380</v>
      </c>
      <c r="G3670" s="1" t="s">
        <v>3668</v>
      </c>
      <c r="H3670" s="2" t="s">
        <v>3469</v>
      </c>
      <c r="I3670" s="1" t="s">
        <v>3709</v>
      </c>
      <c r="J3670" s="1" t="s">
        <v>52</v>
      </c>
      <c r="K3670" s="1" t="s">
        <v>3469</v>
      </c>
      <c r="L3670" s="36" t="s">
        <v>69</v>
      </c>
      <c r="M3670" s="1" t="s">
        <v>69</v>
      </c>
      <c r="N3670" s="1" t="s">
        <v>3468</v>
      </c>
      <c r="O3670" s="1" t="s">
        <v>46</v>
      </c>
      <c r="P3670" s="1" t="s">
        <v>46</v>
      </c>
      <c r="Q3670" s="1" t="s">
        <v>46</v>
      </c>
      <c r="R3670" s="1" t="s">
        <v>46</v>
      </c>
      <c r="S3670" s="1" t="s">
        <v>46</v>
      </c>
      <c r="T3670" s="1" t="s">
        <v>46</v>
      </c>
      <c r="U3670" s="1" t="s">
        <v>46</v>
      </c>
      <c r="W3670" s="1" t="s">
        <v>46</v>
      </c>
      <c r="X3670" s="1" t="s">
        <v>2640</v>
      </c>
      <c r="Y3670" s="1" t="n">
        <v>5500</v>
      </c>
    </row>
    <row r="3671" customFormat="false" ht="13.8" hidden="false" customHeight="false" outlineLevel="0" collapsed="false">
      <c r="A3671" s="1" t="s">
        <v>3849</v>
      </c>
      <c r="C3671" s="1" t="s">
        <v>3850</v>
      </c>
      <c r="D3671" s="1" t="s">
        <v>14</v>
      </c>
      <c r="E3671" s="1" t="s">
        <v>3668</v>
      </c>
      <c r="F3671" s="1" t="s">
        <v>3380</v>
      </c>
      <c r="G3671" s="1" t="s">
        <v>3668</v>
      </c>
      <c r="H3671" s="2" t="s">
        <v>3471</v>
      </c>
      <c r="I3671" s="1" t="s">
        <v>3710</v>
      </c>
      <c r="J3671" s="1" t="s">
        <v>52</v>
      </c>
      <c r="K3671" s="1" t="s">
        <v>3471</v>
      </c>
      <c r="L3671" s="36" t="s">
        <v>69</v>
      </c>
      <c r="M3671" s="1" t="s">
        <v>69</v>
      </c>
      <c r="N3671" s="1" t="s">
        <v>3468</v>
      </c>
      <c r="O3671" s="1" t="s">
        <v>46</v>
      </c>
      <c r="P3671" s="1" t="s">
        <v>46</v>
      </c>
      <c r="Q3671" s="1" t="s">
        <v>46</v>
      </c>
      <c r="R3671" s="1" t="s">
        <v>46</v>
      </c>
      <c r="S3671" s="1" t="s">
        <v>46</v>
      </c>
      <c r="T3671" s="1" t="s">
        <v>46</v>
      </c>
      <c r="U3671" s="1" t="s">
        <v>46</v>
      </c>
      <c r="W3671" s="1" t="s">
        <v>46</v>
      </c>
      <c r="X3671" s="1" t="s">
        <v>2640</v>
      </c>
      <c r="Y3671" s="1" t="n">
        <v>5500</v>
      </c>
    </row>
    <row r="3672" customFormat="false" ht="13.8" hidden="false" customHeight="false" outlineLevel="0" collapsed="false">
      <c r="A3672" s="1" t="s">
        <v>3849</v>
      </c>
      <c r="C3672" s="1" t="s">
        <v>3850</v>
      </c>
      <c r="D3672" s="1" t="s">
        <v>14</v>
      </c>
      <c r="E3672" s="1" t="s">
        <v>3668</v>
      </c>
      <c r="F3672" s="1" t="s">
        <v>3380</v>
      </c>
      <c r="G3672" s="1" t="s">
        <v>3668</v>
      </c>
      <c r="H3672" s="2" t="s">
        <v>3473</v>
      </c>
      <c r="I3672" s="1" t="s">
        <v>3711</v>
      </c>
      <c r="J3672" s="1" t="s">
        <v>52</v>
      </c>
      <c r="K3672" s="1" t="s">
        <v>3473</v>
      </c>
      <c r="L3672" s="36" t="s">
        <v>69</v>
      </c>
      <c r="M3672" s="1" t="s">
        <v>69</v>
      </c>
      <c r="N3672" s="1" t="s">
        <v>3468</v>
      </c>
      <c r="O3672" s="1" t="s">
        <v>46</v>
      </c>
      <c r="P3672" s="1" t="s">
        <v>46</v>
      </c>
      <c r="Q3672" s="1" t="s">
        <v>46</v>
      </c>
      <c r="R3672" s="1" t="s">
        <v>46</v>
      </c>
      <c r="S3672" s="1" t="s">
        <v>46</v>
      </c>
      <c r="T3672" s="1" t="s">
        <v>46</v>
      </c>
      <c r="U3672" s="1" t="s">
        <v>46</v>
      </c>
      <c r="W3672" s="1" t="s">
        <v>46</v>
      </c>
      <c r="X3672" s="1" t="s">
        <v>2640</v>
      </c>
      <c r="Y3672" s="1" t="n">
        <v>5500</v>
      </c>
    </row>
    <row r="3673" customFormat="false" ht="13.8" hidden="false" customHeight="false" outlineLevel="0" collapsed="false">
      <c r="A3673" s="1" t="s">
        <v>3849</v>
      </c>
      <c r="C3673" s="1" t="s">
        <v>3850</v>
      </c>
      <c r="D3673" s="1" t="s">
        <v>14</v>
      </c>
      <c r="E3673" s="1" t="s">
        <v>3668</v>
      </c>
      <c r="F3673" s="1" t="s">
        <v>3380</v>
      </c>
      <c r="G3673" s="1" t="s">
        <v>3668</v>
      </c>
      <c r="H3673" s="2" t="s">
        <v>3475</v>
      </c>
      <c r="I3673" s="1" t="s">
        <v>3712</v>
      </c>
      <c r="J3673" s="1" t="s">
        <v>52</v>
      </c>
      <c r="K3673" s="1" t="s">
        <v>3475</v>
      </c>
      <c r="L3673" s="36" t="s">
        <v>69</v>
      </c>
      <c r="M3673" s="1" t="s">
        <v>69</v>
      </c>
      <c r="N3673" s="1" t="s">
        <v>3468</v>
      </c>
      <c r="O3673" s="1" t="s">
        <v>46</v>
      </c>
      <c r="P3673" s="1" t="s">
        <v>46</v>
      </c>
      <c r="Q3673" s="1" t="s">
        <v>46</v>
      </c>
      <c r="R3673" s="1" t="s">
        <v>46</v>
      </c>
      <c r="S3673" s="1" t="s">
        <v>46</v>
      </c>
      <c r="T3673" s="1" t="s">
        <v>46</v>
      </c>
      <c r="U3673" s="1" t="s">
        <v>46</v>
      </c>
      <c r="W3673" s="1" t="s">
        <v>46</v>
      </c>
      <c r="X3673" s="1" t="s">
        <v>2640</v>
      </c>
      <c r="Y3673" s="1" t="n">
        <v>5500</v>
      </c>
    </row>
    <row r="3674" customFormat="false" ht="13.8" hidden="false" customHeight="false" outlineLevel="0" collapsed="false">
      <c r="A3674" s="1" t="s">
        <v>3849</v>
      </c>
      <c r="C3674" s="1" t="s">
        <v>3850</v>
      </c>
      <c r="D3674" s="1" t="s">
        <v>14</v>
      </c>
      <c r="E3674" s="1" t="s">
        <v>3668</v>
      </c>
      <c r="F3674" s="1" t="s">
        <v>3380</v>
      </c>
      <c r="G3674" s="1" t="s">
        <v>3668</v>
      </c>
      <c r="H3674" s="2" t="s">
        <v>3477</v>
      </c>
      <c r="I3674" s="1" t="s">
        <v>3713</v>
      </c>
      <c r="J3674" s="1" t="s">
        <v>52</v>
      </c>
      <c r="K3674" s="1" t="s">
        <v>3477</v>
      </c>
      <c r="L3674" s="36" t="s">
        <v>69</v>
      </c>
      <c r="M3674" s="1" t="s">
        <v>69</v>
      </c>
      <c r="N3674" s="1" t="s">
        <v>3468</v>
      </c>
      <c r="O3674" s="1" t="s">
        <v>46</v>
      </c>
      <c r="P3674" s="1" t="s">
        <v>46</v>
      </c>
      <c r="Q3674" s="1" t="s">
        <v>46</v>
      </c>
      <c r="R3674" s="1" t="s">
        <v>46</v>
      </c>
      <c r="S3674" s="1" t="s">
        <v>46</v>
      </c>
      <c r="T3674" s="1" t="s">
        <v>46</v>
      </c>
      <c r="U3674" s="1" t="s">
        <v>46</v>
      </c>
      <c r="W3674" s="1" t="s">
        <v>46</v>
      </c>
      <c r="X3674" s="1" t="s">
        <v>2640</v>
      </c>
      <c r="Y3674" s="1" t="n">
        <v>5500</v>
      </c>
    </row>
    <row r="3675" customFormat="false" ht="13.8" hidden="false" customHeight="false" outlineLevel="0" collapsed="false">
      <c r="A3675" s="1" t="s">
        <v>3849</v>
      </c>
      <c r="C3675" s="1" t="s">
        <v>3850</v>
      </c>
      <c r="D3675" s="1" t="s">
        <v>14</v>
      </c>
      <c r="E3675" s="1" t="s">
        <v>3668</v>
      </c>
      <c r="F3675" s="1" t="s">
        <v>3380</v>
      </c>
      <c r="G3675" s="1" t="s">
        <v>3668</v>
      </c>
      <c r="H3675" s="2" t="s">
        <v>3479</v>
      </c>
      <c r="I3675" s="1" t="s">
        <v>3714</v>
      </c>
      <c r="J3675" s="1" t="s">
        <v>52</v>
      </c>
      <c r="K3675" s="1" t="s">
        <v>3479</v>
      </c>
      <c r="L3675" s="36" t="s">
        <v>69</v>
      </c>
      <c r="M3675" s="1" t="s">
        <v>69</v>
      </c>
      <c r="N3675" s="1" t="s">
        <v>3468</v>
      </c>
      <c r="O3675" s="1" t="s">
        <v>46</v>
      </c>
      <c r="P3675" s="1" t="s">
        <v>46</v>
      </c>
      <c r="Q3675" s="1" t="s">
        <v>46</v>
      </c>
      <c r="R3675" s="1" t="s">
        <v>46</v>
      </c>
      <c r="S3675" s="1" t="s">
        <v>46</v>
      </c>
      <c r="T3675" s="1" t="s">
        <v>46</v>
      </c>
      <c r="U3675" s="1" t="s">
        <v>46</v>
      </c>
      <c r="W3675" s="1" t="s">
        <v>46</v>
      </c>
      <c r="X3675" s="1" t="s">
        <v>2640</v>
      </c>
      <c r="Y3675" s="1" t="n">
        <v>5500</v>
      </c>
    </row>
    <row r="3676" customFormat="false" ht="13.8" hidden="false" customHeight="false" outlineLevel="0" collapsed="false">
      <c r="A3676" s="1" t="s">
        <v>3849</v>
      </c>
      <c r="C3676" s="1" t="s">
        <v>3850</v>
      </c>
      <c r="D3676" s="1" t="s">
        <v>14</v>
      </c>
      <c r="E3676" s="1" t="s">
        <v>3668</v>
      </c>
      <c r="F3676" s="1" t="s">
        <v>3380</v>
      </c>
      <c r="G3676" s="1" t="s">
        <v>3668</v>
      </c>
      <c r="H3676" s="2" t="s">
        <v>3481</v>
      </c>
      <c r="I3676" s="1" t="s">
        <v>3715</v>
      </c>
      <c r="J3676" s="1" t="s">
        <v>52</v>
      </c>
      <c r="K3676" s="1" t="s">
        <v>3481</v>
      </c>
      <c r="L3676" s="36" t="s">
        <v>69</v>
      </c>
      <c r="M3676" s="1" t="s">
        <v>69</v>
      </c>
      <c r="N3676" s="1" t="s">
        <v>3468</v>
      </c>
      <c r="O3676" s="1" t="s">
        <v>46</v>
      </c>
      <c r="P3676" s="1" t="s">
        <v>46</v>
      </c>
      <c r="Q3676" s="1" t="s">
        <v>46</v>
      </c>
      <c r="R3676" s="1" t="s">
        <v>46</v>
      </c>
      <c r="S3676" s="1" t="s">
        <v>46</v>
      </c>
      <c r="T3676" s="1" t="s">
        <v>46</v>
      </c>
      <c r="U3676" s="1" t="s">
        <v>46</v>
      </c>
      <c r="W3676" s="1" t="s">
        <v>46</v>
      </c>
      <c r="X3676" s="1" t="s">
        <v>2640</v>
      </c>
      <c r="Y3676" s="1" t="n">
        <v>5500</v>
      </c>
    </row>
    <row r="3677" customFormat="false" ht="13.8" hidden="false" customHeight="false" outlineLevel="0" collapsed="false">
      <c r="A3677" s="1" t="s">
        <v>3849</v>
      </c>
      <c r="C3677" s="1" t="s">
        <v>3850</v>
      </c>
      <c r="D3677" s="1" t="s">
        <v>14</v>
      </c>
      <c r="E3677" s="1" t="s">
        <v>3668</v>
      </c>
      <c r="F3677" s="1" t="s">
        <v>3380</v>
      </c>
      <c r="G3677" s="1" t="s">
        <v>3668</v>
      </c>
      <c r="H3677" s="2" t="s">
        <v>3483</v>
      </c>
      <c r="I3677" s="1" t="s">
        <v>3716</v>
      </c>
      <c r="J3677" s="1" t="s">
        <v>52</v>
      </c>
      <c r="K3677" s="1" t="s">
        <v>3483</v>
      </c>
      <c r="L3677" s="36" t="s">
        <v>69</v>
      </c>
      <c r="M3677" s="1" t="s">
        <v>69</v>
      </c>
      <c r="N3677" s="1" t="s">
        <v>3468</v>
      </c>
      <c r="O3677" s="1" t="s">
        <v>46</v>
      </c>
      <c r="P3677" s="1" t="s">
        <v>46</v>
      </c>
      <c r="Q3677" s="1" t="s">
        <v>46</v>
      </c>
      <c r="R3677" s="1" t="s">
        <v>46</v>
      </c>
      <c r="S3677" s="1" t="s">
        <v>46</v>
      </c>
      <c r="T3677" s="1" t="s">
        <v>46</v>
      </c>
      <c r="U3677" s="1" t="s">
        <v>46</v>
      </c>
      <c r="W3677" s="1" t="s">
        <v>46</v>
      </c>
      <c r="X3677" s="1" t="s">
        <v>2640</v>
      </c>
      <c r="Y3677" s="1" t="n">
        <v>5500</v>
      </c>
    </row>
    <row r="3678" customFormat="false" ht="13.8" hidden="false" customHeight="false" outlineLevel="0" collapsed="false">
      <c r="A3678" s="1" t="s">
        <v>3849</v>
      </c>
      <c r="C3678" s="1" t="s">
        <v>3850</v>
      </c>
      <c r="D3678" s="1" t="s">
        <v>14</v>
      </c>
      <c r="E3678" s="1" t="s">
        <v>3668</v>
      </c>
      <c r="F3678" s="1" t="s">
        <v>3380</v>
      </c>
      <c r="G3678" s="1" t="s">
        <v>3668</v>
      </c>
      <c r="H3678" s="2" t="s">
        <v>3485</v>
      </c>
      <c r="I3678" s="1" t="s">
        <v>3717</v>
      </c>
      <c r="J3678" s="1" t="s">
        <v>52</v>
      </c>
      <c r="K3678" s="1" t="s">
        <v>3485</v>
      </c>
      <c r="L3678" s="36" t="s">
        <v>69</v>
      </c>
      <c r="M3678" s="1" t="s">
        <v>69</v>
      </c>
      <c r="N3678" s="1" t="s">
        <v>3468</v>
      </c>
      <c r="O3678" s="1" t="s">
        <v>46</v>
      </c>
      <c r="P3678" s="1" t="s">
        <v>46</v>
      </c>
      <c r="Q3678" s="1" t="s">
        <v>46</v>
      </c>
      <c r="R3678" s="1" t="s">
        <v>46</v>
      </c>
      <c r="S3678" s="1" t="s">
        <v>46</v>
      </c>
      <c r="T3678" s="1" t="s">
        <v>46</v>
      </c>
      <c r="U3678" s="1" t="s">
        <v>46</v>
      </c>
      <c r="W3678" s="1" t="s">
        <v>46</v>
      </c>
      <c r="X3678" s="1" t="s">
        <v>2640</v>
      </c>
      <c r="Y3678" s="1" t="n">
        <v>5500</v>
      </c>
    </row>
    <row r="3679" customFormat="false" ht="13.8" hidden="false" customHeight="false" outlineLevel="0" collapsed="false">
      <c r="A3679" s="1" t="s">
        <v>3849</v>
      </c>
      <c r="C3679" s="1" t="s">
        <v>3850</v>
      </c>
      <c r="D3679" s="1" t="s">
        <v>14</v>
      </c>
      <c r="E3679" s="1" t="s">
        <v>3668</v>
      </c>
      <c r="F3679" s="1" t="s">
        <v>3380</v>
      </c>
      <c r="G3679" s="1" t="s">
        <v>3668</v>
      </c>
      <c r="H3679" s="2" t="s">
        <v>3487</v>
      </c>
      <c r="I3679" s="1" t="s">
        <v>3718</v>
      </c>
      <c r="J3679" s="1" t="s">
        <v>52</v>
      </c>
      <c r="K3679" s="1" t="s">
        <v>3487</v>
      </c>
      <c r="L3679" s="36" t="s">
        <v>69</v>
      </c>
      <c r="M3679" s="1" t="s">
        <v>69</v>
      </c>
      <c r="N3679" s="1" t="s">
        <v>3468</v>
      </c>
      <c r="O3679" s="1" t="s">
        <v>46</v>
      </c>
      <c r="P3679" s="1" t="s">
        <v>46</v>
      </c>
      <c r="Q3679" s="1" t="s">
        <v>46</v>
      </c>
      <c r="R3679" s="1" t="s">
        <v>46</v>
      </c>
      <c r="S3679" s="1" t="s">
        <v>46</v>
      </c>
      <c r="T3679" s="1" t="s">
        <v>46</v>
      </c>
      <c r="U3679" s="1" t="s">
        <v>46</v>
      </c>
      <c r="W3679" s="1" t="s">
        <v>46</v>
      </c>
      <c r="X3679" s="1" t="s">
        <v>2640</v>
      </c>
      <c r="Y3679" s="1" t="n">
        <v>5500</v>
      </c>
    </row>
    <row r="3680" customFormat="false" ht="13.8" hidden="false" customHeight="false" outlineLevel="0" collapsed="false">
      <c r="A3680" s="1" t="s">
        <v>3849</v>
      </c>
      <c r="C3680" s="1" t="s">
        <v>3850</v>
      </c>
      <c r="D3680" s="1" t="s">
        <v>14</v>
      </c>
      <c r="E3680" s="1" t="s">
        <v>3668</v>
      </c>
      <c r="F3680" s="1" t="s">
        <v>3380</v>
      </c>
      <c r="G3680" s="1" t="s">
        <v>3668</v>
      </c>
      <c r="H3680" s="2" t="s">
        <v>3489</v>
      </c>
      <c r="I3680" s="1" t="s">
        <v>3719</v>
      </c>
      <c r="J3680" s="1" t="s">
        <v>52</v>
      </c>
      <c r="K3680" s="1" t="s">
        <v>3489</v>
      </c>
      <c r="L3680" s="36" t="s">
        <v>69</v>
      </c>
      <c r="M3680" s="1" t="s">
        <v>69</v>
      </c>
      <c r="N3680" s="1" t="s">
        <v>3468</v>
      </c>
      <c r="O3680" s="1" t="s">
        <v>46</v>
      </c>
      <c r="P3680" s="1" t="s">
        <v>46</v>
      </c>
      <c r="Q3680" s="1" t="s">
        <v>46</v>
      </c>
      <c r="R3680" s="1" t="s">
        <v>46</v>
      </c>
      <c r="S3680" s="1" t="s">
        <v>46</v>
      </c>
      <c r="T3680" s="1" t="s">
        <v>46</v>
      </c>
      <c r="U3680" s="1" t="s">
        <v>46</v>
      </c>
      <c r="W3680" s="1" t="s">
        <v>46</v>
      </c>
      <c r="X3680" s="1" t="s">
        <v>2640</v>
      </c>
      <c r="Y3680" s="1" t="n">
        <v>5500</v>
      </c>
    </row>
    <row r="3681" customFormat="false" ht="13.8" hidden="false" customHeight="false" outlineLevel="0" collapsed="false">
      <c r="A3681" s="1" t="s">
        <v>3849</v>
      </c>
      <c r="C3681" s="1" t="s">
        <v>3850</v>
      </c>
      <c r="D3681" s="1" t="s">
        <v>14</v>
      </c>
      <c r="E3681" s="1" t="s">
        <v>3668</v>
      </c>
      <c r="F3681" s="1" t="s">
        <v>3380</v>
      </c>
      <c r="G3681" s="1" t="s">
        <v>3668</v>
      </c>
      <c r="H3681" s="2" t="s">
        <v>3491</v>
      </c>
      <c r="I3681" s="1" t="s">
        <v>3720</v>
      </c>
      <c r="J3681" s="1" t="s">
        <v>52</v>
      </c>
      <c r="K3681" s="1" t="s">
        <v>3491</v>
      </c>
      <c r="L3681" s="36" t="s">
        <v>69</v>
      </c>
      <c r="M3681" s="1" t="s">
        <v>69</v>
      </c>
      <c r="N3681" s="1" t="s">
        <v>3468</v>
      </c>
      <c r="O3681" s="1" t="s">
        <v>46</v>
      </c>
      <c r="P3681" s="1" t="s">
        <v>46</v>
      </c>
      <c r="Q3681" s="1" t="s">
        <v>46</v>
      </c>
      <c r="R3681" s="1" t="s">
        <v>46</v>
      </c>
      <c r="S3681" s="1" t="s">
        <v>46</v>
      </c>
      <c r="T3681" s="1" t="s">
        <v>46</v>
      </c>
      <c r="U3681" s="1" t="s">
        <v>46</v>
      </c>
      <c r="W3681" s="1" t="s">
        <v>46</v>
      </c>
      <c r="X3681" s="1" t="s">
        <v>2640</v>
      </c>
      <c r="Y3681" s="1" t="n">
        <v>5500</v>
      </c>
    </row>
    <row r="3682" customFormat="false" ht="13.8" hidden="false" customHeight="false" outlineLevel="0" collapsed="false">
      <c r="A3682" s="1" t="s">
        <v>3849</v>
      </c>
      <c r="C3682" s="1" t="s">
        <v>3850</v>
      </c>
      <c r="D3682" s="1" t="s">
        <v>14</v>
      </c>
      <c r="E3682" s="1" t="s">
        <v>3668</v>
      </c>
      <c r="F3682" s="1" t="s">
        <v>3380</v>
      </c>
      <c r="G3682" s="1" t="s">
        <v>3668</v>
      </c>
      <c r="H3682" s="2" t="s">
        <v>3493</v>
      </c>
      <c r="I3682" s="1" t="s">
        <v>3721</v>
      </c>
      <c r="J3682" s="1" t="s">
        <v>52</v>
      </c>
      <c r="K3682" s="1" t="s">
        <v>3493</v>
      </c>
      <c r="L3682" s="36" t="s">
        <v>69</v>
      </c>
      <c r="M3682" s="1" t="s">
        <v>69</v>
      </c>
      <c r="N3682" s="1" t="s">
        <v>3468</v>
      </c>
      <c r="O3682" s="1" t="s">
        <v>46</v>
      </c>
      <c r="P3682" s="1" t="s">
        <v>46</v>
      </c>
      <c r="Q3682" s="1" t="s">
        <v>46</v>
      </c>
      <c r="R3682" s="1" t="s">
        <v>46</v>
      </c>
      <c r="S3682" s="1" t="s">
        <v>46</v>
      </c>
      <c r="T3682" s="1" t="s">
        <v>46</v>
      </c>
      <c r="U3682" s="1" t="s">
        <v>46</v>
      </c>
      <c r="W3682" s="1" t="s">
        <v>46</v>
      </c>
      <c r="X3682" s="1" t="s">
        <v>2640</v>
      </c>
      <c r="Y3682" s="1" t="n">
        <v>5500</v>
      </c>
    </row>
    <row r="3683" customFormat="false" ht="13.8" hidden="false" customHeight="false" outlineLevel="0" collapsed="false">
      <c r="A3683" s="1" t="s">
        <v>3849</v>
      </c>
      <c r="C3683" s="1" t="s">
        <v>3850</v>
      </c>
      <c r="D3683" s="1" t="s">
        <v>14</v>
      </c>
      <c r="E3683" s="1" t="s">
        <v>3668</v>
      </c>
      <c r="F3683" s="1" t="s">
        <v>3380</v>
      </c>
      <c r="G3683" s="1" t="s">
        <v>3668</v>
      </c>
      <c r="H3683" s="2" t="s">
        <v>3495</v>
      </c>
      <c r="I3683" s="1" t="s">
        <v>3722</v>
      </c>
      <c r="J3683" s="1" t="s">
        <v>52</v>
      </c>
      <c r="K3683" s="1" t="s">
        <v>3495</v>
      </c>
      <c r="L3683" s="36" t="s">
        <v>69</v>
      </c>
      <c r="M3683" s="1" t="s">
        <v>69</v>
      </c>
      <c r="N3683" s="1" t="s">
        <v>3468</v>
      </c>
      <c r="O3683" s="1" t="s">
        <v>46</v>
      </c>
      <c r="P3683" s="1" t="s">
        <v>46</v>
      </c>
      <c r="Q3683" s="1" t="s">
        <v>46</v>
      </c>
      <c r="R3683" s="1" t="s">
        <v>46</v>
      </c>
      <c r="S3683" s="1" t="s">
        <v>46</v>
      </c>
      <c r="T3683" s="1" t="s">
        <v>46</v>
      </c>
      <c r="U3683" s="1" t="s">
        <v>46</v>
      </c>
      <c r="W3683" s="1" t="s">
        <v>46</v>
      </c>
      <c r="X3683" s="1" t="s">
        <v>2640</v>
      </c>
      <c r="Y3683" s="1" t="n">
        <v>5500</v>
      </c>
    </row>
    <row r="3684" customFormat="false" ht="13.8" hidden="false" customHeight="false" outlineLevel="0" collapsed="false">
      <c r="A3684" s="1" t="s">
        <v>3851</v>
      </c>
      <c r="C3684" s="1" t="s">
        <v>3852</v>
      </c>
      <c r="D3684" s="1" t="s">
        <v>14</v>
      </c>
      <c r="E3684" s="1" t="s">
        <v>3668</v>
      </c>
      <c r="F3684" s="1" t="s">
        <v>3380</v>
      </c>
      <c r="G3684" s="1" t="s">
        <v>3668</v>
      </c>
      <c r="H3684" s="2" t="s">
        <v>3598</v>
      </c>
      <c r="I3684" s="1" t="s">
        <v>3810</v>
      </c>
      <c r="J3684" s="1" t="s">
        <v>52</v>
      </c>
      <c r="K3684" s="1" t="s">
        <v>3598</v>
      </c>
      <c r="L3684" s="36" t="s">
        <v>69</v>
      </c>
      <c r="M3684" s="1" t="s">
        <v>69</v>
      </c>
      <c r="N3684" s="1" t="s">
        <v>3383</v>
      </c>
      <c r="O3684" s="1" t="s">
        <v>3784</v>
      </c>
      <c r="P3684" s="1" t="s">
        <v>3385</v>
      </c>
      <c r="Q3684" s="1" t="s">
        <v>3385</v>
      </c>
      <c r="R3684" s="1" t="s">
        <v>46</v>
      </c>
      <c r="S3684" s="1" t="s">
        <v>69</v>
      </c>
      <c r="T3684" s="1" t="s">
        <v>69</v>
      </c>
      <c r="U3684" s="1" t="s">
        <v>46</v>
      </c>
      <c r="V3684" s="1" t="n">
        <v>1</v>
      </c>
      <c r="W3684" s="1" t="s">
        <v>46</v>
      </c>
      <c r="X3684" s="1" t="s">
        <v>2640</v>
      </c>
      <c r="Y3684" s="1" t="n">
        <v>5500</v>
      </c>
    </row>
    <row r="3685" customFormat="false" ht="13.8" hidden="false" customHeight="false" outlineLevel="0" collapsed="false">
      <c r="A3685" s="1" t="s">
        <v>3851</v>
      </c>
      <c r="C3685" s="1" t="s">
        <v>3852</v>
      </c>
      <c r="D3685" s="1" t="s">
        <v>14</v>
      </c>
      <c r="E3685" s="1" t="s">
        <v>3668</v>
      </c>
      <c r="F3685" s="1" t="s">
        <v>3380</v>
      </c>
      <c r="G3685" s="1" t="s">
        <v>3668</v>
      </c>
      <c r="H3685" s="2" t="s">
        <v>3601</v>
      </c>
      <c r="I3685" s="1" t="s">
        <v>3811</v>
      </c>
      <c r="J3685" s="1" t="s">
        <v>52</v>
      </c>
      <c r="K3685" s="1" t="s">
        <v>3601</v>
      </c>
      <c r="L3685" s="36" t="s">
        <v>69</v>
      </c>
      <c r="M3685" s="1" t="s">
        <v>69</v>
      </c>
      <c r="N3685" s="1" t="s">
        <v>3383</v>
      </c>
      <c r="O3685" s="1" t="s">
        <v>3784</v>
      </c>
      <c r="P3685" s="1" t="s">
        <v>3385</v>
      </c>
      <c r="Q3685" s="1" t="s">
        <v>3385</v>
      </c>
      <c r="R3685" s="1" t="s">
        <v>46</v>
      </c>
      <c r="S3685" s="1" t="s">
        <v>69</v>
      </c>
      <c r="T3685" s="1" t="s">
        <v>69</v>
      </c>
      <c r="U3685" s="1" t="s">
        <v>46</v>
      </c>
      <c r="V3685" s="1" t="n">
        <v>2</v>
      </c>
      <c r="W3685" s="1" t="s">
        <v>46</v>
      </c>
      <c r="X3685" s="1" t="s">
        <v>2640</v>
      </c>
      <c r="Y3685" s="1" t="n">
        <v>5500</v>
      </c>
    </row>
    <row r="3686" customFormat="false" ht="13.8" hidden="false" customHeight="false" outlineLevel="0" collapsed="false">
      <c r="A3686" s="1" t="s">
        <v>3851</v>
      </c>
      <c r="C3686" s="1" t="s">
        <v>3852</v>
      </c>
      <c r="D3686" s="1" t="s">
        <v>14</v>
      </c>
      <c r="E3686" s="1" t="s">
        <v>3668</v>
      </c>
      <c r="F3686" s="1" t="s">
        <v>3380</v>
      </c>
      <c r="G3686" s="1" t="s">
        <v>3668</v>
      </c>
      <c r="H3686" s="2" t="s">
        <v>3603</v>
      </c>
      <c r="I3686" s="1" t="s">
        <v>3812</v>
      </c>
      <c r="J3686" s="1" t="s">
        <v>52</v>
      </c>
      <c r="K3686" s="1" t="s">
        <v>3603</v>
      </c>
      <c r="L3686" s="36" t="s">
        <v>69</v>
      </c>
      <c r="M3686" s="1" t="s">
        <v>69</v>
      </c>
      <c r="N3686" s="1" t="s">
        <v>3383</v>
      </c>
      <c r="O3686" s="1" t="s">
        <v>3784</v>
      </c>
      <c r="P3686" s="1" t="s">
        <v>3385</v>
      </c>
      <c r="Q3686" s="1" t="s">
        <v>3385</v>
      </c>
      <c r="R3686" s="1" t="s">
        <v>46</v>
      </c>
      <c r="S3686" s="1" t="s">
        <v>69</v>
      </c>
      <c r="T3686" s="1" t="s">
        <v>69</v>
      </c>
      <c r="U3686" s="1" t="s">
        <v>46</v>
      </c>
      <c r="V3686" s="1" t="n">
        <v>3</v>
      </c>
      <c r="W3686" s="1" t="s">
        <v>46</v>
      </c>
      <c r="X3686" s="1" t="s">
        <v>2640</v>
      </c>
      <c r="Y3686" s="1" t="n">
        <v>5500</v>
      </c>
    </row>
    <row r="3687" customFormat="false" ht="13.8" hidden="false" customHeight="false" outlineLevel="0" collapsed="false">
      <c r="A3687" s="1" t="s">
        <v>3851</v>
      </c>
      <c r="C3687" s="1" t="s">
        <v>3852</v>
      </c>
      <c r="D3687" s="1" t="s">
        <v>14</v>
      </c>
      <c r="E3687" s="1" t="s">
        <v>3668</v>
      </c>
      <c r="F3687" s="1" t="s">
        <v>3380</v>
      </c>
      <c r="G3687" s="1" t="s">
        <v>3668</v>
      </c>
      <c r="H3687" s="2" t="s">
        <v>3605</v>
      </c>
      <c r="I3687" s="1" t="s">
        <v>3813</v>
      </c>
      <c r="J3687" s="1" t="s">
        <v>52</v>
      </c>
      <c r="K3687" s="1" t="s">
        <v>3605</v>
      </c>
      <c r="L3687" s="36" t="s">
        <v>69</v>
      </c>
      <c r="M3687" s="1" t="s">
        <v>69</v>
      </c>
      <c r="N3687" s="1" t="s">
        <v>3383</v>
      </c>
      <c r="O3687" s="1" t="s">
        <v>3784</v>
      </c>
      <c r="P3687" s="1" t="s">
        <v>3385</v>
      </c>
      <c r="Q3687" s="1" t="s">
        <v>3385</v>
      </c>
      <c r="R3687" s="1" t="s">
        <v>46</v>
      </c>
      <c r="S3687" s="1" t="s">
        <v>69</v>
      </c>
      <c r="T3687" s="1" t="s">
        <v>69</v>
      </c>
      <c r="U3687" s="1" t="s">
        <v>46</v>
      </c>
      <c r="V3687" s="1" t="n">
        <v>4</v>
      </c>
      <c r="W3687" s="1" t="s">
        <v>46</v>
      </c>
      <c r="X3687" s="1" t="s">
        <v>2640</v>
      </c>
      <c r="Y3687" s="1" t="n">
        <v>5500</v>
      </c>
    </row>
    <row r="3688" customFormat="false" ht="13.8" hidden="false" customHeight="false" outlineLevel="0" collapsed="false">
      <c r="A3688" s="1" t="s">
        <v>3851</v>
      </c>
      <c r="C3688" s="1" t="s">
        <v>3852</v>
      </c>
      <c r="D3688" s="1" t="s">
        <v>14</v>
      </c>
      <c r="E3688" s="1" t="s">
        <v>3668</v>
      </c>
      <c r="F3688" s="1" t="s">
        <v>3380</v>
      </c>
      <c r="G3688" s="1" t="s">
        <v>3668</v>
      </c>
      <c r="H3688" s="2" t="s">
        <v>3607</v>
      </c>
      <c r="I3688" s="1" t="s">
        <v>3814</v>
      </c>
      <c r="J3688" s="1" t="s">
        <v>52</v>
      </c>
      <c r="K3688" s="1" t="s">
        <v>3607</v>
      </c>
      <c r="L3688" s="36" t="s">
        <v>69</v>
      </c>
      <c r="M3688" s="1" t="s">
        <v>69</v>
      </c>
      <c r="N3688" s="1" t="s">
        <v>3383</v>
      </c>
      <c r="O3688" s="1" t="s">
        <v>3784</v>
      </c>
      <c r="P3688" s="1" t="s">
        <v>3385</v>
      </c>
      <c r="Q3688" s="1" t="s">
        <v>3385</v>
      </c>
      <c r="R3688" s="1" t="s">
        <v>46</v>
      </c>
      <c r="S3688" s="1" t="s">
        <v>69</v>
      </c>
      <c r="T3688" s="1" t="s">
        <v>69</v>
      </c>
      <c r="U3688" s="1" t="s">
        <v>46</v>
      </c>
      <c r="V3688" s="1" t="n">
        <v>5</v>
      </c>
      <c r="W3688" s="1" t="s">
        <v>46</v>
      </c>
      <c r="X3688" s="1" t="s">
        <v>2640</v>
      </c>
      <c r="Y3688" s="1" t="n">
        <v>5500</v>
      </c>
    </row>
    <row r="3689" customFormat="false" ht="13.8" hidden="false" customHeight="false" outlineLevel="0" collapsed="false">
      <c r="A3689" s="1" t="s">
        <v>3851</v>
      </c>
      <c r="C3689" s="1" t="s">
        <v>3852</v>
      </c>
      <c r="D3689" s="1" t="s">
        <v>14</v>
      </c>
      <c r="E3689" s="1" t="s">
        <v>3668</v>
      </c>
      <c r="F3689" s="1" t="s">
        <v>3380</v>
      </c>
      <c r="G3689" s="1" t="s">
        <v>3668</v>
      </c>
      <c r="H3689" s="2" t="s">
        <v>3655</v>
      </c>
      <c r="I3689" s="1" t="s">
        <v>3773</v>
      </c>
      <c r="J3689" s="1" t="s">
        <v>52</v>
      </c>
      <c r="K3689" s="1" t="s">
        <v>3655</v>
      </c>
      <c r="L3689" s="36" t="s">
        <v>69</v>
      </c>
      <c r="M3689" s="1" t="s">
        <v>69</v>
      </c>
      <c r="N3689" s="1" t="s">
        <v>3383</v>
      </c>
      <c r="O3689" s="1" t="s">
        <v>3785</v>
      </c>
      <c r="P3689" s="1" t="s">
        <v>3385</v>
      </c>
      <c r="Q3689" s="1" t="s">
        <v>3385</v>
      </c>
      <c r="R3689" s="1" t="s">
        <v>46</v>
      </c>
      <c r="S3689" s="1" t="s">
        <v>69</v>
      </c>
      <c r="T3689" s="1" t="s">
        <v>69</v>
      </c>
      <c r="U3689" s="1" t="s">
        <v>46</v>
      </c>
      <c r="V3689" s="1" t="n">
        <v>1</v>
      </c>
      <c r="W3689" s="1" t="s">
        <v>46</v>
      </c>
      <c r="X3689" s="1" t="s">
        <v>2640</v>
      </c>
      <c r="Y3689" s="1" t="n">
        <v>5500</v>
      </c>
    </row>
    <row r="3690" customFormat="false" ht="13.8" hidden="false" customHeight="false" outlineLevel="0" collapsed="false">
      <c r="A3690" s="1" t="s">
        <v>3851</v>
      </c>
      <c r="C3690" s="1" t="s">
        <v>3852</v>
      </c>
      <c r="D3690" s="1" t="s">
        <v>14</v>
      </c>
      <c r="E3690" s="1" t="s">
        <v>3668</v>
      </c>
      <c r="F3690" s="1" t="s">
        <v>3380</v>
      </c>
      <c r="G3690" s="1" t="s">
        <v>3668</v>
      </c>
      <c r="H3690" s="2" t="s">
        <v>3658</v>
      </c>
      <c r="I3690" s="1" t="s">
        <v>3774</v>
      </c>
      <c r="J3690" s="1" t="s">
        <v>52</v>
      </c>
      <c r="K3690" s="1" t="s">
        <v>3658</v>
      </c>
      <c r="L3690" s="36" t="s">
        <v>69</v>
      </c>
      <c r="M3690" s="1" t="s">
        <v>69</v>
      </c>
      <c r="N3690" s="1" t="s">
        <v>3383</v>
      </c>
      <c r="O3690" s="1" t="s">
        <v>3785</v>
      </c>
      <c r="P3690" s="1" t="s">
        <v>3385</v>
      </c>
      <c r="Q3690" s="1" t="s">
        <v>3385</v>
      </c>
      <c r="R3690" s="1" t="s">
        <v>46</v>
      </c>
      <c r="S3690" s="1" t="s">
        <v>69</v>
      </c>
      <c r="T3690" s="1" t="s">
        <v>69</v>
      </c>
      <c r="U3690" s="1" t="s">
        <v>46</v>
      </c>
      <c r="V3690" s="1" t="n">
        <v>2</v>
      </c>
      <c r="W3690" s="1" t="s">
        <v>46</v>
      </c>
      <c r="X3690" s="1" t="s">
        <v>2640</v>
      </c>
      <c r="Y3690" s="1" t="n">
        <v>5500</v>
      </c>
    </row>
    <row r="3691" customFormat="false" ht="13.8" hidden="false" customHeight="false" outlineLevel="0" collapsed="false">
      <c r="A3691" s="1" t="s">
        <v>3851</v>
      </c>
      <c r="C3691" s="1" t="s">
        <v>3852</v>
      </c>
      <c r="D3691" s="1" t="s">
        <v>14</v>
      </c>
      <c r="E3691" s="1" t="s">
        <v>3668</v>
      </c>
      <c r="F3691" s="1" t="s">
        <v>3380</v>
      </c>
      <c r="G3691" s="1" t="s">
        <v>3668</v>
      </c>
      <c r="H3691" s="2" t="s">
        <v>3660</v>
      </c>
      <c r="I3691" s="1" t="s">
        <v>3775</v>
      </c>
      <c r="J3691" s="1" t="s">
        <v>52</v>
      </c>
      <c r="K3691" s="1" t="s">
        <v>3660</v>
      </c>
      <c r="L3691" s="36" t="s">
        <v>69</v>
      </c>
      <c r="M3691" s="1" t="s">
        <v>69</v>
      </c>
      <c r="N3691" s="1" t="s">
        <v>3383</v>
      </c>
      <c r="O3691" s="1" t="s">
        <v>3785</v>
      </c>
      <c r="P3691" s="1" t="s">
        <v>3385</v>
      </c>
      <c r="Q3691" s="1" t="s">
        <v>3385</v>
      </c>
      <c r="R3691" s="1" t="s">
        <v>46</v>
      </c>
      <c r="S3691" s="1" t="s">
        <v>69</v>
      </c>
      <c r="T3691" s="1" t="s">
        <v>69</v>
      </c>
      <c r="U3691" s="1" t="s">
        <v>46</v>
      </c>
      <c r="V3691" s="1" t="n">
        <v>3</v>
      </c>
      <c r="W3691" s="1" t="s">
        <v>46</v>
      </c>
      <c r="X3691" s="1" t="s">
        <v>2640</v>
      </c>
      <c r="Y3691" s="1" t="n">
        <v>5500</v>
      </c>
    </row>
    <row r="3692" customFormat="false" ht="13.8" hidden="false" customHeight="false" outlineLevel="0" collapsed="false">
      <c r="A3692" s="1" t="s">
        <v>3851</v>
      </c>
      <c r="C3692" s="1" t="s">
        <v>3852</v>
      </c>
      <c r="D3692" s="1" t="s">
        <v>14</v>
      </c>
      <c r="E3692" s="1" t="s">
        <v>3668</v>
      </c>
      <c r="F3692" s="1" t="s">
        <v>3380</v>
      </c>
      <c r="G3692" s="1" t="s">
        <v>3668</v>
      </c>
      <c r="H3692" s="2" t="s">
        <v>3662</v>
      </c>
      <c r="I3692" s="1" t="s">
        <v>3776</v>
      </c>
      <c r="J3692" s="1" t="s">
        <v>52</v>
      </c>
      <c r="K3692" s="1" t="s">
        <v>3662</v>
      </c>
      <c r="L3692" s="36" t="s">
        <v>69</v>
      </c>
      <c r="M3692" s="1" t="s">
        <v>69</v>
      </c>
      <c r="N3692" s="1" t="s">
        <v>3383</v>
      </c>
      <c r="O3692" s="1" t="s">
        <v>3785</v>
      </c>
      <c r="P3692" s="1" t="s">
        <v>3385</v>
      </c>
      <c r="Q3692" s="1" t="s">
        <v>3385</v>
      </c>
      <c r="R3692" s="1" t="s">
        <v>46</v>
      </c>
      <c r="S3692" s="1" t="s">
        <v>69</v>
      </c>
      <c r="T3692" s="1" t="s">
        <v>69</v>
      </c>
      <c r="U3692" s="1" t="s">
        <v>46</v>
      </c>
      <c r="V3692" s="1" t="n">
        <v>4</v>
      </c>
      <c r="W3692" s="1" t="s">
        <v>46</v>
      </c>
      <c r="X3692" s="1" t="s">
        <v>2640</v>
      </c>
      <c r="Y3692" s="1" t="n">
        <v>5500</v>
      </c>
    </row>
    <row r="3693" customFormat="false" ht="13.8" hidden="false" customHeight="false" outlineLevel="0" collapsed="false">
      <c r="A3693" s="1" t="s">
        <v>3851</v>
      </c>
      <c r="C3693" s="1" t="s">
        <v>3852</v>
      </c>
      <c r="D3693" s="1" t="s">
        <v>14</v>
      </c>
      <c r="E3693" s="1" t="s">
        <v>3668</v>
      </c>
      <c r="F3693" s="1" t="s">
        <v>3380</v>
      </c>
      <c r="G3693" s="1" t="s">
        <v>3668</v>
      </c>
      <c r="H3693" s="2" t="s">
        <v>3664</v>
      </c>
      <c r="I3693" s="1" t="s">
        <v>3777</v>
      </c>
      <c r="J3693" s="1" t="s">
        <v>52</v>
      </c>
      <c r="K3693" s="1" t="s">
        <v>3664</v>
      </c>
      <c r="L3693" s="36" t="s">
        <v>69</v>
      </c>
      <c r="M3693" s="1" t="s">
        <v>69</v>
      </c>
      <c r="N3693" s="1" t="s">
        <v>3383</v>
      </c>
      <c r="O3693" s="1" t="s">
        <v>3785</v>
      </c>
      <c r="P3693" s="1" t="s">
        <v>3385</v>
      </c>
      <c r="Q3693" s="1" t="s">
        <v>3385</v>
      </c>
      <c r="R3693" s="1" t="s">
        <v>46</v>
      </c>
      <c r="S3693" s="1" t="s">
        <v>69</v>
      </c>
      <c r="T3693" s="1" t="s">
        <v>69</v>
      </c>
      <c r="U3693" s="1" t="s">
        <v>46</v>
      </c>
      <c r="V3693" s="1" t="n">
        <v>5</v>
      </c>
      <c r="W3693" s="1" t="s">
        <v>46</v>
      </c>
      <c r="X3693" s="1" t="s">
        <v>2640</v>
      </c>
      <c r="Y3693" s="1" t="n">
        <v>5500</v>
      </c>
    </row>
    <row r="3694" customFormat="false" ht="13.8" hidden="false" customHeight="false" outlineLevel="0" collapsed="false">
      <c r="A3694" s="1" t="s">
        <v>3851</v>
      </c>
      <c r="C3694" s="1" t="s">
        <v>3852</v>
      </c>
      <c r="D3694" s="1" t="s">
        <v>14</v>
      </c>
      <c r="E3694" s="1" t="s">
        <v>3668</v>
      </c>
      <c r="F3694" s="1" t="s">
        <v>3380</v>
      </c>
      <c r="G3694" s="1" t="s">
        <v>3668</v>
      </c>
      <c r="H3694" s="2" t="s">
        <v>3436</v>
      </c>
      <c r="I3694" s="1" t="s">
        <v>3693</v>
      </c>
      <c r="J3694" s="1" t="s">
        <v>52</v>
      </c>
      <c r="K3694" s="1" t="s">
        <v>3436</v>
      </c>
      <c r="L3694" s="36" t="s">
        <v>69</v>
      </c>
      <c r="M3694" s="1" t="s">
        <v>69</v>
      </c>
      <c r="N3694" s="1" t="s">
        <v>1935</v>
      </c>
      <c r="O3694" s="1" t="s">
        <v>46</v>
      </c>
      <c r="P3694" s="1" t="s">
        <v>46</v>
      </c>
      <c r="Q3694" s="1" t="s">
        <v>46</v>
      </c>
      <c r="R3694" s="1" t="s">
        <v>46</v>
      </c>
      <c r="S3694" s="1" t="s">
        <v>46</v>
      </c>
      <c r="T3694" s="1" t="s">
        <v>46</v>
      </c>
      <c r="U3694" s="1" t="s">
        <v>46</v>
      </c>
      <c r="W3694" s="1" t="s">
        <v>46</v>
      </c>
      <c r="X3694" s="1" t="s">
        <v>2640</v>
      </c>
      <c r="Y3694" s="1" t="n">
        <v>5500</v>
      </c>
    </row>
    <row r="3695" customFormat="false" ht="13.8" hidden="false" customHeight="false" outlineLevel="0" collapsed="false">
      <c r="A3695" s="1" t="s">
        <v>3851</v>
      </c>
      <c r="C3695" s="1" t="s">
        <v>3852</v>
      </c>
      <c r="D3695" s="1" t="s">
        <v>14</v>
      </c>
      <c r="E3695" s="1" t="s">
        <v>3668</v>
      </c>
      <c r="F3695" s="1" t="s">
        <v>3380</v>
      </c>
      <c r="G3695" s="1" t="s">
        <v>3668</v>
      </c>
      <c r="H3695" s="2" t="s">
        <v>3438</v>
      </c>
      <c r="I3695" s="1" t="s">
        <v>3694</v>
      </c>
      <c r="J3695" s="1" t="s">
        <v>52</v>
      </c>
      <c r="K3695" s="1" t="s">
        <v>3438</v>
      </c>
      <c r="L3695" s="36" t="s">
        <v>69</v>
      </c>
      <c r="M3695" s="1" t="s">
        <v>69</v>
      </c>
      <c r="N3695" s="1" t="s">
        <v>1935</v>
      </c>
      <c r="O3695" s="1" t="s">
        <v>46</v>
      </c>
      <c r="P3695" s="1" t="s">
        <v>46</v>
      </c>
      <c r="Q3695" s="1" t="s">
        <v>46</v>
      </c>
      <c r="R3695" s="1" t="s">
        <v>46</v>
      </c>
      <c r="S3695" s="1" t="s">
        <v>46</v>
      </c>
      <c r="T3695" s="1" t="s">
        <v>46</v>
      </c>
      <c r="U3695" s="1" t="s">
        <v>46</v>
      </c>
      <c r="W3695" s="1" t="s">
        <v>46</v>
      </c>
      <c r="X3695" s="1" t="s">
        <v>2640</v>
      </c>
      <c r="Y3695" s="1" t="n">
        <v>5500</v>
      </c>
    </row>
    <row r="3696" customFormat="false" ht="13.8" hidden="false" customHeight="false" outlineLevel="0" collapsed="false">
      <c r="A3696" s="1" t="s">
        <v>3851</v>
      </c>
      <c r="C3696" s="1" t="s">
        <v>3852</v>
      </c>
      <c r="D3696" s="1" t="s">
        <v>14</v>
      </c>
      <c r="E3696" s="1" t="s">
        <v>3668</v>
      </c>
      <c r="F3696" s="1" t="s">
        <v>3380</v>
      </c>
      <c r="G3696" s="1" t="s">
        <v>3668</v>
      </c>
      <c r="H3696" s="2" t="s">
        <v>3440</v>
      </c>
      <c r="I3696" s="1" t="s">
        <v>3695</v>
      </c>
      <c r="J3696" s="1" t="s">
        <v>52</v>
      </c>
      <c r="K3696" s="1" t="s">
        <v>3440</v>
      </c>
      <c r="L3696" s="36" t="s">
        <v>69</v>
      </c>
      <c r="M3696" s="1" t="s">
        <v>69</v>
      </c>
      <c r="N3696" s="1" t="s">
        <v>1935</v>
      </c>
      <c r="O3696" s="1" t="s">
        <v>46</v>
      </c>
      <c r="P3696" s="1" t="s">
        <v>46</v>
      </c>
      <c r="Q3696" s="1" t="s">
        <v>46</v>
      </c>
      <c r="R3696" s="1" t="s">
        <v>46</v>
      </c>
      <c r="S3696" s="1" t="s">
        <v>46</v>
      </c>
      <c r="T3696" s="1" t="s">
        <v>46</v>
      </c>
      <c r="U3696" s="1" t="s">
        <v>46</v>
      </c>
      <c r="W3696" s="1" t="s">
        <v>46</v>
      </c>
      <c r="X3696" s="1" t="s">
        <v>2640</v>
      </c>
      <c r="Y3696" s="1" t="n">
        <v>5500</v>
      </c>
    </row>
    <row r="3697" customFormat="false" ht="13.8" hidden="false" customHeight="false" outlineLevel="0" collapsed="false">
      <c r="A3697" s="1" t="s">
        <v>3851</v>
      </c>
      <c r="C3697" s="1" t="s">
        <v>3852</v>
      </c>
      <c r="D3697" s="1" t="s">
        <v>14</v>
      </c>
      <c r="E3697" s="1" t="s">
        <v>3668</v>
      </c>
      <c r="F3697" s="1" t="s">
        <v>3380</v>
      </c>
      <c r="G3697" s="1" t="s">
        <v>3668</v>
      </c>
      <c r="H3697" s="2" t="s">
        <v>3442</v>
      </c>
      <c r="I3697" s="1" t="s">
        <v>3696</v>
      </c>
      <c r="J3697" s="1" t="s">
        <v>52</v>
      </c>
      <c r="K3697" s="1" t="s">
        <v>3442</v>
      </c>
      <c r="L3697" s="36" t="s">
        <v>69</v>
      </c>
      <c r="M3697" s="1" t="s">
        <v>69</v>
      </c>
      <c r="N3697" s="1" t="s">
        <v>1935</v>
      </c>
      <c r="O3697" s="1" t="s">
        <v>46</v>
      </c>
      <c r="P3697" s="1" t="s">
        <v>46</v>
      </c>
      <c r="Q3697" s="1" t="s">
        <v>46</v>
      </c>
      <c r="R3697" s="1" t="s">
        <v>46</v>
      </c>
      <c r="S3697" s="1" t="s">
        <v>46</v>
      </c>
      <c r="T3697" s="1" t="s">
        <v>46</v>
      </c>
      <c r="U3697" s="1" t="s">
        <v>46</v>
      </c>
      <c r="W3697" s="1" t="s">
        <v>46</v>
      </c>
      <c r="X3697" s="1" t="s">
        <v>2640</v>
      </c>
      <c r="Y3697" s="1" t="n">
        <v>5500</v>
      </c>
    </row>
    <row r="3698" customFormat="false" ht="13.8" hidden="false" customHeight="false" outlineLevel="0" collapsed="false">
      <c r="A3698" s="1" t="s">
        <v>3851</v>
      </c>
      <c r="C3698" s="1" t="s">
        <v>3852</v>
      </c>
      <c r="D3698" s="1" t="s">
        <v>14</v>
      </c>
      <c r="E3698" s="1" t="s">
        <v>3668</v>
      </c>
      <c r="F3698" s="1" t="s">
        <v>3380</v>
      </c>
      <c r="G3698" s="1" t="s">
        <v>3668</v>
      </c>
      <c r="H3698" s="2" t="s">
        <v>3444</v>
      </c>
      <c r="I3698" s="1" t="s">
        <v>3697</v>
      </c>
      <c r="J3698" s="1" t="s">
        <v>52</v>
      </c>
      <c r="K3698" s="1" t="s">
        <v>3444</v>
      </c>
      <c r="L3698" s="36" t="s">
        <v>69</v>
      </c>
      <c r="M3698" s="1" t="s">
        <v>69</v>
      </c>
      <c r="N3698" s="1" t="s">
        <v>1935</v>
      </c>
      <c r="O3698" s="1" t="s">
        <v>46</v>
      </c>
      <c r="P3698" s="1" t="s">
        <v>46</v>
      </c>
      <c r="Q3698" s="1" t="s">
        <v>46</v>
      </c>
      <c r="R3698" s="1" t="s">
        <v>46</v>
      </c>
      <c r="S3698" s="1" t="s">
        <v>46</v>
      </c>
      <c r="T3698" s="1" t="s">
        <v>46</v>
      </c>
      <c r="U3698" s="1" t="s">
        <v>46</v>
      </c>
      <c r="W3698" s="1" t="s">
        <v>46</v>
      </c>
      <c r="X3698" s="1" t="s">
        <v>2640</v>
      </c>
      <c r="Y3698" s="1" t="n">
        <v>5500</v>
      </c>
    </row>
    <row r="3699" customFormat="false" ht="13.8" hidden="false" customHeight="false" outlineLevel="0" collapsed="false">
      <c r="A3699" s="1" t="s">
        <v>3851</v>
      </c>
      <c r="C3699" s="1" t="s">
        <v>3852</v>
      </c>
      <c r="D3699" s="1" t="s">
        <v>14</v>
      </c>
      <c r="E3699" s="1" t="s">
        <v>3668</v>
      </c>
      <c r="F3699" s="1" t="s">
        <v>3380</v>
      </c>
      <c r="G3699" s="1" t="s">
        <v>3668</v>
      </c>
      <c r="H3699" s="2" t="s">
        <v>3446</v>
      </c>
      <c r="I3699" s="1" t="s">
        <v>3698</v>
      </c>
      <c r="J3699" s="1" t="s">
        <v>52</v>
      </c>
      <c r="K3699" s="1" t="s">
        <v>3446</v>
      </c>
      <c r="L3699" s="36" t="s">
        <v>69</v>
      </c>
      <c r="M3699" s="1" t="s">
        <v>69</v>
      </c>
      <c r="N3699" s="1" t="s">
        <v>1935</v>
      </c>
      <c r="O3699" s="1" t="s">
        <v>46</v>
      </c>
      <c r="P3699" s="1" t="s">
        <v>46</v>
      </c>
      <c r="Q3699" s="1" t="s">
        <v>46</v>
      </c>
      <c r="R3699" s="1" t="s">
        <v>46</v>
      </c>
      <c r="S3699" s="1" t="s">
        <v>46</v>
      </c>
      <c r="T3699" s="1" t="s">
        <v>46</v>
      </c>
      <c r="U3699" s="1" t="s">
        <v>46</v>
      </c>
      <c r="W3699" s="1" t="s">
        <v>46</v>
      </c>
      <c r="X3699" s="1" t="s">
        <v>2640</v>
      </c>
      <c r="Y3699" s="1" t="n">
        <v>5500</v>
      </c>
    </row>
    <row r="3700" customFormat="false" ht="13.8" hidden="false" customHeight="false" outlineLevel="0" collapsed="false">
      <c r="A3700" s="1" t="s">
        <v>3851</v>
      </c>
      <c r="C3700" s="1" t="s">
        <v>3852</v>
      </c>
      <c r="D3700" s="1" t="s">
        <v>14</v>
      </c>
      <c r="E3700" s="1" t="s">
        <v>3668</v>
      </c>
      <c r="F3700" s="1" t="s">
        <v>3380</v>
      </c>
      <c r="G3700" s="1" t="s">
        <v>3668</v>
      </c>
      <c r="H3700" s="2" t="s">
        <v>3448</v>
      </c>
      <c r="I3700" s="1" t="s">
        <v>3699</v>
      </c>
      <c r="J3700" s="1" t="s">
        <v>52</v>
      </c>
      <c r="K3700" s="1" t="s">
        <v>3448</v>
      </c>
      <c r="L3700" s="36" t="s">
        <v>69</v>
      </c>
      <c r="M3700" s="1" t="s">
        <v>69</v>
      </c>
      <c r="N3700" s="1" t="s">
        <v>1935</v>
      </c>
      <c r="O3700" s="1" t="s">
        <v>46</v>
      </c>
      <c r="P3700" s="1" t="s">
        <v>46</v>
      </c>
      <c r="Q3700" s="1" t="s">
        <v>46</v>
      </c>
      <c r="R3700" s="1" t="s">
        <v>46</v>
      </c>
      <c r="S3700" s="1" t="s">
        <v>46</v>
      </c>
      <c r="T3700" s="1" t="s">
        <v>46</v>
      </c>
      <c r="U3700" s="1" t="s">
        <v>46</v>
      </c>
      <c r="W3700" s="1" t="s">
        <v>46</v>
      </c>
      <c r="X3700" s="1" t="s">
        <v>2640</v>
      </c>
      <c r="Y3700" s="1" t="n">
        <v>5500</v>
      </c>
    </row>
    <row r="3701" customFormat="false" ht="13.8" hidden="false" customHeight="false" outlineLevel="0" collapsed="false">
      <c r="A3701" s="1" t="s">
        <v>3851</v>
      </c>
      <c r="C3701" s="1" t="s">
        <v>3852</v>
      </c>
      <c r="D3701" s="1" t="s">
        <v>14</v>
      </c>
      <c r="E3701" s="1" t="s">
        <v>3668</v>
      </c>
      <c r="F3701" s="1" t="s">
        <v>3380</v>
      </c>
      <c r="G3701" s="1" t="s">
        <v>3668</v>
      </c>
      <c r="H3701" s="2" t="s">
        <v>3450</v>
      </c>
      <c r="I3701" s="1" t="s">
        <v>3700</v>
      </c>
      <c r="J3701" s="1" t="s">
        <v>52</v>
      </c>
      <c r="K3701" s="1" t="s">
        <v>3450</v>
      </c>
      <c r="L3701" s="36" t="s">
        <v>69</v>
      </c>
      <c r="M3701" s="1" t="s">
        <v>69</v>
      </c>
      <c r="N3701" s="1" t="s">
        <v>1935</v>
      </c>
      <c r="O3701" s="1" t="s">
        <v>46</v>
      </c>
      <c r="P3701" s="1" t="s">
        <v>46</v>
      </c>
      <c r="Q3701" s="1" t="s">
        <v>46</v>
      </c>
      <c r="R3701" s="1" t="s">
        <v>46</v>
      </c>
      <c r="S3701" s="1" t="s">
        <v>46</v>
      </c>
      <c r="T3701" s="1" t="s">
        <v>46</v>
      </c>
      <c r="U3701" s="1" t="s">
        <v>46</v>
      </c>
      <c r="W3701" s="1" t="s">
        <v>46</v>
      </c>
      <c r="X3701" s="1" t="s">
        <v>2640</v>
      </c>
      <c r="Y3701" s="1" t="n">
        <v>5500</v>
      </c>
    </row>
    <row r="3702" customFormat="false" ht="13.8" hidden="false" customHeight="false" outlineLevel="0" collapsed="false">
      <c r="A3702" s="1" t="s">
        <v>3851</v>
      </c>
      <c r="C3702" s="1" t="s">
        <v>3852</v>
      </c>
      <c r="D3702" s="1" t="s">
        <v>14</v>
      </c>
      <c r="E3702" s="1" t="s">
        <v>3668</v>
      </c>
      <c r="F3702" s="1" t="s">
        <v>3380</v>
      </c>
      <c r="G3702" s="1" t="s">
        <v>3668</v>
      </c>
      <c r="H3702" s="2" t="s">
        <v>3452</v>
      </c>
      <c r="I3702" s="1" t="s">
        <v>3701</v>
      </c>
      <c r="J3702" s="1" t="s">
        <v>52</v>
      </c>
      <c r="K3702" s="1" t="s">
        <v>3452</v>
      </c>
      <c r="L3702" s="36" t="s">
        <v>69</v>
      </c>
      <c r="M3702" s="1" t="s">
        <v>69</v>
      </c>
      <c r="N3702" s="1" t="s">
        <v>1935</v>
      </c>
      <c r="O3702" s="1" t="s">
        <v>46</v>
      </c>
      <c r="P3702" s="1" t="s">
        <v>46</v>
      </c>
      <c r="Q3702" s="1" t="s">
        <v>46</v>
      </c>
      <c r="R3702" s="1" t="s">
        <v>46</v>
      </c>
      <c r="S3702" s="1" t="s">
        <v>46</v>
      </c>
      <c r="T3702" s="1" t="s">
        <v>46</v>
      </c>
      <c r="U3702" s="1" t="s">
        <v>46</v>
      </c>
      <c r="W3702" s="1" t="s">
        <v>46</v>
      </c>
      <c r="X3702" s="1" t="s">
        <v>2640</v>
      </c>
      <c r="Y3702" s="1" t="n">
        <v>5500</v>
      </c>
    </row>
    <row r="3703" customFormat="false" ht="13.8" hidden="false" customHeight="false" outlineLevel="0" collapsed="false">
      <c r="A3703" s="1" t="s">
        <v>3851</v>
      </c>
      <c r="C3703" s="1" t="s">
        <v>3852</v>
      </c>
      <c r="D3703" s="1" t="s">
        <v>14</v>
      </c>
      <c r="E3703" s="1" t="s">
        <v>3668</v>
      </c>
      <c r="F3703" s="1" t="s">
        <v>3380</v>
      </c>
      <c r="G3703" s="1" t="s">
        <v>3668</v>
      </c>
      <c r="H3703" s="2" t="s">
        <v>3454</v>
      </c>
      <c r="I3703" s="1" t="s">
        <v>3702</v>
      </c>
      <c r="J3703" s="1" t="s">
        <v>52</v>
      </c>
      <c r="K3703" s="1" t="s">
        <v>3454</v>
      </c>
      <c r="L3703" s="36" t="s">
        <v>69</v>
      </c>
      <c r="M3703" s="1" t="s">
        <v>69</v>
      </c>
      <c r="N3703" s="1" t="s">
        <v>1935</v>
      </c>
      <c r="O3703" s="1" t="s">
        <v>46</v>
      </c>
      <c r="P3703" s="1" t="s">
        <v>46</v>
      </c>
      <c r="Q3703" s="1" t="s">
        <v>46</v>
      </c>
      <c r="R3703" s="1" t="s">
        <v>46</v>
      </c>
      <c r="S3703" s="1" t="s">
        <v>46</v>
      </c>
      <c r="T3703" s="1" t="s">
        <v>46</v>
      </c>
      <c r="U3703" s="1" t="s">
        <v>46</v>
      </c>
      <c r="W3703" s="1" t="s">
        <v>46</v>
      </c>
      <c r="X3703" s="1" t="s">
        <v>2640</v>
      </c>
      <c r="Y3703" s="1" t="n">
        <v>5500</v>
      </c>
    </row>
    <row r="3704" customFormat="false" ht="13.8" hidden="false" customHeight="false" outlineLevel="0" collapsed="false">
      <c r="A3704" s="1" t="s">
        <v>3851</v>
      </c>
      <c r="C3704" s="1" t="s">
        <v>3852</v>
      </c>
      <c r="D3704" s="1" t="s">
        <v>14</v>
      </c>
      <c r="E3704" s="1" t="s">
        <v>3668</v>
      </c>
      <c r="F3704" s="1" t="s">
        <v>3380</v>
      </c>
      <c r="G3704" s="1" t="s">
        <v>3668</v>
      </c>
      <c r="H3704" s="2" t="s">
        <v>3456</v>
      </c>
      <c r="I3704" s="1" t="s">
        <v>3703</v>
      </c>
      <c r="J3704" s="1" t="s">
        <v>52</v>
      </c>
      <c r="K3704" s="1" t="s">
        <v>3456</v>
      </c>
      <c r="L3704" s="36" t="s">
        <v>69</v>
      </c>
      <c r="M3704" s="1" t="s">
        <v>69</v>
      </c>
      <c r="N3704" s="1" t="s">
        <v>1935</v>
      </c>
      <c r="O3704" s="1" t="s">
        <v>46</v>
      </c>
      <c r="P3704" s="1" t="s">
        <v>46</v>
      </c>
      <c r="Q3704" s="1" t="s">
        <v>46</v>
      </c>
      <c r="R3704" s="1" t="s">
        <v>46</v>
      </c>
      <c r="S3704" s="1" t="s">
        <v>46</v>
      </c>
      <c r="T3704" s="1" t="s">
        <v>46</v>
      </c>
      <c r="U3704" s="1" t="s">
        <v>46</v>
      </c>
      <c r="W3704" s="1" t="s">
        <v>46</v>
      </c>
      <c r="X3704" s="1" t="s">
        <v>2640</v>
      </c>
      <c r="Y3704" s="1" t="n">
        <v>5500</v>
      </c>
    </row>
    <row r="3705" customFormat="false" ht="13.8" hidden="false" customHeight="false" outlineLevel="0" collapsed="false">
      <c r="A3705" s="1" t="s">
        <v>3851</v>
      </c>
      <c r="C3705" s="1" t="s">
        <v>3852</v>
      </c>
      <c r="D3705" s="1" t="s">
        <v>14</v>
      </c>
      <c r="E3705" s="1" t="s">
        <v>3668</v>
      </c>
      <c r="F3705" s="1" t="s">
        <v>3380</v>
      </c>
      <c r="G3705" s="1" t="s">
        <v>3668</v>
      </c>
      <c r="H3705" s="2" t="s">
        <v>3458</v>
      </c>
      <c r="I3705" s="1" t="s">
        <v>3704</v>
      </c>
      <c r="J3705" s="1" t="s">
        <v>52</v>
      </c>
      <c r="K3705" s="1" t="s">
        <v>3458</v>
      </c>
      <c r="L3705" s="36" t="s">
        <v>69</v>
      </c>
      <c r="M3705" s="1" t="s">
        <v>69</v>
      </c>
      <c r="N3705" s="1" t="s">
        <v>1935</v>
      </c>
      <c r="O3705" s="1" t="s">
        <v>46</v>
      </c>
      <c r="P3705" s="1" t="s">
        <v>46</v>
      </c>
      <c r="Q3705" s="1" t="s">
        <v>46</v>
      </c>
      <c r="R3705" s="1" t="s">
        <v>46</v>
      </c>
      <c r="S3705" s="1" t="s">
        <v>46</v>
      </c>
      <c r="T3705" s="1" t="s">
        <v>46</v>
      </c>
      <c r="U3705" s="1" t="s">
        <v>46</v>
      </c>
      <c r="W3705" s="1" t="s">
        <v>46</v>
      </c>
      <c r="X3705" s="1" t="s">
        <v>2640</v>
      </c>
      <c r="Y3705" s="1" t="n">
        <v>5500</v>
      </c>
    </row>
    <row r="3706" customFormat="false" ht="13.8" hidden="false" customHeight="false" outlineLevel="0" collapsed="false">
      <c r="A3706" s="1" t="s">
        <v>3851</v>
      </c>
      <c r="C3706" s="1" t="s">
        <v>3852</v>
      </c>
      <c r="D3706" s="1" t="s">
        <v>14</v>
      </c>
      <c r="E3706" s="1" t="s">
        <v>3668</v>
      </c>
      <c r="F3706" s="1" t="s">
        <v>3380</v>
      </c>
      <c r="G3706" s="1" t="s">
        <v>3668</v>
      </c>
      <c r="H3706" s="2" t="s">
        <v>3460</v>
      </c>
      <c r="I3706" s="1" t="s">
        <v>3705</v>
      </c>
      <c r="J3706" s="1" t="s">
        <v>52</v>
      </c>
      <c r="K3706" s="1" t="s">
        <v>3460</v>
      </c>
      <c r="L3706" s="36" t="s">
        <v>69</v>
      </c>
      <c r="M3706" s="1" t="s">
        <v>69</v>
      </c>
      <c r="N3706" s="1" t="s">
        <v>1935</v>
      </c>
      <c r="O3706" s="1" t="s">
        <v>46</v>
      </c>
      <c r="P3706" s="1" t="s">
        <v>46</v>
      </c>
      <c r="Q3706" s="1" t="s">
        <v>46</v>
      </c>
      <c r="R3706" s="1" t="s">
        <v>46</v>
      </c>
      <c r="S3706" s="1" t="s">
        <v>46</v>
      </c>
      <c r="T3706" s="1" t="s">
        <v>46</v>
      </c>
      <c r="U3706" s="1" t="s">
        <v>46</v>
      </c>
      <c r="W3706" s="1" t="s">
        <v>46</v>
      </c>
      <c r="X3706" s="1" t="s">
        <v>2640</v>
      </c>
      <c r="Y3706" s="1" t="n">
        <v>5500</v>
      </c>
    </row>
    <row r="3707" customFormat="false" ht="13.8" hidden="false" customHeight="false" outlineLevel="0" collapsed="false">
      <c r="A3707" s="1" t="s">
        <v>3851</v>
      </c>
      <c r="C3707" s="1" t="s">
        <v>3852</v>
      </c>
      <c r="D3707" s="1" t="s">
        <v>14</v>
      </c>
      <c r="E3707" s="1" t="s">
        <v>3668</v>
      </c>
      <c r="F3707" s="1" t="s">
        <v>3380</v>
      </c>
      <c r="G3707" s="1" t="s">
        <v>3668</v>
      </c>
      <c r="H3707" s="2" t="s">
        <v>3462</v>
      </c>
      <c r="I3707" s="1" t="s">
        <v>3706</v>
      </c>
      <c r="J3707" s="1" t="s">
        <v>52</v>
      </c>
      <c r="K3707" s="1" t="s">
        <v>3462</v>
      </c>
      <c r="L3707" s="36" t="s">
        <v>69</v>
      </c>
      <c r="M3707" s="1" t="s">
        <v>69</v>
      </c>
      <c r="N3707" s="1" t="s">
        <v>1935</v>
      </c>
      <c r="O3707" s="1" t="s">
        <v>46</v>
      </c>
      <c r="P3707" s="1" t="s">
        <v>46</v>
      </c>
      <c r="Q3707" s="1" t="s">
        <v>46</v>
      </c>
      <c r="R3707" s="1" t="s">
        <v>46</v>
      </c>
      <c r="S3707" s="1" t="s">
        <v>46</v>
      </c>
      <c r="T3707" s="1" t="s">
        <v>46</v>
      </c>
      <c r="U3707" s="1" t="s">
        <v>46</v>
      </c>
      <c r="W3707" s="1" t="s">
        <v>46</v>
      </c>
      <c r="X3707" s="1" t="s">
        <v>2640</v>
      </c>
      <c r="Y3707" s="1" t="n">
        <v>5500</v>
      </c>
    </row>
    <row r="3708" customFormat="false" ht="13.8" hidden="false" customHeight="false" outlineLevel="0" collapsed="false">
      <c r="A3708" s="1" t="s">
        <v>3851</v>
      </c>
      <c r="C3708" s="1" t="s">
        <v>3852</v>
      </c>
      <c r="D3708" s="1" t="s">
        <v>14</v>
      </c>
      <c r="E3708" s="1" t="s">
        <v>3668</v>
      </c>
      <c r="F3708" s="1" t="s">
        <v>3380</v>
      </c>
      <c r="G3708" s="1" t="s">
        <v>3668</v>
      </c>
      <c r="H3708" s="2" t="s">
        <v>3464</v>
      </c>
      <c r="I3708" s="1" t="s">
        <v>3707</v>
      </c>
      <c r="J3708" s="1" t="s">
        <v>52</v>
      </c>
      <c r="K3708" s="1" t="s">
        <v>3464</v>
      </c>
      <c r="L3708" s="36" t="s">
        <v>69</v>
      </c>
      <c r="M3708" s="1" t="s">
        <v>69</v>
      </c>
      <c r="N3708" s="1" t="s">
        <v>1935</v>
      </c>
      <c r="O3708" s="1" t="s">
        <v>46</v>
      </c>
      <c r="P3708" s="1" t="s">
        <v>46</v>
      </c>
      <c r="Q3708" s="1" t="s">
        <v>46</v>
      </c>
      <c r="R3708" s="1" t="s">
        <v>46</v>
      </c>
      <c r="S3708" s="1" t="s">
        <v>46</v>
      </c>
      <c r="T3708" s="1" t="s">
        <v>46</v>
      </c>
      <c r="U3708" s="1" t="s">
        <v>46</v>
      </c>
      <c r="W3708" s="1" t="s">
        <v>46</v>
      </c>
      <c r="X3708" s="1" t="s">
        <v>2640</v>
      </c>
      <c r="Y3708" s="1" t="n">
        <v>5500</v>
      </c>
    </row>
    <row r="3709" customFormat="false" ht="13.8" hidden="false" customHeight="false" outlineLevel="0" collapsed="false">
      <c r="A3709" s="1" t="s">
        <v>3851</v>
      </c>
      <c r="C3709" s="1" t="s">
        <v>3852</v>
      </c>
      <c r="D3709" s="1" t="s">
        <v>14</v>
      </c>
      <c r="E3709" s="1" t="s">
        <v>3668</v>
      </c>
      <c r="F3709" s="1" t="s">
        <v>3380</v>
      </c>
      <c r="G3709" s="1" t="s">
        <v>3668</v>
      </c>
      <c r="H3709" s="2" t="s">
        <v>3466</v>
      </c>
      <c r="I3709" s="1" t="s">
        <v>3708</v>
      </c>
      <c r="J3709" s="1" t="s">
        <v>52</v>
      </c>
      <c r="K3709" s="1" t="s">
        <v>3466</v>
      </c>
      <c r="L3709" s="36" t="s">
        <v>69</v>
      </c>
      <c r="M3709" s="1" t="s">
        <v>69</v>
      </c>
      <c r="N3709" s="1" t="s">
        <v>3468</v>
      </c>
      <c r="O3709" s="1" t="s">
        <v>46</v>
      </c>
      <c r="P3709" s="1" t="s">
        <v>46</v>
      </c>
      <c r="Q3709" s="1" t="s">
        <v>46</v>
      </c>
      <c r="R3709" s="1" t="s">
        <v>46</v>
      </c>
      <c r="S3709" s="1" t="s">
        <v>46</v>
      </c>
      <c r="T3709" s="1" t="s">
        <v>46</v>
      </c>
      <c r="U3709" s="1" t="s">
        <v>46</v>
      </c>
      <c r="W3709" s="1" t="s">
        <v>46</v>
      </c>
      <c r="X3709" s="1" t="s">
        <v>2640</v>
      </c>
      <c r="Y3709" s="1" t="n">
        <v>5500</v>
      </c>
    </row>
    <row r="3710" customFormat="false" ht="13.8" hidden="false" customHeight="false" outlineLevel="0" collapsed="false">
      <c r="A3710" s="1" t="s">
        <v>3851</v>
      </c>
      <c r="C3710" s="1" t="s">
        <v>3852</v>
      </c>
      <c r="D3710" s="1" t="s">
        <v>14</v>
      </c>
      <c r="E3710" s="1" t="s">
        <v>3668</v>
      </c>
      <c r="F3710" s="1" t="s">
        <v>3380</v>
      </c>
      <c r="G3710" s="1" t="s">
        <v>3668</v>
      </c>
      <c r="H3710" s="2" t="s">
        <v>3469</v>
      </c>
      <c r="I3710" s="1" t="s">
        <v>3709</v>
      </c>
      <c r="J3710" s="1" t="s">
        <v>52</v>
      </c>
      <c r="K3710" s="1" t="s">
        <v>3469</v>
      </c>
      <c r="L3710" s="36" t="s">
        <v>69</v>
      </c>
      <c r="M3710" s="1" t="s">
        <v>69</v>
      </c>
      <c r="N3710" s="1" t="s">
        <v>3468</v>
      </c>
      <c r="O3710" s="1" t="s">
        <v>46</v>
      </c>
      <c r="P3710" s="1" t="s">
        <v>46</v>
      </c>
      <c r="Q3710" s="1" t="s">
        <v>46</v>
      </c>
      <c r="R3710" s="1" t="s">
        <v>46</v>
      </c>
      <c r="S3710" s="1" t="s">
        <v>46</v>
      </c>
      <c r="T3710" s="1" t="s">
        <v>46</v>
      </c>
      <c r="U3710" s="1" t="s">
        <v>46</v>
      </c>
      <c r="W3710" s="1" t="s">
        <v>46</v>
      </c>
      <c r="X3710" s="1" t="s">
        <v>2640</v>
      </c>
      <c r="Y3710" s="1" t="n">
        <v>5500</v>
      </c>
    </row>
    <row r="3711" customFormat="false" ht="13.8" hidden="false" customHeight="false" outlineLevel="0" collapsed="false">
      <c r="A3711" s="1" t="s">
        <v>3851</v>
      </c>
      <c r="C3711" s="1" t="s">
        <v>3852</v>
      </c>
      <c r="D3711" s="1" t="s">
        <v>14</v>
      </c>
      <c r="E3711" s="1" t="s">
        <v>3668</v>
      </c>
      <c r="F3711" s="1" t="s">
        <v>3380</v>
      </c>
      <c r="G3711" s="1" t="s">
        <v>3668</v>
      </c>
      <c r="H3711" s="2" t="s">
        <v>3471</v>
      </c>
      <c r="I3711" s="1" t="s">
        <v>3710</v>
      </c>
      <c r="J3711" s="1" t="s">
        <v>52</v>
      </c>
      <c r="K3711" s="1" t="s">
        <v>3471</v>
      </c>
      <c r="L3711" s="36" t="s">
        <v>69</v>
      </c>
      <c r="M3711" s="1" t="s">
        <v>69</v>
      </c>
      <c r="N3711" s="1" t="s">
        <v>3468</v>
      </c>
      <c r="O3711" s="1" t="s">
        <v>46</v>
      </c>
      <c r="P3711" s="1" t="s">
        <v>46</v>
      </c>
      <c r="Q3711" s="1" t="s">
        <v>46</v>
      </c>
      <c r="R3711" s="1" t="s">
        <v>46</v>
      </c>
      <c r="S3711" s="1" t="s">
        <v>46</v>
      </c>
      <c r="T3711" s="1" t="s">
        <v>46</v>
      </c>
      <c r="U3711" s="1" t="s">
        <v>46</v>
      </c>
      <c r="W3711" s="1" t="s">
        <v>46</v>
      </c>
      <c r="X3711" s="1" t="s">
        <v>2640</v>
      </c>
      <c r="Y3711" s="1" t="n">
        <v>5500</v>
      </c>
    </row>
    <row r="3712" customFormat="false" ht="13.8" hidden="false" customHeight="false" outlineLevel="0" collapsed="false">
      <c r="A3712" s="1" t="s">
        <v>3851</v>
      </c>
      <c r="C3712" s="1" t="s">
        <v>3852</v>
      </c>
      <c r="D3712" s="1" t="s">
        <v>14</v>
      </c>
      <c r="E3712" s="1" t="s">
        <v>3668</v>
      </c>
      <c r="F3712" s="1" t="s">
        <v>3380</v>
      </c>
      <c r="G3712" s="1" t="s">
        <v>3668</v>
      </c>
      <c r="H3712" s="2" t="s">
        <v>3473</v>
      </c>
      <c r="I3712" s="1" t="s">
        <v>3711</v>
      </c>
      <c r="J3712" s="1" t="s">
        <v>52</v>
      </c>
      <c r="K3712" s="1" t="s">
        <v>3473</v>
      </c>
      <c r="L3712" s="36" t="s">
        <v>69</v>
      </c>
      <c r="M3712" s="1" t="s">
        <v>69</v>
      </c>
      <c r="N3712" s="1" t="s">
        <v>3468</v>
      </c>
      <c r="O3712" s="1" t="s">
        <v>46</v>
      </c>
      <c r="P3712" s="1" t="s">
        <v>46</v>
      </c>
      <c r="Q3712" s="1" t="s">
        <v>46</v>
      </c>
      <c r="R3712" s="1" t="s">
        <v>46</v>
      </c>
      <c r="S3712" s="1" t="s">
        <v>46</v>
      </c>
      <c r="T3712" s="1" t="s">
        <v>46</v>
      </c>
      <c r="U3712" s="1" t="s">
        <v>46</v>
      </c>
      <c r="W3712" s="1" t="s">
        <v>46</v>
      </c>
      <c r="X3712" s="1" t="s">
        <v>2640</v>
      </c>
      <c r="Y3712" s="1" t="n">
        <v>5500</v>
      </c>
    </row>
    <row r="3713" customFormat="false" ht="13.8" hidden="false" customHeight="false" outlineLevel="0" collapsed="false">
      <c r="A3713" s="1" t="s">
        <v>3851</v>
      </c>
      <c r="C3713" s="1" t="s">
        <v>3852</v>
      </c>
      <c r="D3713" s="1" t="s">
        <v>14</v>
      </c>
      <c r="E3713" s="1" t="s">
        <v>3668</v>
      </c>
      <c r="F3713" s="1" t="s">
        <v>3380</v>
      </c>
      <c r="G3713" s="1" t="s">
        <v>3668</v>
      </c>
      <c r="H3713" s="2" t="s">
        <v>3475</v>
      </c>
      <c r="I3713" s="1" t="s">
        <v>3712</v>
      </c>
      <c r="J3713" s="1" t="s">
        <v>52</v>
      </c>
      <c r="K3713" s="1" t="s">
        <v>3475</v>
      </c>
      <c r="L3713" s="36" t="s">
        <v>69</v>
      </c>
      <c r="M3713" s="1" t="s">
        <v>69</v>
      </c>
      <c r="N3713" s="1" t="s">
        <v>3468</v>
      </c>
      <c r="O3713" s="1" t="s">
        <v>46</v>
      </c>
      <c r="P3713" s="1" t="s">
        <v>46</v>
      </c>
      <c r="Q3713" s="1" t="s">
        <v>46</v>
      </c>
      <c r="R3713" s="1" t="s">
        <v>46</v>
      </c>
      <c r="S3713" s="1" t="s">
        <v>46</v>
      </c>
      <c r="T3713" s="1" t="s">
        <v>46</v>
      </c>
      <c r="U3713" s="1" t="s">
        <v>46</v>
      </c>
      <c r="W3713" s="1" t="s">
        <v>46</v>
      </c>
      <c r="X3713" s="1" t="s">
        <v>2640</v>
      </c>
      <c r="Y3713" s="1" t="n">
        <v>5500</v>
      </c>
    </row>
    <row r="3714" customFormat="false" ht="13.8" hidden="false" customHeight="false" outlineLevel="0" collapsed="false">
      <c r="A3714" s="1" t="s">
        <v>3851</v>
      </c>
      <c r="C3714" s="1" t="s">
        <v>3852</v>
      </c>
      <c r="D3714" s="1" t="s">
        <v>14</v>
      </c>
      <c r="E3714" s="1" t="s">
        <v>3668</v>
      </c>
      <c r="F3714" s="1" t="s">
        <v>3380</v>
      </c>
      <c r="G3714" s="1" t="s">
        <v>3668</v>
      </c>
      <c r="H3714" s="2" t="s">
        <v>3477</v>
      </c>
      <c r="I3714" s="1" t="s">
        <v>3713</v>
      </c>
      <c r="J3714" s="1" t="s">
        <v>52</v>
      </c>
      <c r="K3714" s="1" t="s">
        <v>3477</v>
      </c>
      <c r="L3714" s="36" t="s">
        <v>69</v>
      </c>
      <c r="M3714" s="1" t="s">
        <v>69</v>
      </c>
      <c r="N3714" s="1" t="s">
        <v>3468</v>
      </c>
      <c r="O3714" s="1" t="s">
        <v>46</v>
      </c>
      <c r="P3714" s="1" t="s">
        <v>46</v>
      </c>
      <c r="Q3714" s="1" t="s">
        <v>46</v>
      </c>
      <c r="R3714" s="1" t="s">
        <v>46</v>
      </c>
      <c r="S3714" s="1" t="s">
        <v>46</v>
      </c>
      <c r="T3714" s="1" t="s">
        <v>46</v>
      </c>
      <c r="U3714" s="1" t="s">
        <v>46</v>
      </c>
      <c r="W3714" s="1" t="s">
        <v>46</v>
      </c>
      <c r="X3714" s="1" t="s">
        <v>2640</v>
      </c>
      <c r="Y3714" s="1" t="n">
        <v>5500</v>
      </c>
    </row>
    <row r="3715" customFormat="false" ht="13.8" hidden="false" customHeight="false" outlineLevel="0" collapsed="false">
      <c r="A3715" s="1" t="s">
        <v>3851</v>
      </c>
      <c r="C3715" s="1" t="s">
        <v>3852</v>
      </c>
      <c r="D3715" s="1" t="s">
        <v>14</v>
      </c>
      <c r="E3715" s="1" t="s">
        <v>3668</v>
      </c>
      <c r="F3715" s="1" t="s">
        <v>3380</v>
      </c>
      <c r="G3715" s="1" t="s">
        <v>3668</v>
      </c>
      <c r="H3715" s="2" t="s">
        <v>3479</v>
      </c>
      <c r="I3715" s="1" t="s">
        <v>3714</v>
      </c>
      <c r="J3715" s="1" t="s">
        <v>52</v>
      </c>
      <c r="K3715" s="1" t="s">
        <v>3479</v>
      </c>
      <c r="L3715" s="36" t="s">
        <v>69</v>
      </c>
      <c r="M3715" s="1" t="s">
        <v>69</v>
      </c>
      <c r="N3715" s="1" t="s">
        <v>3468</v>
      </c>
      <c r="O3715" s="1" t="s">
        <v>46</v>
      </c>
      <c r="P3715" s="1" t="s">
        <v>46</v>
      </c>
      <c r="Q3715" s="1" t="s">
        <v>46</v>
      </c>
      <c r="R3715" s="1" t="s">
        <v>46</v>
      </c>
      <c r="S3715" s="1" t="s">
        <v>46</v>
      </c>
      <c r="T3715" s="1" t="s">
        <v>46</v>
      </c>
      <c r="U3715" s="1" t="s">
        <v>46</v>
      </c>
      <c r="W3715" s="1" t="s">
        <v>46</v>
      </c>
      <c r="X3715" s="1" t="s">
        <v>2640</v>
      </c>
      <c r="Y3715" s="1" t="n">
        <v>5500</v>
      </c>
    </row>
    <row r="3716" customFormat="false" ht="13.8" hidden="false" customHeight="false" outlineLevel="0" collapsed="false">
      <c r="A3716" s="1" t="s">
        <v>3851</v>
      </c>
      <c r="C3716" s="1" t="s">
        <v>3852</v>
      </c>
      <c r="D3716" s="1" t="s">
        <v>14</v>
      </c>
      <c r="E3716" s="1" t="s">
        <v>3668</v>
      </c>
      <c r="F3716" s="1" t="s">
        <v>3380</v>
      </c>
      <c r="G3716" s="1" t="s">
        <v>3668</v>
      </c>
      <c r="H3716" s="2" t="s">
        <v>3481</v>
      </c>
      <c r="I3716" s="1" t="s">
        <v>3715</v>
      </c>
      <c r="J3716" s="1" t="s">
        <v>52</v>
      </c>
      <c r="K3716" s="1" t="s">
        <v>3481</v>
      </c>
      <c r="L3716" s="36" t="s">
        <v>69</v>
      </c>
      <c r="M3716" s="1" t="s">
        <v>69</v>
      </c>
      <c r="N3716" s="1" t="s">
        <v>3468</v>
      </c>
      <c r="O3716" s="1" t="s">
        <v>46</v>
      </c>
      <c r="P3716" s="1" t="s">
        <v>46</v>
      </c>
      <c r="Q3716" s="1" t="s">
        <v>46</v>
      </c>
      <c r="R3716" s="1" t="s">
        <v>46</v>
      </c>
      <c r="S3716" s="1" t="s">
        <v>46</v>
      </c>
      <c r="T3716" s="1" t="s">
        <v>46</v>
      </c>
      <c r="U3716" s="1" t="s">
        <v>46</v>
      </c>
      <c r="W3716" s="1" t="s">
        <v>46</v>
      </c>
      <c r="X3716" s="1" t="s">
        <v>2640</v>
      </c>
      <c r="Y3716" s="1" t="n">
        <v>5500</v>
      </c>
    </row>
    <row r="3717" customFormat="false" ht="13.8" hidden="false" customHeight="false" outlineLevel="0" collapsed="false">
      <c r="A3717" s="1" t="s">
        <v>3851</v>
      </c>
      <c r="C3717" s="1" t="s">
        <v>3852</v>
      </c>
      <c r="D3717" s="1" t="s">
        <v>14</v>
      </c>
      <c r="E3717" s="1" t="s">
        <v>3668</v>
      </c>
      <c r="F3717" s="1" t="s">
        <v>3380</v>
      </c>
      <c r="G3717" s="1" t="s">
        <v>3668</v>
      </c>
      <c r="H3717" s="2" t="s">
        <v>3483</v>
      </c>
      <c r="I3717" s="1" t="s">
        <v>3716</v>
      </c>
      <c r="J3717" s="1" t="s">
        <v>52</v>
      </c>
      <c r="K3717" s="1" t="s">
        <v>3483</v>
      </c>
      <c r="L3717" s="36" t="s">
        <v>69</v>
      </c>
      <c r="M3717" s="1" t="s">
        <v>69</v>
      </c>
      <c r="N3717" s="1" t="s">
        <v>3468</v>
      </c>
      <c r="O3717" s="1" t="s">
        <v>46</v>
      </c>
      <c r="P3717" s="1" t="s">
        <v>46</v>
      </c>
      <c r="Q3717" s="1" t="s">
        <v>46</v>
      </c>
      <c r="R3717" s="1" t="s">
        <v>46</v>
      </c>
      <c r="S3717" s="1" t="s">
        <v>46</v>
      </c>
      <c r="T3717" s="1" t="s">
        <v>46</v>
      </c>
      <c r="U3717" s="1" t="s">
        <v>46</v>
      </c>
      <c r="W3717" s="1" t="s">
        <v>46</v>
      </c>
      <c r="X3717" s="1" t="s">
        <v>2640</v>
      </c>
      <c r="Y3717" s="1" t="n">
        <v>5500</v>
      </c>
    </row>
    <row r="3718" customFormat="false" ht="13.8" hidden="false" customHeight="false" outlineLevel="0" collapsed="false">
      <c r="A3718" s="1" t="s">
        <v>3851</v>
      </c>
      <c r="C3718" s="1" t="s">
        <v>3852</v>
      </c>
      <c r="D3718" s="1" t="s">
        <v>14</v>
      </c>
      <c r="E3718" s="1" t="s">
        <v>3668</v>
      </c>
      <c r="F3718" s="1" t="s">
        <v>3380</v>
      </c>
      <c r="G3718" s="1" t="s">
        <v>3668</v>
      </c>
      <c r="H3718" s="2" t="s">
        <v>3485</v>
      </c>
      <c r="I3718" s="1" t="s">
        <v>3717</v>
      </c>
      <c r="J3718" s="1" t="s">
        <v>52</v>
      </c>
      <c r="K3718" s="1" t="s">
        <v>3485</v>
      </c>
      <c r="L3718" s="36" t="s">
        <v>69</v>
      </c>
      <c r="M3718" s="1" t="s">
        <v>69</v>
      </c>
      <c r="N3718" s="1" t="s">
        <v>3468</v>
      </c>
      <c r="O3718" s="1" t="s">
        <v>46</v>
      </c>
      <c r="P3718" s="1" t="s">
        <v>46</v>
      </c>
      <c r="Q3718" s="1" t="s">
        <v>46</v>
      </c>
      <c r="R3718" s="1" t="s">
        <v>46</v>
      </c>
      <c r="S3718" s="1" t="s">
        <v>46</v>
      </c>
      <c r="T3718" s="1" t="s">
        <v>46</v>
      </c>
      <c r="U3718" s="1" t="s">
        <v>46</v>
      </c>
      <c r="W3718" s="1" t="s">
        <v>46</v>
      </c>
      <c r="X3718" s="1" t="s">
        <v>2640</v>
      </c>
      <c r="Y3718" s="1" t="n">
        <v>5500</v>
      </c>
    </row>
    <row r="3719" customFormat="false" ht="13.8" hidden="false" customHeight="false" outlineLevel="0" collapsed="false">
      <c r="A3719" s="1" t="s">
        <v>3851</v>
      </c>
      <c r="C3719" s="1" t="s">
        <v>3852</v>
      </c>
      <c r="D3719" s="1" t="s">
        <v>14</v>
      </c>
      <c r="E3719" s="1" t="s">
        <v>3668</v>
      </c>
      <c r="F3719" s="1" t="s">
        <v>3380</v>
      </c>
      <c r="G3719" s="1" t="s">
        <v>3668</v>
      </c>
      <c r="H3719" s="2" t="s">
        <v>3487</v>
      </c>
      <c r="I3719" s="1" t="s">
        <v>3718</v>
      </c>
      <c r="J3719" s="1" t="s">
        <v>52</v>
      </c>
      <c r="K3719" s="1" t="s">
        <v>3487</v>
      </c>
      <c r="L3719" s="36" t="s">
        <v>69</v>
      </c>
      <c r="M3719" s="1" t="s">
        <v>69</v>
      </c>
      <c r="N3719" s="1" t="s">
        <v>3468</v>
      </c>
      <c r="O3719" s="1" t="s">
        <v>46</v>
      </c>
      <c r="P3719" s="1" t="s">
        <v>46</v>
      </c>
      <c r="Q3719" s="1" t="s">
        <v>46</v>
      </c>
      <c r="R3719" s="1" t="s">
        <v>46</v>
      </c>
      <c r="S3719" s="1" t="s">
        <v>46</v>
      </c>
      <c r="T3719" s="1" t="s">
        <v>46</v>
      </c>
      <c r="U3719" s="1" t="s">
        <v>46</v>
      </c>
      <c r="W3719" s="1" t="s">
        <v>46</v>
      </c>
      <c r="X3719" s="1" t="s">
        <v>2640</v>
      </c>
      <c r="Y3719" s="1" t="n">
        <v>5500</v>
      </c>
    </row>
    <row r="3720" customFormat="false" ht="13.8" hidden="false" customHeight="false" outlineLevel="0" collapsed="false">
      <c r="A3720" s="1" t="s">
        <v>3851</v>
      </c>
      <c r="C3720" s="1" t="s">
        <v>3852</v>
      </c>
      <c r="D3720" s="1" t="s">
        <v>14</v>
      </c>
      <c r="E3720" s="1" t="s">
        <v>3668</v>
      </c>
      <c r="F3720" s="1" t="s">
        <v>3380</v>
      </c>
      <c r="G3720" s="1" t="s">
        <v>3668</v>
      </c>
      <c r="H3720" s="2" t="s">
        <v>3489</v>
      </c>
      <c r="I3720" s="1" t="s">
        <v>3719</v>
      </c>
      <c r="J3720" s="1" t="s">
        <v>52</v>
      </c>
      <c r="K3720" s="1" t="s">
        <v>3489</v>
      </c>
      <c r="L3720" s="36" t="s">
        <v>69</v>
      </c>
      <c r="M3720" s="1" t="s">
        <v>69</v>
      </c>
      <c r="N3720" s="1" t="s">
        <v>3468</v>
      </c>
      <c r="O3720" s="1" t="s">
        <v>46</v>
      </c>
      <c r="P3720" s="1" t="s">
        <v>46</v>
      </c>
      <c r="Q3720" s="1" t="s">
        <v>46</v>
      </c>
      <c r="R3720" s="1" t="s">
        <v>46</v>
      </c>
      <c r="S3720" s="1" t="s">
        <v>46</v>
      </c>
      <c r="T3720" s="1" t="s">
        <v>46</v>
      </c>
      <c r="U3720" s="1" t="s">
        <v>46</v>
      </c>
      <c r="W3720" s="1" t="s">
        <v>46</v>
      </c>
      <c r="X3720" s="1" t="s">
        <v>2640</v>
      </c>
      <c r="Y3720" s="1" t="n">
        <v>5500</v>
      </c>
    </row>
    <row r="3721" customFormat="false" ht="13.8" hidden="false" customHeight="false" outlineLevel="0" collapsed="false">
      <c r="A3721" s="1" t="s">
        <v>3851</v>
      </c>
      <c r="C3721" s="1" t="s">
        <v>3852</v>
      </c>
      <c r="D3721" s="1" t="s">
        <v>14</v>
      </c>
      <c r="E3721" s="1" t="s">
        <v>3668</v>
      </c>
      <c r="F3721" s="1" t="s">
        <v>3380</v>
      </c>
      <c r="G3721" s="1" t="s">
        <v>3668</v>
      </c>
      <c r="H3721" s="2" t="s">
        <v>3491</v>
      </c>
      <c r="I3721" s="1" t="s">
        <v>3720</v>
      </c>
      <c r="J3721" s="1" t="s">
        <v>52</v>
      </c>
      <c r="K3721" s="1" t="s">
        <v>3491</v>
      </c>
      <c r="L3721" s="36" t="s">
        <v>69</v>
      </c>
      <c r="M3721" s="1" t="s">
        <v>69</v>
      </c>
      <c r="N3721" s="1" t="s">
        <v>3468</v>
      </c>
      <c r="O3721" s="1" t="s">
        <v>46</v>
      </c>
      <c r="P3721" s="1" t="s">
        <v>46</v>
      </c>
      <c r="Q3721" s="1" t="s">
        <v>46</v>
      </c>
      <c r="R3721" s="1" t="s">
        <v>46</v>
      </c>
      <c r="S3721" s="1" t="s">
        <v>46</v>
      </c>
      <c r="T3721" s="1" t="s">
        <v>46</v>
      </c>
      <c r="U3721" s="1" t="s">
        <v>46</v>
      </c>
      <c r="W3721" s="1" t="s">
        <v>46</v>
      </c>
      <c r="X3721" s="1" t="s">
        <v>2640</v>
      </c>
      <c r="Y3721" s="1" t="n">
        <v>5500</v>
      </c>
    </row>
    <row r="3722" customFormat="false" ht="13.8" hidden="false" customHeight="false" outlineLevel="0" collapsed="false">
      <c r="A3722" s="1" t="s">
        <v>3851</v>
      </c>
      <c r="C3722" s="1" t="s">
        <v>3852</v>
      </c>
      <c r="D3722" s="1" t="s">
        <v>14</v>
      </c>
      <c r="E3722" s="1" t="s">
        <v>3668</v>
      </c>
      <c r="F3722" s="1" t="s">
        <v>3380</v>
      </c>
      <c r="G3722" s="1" t="s">
        <v>3668</v>
      </c>
      <c r="H3722" s="2" t="s">
        <v>3493</v>
      </c>
      <c r="I3722" s="1" t="s">
        <v>3721</v>
      </c>
      <c r="J3722" s="1" t="s">
        <v>52</v>
      </c>
      <c r="K3722" s="1" t="s">
        <v>3493</v>
      </c>
      <c r="L3722" s="36" t="s">
        <v>69</v>
      </c>
      <c r="M3722" s="1" t="s">
        <v>69</v>
      </c>
      <c r="N3722" s="1" t="s">
        <v>3468</v>
      </c>
      <c r="O3722" s="1" t="s">
        <v>46</v>
      </c>
      <c r="P3722" s="1" t="s">
        <v>46</v>
      </c>
      <c r="Q3722" s="1" t="s">
        <v>46</v>
      </c>
      <c r="R3722" s="1" t="s">
        <v>46</v>
      </c>
      <c r="S3722" s="1" t="s">
        <v>46</v>
      </c>
      <c r="T3722" s="1" t="s">
        <v>46</v>
      </c>
      <c r="U3722" s="1" t="s">
        <v>46</v>
      </c>
      <c r="W3722" s="1" t="s">
        <v>46</v>
      </c>
      <c r="X3722" s="1" t="s">
        <v>2640</v>
      </c>
      <c r="Y3722" s="1" t="n">
        <v>5500</v>
      </c>
    </row>
    <row r="3723" customFormat="false" ht="13.8" hidden="false" customHeight="false" outlineLevel="0" collapsed="false">
      <c r="A3723" s="1" t="s">
        <v>3851</v>
      </c>
      <c r="C3723" s="1" t="s">
        <v>3852</v>
      </c>
      <c r="D3723" s="1" t="s">
        <v>14</v>
      </c>
      <c r="E3723" s="1" t="s">
        <v>3668</v>
      </c>
      <c r="F3723" s="1" t="s">
        <v>3380</v>
      </c>
      <c r="G3723" s="1" t="s">
        <v>3668</v>
      </c>
      <c r="H3723" s="2" t="s">
        <v>3495</v>
      </c>
      <c r="I3723" s="1" t="s">
        <v>3722</v>
      </c>
      <c r="J3723" s="1" t="s">
        <v>52</v>
      </c>
      <c r="K3723" s="1" t="s">
        <v>3495</v>
      </c>
      <c r="L3723" s="36" t="s">
        <v>69</v>
      </c>
      <c r="M3723" s="1" t="s">
        <v>69</v>
      </c>
      <c r="N3723" s="1" t="s">
        <v>3468</v>
      </c>
      <c r="O3723" s="1" t="s">
        <v>46</v>
      </c>
      <c r="P3723" s="1" t="s">
        <v>46</v>
      </c>
      <c r="Q3723" s="1" t="s">
        <v>46</v>
      </c>
      <c r="R3723" s="1" t="s">
        <v>46</v>
      </c>
      <c r="S3723" s="1" t="s">
        <v>46</v>
      </c>
      <c r="T3723" s="1" t="s">
        <v>46</v>
      </c>
      <c r="U3723" s="1" t="s">
        <v>46</v>
      </c>
      <c r="W3723" s="1" t="s">
        <v>46</v>
      </c>
      <c r="X3723" s="1" t="s">
        <v>2640</v>
      </c>
      <c r="Y3723" s="1" t="n">
        <v>5500</v>
      </c>
    </row>
    <row r="3724" customFormat="false" ht="13.8" hidden="false" customHeight="false" outlineLevel="0" collapsed="false">
      <c r="A3724" s="1" t="s">
        <v>3853</v>
      </c>
      <c r="C3724" s="1" t="s">
        <v>3854</v>
      </c>
      <c r="D3724" s="1" t="s">
        <v>14</v>
      </c>
      <c r="E3724" s="1" t="s">
        <v>3668</v>
      </c>
      <c r="F3724" s="1" t="s">
        <v>3380</v>
      </c>
      <c r="G3724" s="1" t="s">
        <v>3668</v>
      </c>
      <c r="H3724" s="2" t="s">
        <v>3554</v>
      </c>
      <c r="I3724" s="1" t="s">
        <v>3790</v>
      </c>
      <c r="J3724" s="1" t="s">
        <v>52</v>
      </c>
      <c r="K3724" s="1" t="s">
        <v>3554</v>
      </c>
      <c r="L3724" s="36" t="s">
        <v>69</v>
      </c>
      <c r="M3724" s="1" t="s">
        <v>69</v>
      </c>
      <c r="N3724" s="1" t="s">
        <v>3383</v>
      </c>
      <c r="O3724" s="1" t="s">
        <v>3784</v>
      </c>
      <c r="P3724" s="1" t="s">
        <v>3385</v>
      </c>
      <c r="Q3724" s="1" t="s">
        <v>3385</v>
      </c>
      <c r="R3724" s="1" t="s">
        <v>46</v>
      </c>
      <c r="S3724" s="1" t="s">
        <v>69</v>
      </c>
      <c r="T3724" s="1" t="s">
        <v>69</v>
      </c>
      <c r="U3724" s="1" t="s">
        <v>46</v>
      </c>
      <c r="V3724" s="1" t="n">
        <v>1</v>
      </c>
      <c r="W3724" s="1" t="s">
        <v>46</v>
      </c>
      <c r="X3724" s="1" t="s">
        <v>2640</v>
      </c>
      <c r="Y3724" s="1" t="n">
        <v>5500</v>
      </c>
    </row>
    <row r="3725" customFormat="false" ht="13.8" hidden="false" customHeight="false" outlineLevel="0" collapsed="false">
      <c r="A3725" s="1" t="s">
        <v>3853</v>
      </c>
      <c r="C3725" s="1" t="s">
        <v>3854</v>
      </c>
      <c r="D3725" s="1" t="s">
        <v>14</v>
      </c>
      <c r="E3725" s="1" t="s">
        <v>3668</v>
      </c>
      <c r="F3725" s="1" t="s">
        <v>3380</v>
      </c>
      <c r="G3725" s="1" t="s">
        <v>3668</v>
      </c>
      <c r="H3725" s="2" t="s">
        <v>3557</v>
      </c>
      <c r="I3725" s="1" t="s">
        <v>3791</v>
      </c>
      <c r="J3725" s="1" t="s">
        <v>52</v>
      </c>
      <c r="K3725" s="1" t="s">
        <v>3557</v>
      </c>
      <c r="L3725" s="36" t="s">
        <v>69</v>
      </c>
      <c r="M3725" s="1" t="s">
        <v>69</v>
      </c>
      <c r="N3725" s="1" t="s">
        <v>3383</v>
      </c>
      <c r="O3725" s="1" t="s">
        <v>3784</v>
      </c>
      <c r="P3725" s="1" t="s">
        <v>3385</v>
      </c>
      <c r="Q3725" s="1" t="s">
        <v>3385</v>
      </c>
      <c r="R3725" s="1" t="s">
        <v>46</v>
      </c>
      <c r="S3725" s="1" t="s">
        <v>69</v>
      </c>
      <c r="T3725" s="1" t="s">
        <v>69</v>
      </c>
      <c r="U3725" s="1" t="s">
        <v>46</v>
      </c>
      <c r="V3725" s="1" t="n">
        <v>2</v>
      </c>
      <c r="W3725" s="1" t="s">
        <v>46</v>
      </c>
      <c r="X3725" s="1" t="s">
        <v>2640</v>
      </c>
      <c r="Y3725" s="1" t="n">
        <v>5500</v>
      </c>
    </row>
    <row r="3726" customFormat="false" ht="13.8" hidden="false" customHeight="false" outlineLevel="0" collapsed="false">
      <c r="A3726" s="1" t="s">
        <v>3853</v>
      </c>
      <c r="C3726" s="1" t="s">
        <v>3854</v>
      </c>
      <c r="D3726" s="1" t="s">
        <v>14</v>
      </c>
      <c r="E3726" s="1" t="s">
        <v>3668</v>
      </c>
      <c r="F3726" s="1" t="s">
        <v>3380</v>
      </c>
      <c r="G3726" s="1" t="s">
        <v>3668</v>
      </c>
      <c r="H3726" s="2" t="s">
        <v>3559</v>
      </c>
      <c r="I3726" s="1" t="s">
        <v>3792</v>
      </c>
      <c r="J3726" s="1" t="s">
        <v>52</v>
      </c>
      <c r="K3726" s="1" t="s">
        <v>3559</v>
      </c>
      <c r="L3726" s="36" t="s">
        <v>69</v>
      </c>
      <c r="M3726" s="1" t="s">
        <v>69</v>
      </c>
      <c r="N3726" s="1" t="s">
        <v>3383</v>
      </c>
      <c r="O3726" s="1" t="s">
        <v>3784</v>
      </c>
      <c r="P3726" s="1" t="s">
        <v>3385</v>
      </c>
      <c r="Q3726" s="1" t="s">
        <v>3385</v>
      </c>
      <c r="R3726" s="1" t="s">
        <v>46</v>
      </c>
      <c r="S3726" s="1" t="s">
        <v>69</v>
      </c>
      <c r="T3726" s="1" t="s">
        <v>69</v>
      </c>
      <c r="U3726" s="1" t="s">
        <v>46</v>
      </c>
      <c r="V3726" s="1" t="n">
        <v>3</v>
      </c>
      <c r="W3726" s="1" t="s">
        <v>46</v>
      </c>
      <c r="X3726" s="1" t="s">
        <v>2640</v>
      </c>
      <c r="Y3726" s="1" t="n">
        <v>5500</v>
      </c>
    </row>
    <row r="3727" customFormat="false" ht="13.8" hidden="false" customHeight="false" outlineLevel="0" collapsed="false">
      <c r="A3727" s="1" t="s">
        <v>3853</v>
      </c>
      <c r="C3727" s="1" t="s">
        <v>3854</v>
      </c>
      <c r="D3727" s="1" t="s">
        <v>14</v>
      </c>
      <c r="E3727" s="1" t="s">
        <v>3668</v>
      </c>
      <c r="F3727" s="1" t="s">
        <v>3380</v>
      </c>
      <c r="G3727" s="1" t="s">
        <v>3668</v>
      </c>
      <c r="H3727" s="2" t="s">
        <v>3561</v>
      </c>
      <c r="I3727" s="1" t="s">
        <v>3793</v>
      </c>
      <c r="J3727" s="1" t="s">
        <v>52</v>
      </c>
      <c r="K3727" s="1" t="s">
        <v>3561</v>
      </c>
      <c r="L3727" s="36" t="s">
        <v>69</v>
      </c>
      <c r="M3727" s="1" t="s">
        <v>69</v>
      </c>
      <c r="N3727" s="1" t="s">
        <v>3383</v>
      </c>
      <c r="O3727" s="1" t="s">
        <v>3784</v>
      </c>
      <c r="P3727" s="1" t="s">
        <v>3385</v>
      </c>
      <c r="Q3727" s="1" t="s">
        <v>3385</v>
      </c>
      <c r="R3727" s="1" t="s">
        <v>46</v>
      </c>
      <c r="S3727" s="1" t="s">
        <v>69</v>
      </c>
      <c r="T3727" s="1" t="s">
        <v>69</v>
      </c>
      <c r="U3727" s="1" t="s">
        <v>46</v>
      </c>
      <c r="V3727" s="1" t="n">
        <v>4</v>
      </c>
      <c r="W3727" s="1" t="s">
        <v>46</v>
      </c>
      <c r="X3727" s="1" t="s">
        <v>2640</v>
      </c>
      <c r="Y3727" s="1" t="n">
        <v>5500</v>
      </c>
    </row>
    <row r="3728" customFormat="false" ht="13.8" hidden="false" customHeight="false" outlineLevel="0" collapsed="false">
      <c r="A3728" s="1" t="s">
        <v>3853</v>
      </c>
      <c r="C3728" s="1" t="s">
        <v>3854</v>
      </c>
      <c r="D3728" s="1" t="s">
        <v>14</v>
      </c>
      <c r="E3728" s="1" t="s">
        <v>3668</v>
      </c>
      <c r="F3728" s="1" t="s">
        <v>3380</v>
      </c>
      <c r="G3728" s="1" t="s">
        <v>3668</v>
      </c>
      <c r="H3728" s="2" t="s">
        <v>3563</v>
      </c>
      <c r="I3728" s="1" t="s">
        <v>3794</v>
      </c>
      <c r="J3728" s="1" t="s">
        <v>52</v>
      </c>
      <c r="K3728" s="1" t="s">
        <v>3563</v>
      </c>
      <c r="L3728" s="36" t="s">
        <v>69</v>
      </c>
      <c r="M3728" s="1" t="s">
        <v>69</v>
      </c>
      <c r="N3728" s="1" t="s">
        <v>3383</v>
      </c>
      <c r="O3728" s="1" t="s">
        <v>3784</v>
      </c>
      <c r="P3728" s="1" t="s">
        <v>3385</v>
      </c>
      <c r="Q3728" s="1" t="s">
        <v>3385</v>
      </c>
      <c r="R3728" s="1" t="s">
        <v>46</v>
      </c>
      <c r="S3728" s="1" t="s">
        <v>69</v>
      </c>
      <c r="T3728" s="1" t="s">
        <v>69</v>
      </c>
      <c r="U3728" s="1" t="s">
        <v>46</v>
      </c>
      <c r="V3728" s="1" t="n">
        <v>5</v>
      </c>
      <c r="W3728" s="1" t="s">
        <v>46</v>
      </c>
      <c r="X3728" s="1" t="s">
        <v>2640</v>
      </c>
      <c r="Y3728" s="1" t="n">
        <v>5500</v>
      </c>
    </row>
    <row r="3729" customFormat="false" ht="13.8" hidden="false" customHeight="false" outlineLevel="0" collapsed="false">
      <c r="A3729" s="1" t="s">
        <v>3853</v>
      </c>
      <c r="C3729" s="1" t="s">
        <v>3854</v>
      </c>
      <c r="D3729" s="1" t="s">
        <v>14</v>
      </c>
      <c r="E3729" s="1" t="s">
        <v>3668</v>
      </c>
      <c r="F3729" s="1" t="s">
        <v>3380</v>
      </c>
      <c r="G3729" s="1" t="s">
        <v>3668</v>
      </c>
      <c r="H3729" s="2" t="s">
        <v>3611</v>
      </c>
      <c r="I3729" s="1" t="s">
        <v>3753</v>
      </c>
      <c r="J3729" s="1" t="s">
        <v>52</v>
      </c>
      <c r="K3729" s="1" t="s">
        <v>3611</v>
      </c>
      <c r="L3729" s="36" t="s">
        <v>69</v>
      </c>
      <c r="M3729" s="1" t="s">
        <v>69</v>
      </c>
      <c r="N3729" s="1" t="s">
        <v>3383</v>
      </c>
      <c r="O3729" s="1" t="s">
        <v>3785</v>
      </c>
      <c r="P3729" s="1" t="s">
        <v>3385</v>
      </c>
      <c r="Q3729" s="1" t="s">
        <v>3385</v>
      </c>
      <c r="R3729" s="1" t="s">
        <v>46</v>
      </c>
      <c r="S3729" s="1" t="s">
        <v>69</v>
      </c>
      <c r="T3729" s="1" t="s">
        <v>69</v>
      </c>
      <c r="U3729" s="1" t="s">
        <v>46</v>
      </c>
      <c r="V3729" s="1" t="n">
        <v>1</v>
      </c>
      <c r="W3729" s="1" t="s">
        <v>46</v>
      </c>
      <c r="X3729" s="1" t="s">
        <v>2640</v>
      </c>
      <c r="Y3729" s="1" t="n">
        <v>5500</v>
      </c>
    </row>
    <row r="3730" customFormat="false" ht="13.8" hidden="false" customHeight="false" outlineLevel="0" collapsed="false">
      <c r="A3730" s="1" t="s">
        <v>3853</v>
      </c>
      <c r="C3730" s="1" t="s">
        <v>3854</v>
      </c>
      <c r="D3730" s="1" t="s">
        <v>14</v>
      </c>
      <c r="E3730" s="1" t="s">
        <v>3668</v>
      </c>
      <c r="F3730" s="1" t="s">
        <v>3380</v>
      </c>
      <c r="G3730" s="1" t="s">
        <v>3668</v>
      </c>
      <c r="H3730" s="2" t="s">
        <v>3614</v>
      </c>
      <c r="I3730" s="1" t="s">
        <v>3754</v>
      </c>
      <c r="J3730" s="1" t="s">
        <v>52</v>
      </c>
      <c r="K3730" s="1" t="s">
        <v>3614</v>
      </c>
      <c r="L3730" s="36" t="s">
        <v>69</v>
      </c>
      <c r="M3730" s="1" t="s">
        <v>69</v>
      </c>
      <c r="N3730" s="1" t="s">
        <v>3383</v>
      </c>
      <c r="O3730" s="1" t="s">
        <v>3785</v>
      </c>
      <c r="P3730" s="1" t="s">
        <v>3385</v>
      </c>
      <c r="Q3730" s="1" t="s">
        <v>3385</v>
      </c>
      <c r="R3730" s="1" t="s">
        <v>46</v>
      </c>
      <c r="S3730" s="1" t="s">
        <v>69</v>
      </c>
      <c r="T3730" s="1" t="s">
        <v>69</v>
      </c>
      <c r="U3730" s="1" t="s">
        <v>46</v>
      </c>
      <c r="V3730" s="1" t="n">
        <v>2</v>
      </c>
      <c r="W3730" s="1" t="s">
        <v>46</v>
      </c>
      <c r="X3730" s="1" t="s">
        <v>2640</v>
      </c>
      <c r="Y3730" s="1" t="n">
        <v>5500</v>
      </c>
    </row>
    <row r="3731" customFormat="false" ht="13.8" hidden="false" customHeight="false" outlineLevel="0" collapsed="false">
      <c r="A3731" s="1" t="s">
        <v>3853</v>
      </c>
      <c r="C3731" s="1" t="s">
        <v>3854</v>
      </c>
      <c r="D3731" s="1" t="s">
        <v>14</v>
      </c>
      <c r="E3731" s="1" t="s">
        <v>3668</v>
      </c>
      <c r="F3731" s="1" t="s">
        <v>3380</v>
      </c>
      <c r="G3731" s="1" t="s">
        <v>3668</v>
      </c>
      <c r="H3731" s="2" t="s">
        <v>3616</v>
      </c>
      <c r="I3731" s="1" t="s">
        <v>3755</v>
      </c>
      <c r="J3731" s="1" t="s">
        <v>52</v>
      </c>
      <c r="K3731" s="1" t="s">
        <v>3616</v>
      </c>
      <c r="L3731" s="36" t="s">
        <v>69</v>
      </c>
      <c r="M3731" s="1" t="s">
        <v>69</v>
      </c>
      <c r="N3731" s="1" t="s">
        <v>3383</v>
      </c>
      <c r="O3731" s="1" t="s">
        <v>3785</v>
      </c>
      <c r="P3731" s="1" t="s">
        <v>3385</v>
      </c>
      <c r="Q3731" s="1" t="s">
        <v>3385</v>
      </c>
      <c r="R3731" s="1" t="s">
        <v>46</v>
      </c>
      <c r="S3731" s="1" t="s">
        <v>69</v>
      </c>
      <c r="T3731" s="1" t="s">
        <v>69</v>
      </c>
      <c r="U3731" s="1" t="s">
        <v>46</v>
      </c>
      <c r="V3731" s="1" t="n">
        <v>3</v>
      </c>
      <c r="W3731" s="1" t="s">
        <v>46</v>
      </c>
      <c r="X3731" s="1" t="s">
        <v>2640</v>
      </c>
      <c r="Y3731" s="1" t="n">
        <v>5500</v>
      </c>
    </row>
    <row r="3732" customFormat="false" ht="13.8" hidden="false" customHeight="false" outlineLevel="0" collapsed="false">
      <c r="A3732" s="1" t="s">
        <v>3853</v>
      </c>
      <c r="C3732" s="1" t="s">
        <v>3854</v>
      </c>
      <c r="D3732" s="1" t="s">
        <v>14</v>
      </c>
      <c r="E3732" s="1" t="s">
        <v>3668</v>
      </c>
      <c r="F3732" s="1" t="s">
        <v>3380</v>
      </c>
      <c r="G3732" s="1" t="s">
        <v>3668</v>
      </c>
      <c r="H3732" s="2" t="s">
        <v>3618</v>
      </c>
      <c r="I3732" s="1" t="s">
        <v>3756</v>
      </c>
      <c r="J3732" s="1" t="s">
        <v>52</v>
      </c>
      <c r="K3732" s="1" t="s">
        <v>3618</v>
      </c>
      <c r="L3732" s="36" t="s">
        <v>69</v>
      </c>
      <c r="M3732" s="1" t="s">
        <v>69</v>
      </c>
      <c r="N3732" s="1" t="s">
        <v>3383</v>
      </c>
      <c r="O3732" s="1" t="s">
        <v>3785</v>
      </c>
      <c r="P3732" s="1" t="s">
        <v>3385</v>
      </c>
      <c r="Q3732" s="1" t="s">
        <v>3385</v>
      </c>
      <c r="R3732" s="1" t="s">
        <v>46</v>
      </c>
      <c r="S3732" s="1" t="s">
        <v>69</v>
      </c>
      <c r="T3732" s="1" t="s">
        <v>69</v>
      </c>
      <c r="U3732" s="1" t="s">
        <v>46</v>
      </c>
      <c r="V3732" s="1" t="n">
        <v>4</v>
      </c>
      <c r="W3732" s="1" t="s">
        <v>46</v>
      </c>
      <c r="X3732" s="1" t="s">
        <v>2640</v>
      </c>
      <c r="Y3732" s="1" t="n">
        <v>5500</v>
      </c>
    </row>
    <row r="3733" customFormat="false" ht="13.8" hidden="false" customHeight="false" outlineLevel="0" collapsed="false">
      <c r="A3733" s="1" t="s">
        <v>3853</v>
      </c>
      <c r="C3733" s="1" t="s">
        <v>3854</v>
      </c>
      <c r="D3733" s="1" t="s">
        <v>14</v>
      </c>
      <c r="E3733" s="1" t="s">
        <v>3668</v>
      </c>
      <c r="F3733" s="1" t="s">
        <v>3380</v>
      </c>
      <c r="G3733" s="1" t="s">
        <v>3668</v>
      </c>
      <c r="H3733" s="2" t="s">
        <v>3620</v>
      </c>
      <c r="I3733" s="1" t="s">
        <v>3757</v>
      </c>
      <c r="J3733" s="1" t="s">
        <v>52</v>
      </c>
      <c r="K3733" s="1" t="s">
        <v>3620</v>
      </c>
      <c r="L3733" s="36" t="s">
        <v>69</v>
      </c>
      <c r="M3733" s="1" t="s">
        <v>69</v>
      </c>
      <c r="N3733" s="1" t="s">
        <v>3383</v>
      </c>
      <c r="O3733" s="1" t="s">
        <v>3785</v>
      </c>
      <c r="P3733" s="1" t="s">
        <v>3385</v>
      </c>
      <c r="Q3733" s="1" t="s">
        <v>3385</v>
      </c>
      <c r="R3733" s="1" t="s">
        <v>46</v>
      </c>
      <c r="S3733" s="1" t="s">
        <v>69</v>
      </c>
      <c r="T3733" s="1" t="s">
        <v>69</v>
      </c>
      <c r="U3733" s="1" t="s">
        <v>46</v>
      </c>
      <c r="V3733" s="1" t="n">
        <v>5</v>
      </c>
      <c r="W3733" s="1" t="s">
        <v>46</v>
      </c>
      <c r="X3733" s="1" t="s">
        <v>2640</v>
      </c>
      <c r="Y3733" s="1" t="n">
        <v>5500</v>
      </c>
    </row>
    <row r="3734" customFormat="false" ht="13.8" hidden="false" customHeight="false" outlineLevel="0" collapsed="false">
      <c r="A3734" s="1" t="s">
        <v>3853</v>
      </c>
      <c r="C3734" s="1" t="s">
        <v>3854</v>
      </c>
      <c r="D3734" s="1" t="s">
        <v>14</v>
      </c>
      <c r="E3734" s="1" t="s">
        <v>3668</v>
      </c>
      <c r="F3734" s="1" t="s">
        <v>3380</v>
      </c>
      <c r="G3734" s="1" t="s">
        <v>3668</v>
      </c>
      <c r="H3734" s="2" t="s">
        <v>3436</v>
      </c>
      <c r="I3734" s="1" t="s">
        <v>3693</v>
      </c>
      <c r="J3734" s="1" t="s">
        <v>52</v>
      </c>
      <c r="K3734" s="1" t="s">
        <v>3436</v>
      </c>
      <c r="L3734" s="36" t="s">
        <v>69</v>
      </c>
      <c r="M3734" s="1" t="s">
        <v>69</v>
      </c>
      <c r="N3734" s="1" t="s">
        <v>1935</v>
      </c>
      <c r="O3734" s="1" t="s">
        <v>46</v>
      </c>
      <c r="P3734" s="1" t="s">
        <v>46</v>
      </c>
      <c r="Q3734" s="1" t="s">
        <v>46</v>
      </c>
      <c r="R3734" s="1" t="s">
        <v>46</v>
      </c>
      <c r="S3734" s="1" t="s">
        <v>46</v>
      </c>
      <c r="T3734" s="1" t="s">
        <v>46</v>
      </c>
      <c r="U3734" s="1" t="s">
        <v>46</v>
      </c>
      <c r="W3734" s="1" t="s">
        <v>46</v>
      </c>
      <c r="X3734" s="1" t="s">
        <v>2640</v>
      </c>
      <c r="Y3734" s="1" t="n">
        <v>5500</v>
      </c>
    </row>
    <row r="3735" customFormat="false" ht="13.8" hidden="false" customHeight="false" outlineLevel="0" collapsed="false">
      <c r="A3735" s="1" t="s">
        <v>3853</v>
      </c>
      <c r="C3735" s="1" t="s">
        <v>3854</v>
      </c>
      <c r="D3735" s="1" t="s">
        <v>14</v>
      </c>
      <c r="E3735" s="1" t="s">
        <v>3668</v>
      </c>
      <c r="F3735" s="1" t="s">
        <v>3380</v>
      </c>
      <c r="G3735" s="1" t="s">
        <v>3668</v>
      </c>
      <c r="H3735" s="2" t="s">
        <v>3438</v>
      </c>
      <c r="I3735" s="1" t="s">
        <v>3694</v>
      </c>
      <c r="J3735" s="1" t="s">
        <v>52</v>
      </c>
      <c r="K3735" s="1" t="s">
        <v>3438</v>
      </c>
      <c r="L3735" s="36" t="s">
        <v>69</v>
      </c>
      <c r="M3735" s="1" t="s">
        <v>69</v>
      </c>
      <c r="N3735" s="1" t="s">
        <v>1935</v>
      </c>
      <c r="O3735" s="1" t="s">
        <v>46</v>
      </c>
      <c r="P3735" s="1" t="s">
        <v>46</v>
      </c>
      <c r="Q3735" s="1" t="s">
        <v>46</v>
      </c>
      <c r="R3735" s="1" t="s">
        <v>46</v>
      </c>
      <c r="S3735" s="1" t="s">
        <v>46</v>
      </c>
      <c r="T3735" s="1" t="s">
        <v>46</v>
      </c>
      <c r="U3735" s="1" t="s">
        <v>46</v>
      </c>
      <c r="W3735" s="1" t="s">
        <v>46</v>
      </c>
      <c r="X3735" s="1" t="s">
        <v>2640</v>
      </c>
      <c r="Y3735" s="1" t="n">
        <v>5500</v>
      </c>
    </row>
    <row r="3736" customFormat="false" ht="13.8" hidden="false" customHeight="false" outlineLevel="0" collapsed="false">
      <c r="A3736" s="1" t="s">
        <v>3853</v>
      </c>
      <c r="C3736" s="1" t="s">
        <v>3854</v>
      </c>
      <c r="D3736" s="1" t="s">
        <v>14</v>
      </c>
      <c r="E3736" s="1" t="s">
        <v>3668</v>
      </c>
      <c r="F3736" s="1" t="s">
        <v>3380</v>
      </c>
      <c r="G3736" s="1" t="s">
        <v>3668</v>
      </c>
      <c r="H3736" s="2" t="s">
        <v>3440</v>
      </c>
      <c r="I3736" s="1" t="s">
        <v>3695</v>
      </c>
      <c r="J3736" s="1" t="s">
        <v>52</v>
      </c>
      <c r="K3736" s="1" t="s">
        <v>3440</v>
      </c>
      <c r="L3736" s="36" t="s">
        <v>69</v>
      </c>
      <c r="M3736" s="1" t="s">
        <v>69</v>
      </c>
      <c r="N3736" s="1" t="s">
        <v>1935</v>
      </c>
      <c r="O3736" s="1" t="s">
        <v>46</v>
      </c>
      <c r="P3736" s="1" t="s">
        <v>46</v>
      </c>
      <c r="Q3736" s="1" t="s">
        <v>46</v>
      </c>
      <c r="R3736" s="1" t="s">
        <v>46</v>
      </c>
      <c r="S3736" s="1" t="s">
        <v>46</v>
      </c>
      <c r="T3736" s="1" t="s">
        <v>46</v>
      </c>
      <c r="U3736" s="1" t="s">
        <v>46</v>
      </c>
      <c r="W3736" s="1" t="s">
        <v>46</v>
      </c>
      <c r="X3736" s="1" t="s">
        <v>2640</v>
      </c>
      <c r="Y3736" s="1" t="n">
        <v>5500</v>
      </c>
    </row>
    <row r="3737" customFormat="false" ht="13.8" hidden="false" customHeight="false" outlineLevel="0" collapsed="false">
      <c r="A3737" s="1" t="s">
        <v>3853</v>
      </c>
      <c r="C3737" s="1" t="s">
        <v>3854</v>
      </c>
      <c r="D3737" s="1" t="s">
        <v>14</v>
      </c>
      <c r="E3737" s="1" t="s">
        <v>3668</v>
      </c>
      <c r="F3737" s="1" t="s">
        <v>3380</v>
      </c>
      <c r="G3737" s="1" t="s">
        <v>3668</v>
      </c>
      <c r="H3737" s="2" t="s">
        <v>3442</v>
      </c>
      <c r="I3737" s="1" t="s">
        <v>3696</v>
      </c>
      <c r="J3737" s="1" t="s">
        <v>52</v>
      </c>
      <c r="K3737" s="1" t="s">
        <v>3442</v>
      </c>
      <c r="L3737" s="36" t="s">
        <v>69</v>
      </c>
      <c r="M3737" s="1" t="s">
        <v>69</v>
      </c>
      <c r="N3737" s="1" t="s">
        <v>1935</v>
      </c>
      <c r="O3737" s="1" t="s">
        <v>46</v>
      </c>
      <c r="P3737" s="1" t="s">
        <v>46</v>
      </c>
      <c r="Q3737" s="1" t="s">
        <v>46</v>
      </c>
      <c r="R3737" s="1" t="s">
        <v>46</v>
      </c>
      <c r="S3737" s="1" t="s">
        <v>46</v>
      </c>
      <c r="T3737" s="1" t="s">
        <v>46</v>
      </c>
      <c r="U3737" s="1" t="s">
        <v>46</v>
      </c>
      <c r="W3737" s="1" t="s">
        <v>46</v>
      </c>
      <c r="X3737" s="1" t="s">
        <v>2640</v>
      </c>
      <c r="Y3737" s="1" t="n">
        <v>5500</v>
      </c>
    </row>
    <row r="3738" customFormat="false" ht="13.8" hidden="false" customHeight="false" outlineLevel="0" collapsed="false">
      <c r="A3738" s="1" t="s">
        <v>3853</v>
      </c>
      <c r="C3738" s="1" t="s">
        <v>3854</v>
      </c>
      <c r="D3738" s="1" t="s">
        <v>14</v>
      </c>
      <c r="E3738" s="1" t="s">
        <v>3668</v>
      </c>
      <c r="F3738" s="1" t="s">
        <v>3380</v>
      </c>
      <c r="G3738" s="1" t="s">
        <v>3668</v>
      </c>
      <c r="H3738" s="2" t="s">
        <v>3444</v>
      </c>
      <c r="I3738" s="1" t="s">
        <v>3697</v>
      </c>
      <c r="J3738" s="1" t="s">
        <v>52</v>
      </c>
      <c r="K3738" s="1" t="s">
        <v>3444</v>
      </c>
      <c r="L3738" s="36" t="s">
        <v>69</v>
      </c>
      <c r="M3738" s="1" t="s">
        <v>69</v>
      </c>
      <c r="N3738" s="1" t="s">
        <v>1935</v>
      </c>
      <c r="O3738" s="1" t="s">
        <v>46</v>
      </c>
      <c r="P3738" s="1" t="s">
        <v>46</v>
      </c>
      <c r="Q3738" s="1" t="s">
        <v>46</v>
      </c>
      <c r="R3738" s="1" t="s">
        <v>46</v>
      </c>
      <c r="S3738" s="1" t="s">
        <v>46</v>
      </c>
      <c r="T3738" s="1" t="s">
        <v>46</v>
      </c>
      <c r="U3738" s="1" t="s">
        <v>46</v>
      </c>
      <c r="W3738" s="1" t="s">
        <v>46</v>
      </c>
      <c r="X3738" s="1" t="s">
        <v>2640</v>
      </c>
      <c r="Y3738" s="1" t="n">
        <v>5500</v>
      </c>
    </row>
    <row r="3739" customFormat="false" ht="13.8" hidden="false" customHeight="false" outlineLevel="0" collapsed="false">
      <c r="A3739" s="1" t="s">
        <v>3853</v>
      </c>
      <c r="C3739" s="1" t="s">
        <v>3854</v>
      </c>
      <c r="D3739" s="1" t="s">
        <v>14</v>
      </c>
      <c r="E3739" s="1" t="s">
        <v>3668</v>
      </c>
      <c r="F3739" s="1" t="s">
        <v>3380</v>
      </c>
      <c r="G3739" s="1" t="s">
        <v>3668</v>
      </c>
      <c r="H3739" s="2" t="s">
        <v>3446</v>
      </c>
      <c r="I3739" s="1" t="s">
        <v>3698</v>
      </c>
      <c r="J3739" s="1" t="s">
        <v>52</v>
      </c>
      <c r="K3739" s="1" t="s">
        <v>3446</v>
      </c>
      <c r="L3739" s="36" t="s">
        <v>69</v>
      </c>
      <c r="M3739" s="1" t="s">
        <v>69</v>
      </c>
      <c r="N3739" s="1" t="s">
        <v>1935</v>
      </c>
      <c r="O3739" s="1" t="s">
        <v>46</v>
      </c>
      <c r="P3739" s="1" t="s">
        <v>46</v>
      </c>
      <c r="Q3739" s="1" t="s">
        <v>46</v>
      </c>
      <c r="R3739" s="1" t="s">
        <v>46</v>
      </c>
      <c r="S3739" s="1" t="s">
        <v>46</v>
      </c>
      <c r="T3739" s="1" t="s">
        <v>46</v>
      </c>
      <c r="U3739" s="1" t="s">
        <v>46</v>
      </c>
      <c r="W3739" s="1" t="s">
        <v>46</v>
      </c>
      <c r="X3739" s="1" t="s">
        <v>2640</v>
      </c>
      <c r="Y3739" s="1" t="n">
        <v>5500</v>
      </c>
    </row>
    <row r="3740" customFormat="false" ht="13.8" hidden="false" customHeight="false" outlineLevel="0" collapsed="false">
      <c r="A3740" s="1" t="s">
        <v>3853</v>
      </c>
      <c r="C3740" s="1" t="s">
        <v>3854</v>
      </c>
      <c r="D3740" s="1" t="s">
        <v>14</v>
      </c>
      <c r="E3740" s="1" t="s">
        <v>3668</v>
      </c>
      <c r="F3740" s="1" t="s">
        <v>3380</v>
      </c>
      <c r="G3740" s="1" t="s">
        <v>3668</v>
      </c>
      <c r="H3740" s="2" t="s">
        <v>3448</v>
      </c>
      <c r="I3740" s="1" t="s">
        <v>3699</v>
      </c>
      <c r="J3740" s="1" t="s">
        <v>52</v>
      </c>
      <c r="K3740" s="1" t="s">
        <v>3448</v>
      </c>
      <c r="L3740" s="36" t="s">
        <v>69</v>
      </c>
      <c r="M3740" s="1" t="s">
        <v>69</v>
      </c>
      <c r="N3740" s="1" t="s">
        <v>1935</v>
      </c>
      <c r="O3740" s="1" t="s">
        <v>46</v>
      </c>
      <c r="P3740" s="1" t="s">
        <v>46</v>
      </c>
      <c r="Q3740" s="1" t="s">
        <v>46</v>
      </c>
      <c r="R3740" s="1" t="s">
        <v>46</v>
      </c>
      <c r="S3740" s="1" t="s">
        <v>46</v>
      </c>
      <c r="T3740" s="1" t="s">
        <v>46</v>
      </c>
      <c r="U3740" s="1" t="s">
        <v>46</v>
      </c>
      <c r="W3740" s="1" t="s">
        <v>46</v>
      </c>
      <c r="X3740" s="1" t="s">
        <v>2640</v>
      </c>
      <c r="Y3740" s="1" t="n">
        <v>5500</v>
      </c>
    </row>
    <row r="3741" customFormat="false" ht="13.8" hidden="false" customHeight="false" outlineLevel="0" collapsed="false">
      <c r="A3741" s="1" t="s">
        <v>3853</v>
      </c>
      <c r="C3741" s="1" t="s">
        <v>3854</v>
      </c>
      <c r="D3741" s="1" t="s">
        <v>14</v>
      </c>
      <c r="E3741" s="1" t="s">
        <v>3668</v>
      </c>
      <c r="F3741" s="1" t="s">
        <v>3380</v>
      </c>
      <c r="G3741" s="1" t="s">
        <v>3668</v>
      </c>
      <c r="H3741" s="2" t="s">
        <v>3450</v>
      </c>
      <c r="I3741" s="1" t="s">
        <v>3700</v>
      </c>
      <c r="J3741" s="1" t="s">
        <v>52</v>
      </c>
      <c r="K3741" s="1" t="s">
        <v>3450</v>
      </c>
      <c r="L3741" s="36" t="s">
        <v>69</v>
      </c>
      <c r="M3741" s="1" t="s">
        <v>69</v>
      </c>
      <c r="N3741" s="1" t="s">
        <v>1935</v>
      </c>
      <c r="O3741" s="1" t="s">
        <v>46</v>
      </c>
      <c r="P3741" s="1" t="s">
        <v>46</v>
      </c>
      <c r="Q3741" s="1" t="s">
        <v>46</v>
      </c>
      <c r="R3741" s="1" t="s">
        <v>46</v>
      </c>
      <c r="S3741" s="1" t="s">
        <v>46</v>
      </c>
      <c r="T3741" s="1" t="s">
        <v>46</v>
      </c>
      <c r="U3741" s="1" t="s">
        <v>46</v>
      </c>
      <c r="W3741" s="1" t="s">
        <v>46</v>
      </c>
      <c r="X3741" s="1" t="s">
        <v>2640</v>
      </c>
      <c r="Y3741" s="1" t="n">
        <v>5500</v>
      </c>
    </row>
    <row r="3742" customFormat="false" ht="13.8" hidden="false" customHeight="false" outlineLevel="0" collapsed="false">
      <c r="A3742" s="1" t="s">
        <v>3853</v>
      </c>
      <c r="C3742" s="1" t="s">
        <v>3854</v>
      </c>
      <c r="D3742" s="1" t="s">
        <v>14</v>
      </c>
      <c r="E3742" s="1" t="s">
        <v>3668</v>
      </c>
      <c r="F3742" s="1" t="s">
        <v>3380</v>
      </c>
      <c r="G3742" s="1" t="s">
        <v>3668</v>
      </c>
      <c r="H3742" s="2" t="s">
        <v>3452</v>
      </c>
      <c r="I3742" s="1" t="s">
        <v>3701</v>
      </c>
      <c r="J3742" s="1" t="s">
        <v>52</v>
      </c>
      <c r="K3742" s="1" t="s">
        <v>3452</v>
      </c>
      <c r="L3742" s="36" t="s">
        <v>69</v>
      </c>
      <c r="M3742" s="1" t="s">
        <v>69</v>
      </c>
      <c r="N3742" s="1" t="s">
        <v>1935</v>
      </c>
      <c r="O3742" s="1" t="s">
        <v>46</v>
      </c>
      <c r="P3742" s="1" t="s">
        <v>46</v>
      </c>
      <c r="Q3742" s="1" t="s">
        <v>46</v>
      </c>
      <c r="R3742" s="1" t="s">
        <v>46</v>
      </c>
      <c r="S3742" s="1" t="s">
        <v>46</v>
      </c>
      <c r="T3742" s="1" t="s">
        <v>46</v>
      </c>
      <c r="U3742" s="1" t="s">
        <v>46</v>
      </c>
      <c r="W3742" s="1" t="s">
        <v>46</v>
      </c>
      <c r="X3742" s="1" t="s">
        <v>2640</v>
      </c>
      <c r="Y3742" s="1" t="n">
        <v>5500</v>
      </c>
    </row>
    <row r="3743" customFormat="false" ht="13.8" hidden="false" customHeight="false" outlineLevel="0" collapsed="false">
      <c r="A3743" s="1" t="s">
        <v>3853</v>
      </c>
      <c r="C3743" s="1" t="s">
        <v>3854</v>
      </c>
      <c r="D3743" s="1" t="s">
        <v>14</v>
      </c>
      <c r="E3743" s="1" t="s">
        <v>3668</v>
      </c>
      <c r="F3743" s="1" t="s">
        <v>3380</v>
      </c>
      <c r="G3743" s="1" t="s">
        <v>3668</v>
      </c>
      <c r="H3743" s="2" t="s">
        <v>3454</v>
      </c>
      <c r="I3743" s="1" t="s">
        <v>3702</v>
      </c>
      <c r="J3743" s="1" t="s">
        <v>52</v>
      </c>
      <c r="K3743" s="1" t="s">
        <v>3454</v>
      </c>
      <c r="L3743" s="36" t="s">
        <v>69</v>
      </c>
      <c r="M3743" s="1" t="s">
        <v>69</v>
      </c>
      <c r="N3743" s="1" t="s">
        <v>1935</v>
      </c>
      <c r="O3743" s="1" t="s">
        <v>46</v>
      </c>
      <c r="P3743" s="1" t="s">
        <v>46</v>
      </c>
      <c r="Q3743" s="1" t="s">
        <v>46</v>
      </c>
      <c r="R3743" s="1" t="s">
        <v>46</v>
      </c>
      <c r="S3743" s="1" t="s">
        <v>46</v>
      </c>
      <c r="T3743" s="1" t="s">
        <v>46</v>
      </c>
      <c r="U3743" s="1" t="s">
        <v>46</v>
      </c>
      <c r="W3743" s="1" t="s">
        <v>46</v>
      </c>
      <c r="X3743" s="1" t="s">
        <v>2640</v>
      </c>
      <c r="Y3743" s="1" t="n">
        <v>5500</v>
      </c>
    </row>
    <row r="3744" customFormat="false" ht="13.8" hidden="false" customHeight="false" outlineLevel="0" collapsed="false">
      <c r="A3744" s="1" t="s">
        <v>3853</v>
      </c>
      <c r="C3744" s="1" t="s">
        <v>3854</v>
      </c>
      <c r="D3744" s="1" t="s">
        <v>14</v>
      </c>
      <c r="E3744" s="1" t="s">
        <v>3668</v>
      </c>
      <c r="F3744" s="1" t="s">
        <v>3380</v>
      </c>
      <c r="G3744" s="1" t="s">
        <v>3668</v>
      </c>
      <c r="H3744" s="2" t="s">
        <v>3456</v>
      </c>
      <c r="I3744" s="1" t="s">
        <v>3703</v>
      </c>
      <c r="J3744" s="1" t="s">
        <v>52</v>
      </c>
      <c r="K3744" s="1" t="s">
        <v>3456</v>
      </c>
      <c r="L3744" s="36" t="s">
        <v>69</v>
      </c>
      <c r="M3744" s="1" t="s">
        <v>69</v>
      </c>
      <c r="N3744" s="1" t="s">
        <v>1935</v>
      </c>
      <c r="O3744" s="1" t="s">
        <v>46</v>
      </c>
      <c r="P3744" s="1" t="s">
        <v>46</v>
      </c>
      <c r="Q3744" s="1" t="s">
        <v>46</v>
      </c>
      <c r="R3744" s="1" t="s">
        <v>46</v>
      </c>
      <c r="S3744" s="1" t="s">
        <v>46</v>
      </c>
      <c r="T3744" s="1" t="s">
        <v>46</v>
      </c>
      <c r="U3744" s="1" t="s">
        <v>46</v>
      </c>
      <c r="W3744" s="1" t="s">
        <v>46</v>
      </c>
      <c r="X3744" s="1" t="s">
        <v>2640</v>
      </c>
      <c r="Y3744" s="1" t="n">
        <v>5500</v>
      </c>
    </row>
    <row r="3745" customFormat="false" ht="13.8" hidden="false" customHeight="false" outlineLevel="0" collapsed="false">
      <c r="A3745" s="1" t="s">
        <v>3853</v>
      </c>
      <c r="C3745" s="1" t="s">
        <v>3854</v>
      </c>
      <c r="D3745" s="1" t="s">
        <v>14</v>
      </c>
      <c r="E3745" s="1" t="s">
        <v>3668</v>
      </c>
      <c r="F3745" s="1" t="s">
        <v>3380</v>
      </c>
      <c r="G3745" s="1" t="s">
        <v>3668</v>
      </c>
      <c r="H3745" s="2" t="s">
        <v>3458</v>
      </c>
      <c r="I3745" s="1" t="s">
        <v>3704</v>
      </c>
      <c r="J3745" s="1" t="s">
        <v>52</v>
      </c>
      <c r="K3745" s="1" t="s">
        <v>3458</v>
      </c>
      <c r="L3745" s="36" t="s">
        <v>69</v>
      </c>
      <c r="M3745" s="1" t="s">
        <v>69</v>
      </c>
      <c r="N3745" s="1" t="s">
        <v>1935</v>
      </c>
      <c r="O3745" s="1" t="s">
        <v>46</v>
      </c>
      <c r="P3745" s="1" t="s">
        <v>46</v>
      </c>
      <c r="Q3745" s="1" t="s">
        <v>46</v>
      </c>
      <c r="R3745" s="1" t="s">
        <v>46</v>
      </c>
      <c r="S3745" s="1" t="s">
        <v>46</v>
      </c>
      <c r="T3745" s="1" t="s">
        <v>46</v>
      </c>
      <c r="U3745" s="1" t="s">
        <v>46</v>
      </c>
      <c r="W3745" s="1" t="s">
        <v>46</v>
      </c>
      <c r="X3745" s="1" t="s">
        <v>2640</v>
      </c>
      <c r="Y3745" s="1" t="n">
        <v>5500</v>
      </c>
    </row>
    <row r="3746" customFormat="false" ht="13.8" hidden="false" customHeight="false" outlineLevel="0" collapsed="false">
      <c r="A3746" s="1" t="s">
        <v>3853</v>
      </c>
      <c r="C3746" s="1" t="s">
        <v>3854</v>
      </c>
      <c r="D3746" s="1" t="s">
        <v>14</v>
      </c>
      <c r="E3746" s="1" t="s">
        <v>3668</v>
      </c>
      <c r="F3746" s="1" t="s">
        <v>3380</v>
      </c>
      <c r="G3746" s="1" t="s">
        <v>3668</v>
      </c>
      <c r="H3746" s="2" t="s">
        <v>3460</v>
      </c>
      <c r="I3746" s="1" t="s">
        <v>3705</v>
      </c>
      <c r="J3746" s="1" t="s">
        <v>52</v>
      </c>
      <c r="K3746" s="1" t="s">
        <v>3460</v>
      </c>
      <c r="L3746" s="36" t="s">
        <v>69</v>
      </c>
      <c r="M3746" s="1" t="s">
        <v>69</v>
      </c>
      <c r="N3746" s="1" t="s">
        <v>1935</v>
      </c>
      <c r="O3746" s="1" t="s">
        <v>46</v>
      </c>
      <c r="P3746" s="1" t="s">
        <v>46</v>
      </c>
      <c r="Q3746" s="1" t="s">
        <v>46</v>
      </c>
      <c r="R3746" s="1" t="s">
        <v>46</v>
      </c>
      <c r="S3746" s="1" t="s">
        <v>46</v>
      </c>
      <c r="T3746" s="1" t="s">
        <v>46</v>
      </c>
      <c r="U3746" s="1" t="s">
        <v>46</v>
      </c>
      <c r="W3746" s="1" t="s">
        <v>46</v>
      </c>
      <c r="X3746" s="1" t="s">
        <v>2640</v>
      </c>
      <c r="Y3746" s="1" t="n">
        <v>5500</v>
      </c>
    </row>
    <row r="3747" customFormat="false" ht="13.8" hidden="false" customHeight="false" outlineLevel="0" collapsed="false">
      <c r="A3747" s="1" t="s">
        <v>3853</v>
      </c>
      <c r="C3747" s="1" t="s">
        <v>3854</v>
      </c>
      <c r="D3747" s="1" t="s">
        <v>14</v>
      </c>
      <c r="E3747" s="1" t="s">
        <v>3668</v>
      </c>
      <c r="F3747" s="1" t="s">
        <v>3380</v>
      </c>
      <c r="G3747" s="1" t="s">
        <v>3668</v>
      </c>
      <c r="H3747" s="2" t="s">
        <v>3462</v>
      </c>
      <c r="I3747" s="1" t="s">
        <v>3706</v>
      </c>
      <c r="J3747" s="1" t="s">
        <v>52</v>
      </c>
      <c r="K3747" s="1" t="s">
        <v>3462</v>
      </c>
      <c r="L3747" s="36" t="s">
        <v>69</v>
      </c>
      <c r="M3747" s="1" t="s">
        <v>69</v>
      </c>
      <c r="N3747" s="1" t="s">
        <v>1935</v>
      </c>
      <c r="O3747" s="1" t="s">
        <v>46</v>
      </c>
      <c r="P3747" s="1" t="s">
        <v>46</v>
      </c>
      <c r="Q3747" s="1" t="s">
        <v>46</v>
      </c>
      <c r="R3747" s="1" t="s">
        <v>46</v>
      </c>
      <c r="S3747" s="1" t="s">
        <v>46</v>
      </c>
      <c r="T3747" s="1" t="s">
        <v>46</v>
      </c>
      <c r="U3747" s="1" t="s">
        <v>46</v>
      </c>
      <c r="W3747" s="1" t="s">
        <v>46</v>
      </c>
      <c r="X3747" s="1" t="s">
        <v>2640</v>
      </c>
      <c r="Y3747" s="1" t="n">
        <v>5500</v>
      </c>
    </row>
    <row r="3748" customFormat="false" ht="13.8" hidden="false" customHeight="false" outlineLevel="0" collapsed="false">
      <c r="A3748" s="1" t="s">
        <v>3853</v>
      </c>
      <c r="C3748" s="1" t="s">
        <v>3854</v>
      </c>
      <c r="D3748" s="1" t="s">
        <v>14</v>
      </c>
      <c r="E3748" s="1" t="s">
        <v>3668</v>
      </c>
      <c r="F3748" s="1" t="s">
        <v>3380</v>
      </c>
      <c r="G3748" s="1" t="s">
        <v>3668</v>
      </c>
      <c r="H3748" s="2" t="s">
        <v>3464</v>
      </c>
      <c r="I3748" s="1" t="s">
        <v>3707</v>
      </c>
      <c r="J3748" s="1" t="s">
        <v>52</v>
      </c>
      <c r="K3748" s="1" t="s">
        <v>3464</v>
      </c>
      <c r="L3748" s="36" t="s">
        <v>69</v>
      </c>
      <c r="M3748" s="1" t="s">
        <v>69</v>
      </c>
      <c r="N3748" s="1" t="s">
        <v>1935</v>
      </c>
      <c r="O3748" s="1" t="s">
        <v>46</v>
      </c>
      <c r="P3748" s="1" t="s">
        <v>46</v>
      </c>
      <c r="Q3748" s="1" t="s">
        <v>46</v>
      </c>
      <c r="R3748" s="1" t="s">
        <v>46</v>
      </c>
      <c r="S3748" s="1" t="s">
        <v>46</v>
      </c>
      <c r="T3748" s="1" t="s">
        <v>46</v>
      </c>
      <c r="U3748" s="1" t="s">
        <v>46</v>
      </c>
      <c r="W3748" s="1" t="s">
        <v>46</v>
      </c>
      <c r="X3748" s="1" t="s">
        <v>2640</v>
      </c>
      <c r="Y3748" s="1" t="n">
        <v>5500</v>
      </c>
    </row>
    <row r="3749" customFormat="false" ht="13.8" hidden="false" customHeight="false" outlineLevel="0" collapsed="false">
      <c r="A3749" s="1" t="s">
        <v>3853</v>
      </c>
      <c r="C3749" s="1" t="s">
        <v>3854</v>
      </c>
      <c r="D3749" s="1" t="s">
        <v>14</v>
      </c>
      <c r="E3749" s="1" t="s">
        <v>3668</v>
      </c>
      <c r="F3749" s="1" t="s">
        <v>3380</v>
      </c>
      <c r="G3749" s="1" t="s">
        <v>3668</v>
      </c>
      <c r="H3749" s="2" t="s">
        <v>3466</v>
      </c>
      <c r="I3749" s="1" t="s">
        <v>3708</v>
      </c>
      <c r="J3749" s="1" t="s">
        <v>52</v>
      </c>
      <c r="K3749" s="1" t="s">
        <v>3466</v>
      </c>
      <c r="L3749" s="36" t="s">
        <v>69</v>
      </c>
      <c r="M3749" s="1" t="s">
        <v>69</v>
      </c>
      <c r="N3749" s="1" t="s">
        <v>3468</v>
      </c>
      <c r="O3749" s="1" t="s">
        <v>46</v>
      </c>
      <c r="P3749" s="1" t="s">
        <v>46</v>
      </c>
      <c r="Q3749" s="1" t="s">
        <v>46</v>
      </c>
      <c r="R3749" s="1" t="s">
        <v>46</v>
      </c>
      <c r="S3749" s="1" t="s">
        <v>46</v>
      </c>
      <c r="T3749" s="1" t="s">
        <v>46</v>
      </c>
      <c r="U3749" s="1" t="s">
        <v>46</v>
      </c>
      <c r="W3749" s="1" t="s">
        <v>46</v>
      </c>
      <c r="X3749" s="1" t="s">
        <v>2640</v>
      </c>
      <c r="Y3749" s="1" t="n">
        <v>5500</v>
      </c>
    </row>
    <row r="3750" customFormat="false" ht="13.8" hidden="false" customHeight="false" outlineLevel="0" collapsed="false">
      <c r="A3750" s="1" t="s">
        <v>3853</v>
      </c>
      <c r="C3750" s="1" t="s">
        <v>3854</v>
      </c>
      <c r="D3750" s="1" t="s">
        <v>14</v>
      </c>
      <c r="E3750" s="1" t="s">
        <v>3668</v>
      </c>
      <c r="F3750" s="1" t="s">
        <v>3380</v>
      </c>
      <c r="G3750" s="1" t="s">
        <v>3668</v>
      </c>
      <c r="H3750" s="2" t="s">
        <v>3469</v>
      </c>
      <c r="I3750" s="1" t="s">
        <v>3709</v>
      </c>
      <c r="J3750" s="1" t="s">
        <v>52</v>
      </c>
      <c r="K3750" s="1" t="s">
        <v>3469</v>
      </c>
      <c r="L3750" s="36" t="s">
        <v>69</v>
      </c>
      <c r="M3750" s="1" t="s">
        <v>69</v>
      </c>
      <c r="N3750" s="1" t="s">
        <v>3468</v>
      </c>
      <c r="O3750" s="1" t="s">
        <v>46</v>
      </c>
      <c r="P3750" s="1" t="s">
        <v>46</v>
      </c>
      <c r="Q3750" s="1" t="s">
        <v>46</v>
      </c>
      <c r="R3750" s="1" t="s">
        <v>46</v>
      </c>
      <c r="S3750" s="1" t="s">
        <v>46</v>
      </c>
      <c r="T3750" s="1" t="s">
        <v>46</v>
      </c>
      <c r="U3750" s="1" t="s">
        <v>46</v>
      </c>
      <c r="W3750" s="1" t="s">
        <v>46</v>
      </c>
      <c r="X3750" s="1" t="s">
        <v>2640</v>
      </c>
      <c r="Y3750" s="1" t="n">
        <v>5500</v>
      </c>
    </row>
    <row r="3751" customFormat="false" ht="13.8" hidden="false" customHeight="false" outlineLevel="0" collapsed="false">
      <c r="A3751" s="1" t="s">
        <v>3853</v>
      </c>
      <c r="C3751" s="1" t="s">
        <v>3854</v>
      </c>
      <c r="D3751" s="1" t="s">
        <v>14</v>
      </c>
      <c r="E3751" s="1" t="s">
        <v>3668</v>
      </c>
      <c r="F3751" s="1" t="s">
        <v>3380</v>
      </c>
      <c r="G3751" s="1" t="s">
        <v>3668</v>
      </c>
      <c r="H3751" s="2" t="s">
        <v>3471</v>
      </c>
      <c r="I3751" s="1" t="s">
        <v>3710</v>
      </c>
      <c r="J3751" s="1" t="s">
        <v>52</v>
      </c>
      <c r="K3751" s="1" t="s">
        <v>3471</v>
      </c>
      <c r="L3751" s="36" t="s">
        <v>69</v>
      </c>
      <c r="M3751" s="1" t="s">
        <v>69</v>
      </c>
      <c r="N3751" s="1" t="s">
        <v>3468</v>
      </c>
      <c r="O3751" s="1" t="s">
        <v>46</v>
      </c>
      <c r="P3751" s="1" t="s">
        <v>46</v>
      </c>
      <c r="Q3751" s="1" t="s">
        <v>46</v>
      </c>
      <c r="R3751" s="1" t="s">
        <v>46</v>
      </c>
      <c r="S3751" s="1" t="s">
        <v>46</v>
      </c>
      <c r="T3751" s="1" t="s">
        <v>46</v>
      </c>
      <c r="U3751" s="1" t="s">
        <v>46</v>
      </c>
      <c r="W3751" s="1" t="s">
        <v>46</v>
      </c>
      <c r="X3751" s="1" t="s">
        <v>2640</v>
      </c>
      <c r="Y3751" s="1" t="n">
        <v>5500</v>
      </c>
    </row>
    <row r="3752" customFormat="false" ht="13.8" hidden="false" customHeight="false" outlineLevel="0" collapsed="false">
      <c r="A3752" s="1" t="s">
        <v>3853</v>
      </c>
      <c r="C3752" s="1" t="s">
        <v>3854</v>
      </c>
      <c r="D3752" s="1" t="s">
        <v>14</v>
      </c>
      <c r="E3752" s="1" t="s">
        <v>3668</v>
      </c>
      <c r="F3752" s="1" t="s">
        <v>3380</v>
      </c>
      <c r="G3752" s="1" t="s">
        <v>3668</v>
      </c>
      <c r="H3752" s="2" t="s">
        <v>3473</v>
      </c>
      <c r="I3752" s="1" t="s">
        <v>3711</v>
      </c>
      <c r="J3752" s="1" t="s">
        <v>52</v>
      </c>
      <c r="K3752" s="1" t="s">
        <v>3473</v>
      </c>
      <c r="L3752" s="36" t="s">
        <v>69</v>
      </c>
      <c r="M3752" s="1" t="s">
        <v>69</v>
      </c>
      <c r="N3752" s="1" t="s">
        <v>3468</v>
      </c>
      <c r="O3752" s="1" t="s">
        <v>46</v>
      </c>
      <c r="P3752" s="1" t="s">
        <v>46</v>
      </c>
      <c r="Q3752" s="1" t="s">
        <v>46</v>
      </c>
      <c r="R3752" s="1" t="s">
        <v>46</v>
      </c>
      <c r="S3752" s="1" t="s">
        <v>46</v>
      </c>
      <c r="T3752" s="1" t="s">
        <v>46</v>
      </c>
      <c r="U3752" s="1" t="s">
        <v>46</v>
      </c>
      <c r="W3752" s="1" t="s">
        <v>46</v>
      </c>
      <c r="X3752" s="1" t="s">
        <v>2640</v>
      </c>
      <c r="Y3752" s="1" t="n">
        <v>5500</v>
      </c>
    </row>
    <row r="3753" customFormat="false" ht="13.8" hidden="false" customHeight="false" outlineLevel="0" collapsed="false">
      <c r="A3753" s="1" t="s">
        <v>3853</v>
      </c>
      <c r="C3753" s="1" t="s">
        <v>3854</v>
      </c>
      <c r="D3753" s="1" t="s">
        <v>14</v>
      </c>
      <c r="E3753" s="1" t="s">
        <v>3668</v>
      </c>
      <c r="F3753" s="1" t="s">
        <v>3380</v>
      </c>
      <c r="G3753" s="1" t="s">
        <v>3668</v>
      </c>
      <c r="H3753" s="2" t="s">
        <v>3475</v>
      </c>
      <c r="I3753" s="1" t="s">
        <v>3712</v>
      </c>
      <c r="J3753" s="1" t="s">
        <v>52</v>
      </c>
      <c r="K3753" s="1" t="s">
        <v>3475</v>
      </c>
      <c r="L3753" s="36" t="s">
        <v>69</v>
      </c>
      <c r="M3753" s="1" t="s">
        <v>69</v>
      </c>
      <c r="N3753" s="1" t="s">
        <v>3468</v>
      </c>
      <c r="O3753" s="1" t="s">
        <v>46</v>
      </c>
      <c r="P3753" s="1" t="s">
        <v>46</v>
      </c>
      <c r="Q3753" s="1" t="s">
        <v>46</v>
      </c>
      <c r="R3753" s="1" t="s">
        <v>46</v>
      </c>
      <c r="S3753" s="1" t="s">
        <v>46</v>
      </c>
      <c r="T3753" s="1" t="s">
        <v>46</v>
      </c>
      <c r="U3753" s="1" t="s">
        <v>46</v>
      </c>
      <c r="W3753" s="1" t="s">
        <v>46</v>
      </c>
      <c r="X3753" s="1" t="s">
        <v>2640</v>
      </c>
      <c r="Y3753" s="1" t="n">
        <v>5500</v>
      </c>
    </row>
    <row r="3754" customFormat="false" ht="13.8" hidden="false" customHeight="false" outlineLevel="0" collapsed="false">
      <c r="A3754" s="1" t="s">
        <v>3853</v>
      </c>
      <c r="C3754" s="1" t="s">
        <v>3854</v>
      </c>
      <c r="D3754" s="1" t="s">
        <v>14</v>
      </c>
      <c r="E3754" s="1" t="s">
        <v>3668</v>
      </c>
      <c r="F3754" s="1" t="s">
        <v>3380</v>
      </c>
      <c r="G3754" s="1" t="s">
        <v>3668</v>
      </c>
      <c r="H3754" s="2" t="s">
        <v>3477</v>
      </c>
      <c r="I3754" s="1" t="s">
        <v>3713</v>
      </c>
      <c r="J3754" s="1" t="s">
        <v>52</v>
      </c>
      <c r="K3754" s="1" t="s">
        <v>3477</v>
      </c>
      <c r="L3754" s="36" t="s">
        <v>69</v>
      </c>
      <c r="M3754" s="1" t="s">
        <v>69</v>
      </c>
      <c r="N3754" s="1" t="s">
        <v>3468</v>
      </c>
      <c r="O3754" s="1" t="s">
        <v>46</v>
      </c>
      <c r="P3754" s="1" t="s">
        <v>46</v>
      </c>
      <c r="Q3754" s="1" t="s">
        <v>46</v>
      </c>
      <c r="R3754" s="1" t="s">
        <v>46</v>
      </c>
      <c r="S3754" s="1" t="s">
        <v>46</v>
      </c>
      <c r="T3754" s="1" t="s">
        <v>46</v>
      </c>
      <c r="U3754" s="1" t="s">
        <v>46</v>
      </c>
      <c r="W3754" s="1" t="s">
        <v>46</v>
      </c>
      <c r="X3754" s="1" t="s">
        <v>2640</v>
      </c>
      <c r="Y3754" s="1" t="n">
        <v>5500</v>
      </c>
    </row>
    <row r="3755" customFormat="false" ht="13.8" hidden="false" customHeight="false" outlineLevel="0" collapsed="false">
      <c r="A3755" s="1" t="s">
        <v>3853</v>
      </c>
      <c r="C3755" s="1" t="s">
        <v>3854</v>
      </c>
      <c r="D3755" s="1" t="s">
        <v>14</v>
      </c>
      <c r="E3755" s="1" t="s">
        <v>3668</v>
      </c>
      <c r="F3755" s="1" t="s">
        <v>3380</v>
      </c>
      <c r="G3755" s="1" t="s">
        <v>3668</v>
      </c>
      <c r="H3755" s="2" t="s">
        <v>3479</v>
      </c>
      <c r="I3755" s="1" t="s">
        <v>3714</v>
      </c>
      <c r="J3755" s="1" t="s">
        <v>52</v>
      </c>
      <c r="K3755" s="1" t="s">
        <v>3479</v>
      </c>
      <c r="L3755" s="36" t="s">
        <v>69</v>
      </c>
      <c r="M3755" s="1" t="s">
        <v>69</v>
      </c>
      <c r="N3755" s="1" t="s">
        <v>3468</v>
      </c>
      <c r="O3755" s="1" t="s">
        <v>46</v>
      </c>
      <c r="P3755" s="1" t="s">
        <v>46</v>
      </c>
      <c r="Q3755" s="1" t="s">
        <v>46</v>
      </c>
      <c r="R3755" s="1" t="s">
        <v>46</v>
      </c>
      <c r="S3755" s="1" t="s">
        <v>46</v>
      </c>
      <c r="T3755" s="1" t="s">
        <v>46</v>
      </c>
      <c r="U3755" s="1" t="s">
        <v>46</v>
      </c>
      <c r="W3755" s="1" t="s">
        <v>46</v>
      </c>
      <c r="X3755" s="1" t="s">
        <v>2640</v>
      </c>
      <c r="Y3755" s="1" t="n">
        <v>5500</v>
      </c>
    </row>
    <row r="3756" customFormat="false" ht="13.8" hidden="false" customHeight="false" outlineLevel="0" collapsed="false">
      <c r="A3756" s="1" t="s">
        <v>3853</v>
      </c>
      <c r="C3756" s="1" t="s">
        <v>3854</v>
      </c>
      <c r="D3756" s="1" t="s">
        <v>14</v>
      </c>
      <c r="E3756" s="1" t="s">
        <v>3668</v>
      </c>
      <c r="F3756" s="1" t="s">
        <v>3380</v>
      </c>
      <c r="G3756" s="1" t="s">
        <v>3668</v>
      </c>
      <c r="H3756" s="2" t="s">
        <v>3481</v>
      </c>
      <c r="I3756" s="1" t="s">
        <v>3715</v>
      </c>
      <c r="J3756" s="1" t="s">
        <v>52</v>
      </c>
      <c r="K3756" s="1" t="s">
        <v>3481</v>
      </c>
      <c r="L3756" s="36" t="s">
        <v>69</v>
      </c>
      <c r="M3756" s="1" t="s">
        <v>69</v>
      </c>
      <c r="N3756" s="1" t="s">
        <v>3468</v>
      </c>
      <c r="O3756" s="1" t="s">
        <v>46</v>
      </c>
      <c r="P3756" s="1" t="s">
        <v>46</v>
      </c>
      <c r="Q3756" s="1" t="s">
        <v>46</v>
      </c>
      <c r="R3756" s="1" t="s">
        <v>46</v>
      </c>
      <c r="S3756" s="1" t="s">
        <v>46</v>
      </c>
      <c r="T3756" s="1" t="s">
        <v>46</v>
      </c>
      <c r="U3756" s="1" t="s">
        <v>46</v>
      </c>
      <c r="W3756" s="1" t="s">
        <v>46</v>
      </c>
      <c r="X3756" s="1" t="s">
        <v>2640</v>
      </c>
      <c r="Y3756" s="1" t="n">
        <v>5500</v>
      </c>
    </row>
    <row r="3757" customFormat="false" ht="13.8" hidden="false" customHeight="false" outlineLevel="0" collapsed="false">
      <c r="A3757" s="1" t="s">
        <v>3853</v>
      </c>
      <c r="C3757" s="1" t="s">
        <v>3854</v>
      </c>
      <c r="D3757" s="1" t="s">
        <v>14</v>
      </c>
      <c r="E3757" s="1" t="s">
        <v>3668</v>
      </c>
      <c r="F3757" s="1" t="s">
        <v>3380</v>
      </c>
      <c r="G3757" s="1" t="s">
        <v>3668</v>
      </c>
      <c r="H3757" s="2" t="s">
        <v>3483</v>
      </c>
      <c r="I3757" s="1" t="s">
        <v>3716</v>
      </c>
      <c r="J3757" s="1" t="s">
        <v>52</v>
      </c>
      <c r="K3757" s="1" t="s">
        <v>3483</v>
      </c>
      <c r="L3757" s="36" t="s">
        <v>69</v>
      </c>
      <c r="M3757" s="1" t="s">
        <v>69</v>
      </c>
      <c r="N3757" s="1" t="s">
        <v>3468</v>
      </c>
      <c r="O3757" s="1" t="s">
        <v>46</v>
      </c>
      <c r="P3757" s="1" t="s">
        <v>46</v>
      </c>
      <c r="Q3757" s="1" t="s">
        <v>46</v>
      </c>
      <c r="R3757" s="1" t="s">
        <v>46</v>
      </c>
      <c r="S3757" s="1" t="s">
        <v>46</v>
      </c>
      <c r="T3757" s="1" t="s">
        <v>46</v>
      </c>
      <c r="U3757" s="1" t="s">
        <v>46</v>
      </c>
      <c r="W3757" s="1" t="s">
        <v>46</v>
      </c>
      <c r="X3757" s="1" t="s">
        <v>2640</v>
      </c>
      <c r="Y3757" s="1" t="n">
        <v>5500</v>
      </c>
    </row>
    <row r="3758" customFormat="false" ht="13.8" hidden="false" customHeight="false" outlineLevel="0" collapsed="false">
      <c r="A3758" s="1" t="s">
        <v>3853</v>
      </c>
      <c r="C3758" s="1" t="s">
        <v>3854</v>
      </c>
      <c r="D3758" s="1" t="s">
        <v>14</v>
      </c>
      <c r="E3758" s="1" t="s">
        <v>3668</v>
      </c>
      <c r="F3758" s="1" t="s">
        <v>3380</v>
      </c>
      <c r="G3758" s="1" t="s">
        <v>3668</v>
      </c>
      <c r="H3758" s="2" t="s">
        <v>3485</v>
      </c>
      <c r="I3758" s="1" t="s">
        <v>3717</v>
      </c>
      <c r="J3758" s="1" t="s">
        <v>52</v>
      </c>
      <c r="K3758" s="1" t="s">
        <v>3485</v>
      </c>
      <c r="L3758" s="36" t="s">
        <v>69</v>
      </c>
      <c r="M3758" s="1" t="s">
        <v>69</v>
      </c>
      <c r="N3758" s="1" t="s">
        <v>3468</v>
      </c>
      <c r="O3758" s="1" t="s">
        <v>46</v>
      </c>
      <c r="P3758" s="1" t="s">
        <v>46</v>
      </c>
      <c r="Q3758" s="1" t="s">
        <v>46</v>
      </c>
      <c r="R3758" s="1" t="s">
        <v>46</v>
      </c>
      <c r="S3758" s="1" t="s">
        <v>46</v>
      </c>
      <c r="T3758" s="1" t="s">
        <v>46</v>
      </c>
      <c r="U3758" s="1" t="s">
        <v>46</v>
      </c>
      <c r="W3758" s="1" t="s">
        <v>46</v>
      </c>
      <c r="X3758" s="1" t="s">
        <v>2640</v>
      </c>
      <c r="Y3758" s="1" t="n">
        <v>5500</v>
      </c>
    </row>
    <row r="3759" customFormat="false" ht="13.8" hidden="false" customHeight="false" outlineLevel="0" collapsed="false">
      <c r="A3759" s="1" t="s">
        <v>3853</v>
      </c>
      <c r="C3759" s="1" t="s">
        <v>3854</v>
      </c>
      <c r="D3759" s="1" t="s">
        <v>14</v>
      </c>
      <c r="E3759" s="1" t="s">
        <v>3668</v>
      </c>
      <c r="F3759" s="1" t="s">
        <v>3380</v>
      </c>
      <c r="G3759" s="1" t="s">
        <v>3668</v>
      </c>
      <c r="H3759" s="2" t="s">
        <v>3487</v>
      </c>
      <c r="I3759" s="1" t="s">
        <v>3718</v>
      </c>
      <c r="J3759" s="1" t="s">
        <v>52</v>
      </c>
      <c r="K3759" s="1" t="s">
        <v>3487</v>
      </c>
      <c r="L3759" s="36" t="s">
        <v>69</v>
      </c>
      <c r="M3759" s="1" t="s">
        <v>69</v>
      </c>
      <c r="N3759" s="1" t="s">
        <v>3468</v>
      </c>
      <c r="O3759" s="1" t="s">
        <v>46</v>
      </c>
      <c r="P3759" s="1" t="s">
        <v>46</v>
      </c>
      <c r="Q3759" s="1" t="s">
        <v>46</v>
      </c>
      <c r="R3759" s="1" t="s">
        <v>46</v>
      </c>
      <c r="S3759" s="1" t="s">
        <v>46</v>
      </c>
      <c r="T3759" s="1" t="s">
        <v>46</v>
      </c>
      <c r="U3759" s="1" t="s">
        <v>46</v>
      </c>
      <c r="W3759" s="1" t="s">
        <v>46</v>
      </c>
      <c r="X3759" s="1" t="s">
        <v>2640</v>
      </c>
      <c r="Y3759" s="1" t="n">
        <v>5500</v>
      </c>
    </row>
    <row r="3760" customFormat="false" ht="13.8" hidden="false" customHeight="false" outlineLevel="0" collapsed="false">
      <c r="A3760" s="1" t="s">
        <v>3853</v>
      </c>
      <c r="C3760" s="1" t="s">
        <v>3854</v>
      </c>
      <c r="D3760" s="1" t="s">
        <v>14</v>
      </c>
      <c r="E3760" s="1" t="s">
        <v>3668</v>
      </c>
      <c r="F3760" s="1" t="s">
        <v>3380</v>
      </c>
      <c r="G3760" s="1" t="s">
        <v>3668</v>
      </c>
      <c r="H3760" s="2" t="s">
        <v>3489</v>
      </c>
      <c r="I3760" s="1" t="s">
        <v>3719</v>
      </c>
      <c r="J3760" s="1" t="s">
        <v>52</v>
      </c>
      <c r="K3760" s="1" t="s">
        <v>3489</v>
      </c>
      <c r="L3760" s="36" t="s">
        <v>69</v>
      </c>
      <c r="M3760" s="1" t="s">
        <v>69</v>
      </c>
      <c r="N3760" s="1" t="s">
        <v>3468</v>
      </c>
      <c r="O3760" s="1" t="s">
        <v>46</v>
      </c>
      <c r="P3760" s="1" t="s">
        <v>46</v>
      </c>
      <c r="Q3760" s="1" t="s">
        <v>46</v>
      </c>
      <c r="R3760" s="1" t="s">
        <v>46</v>
      </c>
      <c r="S3760" s="1" t="s">
        <v>46</v>
      </c>
      <c r="T3760" s="1" t="s">
        <v>46</v>
      </c>
      <c r="U3760" s="1" t="s">
        <v>46</v>
      </c>
      <c r="W3760" s="1" t="s">
        <v>46</v>
      </c>
      <c r="X3760" s="1" t="s">
        <v>2640</v>
      </c>
      <c r="Y3760" s="1" t="n">
        <v>5500</v>
      </c>
    </row>
    <row r="3761" customFormat="false" ht="13.8" hidden="false" customHeight="false" outlineLevel="0" collapsed="false">
      <c r="A3761" s="1" t="s">
        <v>3853</v>
      </c>
      <c r="C3761" s="1" t="s">
        <v>3854</v>
      </c>
      <c r="D3761" s="1" t="s">
        <v>14</v>
      </c>
      <c r="E3761" s="1" t="s">
        <v>3668</v>
      </c>
      <c r="F3761" s="1" t="s">
        <v>3380</v>
      </c>
      <c r="G3761" s="1" t="s">
        <v>3668</v>
      </c>
      <c r="H3761" s="2" t="s">
        <v>3491</v>
      </c>
      <c r="I3761" s="1" t="s">
        <v>3720</v>
      </c>
      <c r="J3761" s="1" t="s">
        <v>52</v>
      </c>
      <c r="K3761" s="1" t="s">
        <v>3491</v>
      </c>
      <c r="L3761" s="36" t="s">
        <v>69</v>
      </c>
      <c r="M3761" s="1" t="s">
        <v>69</v>
      </c>
      <c r="N3761" s="1" t="s">
        <v>3468</v>
      </c>
      <c r="O3761" s="1" t="s">
        <v>46</v>
      </c>
      <c r="P3761" s="1" t="s">
        <v>46</v>
      </c>
      <c r="Q3761" s="1" t="s">
        <v>46</v>
      </c>
      <c r="R3761" s="1" t="s">
        <v>46</v>
      </c>
      <c r="S3761" s="1" t="s">
        <v>46</v>
      </c>
      <c r="T3761" s="1" t="s">
        <v>46</v>
      </c>
      <c r="U3761" s="1" t="s">
        <v>46</v>
      </c>
      <c r="W3761" s="1" t="s">
        <v>46</v>
      </c>
      <c r="X3761" s="1" t="s">
        <v>2640</v>
      </c>
      <c r="Y3761" s="1" t="n">
        <v>5500</v>
      </c>
    </row>
    <row r="3762" customFormat="false" ht="13.8" hidden="false" customHeight="false" outlineLevel="0" collapsed="false">
      <c r="A3762" s="1" t="s">
        <v>3853</v>
      </c>
      <c r="C3762" s="1" t="s">
        <v>3854</v>
      </c>
      <c r="D3762" s="1" t="s">
        <v>14</v>
      </c>
      <c r="E3762" s="1" t="s">
        <v>3668</v>
      </c>
      <c r="F3762" s="1" t="s">
        <v>3380</v>
      </c>
      <c r="G3762" s="1" t="s">
        <v>3668</v>
      </c>
      <c r="H3762" s="2" t="s">
        <v>3493</v>
      </c>
      <c r="I3762" s="1" t="s">
        <v>3721</v>
      </c>
      <c r="J3762" s="1" t="s">
        <v>52</v>
      </c>
      <c r="K3762" s="1" t="s">
        <v>3493</v>
      </c>
      <c r="L3762" s="36" t="s">
        <v>69</v>
      </c>
      <c r="M3762" s="1" t="s">
        <v>69</v>
      </c>
      <c r="N3762" s="1" t="s">
        <v>3468</v>
      </c>
      <c r="O3762" s="1" t="s">
        <v>46</v>
      </c>
      <c r="P3762" s="1" t="s">
        <v>46</v>
      </c>
      <c r="Q3762" s="1" t="s">
        <v>46</v>
      </c>
      <c r="R3762" s="1" t="s">
        <v>46</v>
      </c>
      <c r="S3762" s="1" t="s">
        <v>46</v>
      </c>
      <c r="T3762" s="1" t="s">
        <v>46</v>
      </c>
      <c r="U3762" s="1" t="s">
        <v>46</v>
      </c>
      <c r="W3762" s="1" t="s">
        <v>46</v>
      </c>
      <c r="X3762" s="1" t="s">
        <v>2640</v>
      </c>
      <c r="Y3762" s="1" t="n">
        <v>5500</v>
      </c>
    </row>
    <row r="3763" customFormat="false" ht="13.8" hidden="false" customHeight="false" outlineLevel="0" collapsed="false">
      <c r="A3763" s="1" t="s">
        <v>3853</v>
      </c>
      <c r="C3763" s="1" t="s">
        <v>3854</v>
      </c>
      <c r="D3763" s="1" t="s">
        <v>14</v>
      </c>
      <c r="E3763" s="1" t="s">
        <v>3668</v>
      </c>
      <c r="F3763" s="1" t="s">
        <v>3380</v>
      </c>
      <c r="G3763" s="1" t="s">
        <v>3668</v>
      </c>
      <c r="H3763" s="2" t="s">
        <v>3495</v>
      </c>
      <c r="I3763" s="1" t="s">
        <v>3722</v>
      </c>
      <c r="J3763" s="1" t="s">
        <v>52</v>
      </c>
      <c r="K3763" s="1" t="s">
        <v>3495</v>
      </c>
      <c r="L3763" s="36" t="s">
        <v>69</v>
      </c>
      <c r="M3763" s="1" t="s">
        <v>69</v>
      </c>
      <c r="N3763" s="1" t="s">
        <v>3468</v>
      </c>
      <c r="O3763" s="1" t="s">
        <v>46</v>
      </c>
      <c r="P3763" s="1" t="s">
        <v>46</v>
      </c>
      <c r="Q3763" s="1" t="s">
        <v>46</v>
      </c>
      <c r="R3763" s="1" t="s">
        <v>46</v>
      </c>
      <c r="S3763" s="1" t="s">
        <v>46</v>
      </c>
      <c r="T3763" s="1" t="s">
        <v>46</v>
      </c>
      <c r="U3763" s="1" t="s">
        <v>46</v>
      </c>
      <c r="W3763" s="1" t="s">
        <v>46</v>
      </c>
      <c r="X3763" s="1" t="s">
        <v>2640</v>
      </c>
      <c r="Y3763" s="1" t="n">
        <v>5500</v>
      </c>
    </row>
    <row r="3764" customFormat="false" ht="13.8" hidden="false" customHeight="false" outlineLevel="0" collapsed="false">
      <c r="A3764" s="1" t="s">
        <v>3855</v>
      </c>
      <c r="B3764" s="2" t="s">
        <v>3856</v>
      </c>
      <c r="C3764" s="1" t="s">
        <v>3857</v>
      </c>
      <c r="D3764" s="1" t="s">
        <v>14</v>
      </c>
      <c r="E3764" s="1" t="s">
        <v>3858</v>
      </c>
      <c r="F3764" s="1" t="s">
        <v>3859</v>
      </c>
      <c r="G3764" s="1" t="s">
        <v>3860</v>
      </c>
      <c r="H3764" s="2" t="s">
        <v>3861</v>
      </c>
      <c r="I3764" s="1" t="s">
        <v>3862</v>
      </c>
      <c r="J3764" s="1" t="s">
        <v>38</v>
      </c>
      <c r="K3764" s="1" t="n">
        <v>2</v>
      </c>
      <c r="L3764" s="36" t="s">
        <v>46</v>
      </c>
      <c r="M3764" s="1" t="s">
        <v>46</v>
      </c>
      <c r="N3764" s="1" t="s">
        <v>325</v>
      </c>
      <c r="O3764" s="1" t="s">
        <v>161</v>
      </c>
      <c r="P3764" s="1" t="s">
        <v>3863</v>
      </c>
      <c r="Q3764" s="1" t="s">
        <v>46</v>
      </c>
      <c r="R3764" s="1" t="s">
        <v>72</v>
      </c>
      <c r="S3764" s="1" t="s">
        <v>46</v>
      </c>
      <c r="T3764" s="1" t="s">
        <v>46</v>
      </c>
      <c r="U3764" s="1" t="s">
        <v>46</v>
      </c>
      <c r="V3764" s="1" t="n">
        <v>1</v>
      </c>
      <c r="W3764" s="1" t="s">
        <v>46</v>
      </c>
      <c r="X3764" s="1" t="s">
        <v>47</v>
      </c>
      <c r="Y3764" s="1" t="n">
        <v>5500</v>
      </c>
    </row>
    <row r="3765" customFormat="false" ht="13.8" hidden="false" customHeight="false" outlineLevel="0" collapsed="false">
      <c r="A3765" s="1" t="s">
        <v>3855</v>
      </c>
      <c r="B3765" s="2" t="s">
        <v>3856</v>
      </c>
      <c r="C3765" s="1" t="s">
        <v>3857</v>
      </c>
      <c r="D3765" s="1" t="s">
        <v>14</v>
      </c>
      <c r="E3765" s="1" t="s">
        <v>3858</v>
      </c>
      <c r="F3765" s="1" t="s">
        <v>3859</v>
      </c>
      <c r="G3765" s="1" t="s">
        <v>3860</v>
      </c>
      <c r="H3765" s="2" t="s">
        <v>3864</v>
      </c>
      <c r="I3765" s="1" t="s">
        <v>3865</v>
      </c>
      <c r="J3765" s="1" t="s">
        <v>52</v>
      </c>
      <c r="K3765" s="1" t="n">
        <v>4</v>
      </c>
      <c r="L3765" s="36" t="s">
        <v>46</v>
      </c>
      <c r="M3765" s="1" t="s">
        <v>46</v>
      </c>
      <c r="N3765" s="1" t="s">
        <v>325</v>
      </c>
      <c r="O3765" s="1" t="s">
        <v>3866</v>
      </c>
      <c r="P3765" s="1" t="s">
        <v>3863</v>
      </c>
      <c r="Q3765" s="1" t="s">
        <v>46</v>
      </c>
      <c r="R3765" s="1" t="s">
        <v>72</v>
      </c>
      <c r="S3765" s="1" t="s">
        <v>46</v>
      </c>
      <c r="T3765" s="1" t="s">
        <v>46</v>
      </c>
      <c r="U3765" s="1" t="s">
        <v>46</v>
      </c>
      <c r="V3765" s="1" t="n">
        <v>1</v>
      </c>
      <c r="W3765" s="1" t="s">
        <v>46</v>
      </c>
      <c r="X3765" s="1" t="s">
        <v>47</v>
      </c>
      <c r="Y3765" s="1" t="n">
        <v>5500</v>
      </c>
    </row>
    <row r="3766" customFormat="false" ht="13.8" hidden="false" customHeight="false" outlineLevel="0" collapsed="false">
      <c r="A3766" s="1" t="s">
        <v>3855</v>
      </c>
      <c r="B3766" s="2" t="s">
        <v>3856</v>
      </c>
      <c r="C3766" s="1" t="s">
        <v>3857</v>
      </c>
      <c r="D3766" s="1" t="s">
        <v>14</v>
      </c>
      <c r="E3766" s="1" t="s">
        <v>3858</v>
      </c>
      <c r="F3766" s="1" t="s">
        <v>3859</v>
      </c>
      <c r="G3766" s="1" t="s">
        <v>3860</v>
      </c>
      <c r="H3766" s="2" t="s">
        <v>3867</v>
      </c>
      <c r="I3766" s="1" t="s">
        <v>3868</v>
      </c>
      <c r="J3766" s="1" t="s">
        <v>52</v>
      </c>
      <c r="K3766" s="1" t="n">
        <v>5</v>
      </c>
      <c r="L3766" s="36" t="s">
        <v>46</v>
      </c>
      <c r="M3766" s="1" t="s">
        <v>46</v>
      </c>
      <c r="N3766" s="1" t="s">
        <v>325</v>
      </c>
      <c r="O3766" s="1" t="s">
        <v>3866</v>
      </c>
      <c r="P3766" s="1" t="s">
        <v>3863</v>
      </c>
      <c r="Q3766" s="1" t="s">
        <v>46</v>
      </c>
      <c r="R3766" s="1" t="s">
        <v>72</v>
      </c>
      <c r="S3766" s="1" t="s">
        <v>46</v>
      </c>
      <c r="T3766" s="1" t="s">
        <v>46</v>
      </c>
      <c r="U3766" s="1" t="s">
        <v>46</v>
      </c>
      <c r="V3766" s="1" t="n">
        <v>1</v>
      </c>
      <c r="W3766" s="1" t="s">
        <v>46</v>
      </c>
      <c r="X3766" s="1" t="s">
        <v>47</v>
      </c>
      <c r="Y3766" s="1" t="n">
        <v>5500</v>
      </c>
    </row>
    <row r="3767" customFormat="false" ht="13.8" hidden="false" customHeight="false" outlineLevel="0" collapsed="false">
      <c r="A3767" s="1" t="s">
        <v>3855</v>
      </c>
      <c r="B3767" s="2" t="s">
        <v>3856</v>
      </c>
      <c r="C3767" s="1" t="s">
        <v>3857</v>
      </c>
      <c r="D3767" s="1" t="s">
        <v>14</v>
      </c>
      <c r="E3767" s="1" t="s">
        <v>3858</v>
      </c>
      <c r="F3767" s="1" t="s">
        <v>3859</v>
      </c>
      <c r="G3767" s="1" t="s">
        <v>3860</v>
      </c>
      <c r="H3767" s="2" t="s">
        <v>3869</v>
      </c>
      <c r="I3767" s="1" t="s">
        <v>3870</v>
      </c>
      <c r="J3767" s="1" t="s">
        <v>38</v>
      </c>
      <c r="K3767" s="1" t="n">
        <v>8</v>
      </c>
      <c r="L3767" s="36" t="s">
        <v>46</v>
      </c>
      <c r="M3767" s="1" t="s">
        <v>46</v>
      </c>
      <c r="N3767" s="1" t="s">
        <v>325</v>
      </c>
      <c r="O3767" s="1" t="s">
        <v>161</v>
      </c>
      <c r="P3767" s="1" t="s">
        <v>3863</v>
      </c>
      <c r="Q3767" s="1" t="s">
        <v>46</v>
      </c>
      <c r="R3767" s="1" t="s">
        <v>72</v>
      </c>
      <c r="S3767" s="1" t="s">
        <v>46</v>
      </c>
      <c r="T3767" s="1" t="s">
        <v>46</v>
      </c>
      <c r="U3767" s="1" t="s">
        <v>46</v>
      </c>
      <c r="V3767" s="1" t="n">
        <v>1</v>
      </c>
      <c r="W3767" s="1" t="s">
        <v>46</v>
      </c>
      <c r="X3767" s="1" t="s">
        <v>47</v>
      </c>
      <c r="Y3767" s="1" t="n">
        <v>5500</v>
      </c>
    </row>
    <row r="3768" customFormat="false" ht="13.8" hidden="false" customHeight="false" outlineLevel="0" collapsed="false">
      <c r="A3768" s="1" t="s">
        <v>3855</v>
      </c>
      <c r="B3768" s="2" t="s">
        <v>3856</v>
      </c>
      <c r="C3768" s="1" t="s">
        <v>3857</v>
      </c>
      <c r="D3768" s="1" t="s">
        <v>14</v>
      </c>
      <c r="E3768" s="1" t="s">
        <v>3858</v>
      </c>
      <c r="F3768" s="1" t="s">
        <v>3859</v>
      </c>
      <c r="G3768" s="1" t="s">
        <v>3860</v>
      </c>
      <c r="H3768" s="2" t="s">
        <v>3871</v>
      </c>
      <c r="I3768" s="1" t="s">
        <v>3872</v>
      </c>
      <c r="J3768" s="1" t="s">
        <v>52</v>
      </c>
      <c r="K3768" s="1" t="n">
        <v>9</v>
      </c>
      <c r="L3768" s="36" t="s">
        <v>46</v>
      </c>
      <c r="M3768" s="1" t="s">
        <v>46</v>
      </c>
      <c r="N3768" s="1" t="s">
        <v>325</v>
      </c>
      <c r="O3768" s="1" t="s">
        <v>3866</v>
      </c>
      <c r="P3768" s="1" t="s">
        <v>3863</v>
      </c>
      <c r="Q3768" s="1" t="s">
        <v>46</v>
      </c>
      <c r="R3768" s="1" t="s">
        <v>72</v>
      </c>
      <c r="S3768" s="1" t="s">
        <v>46</v>
      </c>
      <c r="T3768" s="1" t="s">
        <v>46</v>
      </c>
      <c r="U3768" s="1" t="s">
        <v>46</v>
      </c>
      <c r="V3768" s="1" t="n">
        <v>1</v>
      </c>
      <c r="W3768" s="1" t="s">
        <v>46</v>
      </c>
      <c r="X3768" s="1" t="s">
        <v>47</v>
      </c>
      <c r="Y3768" s="1" t="n">
        <v>5500</v>
      </c>
    </row>
    <row r="3769" customFormat="false" ht="13.8" hidden="false" customHeight="false" outlineLevel="0" collapsed="false">
      <c r="A3769" s="1" t="s">
        <v>3855</v>
      </c>
      <c r="B3769" s="2" t="s">
        <v>3856</v>
      </c>
      <c r="C3769" s="1" t="s">
        <v>3857</v>
      </c>
      <c r="D3769" s="1" t="s">
        <v>14</v>
      </c>
      <c r="E3769" s="1" t="s">
        <v>3858</v>
      </c>
      <c r="F3769" s="1" t="s">
        <v>3859</v>
      </c>
      <c r="G3769" s="1" t="s">
        <v>3860</v>
      </c>
      <c r="H3769" s="2" t="s">
        <v>2768</v>
      </c>
      <c r="I3769" s="1" t="s">
        <v>3873</v>
      </c>
      <c r="J3769" s="1" t="s">
        <v>38</v>
      </c>
      <c r="K3769" s="1" t="n">
        <v>11</v>
      </c>
      <c r="L3769" s="36" t="s">
        <v>46</v>
      </c>
      <c r="M3769" s="1" t="s">
        <v>46</v>
      </c>
      <c r="N3769" s="1" t="s">
        <v>325</v>
      </c>
      <c r="O3769" s="1" t="s">
        <v>161</v>
      </c>
      <c r="P3769" s="1" t="s">
        <v>3863</v>
      </c>
      <c r="Q3769" s="1" t="s">
        <v>46</v>
      </c>
      <c r="R3769" s="1" t="s">
        <v>72</v>
      </c>
      <c r="S3769" s="1" t="s">
        <v>46</v>
      </c>
      <c r="T3769" s="1" t="s">
        <v>46</v>
      </c>
      <c r="U3769" s="1" t="s">
        <v>46</v>
      </c>
      <c r="V3769" s="1" t="n">
        <v>1</v>
      </c>
      <c r="W3769" s="1" t="s">
        <v>46</v>
      </c>
      <c r="X3769" s="1" t="s">
        <v>47</v>
      </c>
      <c r="Y3769" s="1" t="n">
        <v>5500</v>
      </c>
    </row>
    <row r="3770" customFormat="false" ht="13.8" hidden="false" customHeight="false" outlineLevel="0" collapsed="false">
      <c r="A3770" s="1" t="s">
        <v>3855</v>
      </c>
      <c r="B3770" s="2" t="s">
        <v>3856</v>
      </c>
      <c r="C3770" s="1" t="s">
        <v>3857</v>
      </c>
      <c r="D3770" s="1" t="s">
        <v>14</v>
      </c>
      <c r="E3770" s="1" t="s">
        <v>3858</v>
      </c>
      <c r="F3770" s="1" t="s">
        <v>3859</v>
      </c>
      <c r="G3770" s="1" t="s">
        <v>3860</v>
      </c>
      <c r="H3770" s="2" t="s">
        <v>2801</v>
      </c>
      <c r="I3770" s="1" t="s">
        <v>3874</v>
      </c>
      <c r="J3770" s="1" t="s">
        <v>38</v>
      </c>
      <c r="K3770" s="1" t="n">
        <v>14</v>
      </c>
      <c r="L3770" s="36" t="s">
        <v>46</v>
      </c>
      <c r="M3770" s="1" t="s">
        <v>46</v>
      </c>
      <c r="N3770" s="1" t="s">
        <v>325</v>
      </c>
      <c r="O3770" s="1" t="s">
        <v>161</v>
      </c>
      <c r="P3770" s="1" t="s">
        <v>3863</v>
      </c>
      <c r="Q3770" s="1" t="s">
        <v>46</v>
      </c>
      <c r="R3770" s="1" t="s">
        <v>72</v>
      </c>
      <c r="S3770" s="1" t="s">
        <v>46</v>
      </c>
      <c r="T3770" s="1" t="s">
        <v>46</v>
      </c>
      <c r="U3770" s="1" t="s">
        <v>46</v>
      </c>
      <c r="V3770" s="1" t="n">
        <v>1</v>
      </c>
      <c r="W3770" s="1" t="s">
        <v>46</v>
      </c>
      <c r="X3770" s="1" t="s">
        <v>47</v>
      </c>
      <c r="Y3770" s="1" t="n">
        <v>5500</v>
      </c>
    </row>
    <row r="3771" customFormat="false" ht="13.8" hidden="false" customHeight="false" outlineLevel="0" collapsed="false">
      <c r="A3771" s="1" t="s">
        <v>3855</v>
      </c>
      <c r="B3771" s="2" t="s">
        <v>3856</v>
      </c>
      <c r="C3771" s="1" t="s">
        <v>3857</v>
      </c>
      <c r="D3771" s="1" t="s">
        <v>14</v>
      </c>
      <c r="E3771" s="1" t="s">
        <v>3858</v>
      </c>
      <c r="F3771" s="1" t="s">
        <v>3859</v>
      </c>
      <c r="G3771" s="1" t="s">
        <v>3860</v>
      </c>
      <c r="H3771" s="2" t="s">
        <v>3100</v>
      </c>
      <c r="I3771" s="1" t="s">
        <v>3875</v>
      </c>
      <c r="J3771" s="1" t="s">
        <v>52</v>
      </c>
      <c r="K3771" s="1" t="n">
        <v>15</v>
      </c>
      <c r="L3771" s="36" t="s">
        <v>46</v>
      </c>
      <c r="M3771" s="1" t="s">
        <v>46</v>
      </c>
      <c r="N3771" s="1" t="s">
        <v>325</v>
      </c>
      <c r="O3771" s="1" t="s">
        <v>3866</v>
      </c>
      <c r="P3771" s="1" t="s">
        <v>3863</v>
      </c>
      <c r="Q3771" s="1" t="s">
        <v>46</v>
      </c>
      <c r="R3771" s="1" t="s">
        <v>72</v>
      </c>
      <c r="S3771" s="1" t="s">
        <v>46</v>
      </c>
      <c r="T3771" s="1" t="s">
        <v>46</v>
      </c>
      <c r="U3771" s="1" t="s">
        <v>46</v>
      </c>
      <c r="V3771" s="1" t="n">
        <v>1</v>
      </c>
      <c r="W3771" s="1" t="s">
        <v>46</v>
      </c>
      <c r="X3771" s="1" t="s">
        <v>47</v>
      </c>
      <c r="Y3771" s="1" t="n">
        <v>5500</v>
      </c>
    </row>
    <row r="3772" customFormat="false" ht="13.8" hidden="false" customHeight="false" outlineLevel="0" collapsed="false">
      <c r="A3772" s="1" t="s">
        <v>3855</v>
      </c>
      <c r="B3772" s="2" t="s">
        <v>3856</v>
      </c>
      <c r="C3772" s="1" t="s">
        <v>3857</v>
      </c>
      <c r="D3772" s="1" t="s">
        <v>14</v>
      </c>
      <c r="E3772" s="1" t="s">
        <v>3858</v>
      </c>
      <c r="F3772" s="1" t="s">
        <v>3859</v>
      </c>
      <c r="G3772" s="1" t="s">
        <v>3860</v>
      </c>
      <c r="H3772" s="2" t="s">
        <v>2758</v>
      </c>
      <c r="I3772" s="1" t="s">
        <v>3876</v>
      </c>
      <c r="J3772" s="1" t="s">
        <v>38</v>
      </c>
      <c r="K3772" s="1" t="n">
        <v>18</v>
      </c>
      <c r="L3772" s="36" t="s">
        <v>46</v>
      </c>
      <c r="M3772" s="1" t="s">
        <v>46</v>
      </c>
      <c r="N3772" s="1" t="s">
        <v>325</v>
      </c>
      <c r="O3772" s="1" t="s">
        <v>161</v>
      </c>
      <c r="P3772" s="1" t="s">
        <v>3863</v>
      </c>
      <c r="Q3772" s="1" t="s">
        <v>46</v>
      </c>
      <c r="R3772" s="1" t="s">
        <v>72</v>
      </c>
      <c r="S3772" s="1" t="s">
        <v>46</v>
      </c>
      <c r="T3772" s="1" t="s">
        <v>46</v>
      </c>
      <c r="U3772" s="1" t="s">
        <v>46</v>
      </c>
      <c r="V3772" s="1" t="n">
        <v>1</v>
      </c>
      <c r="W3772" s="1" t="s">
        <v>46</v>
      </c>
      <c r="X3772" s="1" t="s">
        <v>47</v>
      </c>
      <c r="Y3772" s="1" t="n">
        <v>5500</v>
      </c>
    </row>
    <row r="3773" customFormat="false" ht="13.8" hidden="false" customHeight="false" outlineLevel="0" collapsed="false">
      <c r="A3773" s="1" t="s">
        <v>3855</v>
      </c>
      <c r="B3773" s="2" t="s">
        <v>3856</v>
      </c>
      <c r="C3773" s="1" t="s">
        <v>3857</v>
      </c>
      <c r="D3773" s="1" t="s">
        <v>14</v>
      </c>
      <c r="E3773" s="1" t="s">
        <v>3858</v>
      </c>
      <c r="F3773" s="1" t="s">
        <v>3859</v>
      </c>
      <c r="G3773" s="1" t="s">
        <v>3860</v>
      </c>
      <c r="H3773" s="2" t="s">
        <v>3877</v>
      </c>
      <c r="I3773" s="1" t="s">
        <v>3878</v>
      </c>
      <c r="J3773" s="1" t="s">
        <v>38</v>
      </c>
      <c r="K3773" s="1" t="n">
        <v>19</v>
      </c>
      <c r="L3773" s="36" t="s">
        <v>46</v>
      </c>
      <c r="M3773" s="1" t="s">
        <v>46</v>
      </c>
      <c r="N3773" s="1" t="s">
        <v>325</v>
      </c>
      <c r="O3773" s="1" t="s">
        <v>161</v>
      </c>
      <c r="P3773" s="1" t="s">
        <v>3863</v>
      </c>
      <c r="Q3773" s="1" t="s">
        <v>46</v>
      </c>
      <c r="R3773" s="1" t="s">
        <v>72</v>
      </c>
      <c r="S3773" s="1" t="s">
        <v>46</v>
      </c>
      <c r="T3773" s="1" t="s">
        <v>46</v>
      </c>
      <c r="U3773" s="1" t="s">
        <v>46</v>
      </c>
      <c r="V3773" s="1" t="n">
        <v>1</v>
      </c>
      <c r="W3773" s="1" t="s">
        <v>46</v>
      </c>
      <c r="X3773" s="1" t="s">
        <v>47</v>
      </c>
      <c r="Y3773" s="1" t="n">
        <v>5500</v>
      </c>
    </row>
    <row r="3774" customFormat="false" ht="13.8" hidden="false" customHeight="false" outlineLevel="0" collapsed="false">
      <c r="A3774" s="1" t="s">
        <v>3855</v>
      </c>
      <c r="B3774" s="2" t="s">
        <v>3856</v>
      </c>
      <c r="C3774" s="1" t="s">
        <v>3857</v>
      </c>
      <c r="D3774" s="1" t="s">
        <v>14</v>
      </c>
      <c r="E3774" s="1" t="s">
        <v>3858</v>
      </c>
      <c r="F3774" s="1" t="s">
        <v>3859</v>
      </c>
      <c r="G3774" s="1" t="s">
        <v>3860</v>
      </c>
      <c r="H3774" s="2" t="s">
        <v>2949</v>
      </c>
      <c r="I3774" s="1" t="s">
        <v>3879</v>
      </c>
      <c r="J3774" s="1" t="s">
        <v>52</v>
      </c>
      <c r="K3774" s="1" t="n">
        <v>20</v>
      </c>
      <c r="L3774" s="36" t="s">
        <v>46</v>
      </c>
      <c r="M3774" s="1" t="s">
        <v>46</v>
      </c>
      <c r="N3774" s="1" t="s">
        <v>325</v>
      </c>
      <c r="O3774" s="1" t="s">
        <v>3866</v>
      </c>
      <c r="P3774" s="1" t="s">
        <v>3863</v>
      </c>
      <c r="Q3774" s="1" t="s">
        <v>46</v>
      </c>
      <c r="R3774" s="1" t="s">
        <v>72</v>
      </c>
      <c r="S3774" s="1" t="s">
        <v>46</v>
      </c>
      <c r="T3774" s="1" t="s">
        <v>46</v>
      </c>
      <c r="U3774" s="1" t="s">
        <v>46</v>
      </c>
      <c r="V3774" s="1" t="n">
        <v>1</v>
      </c>
      <c r="W3774" s="1" t="s">
        <v>46</v>
      </c>
      <c r="X3774" s="1" t="s">
        <v>47</v>
      </c>
      <c r="Y3774" s="1" t="n">
        <v>5500</v>
      </c>
    </row>
    <row r="3775" customFormat="false" ht="13.8" hidden="false" customHeight="false" outlineLevel="0" collapsed="false">
      <c r="A3775" s="1" t="s">
        <v>3855</v>
      </c>
      <c r="B3775" s="2" t="s">
        <v>3856</v>
      </c>
      <c r="C3775" s="1" t="s">
        <v>3857</v>
      </c>
      <c r="D3775" s="1" t="s">
        <v>14</v>
      </c>
      <c r="E3775" s="1" t="s">
        <v>3858</v>
      </c>
      <c r="F3775" s="1" t="s">
        <v>3859</v>
      </c>
      <c r="G3775" s="1" t="s">
        <v>3860</v>
      </c>
      <c r="H3775" s="2" t="s">
        <v>3005</v>
      </c>
      <c r="I3775" s="1" t="s">
        <v>3880</v>
      </c>
      <c r="J3775" s="1" t="s">
        <v>38</v>
      </c>
      <c r="K3775" s="1" t="n">
        <v>23</v>
      </c>
      <c r="L3775" s="36" t="s">
        <v>46</v>
      </c>
      <c r="M3775" s="1" t="s">
        <v>46</v>
      </c>
      <c r="N3775" s="1" t="s">
        <v>325</v>
      </c>
      <c r="O3775" s="1" t="s">
        <v>161</v>
      </c>
      <c r="P3775" s="1" t="s">
        <v>3863</v>
      </c>
      <c r="Q3775" s="1" t="s">
        <v>46</v>
      </c>
      <c r="R3775" s="1" t="s">
        <v>72</v>
      </c>
      <c r="S3775" s="1" t="s">
        <v>46</v>
      </c>
      <c r="T3775" s="1" t="s">
        <v>46</v>
      </c>
      <c r="U3775" s="1" t="s">
        <v>46</v>
      </c>
      <c r="V3775" s="1" t="n">
        <v>1</v>
      </c>
      <c r="W3775" s="1" t="s">
        <v>46</v>
      </c>
      <c r="X3775" s="1" t="s">
        <v>47</v>
      </c>
      <c r="Y3775" s="1" t="n">
        <v>5500</v>
      </c>
    </row>
    <row r="3776" customFormat="false" ht="13.8" hidden="false" customHeight="false" outlineLevel="0" collapsed="false">
      <c r="A3776" s="1" t="s">
        <v>3855</v>
      </c>
      <c r="B3776" s="2" t="s">
        <v>3856</v>
      </c>
      <c r="C3776" s="1" t="s">
        <v>3857</v>
      </c>
      <c r="D3776" s="1" t="s">
        <v>14</v>
      </c>
      <c r="E3776" s="1" t="s">
        <v>3858</v>
      </c>
      <c r="F3776" s="1" t="s">
        <v>3859</v>
      </c>
      <c r="G3776" s="1" t="s">
        <v>3860</v>
      </c>
      <c r="H3776" s="2" t="s">
        <v>3018</v>
      </c>
      <c r="I3776" s="1" t="s">
        <v>3881</v>
      </c>
      <c r="J3776" s="1" t="s">
        <v>52</v>
      </c>
      <c r="K3776" s="1" t="n">
        <v>24</v>
      </c>
      <c r="L3776" s="36" t="s">
        <v>46</v>
      </c>
      <c r="M3776" s="1" t="s">
        <v>46</v>
      </c>
      <c r="N3776" s="1" t="s">
        <v>325</v>
      </c>
      <c r="O3776" s="1" t="s">
        <v>3866</v>
      </c>
      <c r="P3776" s="1" t="s">
        <v>3863</v>
      </c>
      <c r="Q3776" s="1" t="s">
        <v>46</v>
      </c>
      <c r="R3776" s="1" t="s">
        <v>72</v>
      </c>
      <c r="S3776" s="1" t="s">
        <v>46</v>
      </c>
      <c r="T3776" s="1" t="s">
        <v>46</v>
      </c>
      <c r="U3776" s="1" t="s">
        <v>46</v>
      </c>
      <c r="V3776" s="1" t="n">
        <v>1</v>
      </c>
      <c r="W3776" s="1" t="s">
        <v>46</v>
      </c>
      <c r="X3776" s="1" t="s">
        <v>47</v>
      </c>
      <c r="Y3776" s="1" t="n">
        <v>5500</v>
      </c>
    </row>
    <row r="3777" customFormat="false" ht="13.8" hidden="false" customHeight="false" outlineLevel="0" collapsed="false">
      <c r="A3777" s="1" t="s">
        <v>3855</v>
      </c>
      <c r="B3777" s="2" t="s">
        <v>3856</v>
      </c>
      <c r="C3777" s="1" t="s">
        <v>3857</v>
      </c>
      <c r="D3777" s="1" t="s">
        <v>14</v>
      </c>
      <c r="E3777" s="1" t="s">
        <v>3858</v>
      </c>
      <c r="F3777" s="1" t="s">
        <v>3859</v>
      </c>
      <c r="G3777" s="1" t="s">
        <v>3860</v>
      </c>
      <c r="H3777" s="2" t="s">
        <v>2773</v>
      </c>
      <c r="I3777" s="1" t="s">
        <v>3882</v>
      </c>
      <c r="J3777" s="1" t="s">
        <v>38</v>
      </c>
      <c r="K3777" s="1" t="n">
        <v>27</v>
      </c>
      <c r="L3777" s="36" t="s">
        <v>46</v>
      </c>
      <c r="M3777" s="1" t="s">
        <v>46</v>
      </c>
      <c r="N3777" s="1" t="s">
        <v>325</v>
      </c>
      <c r="O3777" s="1" t="s">
        <v>161</v>
      </c>
      <c r="P3777" s="1" t="s">
        <v>3863</v>
      </c>
      <c r="Q3777" s="1" t="s">
        <v>46</v>
      </c>
      <c r="R3777" s="1" t="s">
        <v>72</v>
      </c>
      <c r="S3777" s="1" t="s">
        <v>46</v>
      </c>
      <c r="T3777" s="1" t="s">
        <v>46</v>
      </c>
      <c r="U3777" s="1" t="s">
        <v>46</v>
      </c>
      <c r="V3777" s="1" t="n">
        <v>1</v>
      </c>
      <c r="W3777" s="1" t="s">
        <v>46</v>
      </c>
      <c r="X3777" s="1" t="s">
        <v>47</v>
      </c>
      <c r="Y3777" s="1" t="n">
        <v>5500</v>
      </c>
    </row>
    <row r="3778" customFormat="false" ht="13.8" hidden="false" customHeight="false" outlineLevel="0" collapsed="false">
      <c r="A3778" s="1" t="s">
        <v>3855</v>
      </c>
      <c r="B3778" s="2" t="s">
        <v>3856</v>
      </c>
      <c r="C3778" s="1" t="s">
        <v>3857</v>
      </c>
      <c r="D3778" s="1" t="s">
        <v>14</v>
      </c>
      <c r="E3778" s="1" t="s">
        <v>3858</v>
      </c>
      <c r="F3778" s="1" t="s">
        <v>3859</v>
      </c>
      <c r="G3778" s="1" t="s">
        <v>3860</v>
      </c>
      <c r="H3778" s="2" t="s">
        <v>2782</v>
      </c>
      <c r="I3778" s="1" t="s">
        <v>3883</v>
      </c>
      <c r="J3778" s="1" t="s">
        <v>52</v>
      </c>
      <c r="K3778" s="1" t="n">
        <v>28</v>
      </c>
      <c r="L3778" s="36" t="s">
        <v>46</v>
      </c>
      <c r="M3778" s="1" t="s">
        <v>46</v>
      </c>
      <c r="N3778" s="1" t="s">
        <v>325</v>
      </c>
      <c r="O3778" s="1" t="s">
        <v>3866</v>
      </c>
      <c r="P3778" s="1" t="s">
        <v>3863</v>
      </c>
      <c r="Q3778" s="1" t="s">
        <v>46</v>
      </c>
      <c r="R3778" s="1" t="s">
        <v>72</v>
      </c>
      <c r="S3778" s="1" t="s">
        <v>46</v>
      </c>
      <c r="T3778" s="1" t="s">
        <v>46</v>
      </c>
      <c r="U3778" s="1" t="s">
        <v>46</v>
      </c>
      <c r="V3778" s="1" t="n">
        <v>1</v>
      </c>
      <c r="W3778" s="1" t="s">
        <v>46</v>
      </c>
      <c r="X3778" s="1" t="s">
        <v>47</v>
      </c>
      <c r="Y3778" s="1" t="n">
        <v>5500</v>
      </c>
    </row>
    <row r="3779" customFormat="false" ht="13.8" hidden="false" customHeight="false" outlineLevel="0" collapsed="false">
      <c r="A3779" s="1" t="s">
        <v>3855</v>
      </c>
      <c r="B3779" s="2" t="s">
        <v>3856</v>
      </c>
      <c r="C3779" s="1" t="s">
        <v>3857</v>
      </c>
      <c r="D3779" s="1" t="s">
        <v>14</v>
      </c>
      <c r="E3779" s="1" t="s">
        <v>3858</v>
      </c>
      <c r="F3779" s="1" t="s">
        <v>3859</v>
      </c>
      <c r="G3779" s="1" t="s">
        <v>3860</v>
      </c>
      <c r="H3779" s="2" t="s">
        <v>3092</v>
      </c>
      <c r="I3779" s="1" t="s">
        <v>3884</v>
      </c>
      <c r="J3779" s="1" t="s">
        <v>52</v>
      </c>
      <c r="K3779" s="1" t="n">
        <v>31</v>
      </c>
      <c r="L3779" s="36" t="s">
        <v>46</v>
      </c>
      <c r="M3779" s="1" t="s">
        <v>46</v>
      </c>
      <c r="N3779" s="1" t="s">
        <v>325</v>
      </c>
      <c r="O3779" s="1" t="s">
        <v>3866</v>
      </c>
      <c r="P3779" s="1" t="s">
        <v>3863</v>
      </c>
      <c r="Q3779" s="1" t="s">
        <v>46</v>
      </c>
      <c r="R3779" s="1" t="s">
        <v>72</v>
      </c>
      <c r="S3779" s="1" t="s">
        <v>46</v>
      </c>
      <c r="T3779" s="1" t="s">
        <v>46</v>
      </c>
      <c r="U3779" s="1" t="s">
        <v>46</v>
      </c>
      <c r="V3779" s="1" t="n">
        <v>1</v>
      </c>
      <c r="W3779" s="1" t="s">
        <v>46</v>
      </c>
      <c r="X3779" s="1" t="s">
        <v>47</v>
      </c>
      <c r="Y3779" s="1" t="n">
        <v>5500</v>
      </c>
    </row>
    <row r="3780" customFormat="false" ht="13.8" hidden="false" customHeight="false" outlineLevel="0" collapsed="false">
      <c r="A3780" s="1" t="s">
        <v>3855</v>
      </c>
      <c r="B3780" s="2" t="s">
        <v>3856</v>
      </c>
      <c r="C3780" s="1" t="s">
        <v>3857</v>
      </c>
      <c r="D3780" s="1" t="s">
        <v>14</v>
      </c>
      <c r="E3780" s="1" t="s">
        <v>3858</v>
      </c>
      <c r="F3780" s="1" t="s">
        <v>3859</v>
      </c>
      <c r="G3780" s="1" t="s">
        <v>3860</v>
      </c>
      <c r="H3780" s="2" t="s">
        <v>2979</v>
      </c>
      <c r="I3780" s="1" t="s">
        <v>3885</v>
      </c>
      <c r="J3780" s="1" t="s">
        <v>38</v>
      </c>
      <c r="K3780" s="1" t="n">
        <v>35</v>
      </c>
      <c r="L3780" s="36" t="s">
        <v>46</v>
      </c>
      <c r="M3780" s="1" t="s">
        <v>46</v>
      </c>
      <c r="N3780" s="1" t="s">
        <v>325</v>
      </c>
      <c r="O3780" s="1" t="s">
        <v>161</v>
      </c>
      <c r="P3780" s="1" t="s">
        <v>3863</v>
      </c>
      <c r="Q3780" s="1" t="s">
        <v>46</v>
      </c>
      <c r="R3780" s="1" t="s">
        <v>72</v>
      </c>
      <c r="S3780" s="1" t="s">
        <v>46</v>
      </c>
      <c r="T3780" s="1" t="s">
        <v>46</v>
      </c>
      <c r="U3780" s="1" t="s">
        <v>46</v>
      </c>
      <c r="V3780" s="1" t="n">
        <v>1</v>
      </c>
      <c r="W3780" s="1" t="s">
        <v>46</v>
      </c>
      <c r="X3780" s="1" t="s">
        <v>47</v>
      </c>
      <c r="Y3780" s="1" t="n">
        <v>5500</v>
      </c>
    </row>
    <row r="3781" customFormat="false" ht="13.8" hidden="false" customHeight="false" outlineLevel="0" collapsed="false">
      <c r="A3781" s="1" t="s">
        <v>3855</v>
      </c>
      <c r="B3781" s="2" t="s">
        <v>3856</v>
      </c>
      <c r="C3781" s="1" t="s">
        <v>3857</v>
      </c>
      <c r="D3781" s="1" t="s">
        <v>14</v>
      </c>
      <c r="E3781" s="1" t="s">
        <v>3858</v>
      </c>
      <c r="F3781" s="1" t="s">
        <v>3859</v>
      </c>
      <c r="G3781" s="1" t="s">
        <v>3860</v>
      </c>
      <c r="H3781" s="2" t="s">
        <v>2986</v>
      </c>
      <c r="I3781" s="1" t="s">
        <v>3886</v>
      </c>
      <c r="J3781" s="1" t="s">
        <v>52</v>
      </c>
      <c r="K3781" s="1" t="n">
        <v>36</v>
      </c>
      <c r="L3781" s="36" t="s">
        <v>46</v>
      </c>
      <c r="M3781" s="1" t="s">
        <v>46</v>
      </c>
      <c r="N3781" s="1" t="s">
        <v>325</v>
      </c>
      <c r="O3781" s="1" t="s">
        <v>3866</v>
      </c>
      <c r="P3781" s="1" t="s">
        <v>3863</v>
      </c>
      <c r="Q3781" s="1" t="s">
        <v>46</v>
      </c>
      <c r="R3781" s="1" t="s">
        <v>72</v>
      </c>
      <c r="S3781" s="1" t="s">
        <v>46</v>
      </c>
      <c r="T3781" s="1" t="s">
        <v>46</v>
      </c>
      <c r="U3781" s="1" t="s">
        <v>46</v>
      </c>
      <c r="V3781" s="1" t="n">
        <v>1</v>
      </c>
      <c r="W3781" s="1" t="s">
        <v>46</v>
      </c>
      <c r="X3781" s="1" t="s">
        <v>47</v>
      </c>
      <c r="Y3781" s="1" t="n">
        <v>5500</v>
      </c>
    </row>
    <row r="3782" customFormat="false" ht="13.8" hidden="false" customHeight="false" outlineLevel="0" collapsed="false">
      <c r="A3782" s="1" t="s">
        <v>3855</v>
      </c>
      <c r="B3782" s="2" t="s">
        <v>3856</v>
      </c>
      <c r="C3782" s="1" t="s">
        <v>3857</v>
      </c>
      <c r="D3782" s="1" t="s">
        <v>14</v>
      </c>
      <c r="E3782" s="1" t="s">
        <v>3858</v>
      </c>
      <c r="F3782" s="1" t="s">
        <v>3859</v>
      </c>
      <c r="G3782" s="1" t="s">
        <v>3860</v>
      </c>
      <c r="H3782" s="2" t="s">
        <v>3022</v>
      </c>
      <c r="I3782" s="1" t="s">
        <v>3887</v>
      </c>
      <c r="J3782" s="1" t="s">
        <v>52</v>
      </c>
      <c r="K3782" s="1" t="n">
        <v>41</v>
      </c>
      <c r="L3782" s="36" t="s">
        <v>46</v>
      </c>
      <c r="M3782" s="1" t="s">
        <v>46</v>
      </c>
      <c r="N3782" s="1" t="s">
        <v>325</v>
      </c>
      <c r="O3782" s="1" t="s">
        <v>3866</v>
      </c>
      <c r="P3782" s="1" t="s">
        <v>3863</v>
      </c>
      <c r="Q3782" s="1" t="s">
        <v>46</v>
      </c>
      <c r="R3782" s="1" t="s">
        <v>72</v>
      </c>
      <c r="S3782" s="1" t="s">
        <v>46</v>
      </c>
      <c r="T3782" s="1" t="s">
        <v>46</v>
      </c>
      <c r="U3782" s="1" t="s">
        <v>46</v>
      </c>
      <c r="V3782" s="1" t="n">
        <v>1</v>
      </c>
      <c r="W3782" s="1" t="s">
        <v>46</v>
      </c>
      <c r="X3782" s="1" t="s">
        <v>47</v>
      </c>
      <c r="Y3782" s="1" t="n">
        <v>5500</v>
      </c>
    </row>
    <row r="3783" customFormat="false" ht="13.8" hidden="false" customHeight="false" outlineLevel="0" collapsed="false">
      <c r="A3783" s="1" t="s">
        <v>3855</v>
      </c>
      <c r="B3783" s="2" t="s">
        <v>3856</v>
      </c>
      <c r="C3783" s="1" t="s">
        <v>3857</v>
      </c>
      <c r="D3783" s="1" t="s">
        <v>14</v>
      </c>
      <c r="E3783" s="1" t="s">
        <v>3858</v>
      </c>
      <c r="F3783" s="1" t="s">
        <v>3859</v>
      </c>
      <c r="G3783" s="1" t="s">
        <v>3860</v>
      </c>
      <c r="H3783" s="2" t="s">
        <v>3033</v>
      </c>
      <c r="I3783" s="1" t="s">
        <v>3888</v>
      </c>
      <c r="J3783" s="1" t="s">
        <v>38</v>
      </c>
      <c r="K3783" s="1" t="n">
        <v>42</v>
      </c>
      <c r="L3783" s="36" t="s">
        <v>46</v>
      </c>
      <c r="M3783" s="1" t="s">
        <v>46</v>
      </c>
      <c r="N3783" s="1" t="s">
        <v>325</v>
      </c>
      <c r="O3783" s="1" t="s">
        <v>161</v>
      </c>
      <c r="P3783" s="1" t="s">
        <v>3863</v>
      </c>
      <c r="Q3783" s="1" t="s">
        <v>46</v>
      </c>
      <c r="R3783" s="1" t="s">
        <v>72</v>
      </c>
      <c r="S3783" s="1" t="s">
        <v>46</v>
      </c>
      <c r="T3783" s="1" t="s">
        <v>46</v>
      </c>
      <c r="U3783" s="1" t="s">
        <v>46</v>
      </c>
      <c r="V3783" s="1" t="n">
        <v>1</v>
      </c>
      <c r="W3783" s="1" t="s">
        <v>46</v>
      </c>
      <c r="X3783" s="1" t="s">
        <v>47</v>
      </c>
      <c r="Y3783" s="1" t="n">
        <v>5500</v>
      </c>
    </row>
    <row r="3784" customFormat="false" ht="13.8" hidden="false" customHeight="false" outlineLevel="0" collapsed="false">
      <c r="A3784" s="1" t="s">
        <v>3855</v>
      </c>
      <c r="B3784" s="2" t="s">
        <v>3856</v>
      </c>
      <c r="C3784" s="1" t="s">
        <v>3857</v>
      </c>
      <c r="D3784" s="1" t="s">
        <v>14</v>
      </c>
      <c r="E3784" s="1" t="s">
        <v>3858</v>
      </c>
      <c r="F3784" s="1" t="s">
        <v>3859</v>
      </c>
      <c r="G3784" s="1" t="s">
        <v>3860</v>
      </c>
      <c r="H3784" s="2" t="s">
        <v>2786</v>
      </c>
      <c r="I3784" s="1" t="s">
        <v>3889</v>
      </c>
      <c r="J3784" s="1" t="s">
        <v>38</v>
      </c>
      <c r="K3784" s="1" t="n">
        <v>43</v>
      </c>
      <c r="L3784" s="36" t="s">
        <v>46</v>
      </c>
      <c r="M3784" s="1" t="s">
        <v>46</v>
      </c>
      <c r="N3784" s="1" t="s">
        <v>325</v>
      </c>
      <c r="O3784" s="1" t="s">
        <v>161</v>
      </c>
      <c r="P3784" s="1" t="s">
        <v>3863</v>
      </c>
      <c r="Q3784" s="1" t="s">
        <v>46</v>
      </c>
      <c r="R3784" s="1" t="s">
        <v>72</v>
      </c>
      <c r="S3784" s="1" t="s">
        <v>46</v>
      </c>
      <c r="T3784" s="1" t="s">
        <v>46</v>
      </c>
      <c r="U3784" s="1" t="s">
        <v>46</v>
      </c>
      <c r="V3784" s="1" t="n">
        <v>1</v>
      </c>
      <c r="W3784" s="1" t="s">
        <v>46</v>
      </c>
      <c r="X3784" s="1" t="s">
        <v>47</v>
      </c>
      <c r="Y3784" s="1" t="n">
        <v>5500</v>
      </c>
    </row>
    <row r="3785" customFormat="false" ht="13.8" hidden="false" customHeight="false" outlineLevel="0" collapsed="false">
      <c r="A3785" s="1" t="s">
        <v>3855</v>
      </c>
      <c r="B3785" s="2" t="s">
        <v>3856</v>
      </c>
      <c r="C3785" s="1" t="s">
        <v>3857</v>
      </c>
      <c r="D3785" s="1" t="s">
        <v>14</v>
      </c>
      <c r="E3785" s="1" t="s">
        <v>3858</v>
      </c>
      <c r="F3785" s="1" t="s">
        <v>3859</v>
      </c>
      <c r="G3785" s="1" t="s">
        <v>3860</v>
      </c>
      <c r="H3785" s="2" t="s">
        <v>3096</v>
      </c>
      <c r="I3785" s="1" t="s">
        <v>3890</v>
      </c>
      <c r="J3785" s="1" t="s">
        <v>38</v>
      </c>
      <c r="K3785" s="1" t="n">
        <v>47</v>
      </c>
      <c r="L3785" s="36" t="s">
        <v>46</v>
      </c>
      <c r="M3785" s="1" t="s">
        <v>46</v>
      </c>
      <c r="N3785" s="1" t="s">
        <v>325</v>
      </c>
      <c r="O3785" s="1" t="s">
        <v>161</v>
      </c>
      <c r="P3785" s="1" t="s">
        <v>3863</v>
      </c>
      <c r="Q3785" s="1" t="s">
        <v>46</v>
      </c>
      <c r="R3785" s="1" t="s">
        <v>72</v>
      </c>
      <c r="S3785" s="1" t="s">
        <v>46</v>
      </c>
      <c r="T3785" s="1" t="s">
        <v>46</v>
      </c>
      <c r="U3785" s="1" t="s">
        <v>46</v>
      </c>
      <c r="V3785" s="1" t="n">
        <v>1</v>
      </c>
      <c r="W3785" s="1" t="s">
        <v>46</v>
      </c>
      <c r="X3785" s="1" t="s">
        <v>47</v>
      </c>
      <c r="Y3785" s="1" t="n">
        <v>5500</v>
      </c>
    </row>
    <row r="3786" customFormat="false" ht="13.8" hidden="false" customHeight="false" outlineLevel="0" collapsed="false">
      <c r="A3786" s="1" t="s">
        <v>3855</v>
      </c>
      <c r="B3786" s="2" t="s">
        <v>3856</v>
      </c>
      <c r="C3786" s="1" t="s">
        <v>3857</v>
      </c>
      <c r="D3786" s="1" t="s">
        <v>14</v>
      </c>
      <c r="E3786" s="1" t="s">
        <v>3858</v>
      </c>
      <c r="F3786" s="1" t="s">
        <v>3859</v>
      </c>
      <c r="G3786" s="1" t="s">
        <v>3860</v>
      </c>
      <c r="H3786" s="2" t="s">
        <v>3891</v>
      </c>
      <c r="I3786" s="1" t="s">
        <v>3892</v>
      </c>
      <c r="J3786" s="1" t="s">
        <v>52</v>
      </c>
      <c r="K3786" s="1" t="n">
        <v>49</v>
      </c>
      <c r="L3786" s="36" t="s">
        <v>46</v>
      </c>
      <c r="M3786" s="1" t="s">
        <v>46</v>
      </c>
      <c r="N3786" s="1" t="s">
        <v>325</v>
      </c>
      <c r="O3786" s="1" t="s">
        <v>3866</v>
      </c>
      <c r="P3786" s="1" t="s">
        <v>3863</v>
      </c>
      <c r="Q3786" s="1" t="s">
        <v>46</v>
      </c>
      <c r="R3786" s="1" t="s">
        <v>72</v>
      </c>
      <c r="S3786" s="1" t="s">
        <v>46</v>
      </c>
      <c r="T3786" s="1" t="s">
        <v>46</v>
      </c>
      <c r="U3786" s="1" t="s">
        <v>46</v>
      </c>
      <c r="V3786" s="1" t="n">
        <v>1</v>
      </c>
      <c r="W3786" s="1" t="s">
        <v>46</v>
      </c>
      <c r="X3786" s="1" t="s">
        <v>47</v>
      </c>
      <c r="Y3786" s="1" t="n">
        <v>5500</v>
      </c>
    </row>
    <row r="3787" customFormat="false" ht="13.8" hidden="false" customHeight="false" outlineLevel="0" collapsed="false">
      <c r="A3787" s="1" t="s">
        <v>3855</v>
      </c>
      <c r="B3787" s="2" t="s">
        <v>3856</v>
      </c>
      <c r="C3787" s="1" t="s">
        <v>3857</v>
      </c>
      <c r="D3787" s="1" t="s">
        <v>14</v>
      </c>
      <c r="E3787" s="1" t="s">
        <v>3858</v>
      </c>
      <c r="F3787" s="1" t="s">
        <v>3859</v>
      </c>
      <c r="G3787" s="1" t="s">
        <v>3860</v>
      </c>
      <c r="H3787" s="2" t="s">
        <v>3893</v>
      </c>
      <c r="I3787" s="1" t="s">
        <v>3894</v>
      </c>
      <c r="J3787" s="1" t="s">
        <v>38</v>
      </c>
      <c r="K3787" s="1" t="n">
        <v>51</v>
      </c>
      <c r="L3787" s="36" t="s">
        <v>46</v>
      </c>
      <c r="M3787" s="1" t="s">
        <v>46</v>
      </c>
      <c r="N3787" s="1" t="s">
        <v>325</v>
      </c>
      <c r="O3787" s="1" t="s">
        <v>161</v>
      </c>
      <c r="P3787" s="1" t="s">
        <v>3863</v>
      </c>
      <c r="Q3787" s="1" t="s">
        <v>46</v>
      </c>
      <c r="R3787" s="1" t="s">
        <v>72</v>
      </c>
      <c r="S3787" s="1" t="s">
        <v>46</v>
      </c>
      <c r="T3787" s="1" t="s">
        <v>46</v>
      </c>
      <c r="U3787" s="1" t="s">
        <v>46</v>
      </c>
      <c r="V3787" s="1" t="n">
        <v>1</v>
      </c>
      <c r="W3787" s="1" t="s">
        <v>46</v>
      </c>
      <c r="X3787" s="1" t="s">
        <v>47</v>
      </c>
      <c r="Y3787" s="1" t="n">
        <v>5500</v>
      </c>
    </row>
    <row r="3788" customFormat="false" ht="13.8" hidden="false" customHeight="false" outlineLevel="0" collapsed="false">
      <c r="A3788" s="1" t="s">
        <v>3855</v>
      </c>
      <c r="B3788" s="2" t="s">
        <v>3856</v>
      </c>
      <c r="C3788" s="1" t="s">
        <v>3857</v>
      </c>
      <c r="D3788" s="1" t="s">
        <v>14</v>
      </c>
      <c r="E3788" s="1" t="s">
        <v>3858</v>
      </c>
      <c r="F3788" s="1" t="s">
        <v>3859</v>
      </c>
      <c r="G3788" s="1" t="s">
        <v>3860</v>
      </c>
      <c r="H3788" s="2" t="s">
        <v>3895</v>
      </c>
      <c r="I3788" s="1" t="s">
        <v>3896</v>
      </c>
      <c r="J3788" s="1" t="s">
        <v>38</v>
      </c>
      <c r="K3788" s="1" t="n">
        <v>53</v>
      </c>
      <c r="L3788" s="36" t="s">
        <v>46</v>
      </c>
      <c r="M3788" s="1" t="s">
        <v>46</v>
      </c>
      <c r="N3788" s="1" t="s">
        <v>325</v>
      </c>
      <c r="O3788" s="1" t="s">
        <v>161</v>
      </c>
      <c r="P3788" s="1" t="s">
        <v>3863</v>
      </c>
      <c r="Q3788" s="1" t="s">
        <v>46</v>
      </c>
      <c r="R3788" s="1" t="s">
        <v>72</v>
      </c>
      <c r="S3788" s="1" t="s">
        <v>46</v>
      </c>
      <c r="T3788" s="1" t="s">
        <v>46</v>
      </c>
      <c r="U3788" s="1" t="s">
        <v>46</v>
      </c>
      <c r="V3788" s="1" t="n">
        <v>1</v>
      </c>
      <c r="W3788" s="1" t="s">
        <v>46</v>
      </c>
      <c r="X3788" s="1" t="s">
        <v>47</v>
      </c>
      <c r="Y3788" s="1" t="n">
        <v>5500</v>
      </c>
    </row>
    <row r="3789" customFormat="false" ht="13.8" hidden="false" customHeight="false" outlineLevel="0" collapsed="false">
      <c r="A3789" s="1" t="s">
        <v>3855</v>
      </c>
      <c r="B3789" s="2" t="s">
        <v>3856</v>
      </c>
      <c r="C3789" s="1" t="s">
        <v>3857</v>
      </c>
      <c r="D3789" s="1" t="s">
        <v>14</v>
      </c>
      <c r="E3789" s="1" t="s">
        <v>3858</v>
      </c>
      <c r="F3789" s="1" t="s">
        <v>3859</v>
      </c>
      <c r="G3789" s="1" t="s">
        <v>3860</v>
      </c>
      <c r="H3789" s="2" t="s">
        <v>64</v>
      </c>
      <c r="I3789" s="1" t="s">
        <v>3897</v>
      </c>
      <c r="J3789" s="1" t="s">
        <v>52</v>
      </c>
      <c r="K3789" s="1" t="s">
        <v>157</v>
      </c>
      <c r="L3789" s="36" t="s">
        <v>46</v>
      </c>
      <c r="M3789" s="1" t="s">
        <v>46</v>
      </c>
      <c r="N3789" s="1" t="s">
        <v>65</v>
      </c>
      <c r="O3789" s="1" t="s">
        <v>280</v>
      </c>
      <c r="P3789" s="1" t="s">
        <v>46</v>
      </c>
      <c r="Q3789" s="1" t="s">
        <v>46</v>
      </c>
      <c r="R3789" s="1" t="s">
        <v>46</v>
      </c>
      <c r="S3789" s="1" t="s">
        <v>46</v>
      </c>
      <c r="T3789" s="1" t="s">
        <v>46</v>
      </c>
      <c r="U3789" s="1" t="s">
        <v>46</v>
      </c>
      <c r="V3789" s="1" t="n">
        <v>1</v>
      </c>
      <c r="W3789" s="1" t="s">
        <v>46</v>
      </c>
      <c r="X3789" s="1" t="s">
        <v>46</v>
      </c>
      <c r="Y3789" s="1" t="n">
        <v>5500</v>
      </c>
    </row>
    <row r="3790" customFormat="false" ht="13.8" hidden="false" customHeight="false" outlineLevel="0" collapsed="false">
      <c r="A3790" s="1" t="s">
        <v>3855</v>
      </c>
      <c r="B3790" s="2" t="s">
        <v>3856</v>
      </c>
      <c r="C3790" s="1" t="s">
        <v>3857</v>
      </c>
      <c r="D3790" s="1" t="s">
        <v>14</v>
      </c>
      <c r="E3790" s="1" t="s">
        <v>3858</v>
      </c>
      <c r="F3790" s="1" t="s">
        <v>3859</v>
      </c>
      <c r="G3790" s="1" t="s">
        <v>3860</v>
      </c>
      <c r="H3790" s="2" t="s">
        <v>66</v>
      </c>
      <c r="I3790" s="1" t="s">
        <v>3898</v>
      </c>
      <c r="J3790" s="1" t="s">
        <v>52</v>
      </c>
      <c r="K3790" s="1" t="s">
        <v>165</v>
      </c>
      <c r="L3790" s="36" t="s">
        <v>46</v>
      </c>
      <c r="M3790" s="1" t="s">
        <v>46</v>
      </c>
      <c r="N3790" s="1" t="s">
        <v>65</v>
      </c>
      <c r="O3790" s="1" t="s">
        <v>280</v>
      </c>
      <c r="P3790" s="1" t="s">
        <v>46</v>
      </c>
      <c r="Q3790" s="1" t="s">
        <v>46</v>
      </c>
      <c r="R3790" s="1" t="s">
        <v>46</v>
      </c>
      <c r="S3790" s="1" t="s">
        <v>46</v>
      </c>
      <c r="T3790" s="1" t="s">
        <v>46</v>
      </c>
      <c r="U3790" s="1" t="s">
        <v>46</v>
      </c>
      <c r="V3790" s="1" t="n">
        <v>1</v>
      </c>
      <c r="W3790" s="1" t="s">
        <v>46</v>
      </c>
      <c r="X3790" s="1" t="s">
        <v>46</v>
      </c>
      <c r="Y3790" s="1" t="n">
        <v>5500</v>
      </c>
    </row>
    <row r="3791" customFormat="false" ht="13.8" hidden="false" customHeight="false" outlineLevel="0" collapsed="false">
      <c r="A3791" s="1" t="s">
        <v>3855</v>
      </c>
      <c r="B3791" s="2" t="s">
        <v>3856</v>
      </c>
      <c r="C3791" s="1" t="s">
        <v>3857</v>
      </c>
      <c r="D3791" s="1" t="s">
        <v>14</v>
      </c>
      <c r="E3791" s="1" t="s">
        <v>3858</v>
      </c>
      <c r="F3791" s="1" t="s">
        <v>3859</v>
      </c>
      <c r="G3791" s="1" t="s">
        <v>3860</v>
      </c>
      <c r="H3791" s="2" t="s">
        <v>67</v>
      </c>
      <c r="I3791" s="1" t="s">
        <v>3899</v>
      </c>
      <c r="J3791" s="1" t="s">
        <v>52</v>
      </c>
      <c r="K3791" s="1" t="s">
        <v>171</v>
      </c>
      <c r="L3791" s="36" t="s">
        <v>46</v>
      </c>
      <c r="M3791" s="1" t="s">
        <v>46</v>
      </c>
      <c r="N3791" s="1" t="s">
        <v>65</v>
      </c>
      <c r="O3791" s="1" t="s">
        <v>280</v>
      </c>
      <c r="P3791" s="1" t="s">
        <v>46</v>
      </c>
      <c r="Q3791" s="1" t="s">
        <v>46</v>
      </c>
      <c r="R3791" s="1" t="s">
        <v>46</v>
      </c>
      <c r="S3791" s="1" t="s">
        <v>46</v>
      </c>
      <c r="T3791" s="1" t="s">
        <v>46</v>
      </c>
      <c r="U3791" s="1" t="s">
        <v>46</v>
      </c>
      <c r="V3791" s="1" t="n">
        <v>1</v>
      </c>
      <c r="W3791" s="1" t="s">
        <v>46</v>
      </c>
      <c r="X3791" s="1" t="s">
        <v>46</v>
      </c>
      <c r="Y3791" s="1" t="n">
        <v>5500</v>
      </c>
    </row>
    <row r="3792" customFormat="false" ht="13.8" hidden="false" customHeight="false" outlineLevel="0" collapsed="false">
      <c r="A3792" s="1" t="s">
        <v>3855</v>
      </c>
      <c r="B3792" s="2" t="s">
        <v>3856</v>
      </c>
      <c r="C3792" s="1" t="s">
        <v>3857</v>
      </c>
      <c r="D3792" s="1" t="s">
        <v>14</v>
      </c>
      <c r="E3792" s="1" t="s">
        <v>3858</v>
      </c>
      <c r="F3792" s="1" t="s">
        <v>3859</v>
      </c>
      <c r="G3792" s="1" t="s">
        <v>3860</v>
      </c>
      <c r="H3792" s="2" t="s">
        <v>221</v>
      </c>
      <c r="I3792" s="1" t="s">
        <v>3900</v>
      </c>
      <c r="J3792" s="1" t="s">
        <v>52</v>
      </c>
      <c r="K3792" s="1" t="s">
        <v>1256</v>
      </c>
      <c r="L3792" s="36" t="s">
        <v>46</v>
      </c>
      <c r="M3792" s="1" t="s">
        <v>46</v>
      </c>
      <c r="N3792" s="1" t="s">
        <v>65</v>
      </c>
      <c r="O3792" s="1" t="s">
        <v>280</v>
      </c>
      <c r="P3792" s="1" t="s">
        <v>46</v>
      </c>
      <c r="Q3792" s="1" t="s">
        <v>46</v>
      </c>
      <c r="R3792" s="1" t="s">
        <v>46</v>
      </c>
      <c r="S3792" s="1" t="s">
        <v>46</v>
      </c>
      <c r="T3792" s="1" t="s">
        <v>46</v>
      </c>
      <c r="U3792" s="1" t="s">
        <v>46</v>
      </c>
      <c r="V3792" s="1" t="n">
        <v>1</v>
      </c>
      <c r="W3792" s="1" t="s">
        <v>46</v>
      </c>
      <c r="X3792" s="1" t="s">
        <v>46</v>
      </c>
      <c r="Y3792" s="1" t="n">
        <v>5500</v>
      </c>
    </row>
    <row r="3793" customFormat="false" ht="13.8" hidden="false" customHeight="false" outlineLevel="0" collapsed="false">
      <c r="A3793" s="1" t="s">
        <v>3855</v>
      </c>
      <c r="B3793" s="2" t="s">
        <v>3856</v>
      </c>
      <c r="C3793" s="1" t="s">
        <v>3857</v>
      </c>
      <c r="D3793" s="1" t="s">
        <v>14</v>
      </c>
      <c r="E3793" s="1" t="s">
        <v>3858</v>
      </c>
      <c r="F3793" s="1" t="s">
        <v>3859</v>
      </c>
      <c r="G3793" s="1" t="s">
        <v>3860</v>
      </c>
      <c r="H3793" s="2" t="s">
        <v>2450</v>
      </c>
      <c r="I3793" s="1" t="s">
        <v>3901</v>
      </c>
      <c r="J3793" s="1" t="s">
        <v>52</v>
      </c>
      <c r="K3793" s="1" t="s">
        <v>3902</v>
      </c>
      <c r="L3793" s="36" t="s">
        <v>46</v>
      </c>
      <c r="M3793" s="1" t="s">
        <v>46</v>
      </c>
      <c r="N3793" s="1" t="s">
        <v>65</v>
      </c>
      <c r="O3793" s="1" t="s">
        <v>280</v>
      </c>
      <c r="P3793" s="1" t="s">
        <v>46</v>
      </c>
      <c r="Q3793" s="1" t="s">
        <v>46</v>
      </c>
      <c r="R3793" s="1" t="s">
        <v>46</v>
      </c>
      <c r="S3793" s="1" t="s">
        <v>46</v>
      </c>
      <c r="T3793" s="1" t="s">
        <v>46</v>
      </c>
      <c r="U3793" s="1" t="s">
        <v>46</v>
      </c>
      <c r="V3793" s="1" t="n">
        <v>1</v>
      </c>
      <c r="W3793" s="1" t="s">
        <v>46</v>
      </c>
      <c r="X3793" s="1" t="s">
        <v>46</v>
      </c>
      <c r="Y3793" s="1" t="n">
        <v>5500</v>
      </c>
    </row>
    <row r="3794" customFormat="false" ht="13.8" hidden="false" customHeight="false" outlineLevel="0" collapsed="false">
      <c r="A3794" s="1" t="s">
        <v>3855</v>
      </c>
      <c r="B3794" s="2" t="s">
        <v>3856</v>
      </c>
      <c r="C3794" s="1" t="s">
        <v>3857</v>
      </c>
      <c r="D3794" s="1" t="s">
        <v>14</v>
      </c>
      <c r="E3794" s="1" t="s">
        <v>3858</v>
      </c>
      <c r="F3794" s="1" t="s">
        <v>3859</v>
      </c>
      <c r="G3794" s="1" t="s">
        <v>3860</v>
      </c>
      <c r="H3794" s="2" t="s">
        <v>3903</v>
      </c>
      <c r="I3794" s="1" t="s">
        <v>3904</v>
      </c>
      <c r="J3794" s="1" t="s">
        <v>52</v>
      </c>
      <c r="K3794" s="1" t="s">
        <v>3905</v>
      </c>
      <c r="L3794" s="36" t="s">
        <v>46</v>
      </c>
      <c r="M3794" s="1" t="s">
        <v>46</v>
      </c>
      <c r="N3794" s="1" t="s">
        <v>65</v>
      </c>
      <c r="O3794" s="1" t="s">
        <v>280</v>
      </c>
      <c r="P3794" s="1" t="s">
        <v>46</v>
      </c>
      <c r="Q3794" s="1" t="s">
        <v>46</v>
      </c>
      <c r="R3794" s="1" t="s">
        <v>46</v>
      </c>
      <c r="S3794" s="1" t="s">
        <v>46</v>
      </c>
      <c r="T3794" s="1" t="s">
        <v>46</v>
      </c>
      <c r="U3794" s="1" t="s">
        <v>46</v>
      </c>
      <c r="V3794" s="1" t="n">
        <v>1</v>
      </c>
      <c r="W3794" s="1" t="s">
        <v>46</v>
      </c>
      <c r="X3794" s="1" t="s">
        <v>46</v>
      </c>
      <c r="Y3794" s="1" t="n">
        <v>5500</v>
      </c>
    </row>
    <row r="3795" customFormat="false" ht="13.8" hidden="false" customHeight="false" outlineLevel="0" collapsed="false">
      <c r="A3795" s="1" t="s">
        <v>3855</v>
      </c>
      <c r="B3795" s="2" t="s">
        <v>3856</v>
      </c>
      <c r="C3795" s="1" t="s">
        <v>3857</v>
      </c>
      <c r="D3795" s="1" t="s">
        <v>14</v>
      </c>
      <c r="E3795" s="1" t="s">
        <v>3858</v>
      </c>
      <c r="F3795" s="1" t="s">
        <v>3859</v>
      </c>
      <c r="G3795" s="1" t="s">
        <v>3860</v>
      </c>
      <c r="H3795" s="2" t="s">
        <v>463</v>
      </c>
      <c r="I3795" s="1" t="s">
        <v>3906</v>
      </c>
      <c r="J3795" s="1" t="s">
        <v>52</v>
      </c>
      <c r="K3795" s="1" t="s">
        <v>3907</v>
      </c>
      <c r="L3795" s="36" t="s">
        <v>46</v>
      </c>
      <c r="M3795" s="1" t="s">
        <v>46</v>
      </c>
      <c r="N3795" s="1" t="s">
        <v>3908</v>
      </c>
      <c r="O3795" s="1" t="s">
        <v>3908</v>
      </c>
      <c r="P3795" s="1" t="s">
        <v>46</v>
      </c>
      <c r="Q3795" s="1" t="s">
        <v>46</v>
      </c>
      <c r="R3795" s="1" t="s">
        <v>46</v>
      </c>
      <c r="S3795" s="1" t="s">
        <v>46</v>
      </c>
      <c r="T3795" s="1" t="s">
        <v>46</v>
      </c>
      <c r="U3795" s="1" t="s">
        <v>46</v>
      </c>
      <c r="V3795" s="1" t="n">
        <v>1</v>
      </c>
      <c r="W3795" s="1" t="s">
        <v>46</v>
      </c>
      <c r="X3795" s="1" t="s">
        <v>47</v>
      </c>
      <c r="Y3795" s="1" t="n">
        <v>5500</v>
      </c>
    </row>
    <row r="3796" customFormat="false" ht="13.8" hidden="false" customHeight="false" outlineLevel="0" collapsed="false">
      <c r="A3796" s="1" t="s">
        <v>3855</v>
      </c>
      <c r="B3796" s="2" t="s">
        <v>3856</v>
      </c>
      <c r="C3796" s="1" t="s">
        <v>3857</v>
      </c>
      <c r="D3796" s="1" t="s">
        <v>14</v>
      </c>
      <c r="E3796" s="1" t="s">
        <v>3858</v>
      </c>
      <c r="F3796" s="1" t="s">
        <v>3859</v>
      </c>
      <c r="G3796" s="1" t="s">
        <v>3860</v>
      </c>
      <c r="H3796" s="2" t="s">
        <v>468</v>
      </c>
      <c r="I3796" s="1" t="s">
        <v>3909</v>
      </c>
      <c r="J3796" s="1" t="s">
        <v>52</v>
      </c>
      <c r="K3796" s="1" t="s">
        <v>3910</v>
      </c>
      <c r="L3796" s="36" t="s">
        <v>46</v>
      </c>
      <c r="M3796" s="1" t="s">
        <v>46</v>
      </c>
      <c r="N3796" s="1" t="s">
        <v>3908</v>
      </c>
      <c r="O3796" s="1" t="s">
        <v>3908</v>
      </c>
      <c r="P3796" s="1" t="s">
        <v>46</v>
      </c>
      <c r="Q3796" s="1" t="s">
        <v>46</v>
      </c>
      <c r="R3796" s="1" t="s">
        <v>46</v>
      </c>
      <c r="S3796" s="1" t="s">
        <v>46</v>
      </c>
      <c r="T3796" s="1" t="s">
        <v>46</v>
      </c>
      <c r="U3796" s="1" t="s">
        <v>46</v>
      </c>
      <c r="V3796" s="1" t="n">
        <v>1</v>
      </c>
      <c r="W3796" s="1" t="s">
        <v>46</v>
      </c>
      <c r="X3796" s="1" t="s">
        <v>47</v>
      </c>
      <c r="Y3796" s="1" t="n">
        <v>5500</v>
      </c>
    </row>
    <row r="3797" customFormat="false" ht="13.8" hidden="false" customHeight="false" outlineLevel="0" collapsed="false">
      <c r="A3797" s="1" t="s">
        <v>3855</v>
      </c>
      <c r="B3797" s="2" t="s">
        <v>3856</v>
      </c>
      <c r="C3797" s="1" t="s">
        <v>3857</v>
      </c>
      <c r="D3797" s="1" t="s">
        <v>14</v>
      </c>
      <c r="E3797" s="1" t="s">
        <v>3858</v>
      </c>
      <c r="F3797" s="1" t="s">
        <v>3859</v>
      </c>
      <c r="G3797" s="1" t="s">
        <v>3860</v>
      </c>
      <c r="H3797" s="2" t="s">
        <v>472</v>
      </c>
      <c r="I3797" s="1" t="s">
        <v>3911</v>
      </c>
      <c r="J3797" s="1" t="s">
        <v>52</v>
      </c>
      <c r="K3797" s="1" t="s">
        <v>3912</v>
      </c>
      <c r="L3797" s="36" t="s">
        <v>46</v>
      </c>
      <c r="M3797" s="1" t="s">
        <v>46</v>
      </c>
      <c r="N3797" s="1" t="s">
        <v>3908</v>
      </c>
      <c r="O3797" s="1" t="s">
        <v>3908</v>
      </c>
      <c r="P3797" s="1" t="s">
        <v>46</v>
      </c>
      <c r="Q3797" s="1" t="s">
        <v>46</v>
      </c>
      <c r="R3797" s="1" t="s">
        <v>46</v>
      </c>
      <c r="S3797" s="1" t="s">
        <v>46</v>
      </c>
      <c r="T3797" s="1" t="s">
        <v>46</v>
      </c>
      <c r="U3797" s="1" t="s">
        <v>46</v>
      </c>
      <c r="V3797" s="1" t="n">
        <v>1</v>
      </c>
      <c r="W3797" s="1" t="s">
        <v>46</v>
      </c>
      <c r="X3797" s="1" t="s">
        <v>47</v>
      </c>
      <c r="Y3797" s="1" t="n">
        <v>5500</v>
      </c>
    </row>
    <row r="3798" customFormat="false" ht="13.8" hidden="false" customHeight="false" outlineLevel="0" collapsed="false">
      <c r="A3798" s="1" t="s">
        <v>3855</v>
      </c>
      <c r="B3798" s="2" t="s">
        <v>3856</v>
      </c>
      <c r="C3798" s="1" t="s">
        <v>3857</v>
      </c>
      <c r="D3798" s="1" t="s">
        <v>14</v>
      </c>
      <c r="E3798" s="1" t="s">
        <v>3858</v>
      </c>
      <c r="F3798" s="1" t="s">
        <v>3859</v>
      </c>
      <c r="G3798" s="1" t="s">
        <v>3860</v>
      </c>
      <c r="H3798" s="2" t="s">
        <v>476</v>
      </c>
      <c r="I3798" s="1" t="s">
        <v>3913</v>
      </c>
      <c r="J3798" s="1" t="s">
        <v>52</v>
      </c>
      <c r="K3798" s="1" t="s">
        <v>3914</v>
      </c>
      <c r="L3798" s="36" t="s">
        <v>46</v>
      </c>
      <c r="M3798" s="1" t="s">
        <v>46</v>
      </c>
      <c r="N3798" s="1" t="s">
        <v>3908</v>
      </c>
      <c r="O3798" s="1" t="s">
        <v>3908</v>
      </c>
      <c r="P3798" s="1" t="s">
        <v>46</v>
      </c>
      <c r="Q3798" s="1" t="s">
        <v>46</v>
      </c>
      <c r="R3798" s="1" t="s">
        <v>46</v>
      </c>
      <c r="S3798" s="1" t="s">
        <v>46</v>
      </c>
      <c r="T3798" s="1" t="s">
        <v>46</v>
      </c>
      <c r="U3798" s="1" t="s">
        <v>46</v>
      </c>
      <c r="V3798" s="1" t="n">
        <v>1</v>
      </c>
      <c r="W3798" s="1" t="s">
        <v>46</v>
      </c>
      <c r="X3798" s="1" t="s">
        <v>47</v>
      </c>
      <c r="Y3798" s="1" t="n">
        <v>5500</v>
      </c>
    </row>
    <row r="3799" customFormat="false" ht="13.8" hidden="false" customHeight="false" outlineLevel="0" collapsed="false">
      <c r="A3799" s="1" t="s">
        <v>3855</v>
      </c>
      <c r="B3799" s="2" t="s">
        <v>3856</v>
      </c>
      <c r="C3799" s="1" t="s">
        <v>3857</v>
      </c>
      <c r="D3799" s="1" t="s">
        <v>14</v>
      </c>
      <c r="E3799" s="1" t="s">
        <v>3858</v>
      </c>
      <c r="F3799" s="1" t="s">
        <v>3859</v>
      </c>
      <c r="G3799" s="1" t="s">
        <v>3860</v>
      </c>
      <c r="H3799" s="2" t="s">
        <v>3915</v>
      </c>
      <c r="I3799" s="1" t="s">
        <v>3916</v>
      </c>
      <c r="J3799" s="1" t="s">
        <v>52</v>
      </c>
      <c r="K3799" s="1" t="s">
        <v>3917</v>
      </c>
      <c r="L3799" s="36" t="s">
        <v>46</v>
      </c>
      <c r="M3799" s="1" t="s">
        <v>46</v>
      </c>
      <c r="N3799" s="1" t="s">
        <v>3908</v>
      </c>
      <c r="O3799" s="1" t="s">
        <v>3908</v>
      </c>
      <c r="P3799" s="1" t="s">
        <v>46</v>
      </c>
      <c r="Q3799" s="1" t="s">
        <v>46</v>
      </c>
      <c r="R3799" s="1" t="s">
        <v>46</v>
      </c>
      <c r="S3799" s="1" t="s">
        <v>46</v>
      </c>
      <c r="T3799" s="1" t="s">
        <v>46</v>
      </c>
      <c r="U3799" s="1" t="s">
        <v>46</v>
      </c>
      <c r="V3799" s="1" t="n">
        <v>1</v>
      </c>
      <c r="W3799" s="1" t="s">
        <v>46</v>
      </c>
      <c r="X3799" s="1" t="s">
        <v>47</v>
      </c>
      <c r="Y3799" s="1" t="n">
        <v>5500</v>
      </c>
    </row>
    <row r="3800" customFormat="false" ht="13.8" hidden="false" customHeight="false" outlineLevel="0" collapsed="false">
      <c r="A3800" s="1" t="s">
        <v>3855</v>
      </c>
      <c r="B3800" s="2" t="s">
        <v>3856</v>
      </c>
      <c r="C3800" s="1" t="s">
        <v>3857</v>
      </c>
      <c r="D3800" s="1" t="s">
        <v>14</v>
      </c>
      <c r="E3800" s="1" t="s">
        <v>3858</v>
      </c>
      <c r="F3800" s="1" t="s">
        <v>3859</v>
      </c>
      <c r="G3800" s="1" t="s">
        <v>3860</v>
      </c>
      <c r="H3800" s="2" t="s">
        <v>3918</v>
      </c>
      <c r="I3800" s="1" t="s">
        <v>3919</v>
      </c>
      <c r="J3800" s="1" t="s">
        <v>52</v>
      </c>
      <c r="K3800" s="1" t="s">
        <v>3920</v>
      </c>
      <c r="L3800" s="36" t="s">
        <v>46</v>
      </c>
      <c r="M3800" s="1" t="s">
        <v>46</v>
      </c>
      <c r="N3800" s="1" t="s">
        <v>3908</v>
      </c>
      <c r="O3800" s="1" t="s">
        <v>3908</v>
      </c>
      <c r="P3800" s="1" t="s">
        <v>46</v>
      </c>
      <c r="Q3800" s="1" t="s">
        <v>46</v>
      </c>
      <c r="R3800" s="1" t="s">
        <v>46</v>
      </c>
      <c r="S3800" s="1" t="s">
        <v>46</v>
      </c>
      <c r="T3800" s="1" t="s">
        <v>46</v>
      </c>
      <c r="U3800" s="1" t="s">
        <v>46</v>
      </c>
      <c r="V3800" s="1" t="n">
        <v>1</v>
      </c>
      <c r="W3800" s="1" t="s">
        <v>46</v>
      </c>
      <c r="X3800" s="1" t="s">
        <v>47</v>
      </c>
      <c r="Y3800" s="1" t="n">
        <v>5500</v>
      </c>
    </row>
    <row r="3801" customFormat="false" ht="13.8" hidden="false" customHeight="false" outlineLevel="0" collapsed="false">
      <c r="A3801" s="1" t="s">
        <v>3855</v>
      </c>
      <c r="B3801" s="2" t="s">
        <v>3856</v>
      </c>
      <c r="C3801" s="1" t="s">
        <v>3857</v>
      </c>
      <c r="D3801" s="1" t="s">
        <v>14</v>
      </c>
      <c r="E3801" s="1" t="s">
        <v>3858</v>
      </c>
      <c r="F3801" s="1" t="s">
        <v>3859</v>
      </c>
      <c r="G3801" s="1" t="s">
        <v>3860</v>
      </c>
      <c r="H3801" s="2" t="s">
        <v>348</v>
      </c>
      <c r="I3801" s="1" t="s">
        <v>3921</v>
      </c>
      <c r="J3801" s="1" t="s">
        <v>52</v>
      </c>
      <c r="K3801" s="1" t="s">
        <v>3922</v>
      </c>
      <c r="L3801" s="36" t="s">
        <v>46</v>
      </c>
      <c r="M3801" s="1" t="s">
        <v>46</v>
      </c>
      <c r="N3801" s="1" t="s">
        <v>281</v>
      </c>
      <c r="O3801" s="1" t="s">
        <v>281</v>
      </c>
      <c r="P3801" s="1" t="s">
        <v>46</v>
      </c>
      <c r="Q3801" s="1" t="s">
        <v>46</v>
      </c>
      <c r="R3801" s="1" t="s">
        <v>46</v>
      </c>
      <c r="S3801" s="1" t="s">
        <v>46</v>
      </c>
      <c r="T3801" s="1" t="s">
        <v>46</v>
      </c>
      <c r="U3801" s="1" t="s">
        <v>46</v>
      </c>
      <c r="V3801" s="1" t="n">
        <v>1</v>
      </c>
      <c r="W3801" s="1" t="s">
        <v>46</v>
      </c>
      <c r="X3801" s="1" t="s">
        <v>2740</v>
      </c>
      <c r="Y3801" s="1" t="n">
        <v>5500</v>
      </c>
    </row>
    <row r="3802" customFormat="false" ht="13.8" hidden="false" customHeight="false" outlineLevel="0" collapsed="false">
      <c r="A3802" s="1" t="s">
        <v>3855</v>
      </c>
      <c r="B3802" s="2" t="s">
        <v>3856</v>
      </c>
      <c r="C3802" s="1" t="s">
        <v>3857</v>
      </c>
      <c r="D3802" s="1" t="s">
        <v>14</v>
      </c>
      <c r="E3802" s="1" t="s">
        <v>3858</v>
      </c>
      <c r="F3802" s="1" t="s">
        <v>3859</v>
      </c>
      <c r="G3802" s="1" t="s">
        <v>3860</v>
      </c>
      <c r="H3802" s="2" t="s">
        <v>349</v>
      </c>
      <c r="I3802" s="1" t="s">
        <v>3923</v>
      </c>
      <c r="J3802" s="1" t="s">
        <v>52</v>
      </c>
      <c r="K3802" s="1" t="s">
        <v>3924</v>
      </c>
      <c r="L3802" s="36" t="s">
        <v>46</v>
      </c>
      <c r="M3802" s="1" t="s">
        <v>46</v>
      </c>
      <c r="N3802" s="1" t="s">
        <v>281</v>
      </c>
      <c r="O3802" s="1" t="s">
        <v>281</v>
      </c>
      <c r="P3802" s="1" t="s">
        <v>46</v>
      </c>
      <c r="Q3802" s="1" t="s">
        <v>46</v>
      </c>
      <c r="R3802" s="1" t="s">
        <v>46</v>
      </c>
      <c r="S3802" s="1" t="s">
        <v>46</v>
      </c>
      <c r="T3802" s="1" t="s">
        <v>46</v>
      </c>
      <c r="U3802" s="1" t="s">
        <v>46</v>
      </c>
      <c r="V3802" s="1" t="n">
        <v>1</v>
      </c>
      <c r="W3802" s="1" t="s">
        <v>46</v>
      </c>
      <c r="X3802" s="1" t="s">
        <v>2740</v>
      </c>
      <c r="Y3802" s="1" t="n">
        <v>5500</v>
      </c>
    </row>
    <row r="3803" customFormat="false" ht="13.8" hidden="false" customHeight="false" outlineLevel="0" collapsed="false">
      <c r="A3803" s="1" t="s">
        <v>3855</v>
      </c>
      <c r="B3803" s="2" t="s">
        <v>3856</v>
      </c>
      <c r="C3803" s="1" t="s">
        <v>3857</v>
      </c>
      <c r="D3803" s="1" t="s">
        <v>14</v>
      </c>
      <c r="E3803" s="1" t="s">
        <v>3858</v>
      </c>
      <c r="F3803" s="1" t="s">
        <v>3859</v>
      </c>
      <c r="G3803" s="1" t="s">
        <v>3860</v>
      </c>
      <c r="H3803" s="2" t="s">
        <v>350</v>
      </c>
      <c r="I3803" s="1" t="s">
        <v>3925</v>
      </c>
      <c r="J3803" s="1" t="s">
        <v>52</v>
      </c>
      <c r="K3803" s="1" t="s">
        <v>3926</v>
      </c>
      <c r="L3803" s="36" t="s">
        <v>46</v>
      </c>
      <c r="M3803" s="1" t="s">
        <v>46</v>
      </c>
      <c r="N3803" s="1" t="s">
        <v>281</v>
      </c>
      <c r="O3803" s="1" t="s">
        <v>281</v>
      </c>
      <c r="P3803" s="1" t="s">
        <v>46</v>
      </c>
      <c r="Q3803" s="1" t="s">
        <v>46</v>
      </c>
      <c r="R3803" s="1" t="s">
        <v>46</v>
      </c>
      <c r="S3803" s="1" t="s">
        <v>46</v>
      </c>
      <c r="T3803" s="1" t="s">
        <v>46</v>
      </c>
      <c r="U3803" s="1" t="s">
        <v>46</v>
      </c>
      <c r="V3803" s="1" t="n">
        <v>1</v>
      </c>
      <c r="W3803" s="1" t="s">
        <v>46</v>
      </c>
      <c r="X3803" s="1" t="s">
        <v>2740</v>
      </c>
      <c r="Y3803" s="1" t="n">
        <v>5500</v>
      </c>
    </row>
    <row r="3804" customFormat="false" ht="13.8" hidden="false" customHeight="false" outlineLevel="0" collapsed="false">
      <c r="A3804" s="1" t="s">
        <v>3855</v>
      </c>
      <c r="B3804" s="2" t="s">
        <v>3856</v>
      </c>
      <c r="C3804" s="1" t="s">
        <v>3857</v>
      </c>
      <c r="D3804" s="1" t="s">
        <v>14</v>
      </c>
      <c r="E3804" s="1" t="s">
        <v>3858</v>
      </c>
      <c r="F3804" s="1" t="s">
        <v>3859</v>
      </c>
      <c r="G3804" s="1" t="s">
        <v>3860</v>
      </c>
      <c r="H3804" s="2" t="s">
        <v>351</v>
      </c>
      <c r="I3804" s="1" t="s">
        <v>3927</v>
      </c>
      <c r="J3804" s="1" t="s">
        <v>52</v>
      </c>
      <c r="K3804" s="1" t="s">
        <v>3928</v>
      </c>
      <c r="L3804" s="36" t="s">
        <v>46</v>
      </c>
      <c r="M3804" s="1" t="s">
        <v>46</v>
      </c>
      <c r="N3804" s="1" t="s">
        <v>281</v>
      </c>
      <c r="O3804" s="1" t="s">
        <v>281</v>
      </c>
      <c r="P3804" s="1" t="s">
        <v>46</v>
      </c>
      <c r="Q3804" s="1" t="s">
        <v>46</v>
      </c>
      <c r="R3804" s="1" t="s">
        <v>46</v>
      </c>
      <c r="S3804" s="1" t="s">
        <v>46</v>
      </c>
      <c r="T3804" s="1" t="s">
        <v>46</v>
      </c>
      <c r="U3804" s="1" t="s">
        <v>46</v>
      </c>
      <c r="V3804" s="1" t="n">
        <v>1</v>
      </c>
      <c r="W3804" s="1" t="s">
        <v>46</v>
      </c>
      <c r="X3804" s="1" t="s">
        <v>2740</v>
      </c>
      <c r="Y3804" s="1" t="n">
        <v>5500</v>
      </c>
    </row>
    <row r="3805" customFormat="false" ht="13.8" hidden="false" customHeight="false" outlineLevel="0" collapsed="false">
      <c r="A3805" s="1" t="s">
        <v>3855</v>
      </c>
      <c r="B3805" s="2" t="s">
        <v>3856</v>
      </c>
      <c r="C3805" s="1" t="s">
        <v>3857</v>
      </c>
      <c r="D3805" s="1" t="s">
        <v>14</v>
      </c>
      <c r="E3805" s="1" t="s">
        <v>3858</v>
      </c>
      <c r="F3805" s="1" t="s">
        <v>3859</v>
      </c>
      <c r="G3805" s="1" t="s">
        <v>3860</v>
      </c>
      <c r="H3805" s="2" t="s">
        <v>352</v>
      </c>
      <c r="I3805" s="1" t="s">
        <v>3929</v>
      </c>
      <c r="J3805" s="1" t="s">
        <v>52</v>
      </c>
      <c r="K3805" s="1" t="s">
        <v>3930</v>
      </c>
      <c r="L3805" s="36" t="s">
        <v>46</v>
      </c>
      <c r="M3805" s="1" t="s">
        <v>46</v>
      </c>
      <c r="N3805" s="1" t="s">
        <v>281</v>
      </c>
      <c r="O3805" s="1" t="s">
        <v>281</v>
      </c>
      <c r="P3805" s="1" t="s">
        <v>46</v>
      </c>
      <c r="Q3805" s="1" t="s">
        <v>46</v>
      </c>
      <c r="R3805" s="1" t="s">
        <v>46</v>
      </c>
      <c r="S3805" s="1" t="s">
        <v>46</v>
      </c>
      <c r="T3805" s="1" t="s">
        <v>46</v>
      </c>
      <c r="U3805" s="1" t="s">
        <v>46</v>
      </c>
      <c r="V3805" s="1" t="n">
        <v>1</v>
      </c>
      <c r="W3805" s="1" t="s">
        <v>46</v>
      </c>
      <c r="X3805" s="1" t="s">
        <v>2740</v>
      </c>
      <c r="Y3805" s="1" t="n">
        <v>5500</v>
      </c>
    </row>
    <row r="3806" customFormat="false" ht="13.8" hidden="false" customHeight="false" outlineLevel="0" collapsed="false">
      <c r="A3806" s="1" t="s">
        <v>3855</v>
      </c>
      <c r="B3806" s="2" t="s">
        <v>3856</v>
      </c>
      <c r="C3806" s="1" t="s">
        <v>3857</v>
      </c>
      <c r="D3806" s="1" t="s">
        <v>14</v>
      </c>
      <c r="E3806" s="1" t="s">
        <v>3858</v>
      </c>
      <c r="F3806" s="1" t="s">
        <v>3859</v>
      </c>
      <c r="G3806" s="1" t="s">
        <v>3860</v>
      </c>
      <c r="H3806" s="2" t="s">
        <v>3931</v>
      </c>
      <c r="I3806" s="1" t="s">
        <v>3932</v>
      </c>
      <c r="J3806" s="1" t="s">
        <v>52</v>
      </c>
      <c r="K3806" s="1" t="s">
        <v>3933</v>
      </c>
      <c r="L3806" s="36" t="s">
        <v>46</v>
      </c>
      <c r="M3806" s="1" t="s">
        <v>46</v>
      </c>
      <c r="N3806" s="1" t="s">
        <v>281</v>
      </c>
      <c r="O3806" s="1" t="s">
        <v>281</v>
      </c>
      <c r="P3806" s="1" t="s">
        <v>46</v>
      </c>
      <c r="Q3806" s="1" t="s">
        <v>46</v>
      </c>
      <c r="R3806" s="1" t="s">
        <v>46</v>
      </c>
      <c r="S3806" s="1" t="s">
        <v>46</v>
      </c>
      <c r="T3806" s="1" t="s">
        <v>46</v>
      </c>
      <c r="U3806" s="1" t="s">
        <v>46</v>
      </c>
      <c r="V3806" s="1" t="n">
        <v>1</v>
      </c>
      <c r="W3806" s="1" t="s">
        <v>46</v>
      </c>
      <c r="X3806" s="1" t="s">
        <v>2740</v>
      </c>
      <c r="Y3806" s="1" t="n">
        <v>5500</v>
      </c>
    </row>
    <row r="3807" customFormat="false" ht="13.8" hidden="false" customHeight="false" outlineLevel="0" collapsed="false">
      <c r="A3807" s="1" t="s">
        <v>3934</v>
      </c>
      <c r="B3807" s="2" t="s">
        <v>3856</v>
      </c>
      <c r="C3807" s="1" t="s">
        <v>3935</v>
      </c>
      <c r="D3807" s="1" t="s">
        <v>14</v>
      </c>
      <c r="E3807" s="1" t="s">
        <v>3936</v>
      </c>
      <c r="F3807" s="1" t="s">
        <v>3937</v>
      </c>
      <c r="G3807" s="1" t="s">
        <v>3938</v>
      </c>
      <c r="H3807" s="2" t="s">
        <v>3939</v>
      </c>
      <c r="I3807" s="1" t="s">
        <v>3940</v>
      </c>
      <c r="J3807" s="1" t="s">
        <v>52</v>
      </c>
      <c r="K3807" s="1" t="s">
        <v>3939</v>
      </c>
      <c r="L3807" s="36" t="s">
        <v>46</v>
      </c>
      <c r="M3807" s="1" t="s">
        <v>46</v>
      </c>
      <c r="N3807" s="1" t="s">
        <v>325</v>
      </c>
      <c r="O3807" s="1" t="s">
        <v>3866</v>
      </c>
      <c r="P3807" s="1" t="s">
        <v>326</v>
      </c>
      <c r="Q3807" s="1" t="s">
        <v>46</v>
      </c>
      <c r="R3807" s="1" t="s">
        <v>72</v>
      </c>
      <c r="S3807" s="1" t="s">
        <v>46</v>
      </c>
      <c r="T3807" s="1" t="s">
        <v>46</v>
      </c>
      <c r="U3807" s="1" t="s">
        <v>46</v>
      </c>
      <c r="V3807" s="1" t="n">
        <v>1</v>
      </c>
      <c r="W3807" s="1" t="s">
        <v>46</v>
      </c>
      <c r="X3807" s="1" t="s">
        <v>47</v>
      </c>
      <c r="Y3807" s="1" t="n">
        <v>5500</v>
      </c>
    </row>
    <row r="3808" customFormat="false" ht="13.8" hidden="false" customHeight="false" outlineLevel="0" collapsed="false">
      <c r="A3808" s="1" t="s">
        <v>3934</v>
      </c>
      <c r="B3808" s="2" t="s">
        <v>3856</v>
      </c>
      <c r="C3808" s="1" t="s">
        <v>3935</v>
      </c>
      <c r="D3808" s="1" t="s">
        <v>14</v>
      </c>
      <c r="E3808" s="1" t="s">
        <v>3936</v>
      </c>
      <c r="F3808" s="1" t="s">
        <v>3937</v>
      </c>
      <c r="G3808" s="1" t="s">
        <v>3938</v>
      </c>
      <c r="H3808" s="2" t="s">
        <v>3941</v>
      </c>
      <c r="I3808" s="1" t="s">
        <v>3942</v>
      </c>
      <c r="J3808" s="1" t="s">
        <v>38</v>
      </c>
      <c r="K3808" s="1" t="s">
        <v>3941</v>
      </c>
      <c r="L3808" s="36" t="s">
        <v>46</v>
      </c>
      <c r="M3808" s="1" t="s">
        <v>46</v>
      </c>
      <c r="N3808" s="1" t="s">
        <v>325</v>
      </c>
      <c r="O3808" s="1" t="s">
        <v>161</v>
      </c>
      <c r="P3808" s="1" t="s">
        <v>326</v>
      </c>
      <c r="Q3808" s="1" t="s">
        <v>46</v>
      </c>
      <c r="R3808" s="1" t="s">
        <v>72</v>
      </c>
      <c r="S3808" s="1" t="s">
        <v>46</v>
      </c>
      <c r="T3808" s="1" t="s">
        <v>46</v>
      </c>
      <c r="U3808" s="1" t="s">
        <v>46</v>
      </c>
      <c r="V3808" s="1" t="n">
        <v>1</v>
      </c>
      <c r="W3808" s="1" t="s">
        <v>46</v>
      </c>
      <c r="X3808" s="1" t="s">
        <v>47</v>
      </c>
      <c r="Y3808" s="1" t="n">
        <v>5500</v>
      </c>
    </row>
    <row r="3809" customFormat="false" ht="13.8" hidden="false" customHeight="false" outlineLevel="0" collapsed="false">
      <c r="A3809" s="1" t="s">
        <v>3934</v>
      </c>
      <c r="B3809" s="2" t="s">
        <v>3856</v>
      </c>
      <c r="C3809" s="1" t="s">
        <v>3935</v>
      </c>
      <c r="D3809" s="1" t="s">
        <v>14</v>
      </c>
      <c r="E3809" s="1" t="s">
        <v>3936</v>
      </c>
      <c r="F3809" s="1" t="s">
        <v>3937</v>
      </c>
      <c r="G3809" s="1" t="s">
        <v>3938</v>
      </c>
      <c r="H3809" s="2" t="s">
        <v>3943</v>
      </c>
      <c r="I3809" s="1" t="s">
        <v>3944</v>
      </c>
      <c r="J3809" s="1" t="s">
        <v>52</v>
      </c>
      <c r="K3809" s="1" t="s">
        <v>3943</v>
      </c>
      <c r="L3809" s="36" t="s">
        <v>46</v>
      </c>
      <c r="M3809" s="1" t="s">
        <v>46</v>
      </c>
      <c r="N3809" s="1" t="s">
        <v>325</v>
      </c>
      <c r="O3809" s="1" t="s">
        <v>3866</v>
      </c>
      <c r="P3809" s="1" t="s">
        <v>326</v>
      </c>
      <c r="Q3809" s="1" t="s">
        <v>46</v>
      </c>
      <c r="R3809" s="1" t="s">
        <v>72</v>
      </c>
      <c r="S3809" s="1" t="s">
        <v>46</v>
      </c>
      <c r="T3809" s="1" t="s">
        <v>46</v>
      </c>
      <c r="U3809" s="1" t="s">
        <v>46</v>
      </c>
      <c r="V3809" s="1" t="n">
        <v>1</v>
      </c>
      <c r="W3809" s="1" t="s">
        <v>46</v>
      </c>
      <c r="X3809" s="1" t="s">
        <v>47</v>
      </c>
      <c r="Y3809" s="1" t="n">
        <v>5500</v>
      </c>
    </row>
    <row r="3810" customFormat="false" ht="13.8" hidden="false" customHeight="false" outlineLevel="0" collapsed="false">
      <c r="A3810" s="1" t="s">
        <v>3934</v>
      </c>
      <c r="B3810" s="2" t="s">
        <v>3856</v>
      </c>
      <c r="C3810" s="1" t="s">
        <v>3935</v>
      </c>
      <c r="D3810" s="1" t="s">
        <v>14</v>
      </c>
      <c r="E3810" s="1" t="s">
        <v>3936</v>
      </c>
      <c r="F3810" s="1" t="s">
        <v>3937</v>
      </c>
      <c r="G3810" s="1" t="s">
        <v>3938</v>
      </c>
      <c r="H3810" s="2" t="s">
        <v>3945</v>
      </c>
      <c r="I3810" s="1" t="s">
        <v>3946</v>
      </c>
      <c r="J3810" s="1" t="s">
        <v>52</v>
      </c>
      <c r="K3810" s="1" t="s">
        <v>3945</v>
      </c>
      <c r="L3810" s="36" t="s">
        <v>46</v>
      </c>
      <c r="M3810" s="1" t="s">
        <v>46</v>
      </c>
      <c r="N3810" s="1" t="s">
        <v>325</v>
      </c>
      <c r="O3810" s="1" t="s">
        <v>3866</v>
      </c>
      <c r="P3810" s="1" t="s">
        <v>326</v>
      </c>
      <c r="Q3810" s="1" t="s">
        <v>46</v>
      </c>
      <c r="R3810" s="1" t="s">
        <v>72</v>
      </c>
      <c r="S3810" s="1" t="s">
        <v>46</v>
      </c>
      <c r="T3810" s="1" t="s">
        <v>46</v>
      </c>
      <c r="U3810" s="1" t="s">
        <v>46</v>
      </c>
      <c r="V3810" s="1" t="n">
        <v>1</v>
      </c>
      <c r="W3810" s="1" t="s">
        <v>46</v>
      </c>
      <c r="X3810" s="1" t="s">
        <v>47</v>
      </c>
      <c r="Y3810" s="1" t="n">
        <v>5500</v>
      </c>
    </row>
    <row r="3811" customFormat="false" ht="13.8" hidden="false" customHeight="false" outlineLevel="0" collapsed="false">
      <c r="A3811" s="1" t="s">
        <v>3934</v>
      </c>
      <c r="B3811" s="2" t="s">
        <v>3856</v>
      </c>
      <c r="C3811" s="1" t="s">
        <v>3935</v>
      </c>
      <c r="D3811" s="1" t="s">
        <v>14</v>
      </c>
      <c r="E3811" s="1" t="s">
        <v>3936</v>
      </c>
      <c r="F3811" s="1" t="s">
        <v>3937</v>
      </c>
      <c r="G3811" s="1" t="s">
        <v>3938</v>
      </c>
      <c r="H3811" s="2" t="s">
        <v>3947</v>
      </c>
      <c r="I3811" s="1" t="s">
        <v>3948</v>
      </c>
      <c r="J3811" s="1" t="s">
        <v>38</v>
      </c>
      <c r="K3811" s="1" t="s">
        <v>3947</v>
      </c>
      <c r="L3811" s="36" t="s">
        <v>46</v>
      </c>
      <c r="M3811" s="1" t="s">
        <v>46</v>
      </c>
      <c r="N3811" s="1" t="s">
        <v>325</v>
      </c>
      <c r="O3811" s="1" t="s">
        <v>161</v>
      </c>
      <c r="P3811" s="1" t="s">
        <v>326</v>
      </c>
      <c r="Q3811" s="1" t="s">
        <v>46</v>
      </c>
      <c r="R3811" s="1" t="s">
        <v>72</v>
      </c>
      <c r="S3811" s="1" t="s">
        <v>46</v>
      </c>
      <c r="T3811" s="1" t="s">
        <v>46</v>
      </c>
      <c r="U3811" s="1" t="s">
        <v>46</v>
      </c>
      <c r="V3811" s="1" t="n">
        <v>1</v>
      </c>
      <c r="W3811" s="1" t="s">
        <v>46</v>
      </c>
      <c r="X3811" s="1" t="s">
        <v>47</v>
      </c>
      <c r="Y3811" s="1" t="n">
        <v>5500</v>
      </c>
    </row>
    <row r="3812" customFormat="false" ht="13.8" hidden="false" customHeight="false" outlineLevel="0" collapsed="false">
      <c r="A3812" s="1" t="s">
        <v>3934</v>
      </c>
      <c r="B3812" s="2" t="s">
        <v>3856</v>
      </c>
      <c r="C3812" s="1" t="s">
        <v>3935</v>
      </c>
      <c r="D3812" s="1" t="s">
        <v>14</v>
      </c>
      <c r="E3812" s="1" t="s">
        <v>3936</v>
      </c>
      <c r="F3812" s="1" t="s">
        <v>3937</v>
      </c>
      <c r="G3812" s="1" t="s">
        <v>3938</v>
      </c>
      <c r="H3812" s="2" t="s">
        <v>3949</v>
      </c>
      <c r="I3812" s="1" t="s">
        <v>3950</v>
      </c>
      <c r="J3812" s="1" t="s">
        <v>38</v>
      </c>
      <c r="K3812" s="1" t="s">
        <v>3949</v>
      </c>
      <c r="L3812" s="36" t="s">
        <v>46</v>
      </c>
      <c r="M3812" s="1" t="s">
        <v>46</v>
      </c>
      <c r="N3812" s="1" t="s">
        <v>325</v>
      </c>
      <c r="O3812" s="1" t="s">
        <v>161</v>
      </c>
      <c r="P3812" s="1" t="s">
        <v>326</v>
      </c>
      <c r="Q3812" s="1" t="s">
        <v>46</v>
      </c>
      <c r="R3812" s="1" t="s">
        <v>72</v>
      </c>
      <c r="S3812" s="1" t="s">
        <v>46</v>
      </c>
      <c r="T3812" s="1" t="s">
        <v>46</v>
      </c>
      <c r="U3812" s="1" t="s">
        <v>46</v>
      </c>
      <c r="V3812" s="1" t="n">
        <v>1</v>
      </c>
      <c r="W3812" s="1" t="s">
        <v>46</v>
      </c>
      <c r="X3812" s="1" t="s">
        <v>47</v>
      </c>
      <c r="Y3812" s="1" t="n">
        <v>5500</v>
      </c>
    </row>
    <row r="3813" customFormat="false" ht="13.8" hidden="false" customHeight="false" outlineLevel="0" collapsed="false">
      <c r="A3813" s="1" t="s">
        <v>3934</v>
      </c>
      <c r="B3813" s="2" t="s">
        <v>3856</v>
      </c>
      <c r="C3813" s="1" t="s">
        <v>3935</v>
      </c>
      <c r="D3813" s="1" t="s">
        <v>14</v>
      </c>
      <c r="E3813" s="1" t="s">
        <v>3936</v>
      </c>
      <c r="F3813" s="1" t="s">
        <v>3937</v>
      </c>
      <c r="G3813" s="1" t="s">
        <v>3938</v>
      </c>
      <c r="H3813" s="2" t="s">
        <v>3951</v>
      </c>
      <c r="I3813" s="1" t="s">
        <v>3952</v>
      </c>
      <c r="J3813" s="1" t="s">
        <v>38</v>
      </c>
      <c r="K3813" s="1" t="s">
        <v>3951</v>
      </c>
      <c r="L3813" s="36" t="s">
        <v>46</v>
      </c>
      <c r="M3813" s="1" t="s">
        <v>46</v>
      </c>
      <c r="N3813" s="1" t="s">
        <v>325</v>
      </c>
      <c r="O3813" s="1" t="s">
        <v>161</v>
      </c>
      <c r="P3813" s="1" t="s">
        <v>326</v>
      </c>
      <c r="Q3813" s="1" t="s">
        <v>46</v>
      </c>
      <c r="R3813" s="1" t="s">
        <v>72</v>
      </c>
      <c r="S3813" s="1" t="s">
        <v>46</v>
      </c>
      <c r="T3813" s="1" t="s">
        <v>46</v>
      </c>
      <c r="U3813" s="1" t="s">
        <v>46</v>
      </c>
      <c r="V3813" s="1" t="n">
        <v>1</v>
      </c>
      <c r="W3813" s="1" t="s">
        <v>46</v>
      </c>
      <c r="X3813" s="1" t="s">
        <v>47</v>
      </c>
      <c r="Y3813" s="1" t="n">
        <v>5500</v>
      </c>
    </row>
    <row r="3814" customFormat="false" ht="13.8" hidden="false" customHeight="false" outlineLevel="0" collapsed="false">
      <c r="A3814" s="1" t="s">
        <v>3934</v>
      </c>
      <c r="B3814" s="2" t="s">
        <v>3856</v>
      </c>
      <c r="C3814" s="1" t="s">
        <v>3935</v>
      </c>
      <c r="D3814" s="1" t="s">
        <v>14</v>
      </c>
      <c r="E3814" s="1" t="s">
        <v>3936</v>
      </c>
      <c r="F3814" s="1" t="s">
        <v>3937</v>
      </c>
      <c r="G3814" s="1" t="s">
        <v>3938</v>
      </c>
      <c r="H3814" s="2" t="s">
        <v>3953</v>
      </c>
      <c r="I3814" s="1" t="s">
        <v>3954</v>
      </c>
      <c r="J3814" s="1" t="s">
        <v>52</v>
      </c>
      <c r="K3814" s="1" t="s">
        <v>3953</v>
      </c>
      <c r="L3814" s="36" t="s">
        <v>46</v>
      </c>
      <c r="M3814" s="1" t="s">
        <v>46</v>
      </c>
      <c r="N3814" s="1" t="s">
        <v>325</v>
      </c>
      <c r="O3814" s="1" t="s">
        <v>3866</v>
      </c>
      <c r="P3814" s="1" t="s">
        <v>326</v>
      </c>
      <c r="Q3814" s="1" t="s">
        <v>46</v>
      </c>
      <c r="R3814" s="1" t="s">
        <v>72</v>
      </c>
      <c r="S3814" s="1" t="s">
        <v>46</v>
      </c>
      <c r="T3814" s="1" t="s">
        <v>46</v>
      </c>
      <c r="U3814" s="1" t="s">
        <v>46</v>
      </c>
      <c r="V3814" s="1" t="n">
        <v>1</v>
      </c>
      <c r="W3814" s="1" t="s">
        <v>46</v>
      </c>
      <c r="X3814" s="1" t="s">
        <v>47</v>
      </c>
      <c r="Y3814" s="1" t="n">
        <v>5500</v>
      </c>
    </row>
    <row r="3815" customFormat="false" ht="13.8" hidden="false" customHeight="false" outlineLevel="0" collapsed="false">
      <c r="A3815" s="1" t="s">
        <v>3934</v>
      </c>
      <c r="B3815" s="2" t="s">
        <v>3856</v>
      </c>
      <c r="C3815" s="1" t="s">
        <v>3935</v>
      </c>
      <c r="D3815" s="1" t="s">
        <v>14</v>
      </c>
      <c r="E3815" s="1" t="s">
        <v>3936</v>
      </c>
      <c r="F3815" s="1" t="s">
        <v>3937</v>
      </c>
      <c r="G3815" s="1" t="s">
        <v>3938</v>
      </c>
      <c r="H3815" s="2" t="s">
        <v>3955</v>
      </c>
      <c r="I3815" s="1" t="s">
        <v>3956</v>
      </c>
      <c r="J3815" s="1" t="s">
        <v>38</v>
      </c>
      <c r="K3815" s="1" t="s">
        <v>3955</v>
      </c>
      <c r="L3815" s="36" t="s">
        <v>46</v>
      </c>
      <c r="M3815" s="1" t="s">
        <v>46</v>
      </c>
      <c r="N3815" s="1" t="s">
        <v>325</v>
      </c>
      <c r="O3815" s="1" t="s">
        <v>161</v>
      </c>
      <c r="P3815" s="1" t="s">
        <v>326</v>
      </c>
      <c r="Q3815" s="1" t="s">
        <v>46</v>
      </c>
      <c r="R3815" s="1" t="s">
        <v>72</v>
      </c>
      <c r="S3815" s="1" t="s">
        <v>46</v>
      </c>
      <c r="T3815" s="1" t="s">
        <v>46</v>
      </c>
      <c r="U3815" s="1" t="s">
        <v>46</v>
      </c>
      <c r="V3815" s="1" t="n">
        <v>1</v>
      </c>
      <c r="W3815" s="1" t="s">
        <v>46</v>
      </c>
      <c r="X3815" s="1" t="s">
        <v>47</v>
      </c>
      <c r="Y3815" s="1" t="n">
        <v>5500</v>
      </c>
    </row>
    <row r="3816" customFormat="false" ht="13.8" hidden="false" customHeight="false" outlineLevel="0" collapsed="false">
      <c r="A3816" s="1" t="s">
        <v>3934</v>
      </c>
      <c r="B3816" s="2" t="s">
        <v>3856</v>
      </c>
      <c r="C3816" s="1" t="s">
        <v>3935</v>
      </c>
      <c r="D3816" s="1" t="s">
        <v>14</v>
      </c>
      <c r="E3816" s="1" t="s">
        <v>3936</v>
      </c>
      <c r="F3816" s="1" t="s">
        <v>3937</v>
      </c>
      <c r="G3816" s="1" t="s">
        <v>3938</v>
      </c>
      <c r="H3816" s="2" t="s">
        <v>3957</v>
      </c>
      <c r="I3816" s="1" t="s">
        <v>3958</v>
      </c>
      <c r="J3816" s="1" t="s">
        <v>38</v>
      </c>
      <c r="K3816" s="1" t="s">
        <v>3957</v>
      </c>
      <c r="L3816" s="36" t="s">
        <v>46</v>
      </c>
      <c r="M3816" s="1" t="s">
        <v>46</v>
      </c>
      <c r="N3816" s="1" t="s">
        <v>325</v>
      </c>
      <c r="O3816" s="1" t="s">
        <v>161</v>
      </c>
      <c r="P3816" s="1" t="s">
        <v>326</v>
      </c>
      <c r="Q3816" s="1" t="s">
        <v>46</v>
      </c>
      <c r="R3816" s="1" t="s">
        <v>72</v>
      </c>
      <c r="S3816" s="1" t="s">
        <v>46</v>
      </c>
      <c r="T3816" s="1" t="s">
        <v>46</v>
      </c>
      <c r="U3816" s="1" t="s">
        <v>46</v>
      </c>
      <c r="V3816" s="1" t="n">
        <v>1</v>
      </c>
      <c r="W3816" s="1" t="s">
        <v>46</v>
      </c>
      <c r="X3816" s="1" t="s">
        <v>47</v>
      </c>
      <c r="Y3816" s="1" t="n">
        <v>5500</v>
      </c>
    </row>
    <row r="3817" customFormat="false" ht="13.8" hidden="false" customHeight="false" outlineLevel="0" collapsed="false">
      <c r="A3817" s="1" t="s">
        <v>3934</v>
      </c>
      <c r="B3817" s="2" t="s">
        <v>3856</v>
      </c>
      <c r="C3817" s="1" t="s">
        <v>3935</v>
      </c>
      <c r="D3817" s="1" t="s">
        <v>14</v>
      </c>
      <c r="E3817" s="1" t="s">
        <v>3936</v>
      </c>
      <c r="F3817" s="1" t="s">
        <v>3937</v>
      </c>
      <c r="G3817" s="1" t="s">
        <v>3938</v>
      </c>
      <c r="H3817" s="2" t="s">
        <v>64</v>
      </c>
      <c r="I3817" s="1" t="s">
        <v>3959</v>
      </c>
      <c r="J3817" s="1" t="s">
        <v>52</v>
      </c>
      <c r="K3817" s="1" t="s">
        <v>64</v>
      </c>
      <c r="L3817" s="36" t="s">
        <v>46</v>
      </c>
      <c r="M3817" s="1" t="s">
        <v>46</v>
      </c>
      <c r="N3817" s="1" t="s">
        <v>65</v>
      </c>
      <c r="O3817" s="1" t="s">
        <v>280</v>
      </c>
      <c r="P3817" s="1" t="s">
        <v>46</v>
      </c>
      <c r="Q3817" s="1" t="s">
        <v>46</v>
      </c>
      <c r="R3817" s="1" t="s">
        <v>46</v>
      </c>
      <c r="S3817" s="1" t="s">
        <v>46</v>
      </c>
      <c r="T3817" s="1" t="s">
        <v>46</v>
      </c>
      <c r="U3817" s="1" t="s">
        <v>46</v>
      </c>
      <c r="V3817" s="1" t="n">
        <v>1</v>
      </c>
      <c r="W3817" s="1" t="s">
        <v>46</v>
      </c>
      <c r="X3817" s="1" t="s">
        <v>46</v>
      </c>
      <c r="Y3817" s="1" t="n">
        <v>5500</v>
      </c>
    </row>
    <row r="3818" customFormat="false" ht="13.8" hidden="false" customHeight="false" outlineLevel="0" collapsed="false">
      <c r="A3818" s="1" t="s">
        <v>3934</v>
      </c>
      <c r="B3818" s="2" t="s">
        <v>3856</v>
      </c>
      <c r="C3818" s="1" t="s">
        <v>3935</v>
      </c>
      <c r="D3818" s="1" t="s">
        <v>14</v>
      </c>
      <c r="E3818" s="1" t="s">
        <v>3936</v>
      </c>
      <c r="F3818" s="1" t="s">
        <v>3937</v>
      </c>
      <c r="G3818" s="1" t="s">
        <v>3938</v>
      </c>
      <c r="H3818" s="2" t="s">
        <v>66</v>
      </c>
      <c r="I3818" s="1" t="s">
        <v>3960</v>
      </c>
      <c r="J3818" s="1" t="s">
        <v>52</v>
      </c>
      <c r="K3818" s="1" t="s">
        <v>66</v>
      </c>
      <c r="L3818" s="36" t="s">
        <v>46</v>
      </c>
      <c r="M3818" s="1" t="s">
        <v>46</v>
      </c>
      <c r="N3818" s="1" t="s">
        <v>65</v>
      </c>
      <c r="O3818" s="1" t="s">
        <v>280</v>
      </c>
      <c r="P3818" s="1" t="s">
        <v>46</v>
      </c>
      <c r="Q3818" s="1" t="s">
        <v>46</v>
      </c>
      <c r="R3818" s="1" t="s">
        <v>46</v>
      </c>
      <c r="S3818" s="1" t="s">
        <v>46</v>
      </c>
      <c r="T3818" s="1" t="s">
        <v>46</v>
      </c>
      <c r="U3818" s="1" t="s">
        <v>46</v>
      </c>
      <c r="V3818" s="1" t="n">
        <v>1</v>
      </c>
      <c r="W3818" s="1" t="s">
        <v>46</v>
      </c>
      <c r="X3818" s="1" t="s">
        <v>46</v>
      </c>
      <c r="Y3818" s="1" t="n">
        <v>5500</v>
      </c>
    </row>
    <row r="3819" customFormat="false" ht="13.8" hidden="false" customHeight="false" outlineLevel="0" collapsed="false">
      <c r="A3819" s="1" t="s">
        <v>3934</v>
      </c>
      <c r="B3819" s="2" t="s">
        <v>3856</v>
      </c>
      <c r="C3819" s="1" t="s">
        <v>3935</v>
      </c>
      <c r="D3819" s="1" t="s">
        <v>14</v>
      </c>
      <c r="E3819" s="1" t="s">
        <v>3936</v>
      </c>
      <c r="F3819" s="1" t="s">
        <v>3937</v>
      </c>
      <c r="G3819" s="1" t="s">
        <v>3938</v>
      </c>
      <c r="H3819" s="2" t="s">
        <v>67</v>
      </c>
      <c r="I3819" s="1" t="s">
        <v>3961</v>
      </c>
      <c r="J3819" s="1" t="s">
        <v>52</v>
      </c>
      <c r="K3819" s="1" t="s">
        <v>67</v>
      </c>
      <c r="L3819" s="36" t="s">
        <v>46</v>
      </c>
      <c r="M3819" s="1" t="s">
        <v>46</v>
      </c>
      <c r="N3819" s="1" t="s">
        <v>65</v>
      </c>
      <c r="O3819" s="1" t="s">
        <v>280</v>
      </c>
      <c r="P3819" s="1" t="s">
        <v>46</v>
      </c>
      <c r="Q3819" s="1" t="s">
        <v>46</v>
      </c>
      <c r="R3819" s="1" t="s">
        <v>46</v>
      </c>
      <c r="S3819" s="1" t="s">
        <v>46</v>
      </c>
      <c r="T3819" s="1" t="s">
        <v>46</v>
      </c>
      <c r="U3819" s="1" t="s">
        <v>46</v>
      </c>
      <c r="V3819" s="1" t="n">
        <v>1</v>
      </c>
      <c r="W3819" s="1" t="s">
        <v>46</v>
      </c>
      <c r="X3819" s="1" t="s">
        <v>46</v>
      </c>
      <c r="Y3819" s="1" t="n">
        <v>5500</v>
      </c>
    </row>
    <row r="3820" customFormat="false" ht="13.8" hidden="false" customHeight="false" outlineLevel="0" collapsed="false">
      <c r="A3820" s="1" t="s">
        <v>3934</v>
      </c>
      <c r="B3820" s="2" t="s">
        <v>3856</v>
      </c>
      <c r="C3820" s="1" t="s">
        <v>3935</v>
      </c>
      <c r="D3820" s="1" t="s">
        <v>14</v>
      </c>
      <c r="E3820" s="1" t="s">
        <v>3936</v>
      </c>
      <c r="F3820" s="1" t="s">
        <v>3937</v>
      </c>
      <c r="G3820" s="1" t="s">
        <v>3938</v>
      </c>
      <c r="H3820" s="2" t="s">
        <v>3962</v>
      </c>
      <c r="I3820" s="1" t="s">
        <v>3963</v>
      </c>
      <c r="J3820" s="1" t="s">
        <v>52</v>
      </c>
      <c r="K3820" s="1" t="s">
        <v>3962</v>
      </c>
      <c r="L3820" s="36" t="s">
        <v>46</v>
      </c>
      <c r="M3820" s="1" t="s">
        <v>46</v>
      </c>
      <c r="N3820" s="1" t="s">
        <v>78</v>
      </c>
      <c r="O3820" s="1" t="s">
        <v>78</v>
      </c>
      <c r="P3820" s="1" t="s">
        <v>46</v>
      </c>
      <c r="Q3820" s="1" t="s">
        <v>46</v>
      </c>
      <c r="R3820" s="1" t="s">
        <v>46</v>
      </c>
      <c r="S3820" s="1" t="s">
        <v>46</v>
      </c>
      <c r="T3820" s="1" t="s">
        <v>46</v>
      </c>
      <c r="U3820" s="1" t="s">
        <v>46</v>
      </c>
      <c r="V3820" s="1" t="n">
        <v>1</v>
      </c>
      <c r="W3820" s="1" t="s">
        <v>46</v>
      </c>
      <c r="X3820" s="1" t="s">
        <v>2740</v>
      </c>
      <c r="Y3820" s="1" t="n">
        <v>5500</v>
      </c>
    </row>
    <row r="3821" customFormat="false" ht="13.8" hidden="false" customHeight="false" outlineLevel="0" collapsed="false">
      <c r="A3821" s="1" t="s">
        <v>3934</v>
      </c>
      <c r="B3821" s="2" t="s">
        <v>3856</v>
      </c>
      <c r="C3821" s="1" t="s">
        <v>3935</v>
      </c>
      <c r="D3821" s="1" t="s">
        <v>14</v>
      </c>
      <c r="E3821" s="1" t="s">
        <v>3936</v>
      </c>
      <c r="F3821" s="1" t="s">
        <v>3937</v>
      </c>
      <c r="G3821" s="1" t="s">
        <v>3938</v>
      </c>
      <c r="H3821" s="2" t="s">
        <v>3964</v>
      </c>
      <c r="I3821" s="1" t="s">
        <v>3965</v>
      </c>
      <c r="J3821" s="1" t="s">
        <v>52</v>
      </c>
      <c r="K3821" s="1" t="s">
        <v>3964</v>
      </c>
      <c r="L3821" s="36" t="s">
        <v>46</v>
      </c>
      <c r="M3821" s="1" t="s">
        <v>46</v>
      </c>
      <c r="N3821" s="1" t="s">
        <v>78</v>
      </c>
      <c r="O3821" s="1" t="s">
        <v>78</v>
      </c>
      <c r="P3821" s="1" t="s">
        <v>46</v>
      </c>
      <c r="Q3821" s="1" t="s">
        <v>46</v>
      </c>
      <c r="R3821" s="1" t="s">
        <v>46</v>
      </c>
      <c r="S3821" s="1" t="s">
        <v>46</v>
      </c>
      <c r="T3821" s="1" t="s">
        <v>46</v>
      </c>
      <c r="U3821" s="1" t="s">
        <v>46</v>
      </c>
      <c r="V3821" s="1" t="n">
        <v>1</v>
      </c>
      <c r="W3821" s="1" t="s">
        <v>46</v>
      </c>
      <c r="X3821" s="1" t="s">
        <v>2740</v>
      </c>
      <c r="Y3821" s="1" t="n">
        <v>5500</v>
      </c>
    </row>
    <row r="3822" customFormat="false" ht="13.8" hidden="false" customHeight="false" outlineLevel="0" collapsed="false">
      <c r="A3822" s="1" t="s">
        <v>3934</v>
      </c>
      <c r="B3822" s="2" t="s">
        <v>3856</v>
      </c>
      <c r="C3822" s="1" t="s">
        <v>3935</v>
      </c>
      <c r="D3822" s="1" t="s">
        <v>14</v>
      </c>
      <c r="E3822" s="1" t="s">
        <v>3936</v>
      </c>
      <c r="F3822" s="1" t="s">
        <v>3937</v>
      </c>
      <c r="G3822" s="1" t="s">
        <v>3938</v>
      </c>
      <c r="H3822" s="2" t="s">
        <v>3966</v>
      </c>
      <c r="I3822" s="1" t="s">
        <v>3967</v>
      </c>
      <c r="J3822" s="1" t="s">
        <v>52</v>
      </c>
      <c r="K3822" s="1" t="s">
        <v>3966</v>
      </c>
      <c r="L3822" s="36" t="s">
        <v>46</v>
      </c>
      <c r="M3822" s="1" t="s">
        <v>46</v>
      </c>
      <c r="N3822" s="1" t="s">
        <v>78</v>
      </c>
      <c r="O3822" s="1" t="s">
        <v>78</v>
      </c>
      <c r="P3822" s="1" t="s">
        <v>46</v>
      </c>
      <c r="Q3822" s="1" t="s">
        <v>46</v>
      </c>
      <c r="R3822" s="1" t="s">
        <v>46</v>
      </c>
      <c r="S3822" s="1" t="s">
        <v>46</v>
      </c>
      <c r="T3822" s="1" t="s">
        <v>46</v>
      </c>
      <c r="U3822" s="1" t="s">
        <v>46</v>
      </c>
      <c r="V3822" s="1" t="n">
        <v>1</v>
      </c>
      <c r="W3822" s="1" t="s">
        <v>46</v>
      </c>
      <c r="X3822" s="1" t="s">
        <v>2740</v>
      </c>
      <c r="Y3822" s="1" t="n">
        <v>5500</v>
      </c>
    </row>
    <row r="3823" customFormat="false" ht="13.8" hidden="false" customHeight="false" outlineLevel="0" collapsed="false">
      <c r="A3823" s="1" t="s">
        <v>3934</v>
      </c>
      <c r="B3823" s="2" t="s">
        <v>3856</v>
      </c>
      <c r="C3823" s="1" t="s">
        <v>3935</v>
      </c>
      <c r="D3823" s="1" t="s">
        <v>14</v>
      </c>
      <c r="E3823" s="1" t="s">
        <v>3936</v>
      </c>
      <c r="F3823" s="1" t="s">
        <v>3937</v>
      </c>
      <c r="G3823" s="1" t="s">
        <v>3938</v>
      </c>
      <c r="H3823" s="2" t="s">
        <v>463</v>
      </c>
      <c r="I3823" s="1" t="s">
        <v>3968</v>
      </c>
      <c r="J3823" s="1" t="s">
        <v>52</v>
      </c>
      <c r="K3823" s="1" t="s">
        <v>463</v>
      </c>
      <c r="L3823" s="36" t="s">
        <v>46</v>
      </c>
      <c r="M3823" s="1" t="s">
        <v>46</v>
      </c>
      <c r="N3823" s="1" t="s">
        <v>3969</v>
      </c>
      <c r="O3823" s="1" t="s">
        <v>3969</v>
      </c>
      <c r="P3823" s="1" t="s">
        <v>46</v>
      </c>
      <c r="Q3823" s="1" t="s">
        <v>46</v>
      </c>
      <c r="R3823" s="1" t="s">
        <v>46</v>
      </c>
      <c r="S3823" s="1" t="s">
        <v>46</v>
      </c>
      <c r="T3823" s="1" t="s">
        <v>46</v>
      </c>
      <c r="U3823" s="1" t="s">
        <v>46</v>
      </c>
      <c r="V3823" s="1" t="n">
        <v>1</v>
      </c>
      <c r="W3823" s="1" t="s">
        <v>46</v>
      </c>
      <c r="X3823" s="1" t="s">
        <v>47</v>
      </c>
      <c r="Y3823" s="1" t="n">
        <v>5500</v>
      </c>
    </row>
    <row r="3824" customFormat="false" ht="13.8" hidden="false" customHeight="false" outlineLevel="0" collapsed="false">
      <c r="A3824" s="1" t="s">
        <v>3934</v>
      </c>
      <c r="B3824" s="2" t="s">
        <v>3856</v>
      </c>
      <c r="C3824" s="1" t="s">
        <v>3935</v>
      </c>
      <c r="D3824" s="1" t="s">
        <v>14</v>
      </c>
      <c r="E3824" s="1" t="s">
        <v>3936</v>
      </c>
      <c r="F3824" s="1" t="s">
        <v>3937</v>
      </c>
      <c r="G3824" s="1" t="s">
        <v>3938</v>
      </c>
      <c r="H3824" s="2" t="s">
        <v>468</v>
      </c>
      <c r="I3824" s="1" t="s">
        <v>3970</v>
      </c>
      <c r="J3824" s="1" t="s">
        <v>52</v>
      </c>
      <c r="K3824" s="1" t="s">
        <v>468</v>
      </c>
      <c r="L3824" s="36" t="s">
        <v>46</v>
      </c>
      <c r="M3824" s="1" t="s">
        <v>46</v>
      </c>
      <c r="N3824" s="1" t="s">
        <v>3969</v>
      </c>
      <c r="O3824" s="1" t="s">
        <v>3969</v>
      </c>
      <c r="P3824" s="1" t="s">
        <v>46</v>
      </c>
      <c r="Q3824" s="1" t="s">
        <v>46</v>
      </c>
      <c r="R3824" s="1" t="s">
        <v>46</v>
      </c>
      <c r="S3824" s="1" t="s">
        <v>46</v>
      </c>
      <c r="T3824" s="1" t="s">
        <v>46</v>
      </c>
      <c r="U3824" s="1" t="s">
        <v>46</v>
      </c>
      <c r="V3824" s="1" t="n">
        <v>1</v>
      </c>
      <c r="W3824" s="1" t="s">
        <v>46</v>
      </c>
      <c r="X3824" s="1" t="s">
        <v>47</v>
      </c>
      <c r="Y3824" s="1" t="n">
        <v>5500</v>
      </c>
    </row>
    <row r="3825" customFormat="false" ht="13.8" hidden="false" customHeight="false" outlineLevel="0" collapsed="false">
      <c r="A3825" s="1" t="s">
        <v>3934</v>
      </c>
      <c r="B3825" s="2" t="s">
        <v>3856</v>
      </c>
      <c r="C3825" s="1" t="s">
        <v>3935</v>
      </c>
      <c r="D3825" s="1" t="s">
        <v>14</v>
      </c>
      <c r="E3825" s="1" t="s">
        <v>3936</v>
      </c>
      <c r="F3825" s="1" t="s">
        <v>3937</v>
      </c>
      <c r="G3825" s="1" t="s">
        <v>3938</v>
      </c>
      <c r="H3825" s="2" t="s">
        <v>472</v>
      </c>
      <c r="I3825" s="1" t="s">
        <v>3971</v>
      </c>
      <c r="J3825" s="1" t="s">
        <v>52</v>
      </c>
      <c r="K3825" s="1" t="s">
        <v>472</v>
      </c>
      <c r="L3825" s="36" t="s">
        <v>46</v>
      </c>
      <c r="M3825" s="1" t="s">
        <v>46</v>
      </c>
      <c r="N3825" s="1" t="s">
        <v>3969</v>
      </c>
      <c r="O3825" s="1" t="s">
        <v>3969</v>
      </c>
      <c r="P3825" s="1" t="s">
        <v>46</v>
      </c>
      <c r="Q3825" s="1" t="s">
        <v>46</v>
      </c>
      <c r="R3825" s="1" t="s">
        <v>46</v>
      </c>
      <c r="S3825" s="1" t="s">
        <v>46</v>
      </c>
      <c r="T3825" s="1" t="s">
        <v>46</v>
      </c>
      <c r="U3825" s="1" t="s">
        <v>46</v>
      </c>
      <c r="V3825" s="1" t="n">
        <v>1</v>
      </c>
      <c r="W3825" s="1" t="s">
        <v>46</v>
      </c>
      <c r="X3825" s="1" t="s">
        <v>47</v>
      </c>
      <c r="Y3825" s="1" t="n">
        <v>5500</v>
      </c>
    </row>
    <row r="3826" customFormat="false" ht="13.8" hidden="false" customHeight="false" outlineLevel="0" collapsed="false">
      <c r="A3826" s="1" t="s">
        <v>3934</v>
      </c>
      <c r="B3826" s="2" t="s">
        <v>3856</v>
      </c>
      <c r="C3826" s="1" t="s">
        <v>3935</v>
      </c>
      <c r="D3826" s="1" t="s">
        <v>14</v>
      </c>
      <c r="E3826" s="1" t="s">
        <v>3972</v>
      </c>
      <c r="F3826" s="1" t="s">
        <v>3937</v>
      </c>
      <c r="G3826" s="1" t="s">
        <v>3973</v>
      </c>
      <c r="H3826" s="2" t="s">
        <v>3974</v>
      </c>
      <c r="I3826" s="1" t="s">
        <v>3975</v>
      </c>
      <c r="J3826" s="1" t="s">
        <v>38</v>
      </c>
      <c r="K3826" s="1" t="s">
        <v>3974</v>
      </c>
      <c r="L3826" s="36" t="s">
        <v>46</v>
      </c>
      <c r="M3826" s="1" t="s">
        <v>46</v>
      </c>
      <c r="N3826" s="1" t="s">
        <v>325</v>
      </c>
      <c r="O3826" s="1" t="s">
        <v>161</v>
      </c>
      <c r="P3826" s="1" t="s">
        <v>326</v>
      </c>
      <c r="Q3826" s="1" t="s">
        <v>46</v>
      </c>
      <c r="R3826" s="1" t="s">
        <v>72</v>
      </c>
      <c r="S3826" s="1" t="s">
        <v>46</v>
      </c>
      <c r="T3826" s="1" t="s">
        <v>46</v>
      </c>
      <c r="U3826" s="1" t="s">
        <v>46</v>
      </c>
      <c r="V3826" s="1" t="n">
        <v>1</v>
      </c>
      <c r="W3826" s="1" t="s">
        <v>46</v>
      </c>
      <c r="X3826" s="1" t="s">
        <v>47</v>
      </c>
      <c r="Y3826" s="1" t="n">
        <v>5500</v>
      </c>
    </row>
    <row r="3827" customFormat="false" ht="13.8" hidden="false" customHeight="false" outlineLevel="0" collapsed="false">
      <c r="A3827" s="1" t="s">
        <v>3934</v>
      </c>
      <c r="B3827" s="2" t="s">
        <v>3856</v>
      </c>
      <c r="C3827" s="1" t="s">
        <v>3935</v>
      </c>
      <c r="D3827" s="1" t="s">
        <v>14</v>
      </c>
      <c r="E3827" s="1" t="s">
        <v>3972</v>
      </c>
      <c r="F3827" s="1" t="s">
        <v>3937</v>
      </c>
      <c r="G3827" s="1" t="s">
        <v>3973</v>
      </c>
      <c r="H3827" s="2" t="s">
        <v>3976</v>
      </c>
      <c r="I3827" s="1" t="s">
        <v>3977</v>
      </c>
      <c r="J3827" s="1" t="s">
        <v>52</v>
      </c>
      <c r="K3827" s="1" t="s">
        <v>3976</v>
      </c>
      <c r="L3827" s="36" t="s">
        <v>46</v>
      </c>
      <c r="M3827" s="1" t="s">
        <v>46</v>
      </c>
      <c r="N3827" s="1" t="s">
        <v>325</v>
      </c>
      <c r="O3827" s="1" t="s">
        <v>3866</v>
      </c>
      <c r="P3827" s="1" t="s">
        <v>326</v>
      </c>
      <c r="Q3827" s="1" t="s">
        <v>46</v>
      </c>
      <c r="R3827" s="1" t="s">
        <v>72</v>
      </c>
      <c r="S3827" s="1" t="s">
        <v>46</v>
      </c>
      <c r="T3827" s="1" t="s">
        <v>46</v>
      </c>
      <c r="U3827" s="1" t="s">
        <v>46</v>
      </c>
      <c r="V3827" s="1" t="n">
        <v>1</v>
      </c>
      <c r="W3827" s="1" t="s">
        <v>46</v>
      </c>
      <c r="X3827" s="1" t="s">
        <v>47</v>
      </c>
      <c r="Y3827" s="1" t="n">
        <v>5500</v>
      </c>
    </row>
    <row r="3828" customFormat="false" ht="13.8" hidden="false" customHeight="false" outlineLevel="0" collapsed="false">
      <c r="A3828" s="1" t="s">
        <v>3934</v>
      </c>
      <c r="B3828" s="2" t="s">
        <v>3856</v>
      </c>
      <c r="C3828" s="1" t="s">
        <v>3935</v>
      </c>
      <c r="D3828" s="1" t="s">
        <v>14</v>
      </c>
      <c r="E3828" s="1" t="s">
        <v>3972</v>
      </c>
      <c r="F3828" s="1" t="s">
        <v>3937</v>
      </c>
      <c r="G3828" s="1" t="s">
        <v>3973</v>
      </c>
      <c r="H3828" s="2" t="s">
        <v>3978</v>
      </c>
      <c r="I3828" s="1" t="s">
        <v>3979</v>
      </c>
      <c r="J3828" s="1" t="s">
        <v>52</v>
      </c>
      <c r="K3828" s="1" t="s">
        <v>3978</v>
      </c>
      <c r="L3828" s="36" t="s">
        <v>46</v>
      </c>
      <c r="M3828" s="1" t="s">
        <v>46</v>
      </c>
      <c r="N3828" s="1" t="s">
        <v>325</v>
      </c>
      <c r="O3828" s="1" t="s">
        <v>3866</v>
      </c>
      <c r="P3828" s="1" t="s">
        <v>326</v>
      </c>
      <c r="Q3828" s="1" t="s">
        <v>46</v>
      </c>
      <c r="R3828" s="1" t="s">
        <v>72</v>
      </c>
      <c r="S3828" s="1" t="s">
        <v>46</v>
      </c>
      <c r="T3828" s="1" t="s">
        <v>46</v>
      </c>
      <c r="U3828" s="1" t="s">
        <v>46</v>
      </c>
      <c r="V3828" s="1" t="n">
        <v>1</v>
      </c>
      <c r="W3828" s="1" t="s">
        <v>46</v>
      </c>
      <c r="X3828" s="1" t="s">
        <v>47</v>
      </c>
      <c r="Y3828" s="1" t="n">
        <v>5500</v>
      </c>
    </row>
    <row r="3829" customFormat="false" ht="13.8" hidden="false" customHeight="false" outlineLevel="0" collapsed="false">
      <c r="A3829" s="1" t="s">
        <v>3934</v>
      </c>
      <c r="B3829" s="2" t="s">
        <v>3856</v>
      </c>
      <c r="C3829" s="1" t="s">
        <v>3935</v>
      </c>
      <c r="D3829" s="1" t="s">
        <v>14</v>
      </c>
      <c r="E3829" s="1" t="s">
        <v>3972</v>
      </c>
      <c r="F3829" s="1" t="s">
        <v>3937</v>
      </c>
      <c r="G3829" s="1" t="s">
        <v>3973</v>
      </c>
      <c r="H3829" s="2" t="s">
        <v>3980</v>
      </c>
      <c r="I3829" s="1" t="s">
        <v>3981</v>
      </c>
      <c r="J3829" s="1" t="s">
        <v>38</v>
      </c>
      <c r="K3829" s="1" t="s">
        <v>3980</v>
      </c>
      <c r="L3829" s="36" t="s">
        <v>46</v>
      </c>
      <c r="M3829" s="1" t="s">
        <v>46</v>
      </c>
      <c r="N3829" s="1" t="s">
        <v>325</v>
      </c>
      <c r="O3829" s="1" t="s">
        <v>161</v>
      </c>
      <c r="P3829" s="1" t="s">
        <v>326</v>
      </c>
      <c r="Q3829" s="1" t="s">
        <v>46</v>
      </c>
      <c r="R3829" s="1" t="s">
        <v>72</v>
      </c>
      <c r="S3829" s="1" t="s">
        <v>46</v>
      </c>
      <c r="T3829" s="1" t="s">
        <v>46</v>
      </c>
      <c r="U3829" s="1" t="s">
        <v>46</v>
      </c>
      <c r="V3829" s="1" t="n">
        <v>1</v>
      </c>
      <c r="W3829" s="1" t="s">
        <v>46</v>
      </c>
      <c r="X3829" s="1" t="s">
        <v>47</v>
      </c>
      <c r="Y3829" s="1" t="n">
        <v>5500</v>
      </c>
    </row>
    <row r="3830" customFormat="false" ht="13.8" hidden="false" customHeight="false" outlineLevel="0" collapsed="false">
      <c r="A3830" s="1" t="s">
        <v>3934</v>
      </c>
      <c r="B3830" s="2" t="s">
        <v>3856</v>
      </c>
      <c r="C3830" s="1" t="s">
        <v>3935</v>
      </c>
      <c r="D3830" s="1" t="s">
        <v>14</v>
      </c>
      <c r="E3830" s="1" t="s">
        <v>3972</v>
      </c>
      <c r="F3830" s="1" t="s">
        <v>3937</v>
      </c>
      <c r="G3830" s="1" t="s">
        <v>3973</v>
      </c>
      <c r="H3830" s="2" t="s">
        <v>3982</v>
      </c>
      <c r="I3830" s="1" t="s">
        <v>3983</v>
      </c>
      <c r="J3830" s="1" t="s">
        <v>52</v>
      </c>
      <c r="K3830" s="1" t="s">
        <v>3982</v>
      </c>
      <c r="L3830" s="36" t="s">
        <v>46</v>
      </c>
      <c r="M3830" s="1" t="s">
        <v>46</v>
      </c>
      <c r="N3830" s="1" t="s">
        <v>325</v>
      </c>
      <c r="O3830" s="1" t="s">
        <v>3866</v>
      </c>
      <c r="P3830" s="1" t="s">
        <v>326</v>
      </c>
      <c r="Q3830" s="1" t="s">
        <v>46</v>
      </c>
      <c r="R3830" s="1" t="s">
        <v>72</v>
      </c>
      <c r="S3830" s="1" t="s">
        <v>46</v>
      </c>
      <c r="T3830" s="1" t="s">
        <v>46</v>
      </c>
      <c r="U3830" s="1" t="s">
        <v>46</v>
      </c>
      <c r="V3830" s="1" t="n">
        <v>1</v>
      </c>
      <c r="W3830" s="1" t="s">
        <v>46</v>
      </c>
      <c r="X3830" s="1" t="s">
        <v>47</v>
      </c>
      <c r="Y3830" s="1" t="n">
        <v>5500</v>
      </c>
    </row>
    <row r="3831" customFormat="false" ht="13.8" hidden="false" customHeight="false" outlineLevel="0" collapsed="false">
      <c r="A3831" s="1" t="s">
        <v>3934</v>
      </c>
      <c r="B3831" s="2" t="s">
        <v>3856</v>
      </c>
      <c r="C3831" s="1" t="s">
        <v>3935</v>
      </c>
      <c r="D3831" s="1" t="s">
        <v>14</v>
      </c>
      <c r="E3831" s="1" t="s">
        <v>3972</v>
      </c>
      <c r="F3831" s="1" t="s">
        <v>3937</v>
      </c>
      <c r="G3831" s="1" t="s">
        <v>3973</v>
      </c>
      <c r="H3831" s="2" t="s">
        <v>3984</v>
      </c>
      <c r="I3831" s="1" t="s">
        <v>3985</v>
      </c>
      <c r="J3831" s="1" t="s">
        <v>38</v>
      </c>
      <c r="K3831" s="1" t="s">
        <v>3984</v>
      </c>
      <c r="L3831" s="36" t="s">
        <v>46</v>
      </c>
      <c r="M3831" s="1" t="s">
        <v>46</v>
      </c>
      <c r="N3831" s="1" t="s">
        <v>325</v>
      </c>
      <c r="O3831" s="1" t="s">
        <v>161</v>
      </c>
      <c r="P3831" s="1" t="s">
        <v>326</v>
      </c>
      <c r="Q3831" s="1" t="s">
        <v>46</v>
      </c>
      <c r="R3831" s="1" t="s">
        <v>72</v>
      </c>
      <c r="S3831" s="1" t="s">
        <v>46</v>
      </c>
      <c r="T3831" s="1" t="s">
        <v>46</v>
      </c>
      <c r="U3831" s="1" t="s">
        <v>46</v>
      </c>
      <c r="V3831" s="1" t="n">
        <v>1</v>
      </c>
      <c r="W3831" s="1" t="s">
        <v>46</v>
      </c>
      <c r="X3831" s="1" t="s">
        <v>47</v>
      </c>
      <c r="Y3831" s="1" t="n">
        <v>5500</v>
      </c>
    </row>
    <row r="3832" customFormat="false" ht="13.8" hidden="false" customHeight="false" outlineLevel="0" collapsed="false">
      <c r="A3832" s="1" t="s">
        <v>3934</v>
      </c>
      <c r="B3832" s="2" t="s">
        <v>3856</v>
      </c>
      <c r="C3832" s="1" t="s">
        <v>3935</v>
      </c>
      <c r="D3832" s="1" t="s">
        <v>14</v>
      </c>
      <c r="E3832" s="1" t="s">
        <v>3972</v>
      </c>
      <c r="F3832" s="1" t="s">
        <v>3937</v>
      </c>
      <c r="G3832" s="1" t="s">
        <v>3973</v>
      </c>
      <c r="H3832" s="2" t="s">
        <v>3986</v>
      </c>
      <c r="I3832" s="1" t="s">
        <v>3987</v>
      </c>
      <c r="J3832" s="1" t="s">
        <v>38</v>
      </c>
      <c r="K3832" s="1" t="s">
        <v>3986</v>
      </c>
      <c r="L3832" s="36" t="s">
        <v>46</v>
      </c>
      <c r="M3832" s="1" t="s">
        <v>46</v>
      </c>
      <c r="N3832" s="1" t="s">
        <v>325</v>
      </c>
      <c r="O3832" s="1" t="s">
        <v>161</v>
      </c>
      <c r="P3832" s="1" t="s">
        <v>326</v>
      </c>
      <c r="Q3832" s="1" t="s">
        <v>46</v>
      </c>
      <c r="R3832" s="1" t="s">
        <v>72</v>
      </c>
      <c r="S3832" s="1" t="s">
        <v>46</v>
      </c>
      <c r="T3832" s="1" t="s">
        <v>46</v>
      </c>
      <c r="U3832" s="1" t="s">
        <v>46</v>
      </c>
      <c r="V3832" s="1" t="n">
        <v>1</v>
      </c>
      <c r="W3832" s="1" t="s">
        <v>46</v>
      </c>
      <c r="X3832" s="1" t="s">
        <v>47</v>
      </c>
      <c r="Y3832" s="1" t="n">
        <v>5500</v>
      </c>
    </row>
    <row r="3833" customFormat="false" ht="13.8" hidden="false" customHeight="false" outlineLevel="0" collapsed="false">
      <c r="A3833" s="1" t="s">
        <v>3934</v>
      </c>
      <c r="B3833" s="2" t="s">
        <v>3856</v>
      </c>
      <c r="C3833" s="1" t="s">
        <v>3935</v>
      </c>
      <c r="D3833" s="1" t="s">
        <v>14</v>
      </c>
      <c r="E3833" s="1" t="s">
        <v>3972</v>
      </c>
      <c r="F3833" s="1" t="s">
        <v>3937</v>
      </c>
      <c r="G3833" s="1" t="s">
        <v>3973</v>
      </c>
      <c r="H3833" s="2" t="s">
        <v>3988</v>
      </c>
      <c r="I3833" s="1" t="s">
        <v>3989</v>
      </c>
      <c r="J3833" s="1" t="s">
        <v>52</v>
      </c>
      <c r="K3833" s="1" t="s">
        <v>3988</v>
      </c>
      <c r="L3833" s="36" t="s">
        <v>46</v>
      </c>
      <c r="M3833" s="1" t="s">
        <v>46</v>
      </c>
      <c r="N3833" s="1" t="s">
        <v>325</v>
      </c>
      <c r="O3833" s="1" t="s">
        <v>3866</v>
      </c>
      <c r="P3833" s="1" t="s">
        <v>326</v>
      </c>
      <c r="Q3833" s="1" t="s">
        <v>46</v>
      </c>
      <c r="R3833" s="1" t="s">
        <v>72</v>
      </c>
      <c r="S3833" s="1" t="s">
        <v>46</v>
      </c>
      <c r="T3833" s="1" t="s">
        <v>46</v>
      </c>
      <c r="U3833" s="1" t="s">
        <v>46</v>
      </c>
      <c r="V3833" s="1" t="n">
        <v>1</v>
      </c>
      <c r="W3833" s="1" t="s">
        <v>46</v>
      </c>
      <c r="X3833" s="1" t="s">
        <v>47</v>
      </c>
      <c r="Y3833" s="1" t="n">
        <v>5500</v>
      </c>
    </row>
    <row r="3834" customFormat="false" ht="13.8" hidden="false" customHeight="false" outlineLevel="0" collapsed="false">
      <c r="A3834" s="1" t="s">
        <v>3934</v>
      </c>
      <c r="B3834" s="2" t="s">
        <v>3856</v>
      </c>
      <c r="C3834" s="1" t="s">
        <v>3935</v>
      </c>
      <c r="D3834" s="1" t="s">
        <v>14</v>
      </c>
      <c r="E3834" s="1" t="s">
        <v>3972</v>
      </c>
      <c r="F3834" s="1" t="s">
        <v>3937</v>
      </c>
      <c r="G3834" s="1" t="s">
        <v>3973</v>
      </c>
      <c r="H3834" s="2" t="s">
        <v>3990</v>
      </c>
      <c r="I3834" s="1" t="s">
        <v>3991</v>
      </c>
      <c r="J3834" s="1" t="s">
        <v>38</v>
      </c>
      <c r="K3834" s="1" t="s">
        <v>3990</v>
      </c>
      <c r="L3834" s="36" t="s">
        <v>46</v>
      </c>
      <c r="M3834" s="1" t="s">
        <v>46</v>
      </c>
      <c r="N3834" s="1" t="s">
        <v>325</v>
      </c>
      <c r="O3834" s="1" t="s">
        <v>161</v>
      </c>
      <c r="P3834" s="1" t="s">
        <v>326</v>
      </c>
      <c r="Q3834" s="1" t="s">
        <v>46</v>
      </c>
      <c r="R3834" s="1" t="s">
        <v>72</v>
      </c>
      <c r="S3834" s="1" t="s">
        <v>46</v>
      </c>
      <c r="T3834" s="1" t="s">
        <v>46</v>
      </c>
      <c r="U3834" s="1" t="s">
        <v>46</v>
      </c>
      <c r="V3834" s="1" t="n">
        <v>1</v>
      </c>
      <c r="W3834" s="1" t="s">
        <v>46</v>
      </c>
      <c r="X3834" s="1" t="s">
        <v>47</v>
      </c>
      <c r="Y3834" s="1" t="n">
        <v>5500</v>
      </c>
    </row>
    <row r="3835" customFormat="false" ht="13.8" hidden="false" customHeight="false" outlineLevel="0" collapsed="false">
      <c r="A3835" s="1" t="s">
        <v>3934</v>
      </c>
      <c r="B3835" s="2" t="s">
        <v>3856</v>
      </c>
      <c r="C3835" s="1" t="s">
        <v>3935</v>
      </c>
      <c r="D3835" s="1" t="s">
        <v>14</v>
      </c>
      <c r="E3835" s="1" t="s">
        <v>3972</v>
      </c>
      <c r="F3835" s="1" t="s">
        <v>3937</v>
      </c>
      <c r="G3835" s="1" t="s">
        <v>3973</v>
      </c>
      <c r="H3835" s="2" t="s">
        <v>3992</v>
      </c>
      <c r="I3835" s="1" t="s">
        <v>3993</v>
      </c>
      <c r="J3835" s="1" t="s">
        <v>38</v>
      </c>
      <c r="K3835" s="1" t="s">
        <v>3992</v>
      </c>
      <c r="L3835" s="36" t="s">
        <v>46</v>
      </c>
      <c r="M3835" s="1" t="s">
        <v>46</v>
      </c>
      <c r="N3835" s="1" t="s">
        <v>325</v>
      </c>
      <c r="O3835" s="1" t="s">
        <v>161</v>
      </c>
      <c r="P3835" s="1" t="s">
        <v>326</v>
      </c>
      <c r="Q3835" s="1" t="s">
        <v>46</v>
      </c>
      <c r="R3835" s="1" t="s">
        <v>72</v>
      </c>
      <c r="S3835" s="1" t="s">
        <v>46</v>
      </c>
      <c r="T3835" s="1" t="s">
        <v>46</v>
      </c>
      <c r="U3835" s="1" t="s">
        <v>46</v>
      </c>
      <c r="V3835" s="1" t="n">
        <v>1</v>
      </c>
      <c r="W3835" s="1" t="s">
        <v>46</v>
      </c>
      <c r="X3835" s="1" t="s">
        <v>47</v>
      </c>
      <c r="Y3835" s="1" t="n">
        <v>5500</v>
      </c>
    </row>
    <row r="3836" customFormat="false" ht="13.8" hidden="false" customHeight="false" outlineLevel="0" collapsed="false">
      <c r="A3836" s="1" t="s">
        <v>3934</v>
      </c>
      <c r="B3836" s="2" t="s">
        <v>3856</v>
      </c>
      <c r="C3836" s="1" t="s">
        <v>3935</v>
      </c>
      <c r="D3836" s="1" t="s">
        <v>14</v>
      </c>
      <c r="E3836" s="1" t="s">
        <v>3972</v>
      </c>
      <c r="F3836" s="1" t="s">
        <v>3937</v>
      </c>
      <c r="G3836" s="1" t="s">
        <v>3973</v>
      </c>
      <c r="H3836" s="2" t="s">
        <v>3994</v>
      </c>
      <c r="I3836" s="1" t="s">
        <v>3995</v>
      </c>
      <c r="J3836" s="1" t="s">
        <v>52</v>
      </c>
      <c r="K3836" s="1" t="s">
        <v>3994</v>
      </c>
      <c r="L3836" s="36" t="s">
        <v>46</v>
      </c>
      <c r="M3836" s="1" t="s">
        <v>46</v>
      </c>
      <c r="N3836" s="1" t="s">
        <v>325</v>
      </c>
      <c r="O3836" s="1" t="s">
        <v>3866</v>
      </c>
      <c r="P3836" s="1" t="s">
        <v>326</v>
      </c>
      <c r="Q3836" s="1" t="s">
        <v>46</v>
      </c>
      <c r="R3836" s="1" t="s">
        <v>72</v>
      </c>
      <c r="S3836" s="1" t="s">
        <v>46</v>
      </c>
      <c r="T3836" s="1" t="s">
        <v>46</v>
      </c>
      <c r="U3836" s="1" t="s">
        <v>46</v>
      </c>
      <c r="V3836" s="1" t="n">
        <v>1</v>
      </c>
      <c r="W3836" s="1" t="s">
        <v>46</v>
      </c>
      <c r="X3836" s="1" t="s">
        <v>47</v>
      </c>
      <c r="Y3836" s="1" t="n">
        <v>5500</v>
      </c>
    </row>
    <row r="3837" customFormat="false" ht="13.8" hidden="false" customHeight="false" outlineLevel="0" collapsed="false">
      <c r="A3837" s="1" t="s">
        <v>3934</v>
      </c>
      <c r="B3837" s="2" t="s">
        <v>3856</v>
      </c>
      <c r="C3837" s="1" t="s">
        <v>3935</v>
      </c>
      <c r="D3837" s="1" t="s">
        <v>14</v>
      </c>
      <c r="E3837" s="1" t="s">
        <v>3972</v>
      </c>
      <c r="F3837" s="1" t="s">
        <v>3937</v>
      </c>
      <c r="G3837" s="1" t="s">
        <v>3973</v>
      </c>
      <c r="H3837" s="2" t="s">
        <v>3996</v>
      </c>
      <c r="I3837" s="1" t="s">
        <v>3997</v>
      </c>
      <c r="J3837" s="1" t="s">
        <v>38</v>
      </c>
      <c r="K3837" s="1" t="s">
        <v>3996</v>
      </c>
      <c r="L3837" s="36" t="s">
        <v>46</v>
      </c>
      <c r="M3837" s="1" t="s">
        <v>46</v>
      </c>
      <c r="N3837" s="1" t="s">
        <v>325</v>
      </c>
      <c r="O3837" s="1" t="s">
        <v>161</v>
      </c>
      <c r="P3837" s="1" t="s">
        <v>326</v>
      </c>
      <c r="Q3837" s="1" t="s">
        <v>46</v>
      </c>
      <c r="R3837" s="1" t="s">
        <v>72</v>
      </c>
      <c r="S3837" s="1" t="s">
        <v>46</v>
      </c>
      <c r="T3837" s="1" t="s">
        <v>46</v>
      </c>
      <c r="U3837" s="1" t="s">
        <v>46</v>
      </c>
      <c r="V3837" s="1" t="n">
        <v>1</v>
      </c>
      <c r="W3837" s="1" t="s">
        <v>46</v>
      </c>
      <c r="X3837" s="1" t="s">
        <v>47</v>
      </c>
      <c r="Y3837" s="1" t="n">
        <v>5500</v>
      </c>
    </row>
    <row r="3838" customFormat="false" ht="13.8" hidden="false" customHeight="false" outlineLevel="0" collapsed="false">
      <c r="A3838" s="1" t="s">
        <v>3934</v>
      </c>
      <c r="B3838" s="2" t="s">
        <v>3856</v>
      </c>
      <c r="C3838" s="1" t="s">
        <v>3935</v>
      </c>
      <c r="D3838" s="1" t="s">
        <v>14</v>
      </c>
      <c r="E3838" s="1" t="s">
        <v>3972</v>
      </c>
      <c r="F3838" s="1" t="s">
        <v>3937</v>
      </c>
      <c r="G3838" s="1" t="s">
        <v>3973</v>
      </c>
      <c r="H3838" s="2" t="s">
        <v>3998</v>
      </c>
      <c r="I3838" s="1" t="s">
        <v>3999</v>
      </c>
      <c r="J3838" s="1" t="s">
        <v>52</v>
      </c>
      <c r="K3838" s="1" t="s">
        <v>3998</v>
      </c>
      <c r="L3838" s="36" t="s">
        <v>46</v>
      </c>
      <c r="M3838" s="1" t="s">
        <v>46</v>
      </c>
      <c r="N3838" s="1" t="s">
        <v>325</v>
      </c>
      <c r="O3838" s="1" t="s">
        <v>3866</v>
      </c>
      <c r="P3838" s="1" t="s">
        <v>326</v>
      </c>
      <c r="Q3838" s="1" t="s">
        <v>46</v>
      </c>
      <c r="R3838" s="1" t="s">
        <v>72</v>
      </c>
      <c r="S3838" s="1" t="s">
        <v>46</v>
      </c>
      <c r="T3838" s="1" t="s">
        <v>46</v>
      </c>
      <c r="U3838" s="1" t="s">
        <v>46</v>
      </c>
      <c r="V3838" s="1" t="n">
        <v>1</v>
      </c>
      <c r="W3838" s="1" t="s">
        <v>46</v>
      </c>
      <c r="X3838" s="1" t="s">
        <v>47</v>
      </c>
      <c r="Y3838" s="1" t="n">
        <v>5500</v>
      </c>
    </row>
    <row r="3839" customFormat="false" ht="13.8" hidden="false" customHeight="false" outlineLevel="0" collapsed="false">
      <c r="A3839" s="1" t="s">
        <v>3934</v>
      </c>
      <c r="B3839" s="2" t="s">
        <v>3856</v>
      </c>
      <c r="C3839" s="1" t="s">
        <v>3935</v>
      </c>
      <c r="D3839" s="1" t="s">
        <v>14</v>
      </c>
      <c r="E3839" s="1" t="s">
        <v>3972</v>
      </c>
      <c r="F3839" s="1" t="s">
        <v>3937</v>
      </c>
      <c r="G3839" s="1" t="s">
        <v>3973</v>
      </c>
      <c r="H3839" s="2" t="s">
        <v>4000</v>
      </c>
      <c r="I3839" s="1" t="s">
        <v>4001</v>
      </c>
      <c r="J3839" s="1" t="s">
        <v>38</v>
      </c>
      <c r="K3839" s="1" t="s">
        <v>4000</v>
      </c>
      <c r="L3839" s="36" t="s">
        <v>46</v>
      </c>
      <c r="M3839" s="1" t="s">
        <v>46</v>
      </c>
      <c r="N3839" s="1" t="s">
        <v>325</v>
      </c>
      <c r="O3839" s="1" t="s">
        <v>161</v>
      </c>
      <c r="P3839" s="1" t="s">
        <v>326</v>
      </c>
      <c r="Q3839" s="1" t="s">
        <v>46</v>
      </c>
      <c r="R3839" s="1" t="s">
        <v>72</v>
      </c>
      <c r="S3839" s="1" t="s">
        <v>46</v>
      </c>
      <c r="T3839" s="1" t="s">
        <v>46</v>
      </c>
      <c r="U3839" s="1" t="s">
        <v>46</v>
      </c>
      <c r="V3839" s="1" t="n">
        <v>1</v>
      </c>
      <c r="W3839" s="1" t="s">
        <v>46</v>
      </c>
      <c r="X3839" s="1" t="s">
        <v>47</v>
      </c>
      <c r="Y3839" s="1" t="n">
        <v>5500</v>
      </c>
    </row>
    <row r="3840" customFormat="false" ht="13.8" hidden="false" customHeight="false" outlineLevel="0" collapsed="false">
      <c r="A3840" s="1" t="s">
        <v>3934</v>
      </c>
      <c r="B3840" s="2" t="s">
        <v>3856</v>
      </c>
      <c r="C3840" s="1" t="s">
        <v>3935</v>
      </c>
      <c r="D3840" s="1" t="s">
        <v>14</v>
      </c>
      <c r="E3840" s="1" t="s">
        <v>3972</v>
      </c>
      <c r="F3840" s="1" t="s">
        <v>3937</v>
      </c>
      <c r="G3840" s="1" t="s">
        <v>3973</v>
      </c>
      <c r="H3840" s="2" t="s">
        <v>4002</v>
      </c>
      <c r="I3840" s="1" t="s">
        <v>4003</v>
      </c>
      <c r="J3840" s="1" t="s">
        <v>52</v>
      </c>
      <c r="K3840" s="1" t="s">
        <v>4002</v>
      </c>
      <c r="L3840" s="36" t="s">
        <v>46</v>
      </c>
      <c r="M3840" s="1" t="s">
        <v>46</v>
      </c>
      <c r="N3840" s="1" t="s">
        <v>325</v>
      </c>
      <c r="O3840" s="1" t="s">
        <v>3866</v>
      </c>
      <c r="P3840" s="1" t="s">
        <v>326</v>
      </c>
      <c r="Q3840" s="1" t="s">
        <v>46</v>
      </c>
      <c r="R3840" s="1" t="s">
        <v>72</v>
      </c>
      <c r="S3840" s="1" t="s">
        <v>46</v>
      </c>
      <c r="T3840" s="1" t="s">
        <v>46</v>
      </c>
      <c r="U3840" s="1" t="s">
        <v>46</v>
      </c>
      <c r="V3840" s="1" t="n">
        <v>1</v>
      </c>
      <c r="W3840" s="1" t="s">
        <v>46</v>
      </c>
      <c r="X3840" s="1" t="s">
        <v>47</v>
      </c>
      <c r="Y3840" s="1" t="n">
        <v>5500</v>
      </c>
    </row>
    <row r="3841" customFormat="false" ht="13.8" hidden="false" customHeight="false" outlineLevel="0" collapsed="false">
      <c r="A3841" s="1" t="s">
        <v>3934</v>
      </c>
      <c r="B3841" s="2" t="s">
        <v>3856</v>
      </c>
      <c r="C3841" s="1" t="s">
        <v>3935</v>
      </c>
      <c r="D3841" s="1" t="s">
        <v>14</v>
      </c>
      <c r="E3841" s="1" t="s">
        <v>3972</v>
      </c>
      <c r="F3841" s="1" t="s">
        <v>3937</v>
      </c>
      <c r="G3841" s="1" t="s">
        <v>3973</v>
      </c>
      <c r="H3841" s="2" t="s">
        <v>64</v>
      </c>
      <c r="I3841" s="1" t="s">
        <v>4004</v>
      </c>
      <c r="J3841" s="1" t="s">
        <v>52</v>
      </c>
      <c r="K3841" s="1" t="s">
        <v>64</v>
      </c>
      <c r="L3841" s="36" t="s">
        <v>46</v>
      </c>
      <c r="M3841" s="1" t="s">
        <v>46</v>
      </c>
      <c r="N3841" s="1" t="s">
        <v>65</v>
      </c>
      <c r="O3841" s="1" t="s">
        <v>280</v>
      </c>
      <c r="P3841" s="1" t="s">
        <v>46</v>
      </c>
      <c r="Q3841" s="1" t="s">
        <v>46</v>
      </c>
      <c r="R3841" s="1" t="s">
        <v>46</v>
      </c>
      <c r="S3841" s="1" t="s">
        <v>46</v>
      </c>
      <c r="T3841" s="1" t="s">
        <v>46</v>
      </c>
      <c r="U3841" s="1" t="s">
        <v>46</v>
      </c>
      <c r="V3841" s="1" t="n">
        <v>1</v>
      </c>
      <c r="W3841" s="1" t="s">
        <v>46</v>
      </c>
      <c r="X3841" s="1" t="s">
        <v>46</v>
      </c>
      <c r="Y3841" s="1" t="n">
        <v>5500</v>
      </c>
    </row>
    <row r="3842" customFormat="false" ht="13.8" hidden="false" customHeight="false" outlineLevel="0" collapsed="false">
      <c r="A3842" s="1" t="s">
        <v>3934</v>
      </c>
      <c r="B3842" s="2" t="s">
        <v>3856</v>
      </c>
      <c r="C3842" s="1" t="s">
        <v>3935</v>
      </c>
      <c r="D3842" s="1" t="s">
        <v>14</v>
      </c>
      <c r="E3842" s="1" t="s">
        <v>3972</v>
      </c>
      <c r="F3842" s="1" t="s">
        <v>3937</v>
      </c>
      <c r="G3842" s="1" t="s">
        <v>3973</v>
      </c>
      <c r="H3842" s="2" t="s">
        <v>66</v>
      </c>
      <c r="I3842" s="1" t="s">
        <v>4005</v>
      </c>
      <c r="J3842" s="1" t="s">
        <v>52</v>
      </c>
      <c r="K3842" s="1" t="s">
        <v>66</v>
      </c>
      <c r="L3842" s="36" t="s">
        <v>46</v>
      </c>
      <c r="M3842" s="1" t="s">
        <v>46</v>
      </c>
      <c r="N3842" s="1" t="s">
        <v>65</v>
      </c>
      <c r="O3842" s="1" t="s">
        <v>280</v>
      </c>
      <c r="P3842" s="1" t="s">
        <v>46</v>
      </c>
      <c r="Q3842" s="1" t="s">
        <v>46</v>
      </c>
      <c r="R3842" s="1" t="s">
        <v>46</v>
      </c>
      <c r="S3842" s="1" t="s">
        <v>46</v>
      </c>
      <c r="T3842" s="1" t="s">
        <v>46</v>
      </c>
      <c r="U3842" s="1" t="s">
        <v>46</v>
      </c>
      <c r="V3842" s="1" t="n">
        <v>1</v>
      </c>
      <c r="W3842" s="1" t="s">
        <v>46</v>
      </c>
      <c r="X3842" s="1" t="s">
        <v>46</v>
      </c>
      <c r="Y3842" s="1" t="n">
        <v>5500</v>
      </c>
    </row>
    <row r="3843" customFormat="false" ht="13.8" hidden="false" customHeight="false" outlineLevel="0" collapsed="false">
      <c r="A3843" s="1" t="s">
        <v>3934</v>
      </c>
      <c r="B3843" s="2" t="s">
        <v>3856</v>
      </c>
      <c r="C3843" s="1" t="s">
        <v>3935</v>
      </c>
      <c r="D3843" s="1" t="s">
        <v>14</v>
      </c>
      <c r="E3843" s="1" t="s">
        <v>3972</v>
      </c>
      <c r="F3843" s="1" t="s">
        <v>3937</v>
      </c>
      <c r="G3843" s="1" t="s">
        <v>3973</v>
      </c>
      <c r="H3843" s="2" t="s">
        <v>67</v>
      </c>
      <c r="I3843" s="1" t="s">
        <v>4006</v>
      </c>
      <c r="J3843" s="1" t="s">
        <v>52</v>
      </c>
      <c r="K3843" s="1" t="s">
        <v>67</v>
      </c>
      <c r="L3843" s="36" t="s">
        <v>46</v>
      </c>
      <c r="M3843" s="1" t="s">
        <v>46</v>
      </c>
      <c r="N3843" s="1" t="s">
        <v>65</v>
      </c>
      <c r="O3843" s="1" t="s">
        <v>280</v>
      </c>
      <c r="P3843" s="1" t="s">
        <v>46</v>
      </c>
      <c r="Q3843" s="1" t="s">
        <v>46</v>
      </c>
      <c r="R3843" s="1" t="s">
        <v>46</v>
      </c>
      <c r="S3843" s="1" t="s">
        <v>46</v>
      </c>
      <c r="T3843" s="1" t="s">
        <v>46</v>
      </c>
      <c r="U3843" s="1" t="s">
        <v>46</v>
      </c>
      <c r="V3843" s="1" t="n">
        <v>1</v>
      </c>
      <c r="W3843" s="1" t="s">
        <v>46</v>
      </c>
      <c r="X3843" s="1" t="s">
        <v>46</v>
      </c>
      <c r="Y3843" s="1" t="n">
        <v>5500</v>
      </c>
    </row>
    <row r="3844" customFormat="false" ht="13.8" hidden="false" customHeight="false" outlineLevel="0" collapsed="false">
      <c r="A3844" s="1" t="s">
        <v>3934</v>
      </c>
      <c r="B3844" s="2" t="s">
        <v>3856</v>
      </c>
      <c r="C3844" s="1" t="s">
        <v>3935</v>
      </c>
      <c r="D3844" s="1" t="s">
        <v>14</v>
      </c>
      <c r="E3844" s="1" t="s">
        <v>3972</v>
      </c>
      <c r="F3844" s="1" t="s">
        <v>3937</v>
      </c>
      <c r="G3844" s="1" t="s">
        <v>3973</v>
      </c>
      <c r="H3844" s="2" t="s">
        <v>221</v>
      </c>
      <c r="I3844" s="1" t="s">
        <v>4007</v>
      </c>
      <c r="J3844" s="1" t="s">
        <v>52</v>
      </c>
      <c r="K3844" s="1" t="s">
        <v>221</v>
      </c>
      <c r="L3844" s="36" t="s">
        <v>46</v>
      </c>
      <c r="M3844" s="1" t="s">
        <v>46</v>
      </c>
      <c r="N3844" s="1" t="s">
        <v>65</v>
      </c>
      <c r="O3844" s="1" t="s">
        <v>280</v>
      </c>
      <c r="P3844" s="1" t="s">
        <v>46</v>
      </c>
      <c r="Q3844" s="1" t="s">
        <v>46</v>
      </c>
      <c r="R3844" s="1" t="s">
        <v>46</v>
      </c>
      <c r="S3844" s="1" t="s">
        <v>46</v>
      </c>
      <c r="T3844" s="1" t="s">
        <v>46</v>
      </c>
      <c r="U3844" s="1" t="s">
        <v>46</v>
      </c>
      <c r="V3844" s="1" t="n">
        <v>1</v>
      </c>
      <c r="W3844" s="1" t="s">
        <v>46</v>
      </c>
      <c r="X3844" s="1" t="s">
        <v>46</v>
      </c>
      <c r="Y3844" s="1" t="n">
        <v>5500</v>
      </c>
    </row>
    <row r="3845" customFormat="false" ht="13.8" hidden="false" customHeight="false" outlineLevel="0" collapsed="false">
      <c r="A3845" s="1" t="s">
        <v>3934</v>
      </c>
      <c r="B3845" s="2" t="s">
        <v>3856</v>
      </c>
      <c r="C3845" s="1" t="s">
        <v>3935</v>
      </c>
      <c r="D3845" s="1" t="s">
        <v>14</v>
      </c>
      <c r="E3845" s="1" t="s">
        <v>3972</v>
      </c>
      <c r="F3845" s="1" t="s">
        <v>3937</v>
      </c>
      <c r="G3845" s="1" t="s">
        <v>3973</v>
      </c>
      <c r="H3845" s="2" t="s">
        <v>3962</v>
      </c>
      <c r="I3845" s="1" t="s">
        <v>4008</v>
      </c>
      <c r="J3845" s="1" t="s">
        <v>52</v>
      </c>
      <c r="K3845" s="1" t="s">
        <v>3962</v>
      </c>
      <c r="L3845" s="36" t="s">
        <v>46</v>
      </c>
      <c r="M3845" s="1" t="s">
        <v>46</v>
      </c>
      <c r="N3845" s="1" t="s">
        <v>78</v>
      </c>
      <c r="O3845" s="1" t="s">
        <v>78</v>
      </c>
      <c r="P3845" s="1" t="s">
        <v>46</v>
      </c>
      <c r="Q3845" s="1" t="s">
        <v>46</v>
      </c>
      <c r="R3845" s="1" t="s">
        <v>46</v>
      </c>
      <c r="S3845" s="1" t="s">
        <v>46</v>
      </c>
      <c r="T3845" s="1" t="s">
        <v>46</v>
      </c>
      <c r="U3845" s="1" t="s">
        <v>46</v>
      </c>
      <c r="V3845" s="1" t="n">
        <v>1</v>
      </c>
      <c r="W3845" s="1" t="s">
        <v>46</v>
      </c>
      <c r="X3845" s="1" t="s">
        <v>2740</v>
      </c>
      <c r="Y3845" s="1" t="n">
        <v>5500</v>
      </c>
    </row>
    <row r="3846" customFormat="false" ht="13.8" hidden="false" customHeight="false" outlineLevel="0" collapsed="false">
      <c r="A3846" s="1" t="s">
        <v>3934</v>
      </c>
      <c r="B3846" s="2" t="s">
        <v>3856</v>
      </c>
      <c r="C3846" s="1" t="s">
        <v>3935</v>
      </c>
      <c r="D3846" s="1" t="s">
        <v>14</v>
      </c>
      <c r="E3846" s="1" t="s">
        <v>3972</v>
      </c>
      <c r="F3846" s="1" t="s">
        <v>3937</v>
      </c>
      <c r="G3846" s="1" t="s">
        <v>3973</v>
      </c>
      <c r="H3846" s="2" t="s">
        <v>3964</v>
      </c>
      <c r="I3846" s="1" t="s">
        <v>4009</v>
      </c>
      <c r="J3846" s="1" t="s">
        <v>52</v>
      </c>
      <c r="K3846" s="1" t="s">
        <v>3964</v>
      </c>
      <c r="L3846" s="36" t="s">
        <v>46</v>
      </c>
      <c r="M3846" s="1" t="s">
        <v>46</v>
      </c>
      <c r="N3846" s="1" t="s">
        <v>78</v>
      </c>
      <c r="O3846" s="1" t="s">
        <v>78</v>
      </c>
      <c r="P3846" s="1" t="s">
        <v>46</v>
      </c>
      <c r="Q3846" s="1" t="s">
        <v>46</v>
      </c>
      <c r="R3846" s="1" t="s">
        <v>46</v>
      </c>
      <c r="S3846" s="1" t="s">
        <v>46</v>
      </c>
      <c r="T3846" s="1" t="s">
        <v>46</v>
      </c>
      <c r="U3846" s="1" t="s">
        <v>46</v>
      </c>
      <c r="V3846" s="1" t="n">
        <v>1</v>
      </c>
      <c r="W3846" s="1" t="s">
        <v>46</v>
      </c>
      <c r="X3846" s="1" t="s">
        <v>2740</v>
      </c>
      <c r="Y3846" s="1" t="n">
        <v>5500</v>
      </c>
    </row>
    <row r="3847" customFormat="false" ht="13.8" hidden="false" customHeight="false" outlineLevel="0" collapsed="false">
      <c r="A3847" s="1" t="s">
        <v>3934</v>
      </c>
      <c r="B3847" s="2" t="s">
        <v>3856</v>
      </c>
      <c r="C3847" s="1" t="s">
        <v>3935</v>
      </c>
      <c r="D3847" s="1" t="s">
        <v>14</v>
      </c>
      <c r="E3847" s="1" t="s">
        <v>3972</v>
      </c>
      <c r="F3847" s="1" t="s">
        <v>3937</v>
      </c>
      <c r="G3847" s="1" t="s">
        <v>3973</v>
      </c>
      <c r="H3847" s="2" t="s">
        <v>3966</v>
      </c>
      <c r="I3847" s="1" t="s">
        <v>4010</v>
      </c>
      <c r="J3847" s="1" t="s">
        <v>52</v>
      </c>
      <c r="K3847" s="1" t="s">
        <v>3966</v>
      </c>
      <c r="L3847" s="36" t="s">
        <v>46</v>
      </c>
      <c r="M3847" s="1" t="s">
        <v>46</v>
      </c>
      <c r="N3847" s="1" t="s">
        <v>78</v>
      </c>
      <c r="O3847" s="1" t="s">
        <v>78</v>
      </c>
      <c r="P3847" s="1" t="s">
        <v>46</v>
      </c>
      <c r="Q3847" s="1" t="s">
        <v>46</v>
      </c>
      <c r="R3847" s="1" t="s">
        <v>46</v>
      </c>
      <c r="S3847" s="1" t="s">
        <v>46</v>
      </c>
      <c r="T3847" s="1" t="s">
        <v>46</v>
      </c>
      <c r="U3847" s="1" t="s">
        <v>46</v>
      </c>
      <c r="V3847" s="1" t="n">
        <v>1</v>
      </c>
      <c r="W3847" s="1" t="s">
        <v>46</v>
      </c>
      <c r="X3847" s="1" t="s">
        <v>2740</v>
      </c>
      <c r="Y3847" s="1" t="n">
        <v>5500</v>
      </c>
    </row>
    <row r="3848" customFormat="false" ht="13.8" hidden="false" customHeight="false" outlineLevel="0" collapsed="false">
      <c r="A3848" s="1" t="s">
        <v>3934</v>
      </c>
      <c r="B3848" s="2" t="s">
        <v>3856</v>
      </c>
      <c r="C3848" s="1" t="s">
        <v>3935</v>
      </c>
      <c r="D3848" s="1" t="s">
        <v>14</v>
      </c>
      <c r="E3848" s="1" t="s">
        <v>3972</v>
      </c>
      <c r="F3848" s="1" t="s">
        <v>3937</v>
      </c>
      <c r="G3848" s="1" t="s">
        <v>3973</v>
      </c>
      <c r="H3848" s="2" t="s">
        <v>4011</v>
      </c>
      <c r="I3848" s="1" t="s">
        <v>4012</v>
      </c>
      <c r="J3848" s="1" t="s">
        <v>52</v>
      </c>
      <c r="K3848" s="1" t="s">
        <v>4011</v>
      </c>
      <c r="L3848" s="36" t="s">
        <v>46</v>
      </c>
      <c r="M3848" s="1" t="s">
        <v>46</v>
      </c>
      <c r="N3848" s="1" t="s">
        <v>78</v>
      </c>
      <c r="O3848" s="1" t="s">
        <v>78</v>
      </c>
      <c r="P3848" s="1" t="s">
        <v>46</v>
      </c>
      <c r="Q3848" s="1" t="s">
        <v>46</v>
      </c>
      <c r="R3848" s="1" t="s">
        <v>46</v>
      </c>
      <c r="S3848" s="1" t="s">
        <v>46</v>
      </c>
      <c r="T3848" s="1" t="s">
        <v>46</v>
      </c>
      <c r="U3848" s="1" t="s">
        <v>46</v>
      </c>
      <c r="V3848" s="1" t="n">
        <v>1</v>
      </c>
      <c r="W3848" s="1" t="s">
        <v>46</v>
      </c>
      <c r="X3848" s="1" t="s">
        <v>2740</v>
      </c>
      <c r="Y3848" s="1" t="n">
        <v>5500</v>
      </c>
    </row>
    <row r="3849" customFormat="false" ht="13.8" hidden="false" customHeight="false" outlineLevel="0" collapsed="false">
      <c r="A3849" s="1" t="s">
        <v>3934</v>
      </c>
      <c r="B3849" s="2" t="s">
        <v>3856</v>
      </c>
      <c r="C3849" s="1" t="s">
        <v>3935</v>
      </c>
      <c r="D3849" s="1" t="s">
        <v>14</v>
      </c>
      <c r="E3849" s="1" t="s">
        <v>3972</v>
      </c>
      <c r="F3849" s="1" t="s">
        <v>3937</v>
      </c>
      <c r="G3849" s="1" t="s">
        <v>3973</v>
      </c>
      <c r="H3849" s="2" t="s">
        <v>463</v>
      </c>
      <c r="I3849" s="1" t="s">
        <v>4013</v>
      </c>
      <c r="J3849" s="1" t="s">
        <v>52</v>
      </c>
      <c r="K3849" s="1" t="s">
        <v>463</v>
      </c>
      <c r="L3849" s="36" t="s">
        <v>46</v>
      </c>
      <c r="M3849" s="1" t="s">
        <v>46</v>
      </c>
      <c r="N3849" s="1" t="s">
        <v>3969</v>
      </c>
      <c r="O3849" s="1" t="s">
        <v>3969</v>
      </c>
      <c r="P3849" s="1" t="s">
        <v>46</v>
      </c>
      <c r="Q3849" s="1" t="s">
        <v>46</v>
      </c>
      <c r="R3849" s="1" t="s">
        <v>46</v>
      </c>
      <c r="S3849" s="1" t="s">
        <v>46</v>
      </c>
      <c r="T3849" s="1" t="s">
        <v>46</v>
      </c>
      <c r="U3849" s="1" t="s">
        <v>46</v>
      </c>
      <c r="V3849" s="1" t="n">
        <v>1</v>
      </c>
      <c r="W3849" s="1" t="s">
        <v>46</v>
      </c>
      <c r="X3849" s="1" t="s">
        <v>47</v>
      </c>
      <c r="Y3849" s="1" t="n">
        <v>5500</v>
      </c>
    </row>
    <row r="3850" customFormat="false" ht="13.8" hidden="false" customHeight="false" outlineLevel="0" collapsed="false">
      <c r="A3850" s="1" t="s">
        <v>3934</v>
      </c>
      <c r="B3850" s="2" t="s">
        <v>3856</v>
      </c>
      <c r="C3850" s="1" t="s">
        <v>3935</v>
      </c>
      <c r="D3850" s="1" t="s">
        <v>14</v>
      </c>
      <c r="E3850" s="1" t="s">
        <v>3972</v>
      </c>
      <c r="F3850" s="1" t="s">
        <v>3937</v>
      </c>
      <c r="G3850" s="1" t="s">
        <v>3973</v>
      </c>
      <c r="H3850" s="2" t="s">
        <v>468</v>
      </c>
      <c r="I3850" s="1" t="s">
        <v>4014</v>
      </c>
      <c r="J3850" s="1" t="s">
        <v>52</v>
      </c>
      <c r="K3850" s="1" t="s">
        <v>468</v>
      </c>
      <c r="L3850" s="36" t="s">
        <v>46</v>
      </c>
      <c r="M3850" s="1" t="s">
        <v>46</v>
      </c>
      <c r="N3850" s="1" t="s">
        <v>3969</v>
      </c>
      <c r="O3850" s="1" t="s">
        <v>3969</v>
      </c>
      <c r="P3850" s="1" t="s">
        <v>46</v>
      </c>
      <c r="Q3850" s="1" t="s">
        <v>46</v>
      </c>
      <c r="R3850" s="1" t="s">
        <v>46</v>
      </c>
      <c r="S3850" s="1" t="s">
        <v>46</v>
      </c>
      <c r="T3850" s="1" t="s">
        <v>46</v>
      </c>
      <c r="U3850" s="1" t="s">
        <v>46</v>
      </c>
      <c r="V3850" s="1" t="n">
        <v>1</v>
      </c>
      <c r="W3850" s="1" t="s">
        <v>46</v>
      </c>
      <c r="X3850" s="1" t="s">
        <v>47</v>
      </c>
      <c r="Y3850" s="1" t="n">
        <v>5500</v>
      </c>
    </row>
    <row r="3851" customFormat="false" ht="13.8" hidden="false" customHeight="false" outlineLevel="0" collapsed="false">
      <c r="A3851" s="1" t="s">
        <v>3934</v>
      </c>
      <c r="B3851" s="2" t="s">
        <v>3856</v>
      </c>
      <c r="C3851" s="1" t="s">
        <v>3935</v>
      </c>
      <c r="D3851" s="1" t="s">
        <v>14</v>
      </c>
      <c r="E3851" s="1" t="s">
        <v>3972</v>
      </c>
      <c r="F3851" s="1" t="s">
        <v>3937</v>
      </c>
      <c r="G3851" s="1" t="s">
        <v>3973</v>
      </c>
      <c r="H3851" s="2" t="s">
        <v>472</v>
      </c>
      <c r="I3851" s="1" t="s">
        <v>4015</v>
      </c>
      <c r="J3851" s="1" t="s">
        <v>52</v>
      </c>
      <c r="K3851" s="1" t="s">
        <v>472</v>
      </c>
      <c r="L3851" s="36" t="s">
        <v>46</v>
      </c>
      <c r="M3851" s="1" t="s">
        <v>46</v>
      </c>
      <c r="N3851" s="1" t="s">
        <v>3969</v>
      </c>
      <c r="O3851" s="1" t="s">
        <v>3969</v>
      </c>
      <c r="P3851" s="1" t="s">
        <v>46</v>
      </c>
      <c r="Q3851" s="1" t="s">
        <v>46</v>
      </c>
      <c r="R3851" s="1" t="s">
        <v>46</v>
      </c>
      <c r="S3851" s="1" t="s">
        <v>46</v>
      </c>
      <c r="T3851" s="1" t="s">
        <v>46</v>
      </c>
      <c r="U3851" s="1" t="s">
        <v>46</v>
      </c>
      <c r="V3851" s="1" t="n">
        <v>1</v>
      </c>
      <c r="W3851" s="1" t="s">
        <v>46</v>
      </c>
      <c r="X3851" s="1" t="s">
        <v>47</v>
      </c>
      <c r="Y3851" s="1" t="n">
        <v>5500</v>
      </c>
    </row>
    <row r="3852" customFormat="false" ht="13.8" hidden="false" customHeight="false" outlineLevel="0" collapsed="false">
      <c r="A3852" s="1" t="s">
        <v>3934</v>
      </c>
      <c r="B3852" s="2" t="s">
        <v>3856</v>
      </c>
      <c r="C3852" s="1" t="s">
        <v>3935</v>
      </c>
      <c r="D3852" s="1" t="s">
        <v>14</v>
      </c>
      <c r="E3852" s="1" t="s">
        <v>3972</v>
      </c>
      <c r="F3852" s="1" t="s">
        <v>3937</v>
      </c>
      <c r="G3852" s="1" t="s">
        <v>3973</v>
      </c>
      <c r="H3852" s="2" t="s">
        <v>476</v>
      </c>
      <c r="I3852" s="1" t="s">
        <v>4016</v>
      </c>
      <c r="J3852" s="1" t="s">
        <v>52</v>
      </c>
      <c r="K3852" s="1" t="s">
        <v>476</v>
      </c>
      <c r="L3852" s="36" t="s">
        <v>46</v>
      </c>
      <c r="M3852" s="1" t="s">
        <v>46</v>
      </c>
      <c r="N3852" s="1" t="s">
        <v>3969</v>
      </c>
      <c r="O3852" s="1" t="s">
        <v>3969</v>
      </c>
      <c r="P3852" s="1" t="s">
        <v>46</v>
      </c>
      <c r="Q3852" s="1" t="s">
        <v>46</v>
      </c>
      <c r="R3852" s="1" t="s">
        <v>46</v>
      </c>
      <c r="S3852" s="1" t="s">
        <v>46</v>
      </c>
      <c r="T3852" s="1" t="s">
        <v>46</v>
      </c>
      <c r="U3852" s="1" t="s">
        <v>46</v>
      </c>
      <c r="V3852" s="1" t="n">
        <v>1</v>
      </c>
      <c r="W3852" s="1" t="s">
        <v>46</v>
      </c>
      <c r="X3852" s="1" t="s">
        <v>47</v>
      </c>
      <c r="Y3852" s="1" t="n">
        <v>5500</v>
      </c>
    </row>
    <row r="3853" customFormat="false" ht="13.8" hidden="false" customHeight="false" outlineLevel="0" collapsed="false">
      <c r="A3853" s="1" t="s">
        <v>4017</v>
      </c>
      <c r="B3853" s="2" t="s">
        <v>3856</v>
      </c>
      <c r="C3853" s="1" t="s">
        <v>4018</v>
      </c>
      <c r="D3853" s="1" t="s">
        <v>15</v>
      </c>
      <c r="E3853" s="1" t="s">
        <v>3858</v>
      </c>
      <c r="F3853" s="1" t="s">
        <v>3859</v>
      </c>
      <c r="G3853" s="1" t="s">
        <v>3860</v>
      </c>
      <c r="H3853" s="2" t="s">
        <v>3861</v>
      </c>
      <c r="I3853" s="1" t="s">
        <v>3862</v>
      </c>
      <c r="J3853" s="1" t="s">
        <v>38</v>
      </c>
      <c r="K3853" s="1" t="n">
        <v>2</v>
      </c>
      <c r="L3853" s="36" t="s">
        <v>46</v>
      </c>
      <c r="M3853" s="1" t="s">
        <v>46</v>
      </c>
      <c r="N3853" s="1" t="s">
        <v>325</v>
      </c>
      <c r="O3853" s="1" t="s">
        <v>161</v>
      </c>
      <c r="P3853" s="1" t="s">
        <v>3863</v>
      </c>
      <c r="Q3853" s="1" t="s">
        <v>46</v>
      </c>
      <c r="R3853" s="1" t="s">
        <v>72</v>
      </c>
      <c r="S3853" s="1" t="s">
        <v>46</v>
      </c>
      <c r="T3853" s="1" t="s">
        <v>46</v>
      </c>
      <c r="U3853" s="1" t="s">
        <v>46</v>
      </c>
      <c r="V3853" s="1" t="n">
        <v>1</v>
      </c>
      <c r="W3853" s="1" t="s">
        <v>46</v>
      </c>
      <c r="X3853" s="1" t="s">
        <v>47</v>
      </c>
      <c r="Y3853" s="1" t="n">
        <v>5500</v>
      </c>
    </row>
    <row r="3854" customFormat="false" ht="13.8" hidden="false" customHeight="false" outlineLevel="0" collapsed="false">
      <c r="A3854" s="1" t="s">
        <v>4017</v>
      </c>
      <c r="B3854" s="2" t="s">
        <v>3856</v>
      </c>
      <c r="C3854" s="1" t="s">
        <v>4018</v>
      </c>
      <c r="D3854" s="1" t="s">
        <v>15</v>
      </c>
      <c r="E3854" s="1" t="s">
        <v>3858</v>
      </c>
      <c r="F3854" s="1" t="s">
        <v>3859</v>
      </c>
      <c r="G3854" s="1" t="s">
        <v>3860</v>
      </c>
      <c r="H3854" s="2" t="s">
        <v>3869</v>
      </c>
      <c r="I3854" s="1" t="s">
        <v>3870</v>
      </c>
      <c r="J3854" s="1" t="s">
        <v>38</v>
      </c>
      <c r="K3854" s="1" t="n">
        <v>8</v>
      </c>
      <c r="L3854" s="36" t="s">
        <v>46</v>
      </c>
      <c r="M3854" s="1" t="s">
        <v>46</v>
      </c>
      <c r="N3854" s="1" t="s">
        <v>325</v>
      </c>
      <c r="O3854" s="1" t="s">
        <v>161</v>
      </c>
      <c r="P3854" s="1" t="s">
        <v>3863</v>
      </c>
      <c r="Q3854" s="1" t="s">
        <v>46</v>
      </c>
      <c r="R3854" s="1" t="s">
        <v>72</v>
      </c>
      <c r="S3854" s="1" t="s">
        <v>46</v>
      </c>
      <c r="T3854" s="1" t="s">
        <v>46</v>
      </c>
      <c r="U3854" s="1" t="s">
        <v>46</v>
      </c>
      <c r="V3854" s="1" t="n">
        <v>1</v>
      </c>
      <c r="W3854" s="1" t="s">
        <v>46</v>
      </c>
      <c r="X3854" s="1" t="s">
        <v>47</v>
      </c>
      <c r="Y3854" s="1" t="n">
        <v>5500</v>
      </c>
    </row>
    <row r="3855" customFormat="false" ht="13.8" hidden="false" customHeight="false" outlineLevel="0" collapsed="false">
      <c r="A3855" s="1" t="s">
        <v>4017</v>
      </c>
      <c r="B3855" s="2" t="s">
        <v>3856</v>
      </c>
      <c r="C3855" s="1" t="s">
        <v>4018</v>
      </c>
      <c r="D3855" s="1" t="s">
        <v>15</v>
      </c>
      <c r="E3855" s="1" t="s">
        <v>3858</v>
      </c>
      <c r="F3855" s="1" t="s">
        <v>3859</v>
      </c>
      <c r="G3855" s="1" t="s">
        <v>3860</v>
      </c>
      <c r="H3855" s="2" t="s">
        <v>2768</v>
      </c>
      <c r="I3855" s="1" t="s">
        <v>3873</v>
      </c>
      <c r="J3855" s="1" t="s">
        <v>38</v>
      </c>
      <c r="K3855" s="1" t="n">
        <v>11</v>
      </c>
      <c r="L3855" s="36" t="s">
        <v>46</v>
      </c>
      <c r="M3855" s="1" t="s">
        <v>46</v>
      </c>
      <c r="N3855" s="1" t="s">
        <v>325</v>
      </c>
      <c r="O3855" s="1" t="s">
        <v>161</v>
      </c>
      <c r="P3855" s="1" t="s">
        <v>3863</v>
      </c>
      <c r="Q3855" s="1" t="s">
        <v>46</v>
      </c>
      <c r="R3855" s="1" t="s">
        <v>72</v>
      </c>
      <c r="S3855" s="1" t="s">
        <v>46</v>
      </c>
      <c r="T3855" s="1" t="s">
        <v>46</v>
      </c>
      <c r="U3855" s="1" t="s">
        <v>46</v>
      </c>
      <c r="V3855" s="1" t="n">
        <v>1</v>
      </c>
      <c r="W3855" s="1" t="s">
        <v>46</v>
      </c>
      <c r="X3855" s="1" t="s">
        <v>47</v>
      </c>
      <c r="Y3855" s="1" t="n">
        <v>5500</v>
      </c>
    </row>
    <row r="3856" customFormat="false" ht="13.8" hidden="false" customHeight="false" outlineLevel="0" collapsed="false">
      <c r="A3856" s="1" t="s">
        <v>4017</v>
      </c>
      <c r="B3856" s="2" t="s">
        <v>3856</v>
      </c>
      <c r="C3856" s="1" t="s">
        <v>4018</v>
      </c>
      <c r="D3856" s="1" t="s">
        <v>15</v>
      </c>
      <c r="E3856" s="1" t="s">
        <v>3858</v>
      </c>
      <c r="F3856" s="1" t="s">
        <v>3859</v>
      </c>
      <c r="G3856" s="1" t="s">
        <v>3860</v>
      </c>
      <c r="H3856" s="2" t="s">
        <v>2801</v>
      </c>
      <c r="I3856" s="1" t="s">
        <v>3874</v>
      </c>
      <c r="J3856" s="1" t="s">
        <v>38</v>
      </c>
      <c r="K3856" s="1" t="n">
        <v>14</v>
      </c>
      <c r="L3856" s="36" t="s">
        <v>46</v>
      </c>
      <c r="M3856" s="1" t="s">
        <v>46</v>
      </c>
      <c r="N3856" s="1" t="s">
        <v>325</v>
      </c>
      <c r="O3856" s="1" t="s">
        <v>161</v>
      </c>
      <c r="P3856" s="1" t="s">
        <v>3863</v>
      </c>
      <c r="Q3856" s="1" t="s">
        <v>46</v>
      </c>
      <c r="R3856" s="1" t="s">
        <v>72</v>
      </c>
      <c r="S3856" s="1" t="s">
        <v>46</v>
      </c>
      <c r="T3856" s="1" t="s">
        <v>46</v>
      </c>
      <c r="U3856" s="1" t="s">
        <v>46</v>
      </c>
      <c r="V3856" s="1" t="n">
        <v>1</v>
      </c>
      <c r="W3856" s="1" t="s">
        <v>46</v>
      </c>
      <c r="X3856" s="1" t="s">
        <v>47</v>
      </c>
      <c r="Y3856" s="1" t="n">
        <v>5500</v>
      </c>
    </row>
    <row r="3857" customFormat="false" ht="13.8" hidden="false" customHeight="false" outlineLevel="0" collapsed="false">
      <c r="A3857" s="1" t="s">
        <v>4017</v>
      </c>
      <c r="B3857" s="2" t="s">
        <v>3856</v>
      </c>
      <c r="C3857" s="1" t="s">
        <v>4018</v>
      </c>
      <c r="D3857" s="1" t="s">
        <v>15</v>
      </c>
      <c r="E3857" s="1" t="s">
        <v>3858</v>
      </c>
      <c r="F3857" s="1" t="s">
        <v>3859</v>
      </c>
      <c r="G3857" s="1" t="s">
        <v>3860</v>
      </c>
      <c r="H3857" s="2" t="s">
        <v>2758</v>
      </c>
      <c r="I3857" s="1" t="s">
        <v>3876</v>
      </c>
      <c r="J3857" s="1" t="s">
        <v>38</v>
      </c>
      <c r="K3857" s="1" t="n">
        <v>18</v>
      </c>
      <c r="L3857" s="36" t="s">
        <v>46</v>
      </c>
      <c r="M3857" s="1" t="s">
        <v>46</v>
      </c>
      <c r="N3857" s="1" t="s">
        <v>325</v>
      </c>
      <c r="O3857" s="1" t="s">
        <v>161</v>
      </c>
      <c r="P3857" s="1" t="s">
        <v>3863</v>
      </c>
      <c r="Q3857" s="1" t="s">
        <v>46</v>
      </c>
      <c r="R3857" s="1" t="s">
        <v>72</v>
      </c>
      <c r="S3857" s="1" t="s">
        <v>46</v>
      </c>
      <c r="T3857" s="1" t="s">
        <v>46</v>
      </c>
      <c r="U3857" s="1" t="s">
        <v>46</v>
      </c>
      <c r="V3857" s="1" t="n">
        <v>1</v>
      </c>
      <c r="W3857" s="1" t="s">
        <v>46</v>
      </c>
      <c r="X3857" s="1" t="s">
        <v>47</v>
      </c>
      <c r="Y3857" s="1" t="n">
        <v>5500</v>
      </c>
    </row>
    <row r="3858" customFormat="false" ht="13.8" hidden="false" customHeight="false" outlineLevel="0" collapsed="false">
      <c r="A3858" s="1" t="s">
        <v>4017</v>
      </c>
      <c r="B3858" s="2" t="s">
        <v>3856</v>
      </c>
      <c r="C3858" s="1" t="s">
        <v>4018</v>
      </c>
      <c r="D3858" s="1" t="s">
        <v>15</v>
      </c>
      <c r="E3858" s="1" t="s">
        <v>3858</v>
      </c>
      <c r="F3858" s="1" t="s">
        <v>3859</v>
      </c>
      <c r="G3858" s="1" t="s">
        <v>3860</v>
      </c>
      <c r="H3858" s="2" t="s">
        <v>3877</v>
      </c>
      <c r="I3858" s="1" t="s">
        <v>3878</v>
      </c>
      <c r="J3858" s="1" t="s">
        <v>38</v>
      </c>
      <c r="K3858" s="1" t="n">
        <v>19</v>
      </c>
      <c r="L3858" s="36" t="s">
        <v>46</v>
      </c>
      <c r="M3858" s="1" t="s">
        <v>46</v>
      </c>
      <c r="N3858" s="1" t="s">
        <v>325</v>
      </c>
      <c r="O3858" s="1" t="s">
        <v>161</v>
      </c>
      <c r="P3858" s="1" t="s">
        <v>3863</v>
      </c>
      <c r="Q3858" s="1" t="s">
        <v>46</v>
      </c>
      <c r="R3858" s="1" t="s">
        <v>72</v>
      </c>
      <c r="S3858" s="1" t="s">
        <v>46</v>
      </c>
      <c r="T3858" s="1" t="s">
        <v>46</v>
      </c>
      <c r="U3858" s="1" t="s">
        <v>46</v>
      </c>
      <c r="V3858" s="1" t="n">
        <v>1</v>
      </c>
      <c r="W3858" s="1" t="s">
        <v>46</v>
      </c>
      <c r="X3858" s="1" t="s">
        <v>47</v>
      </c>
      <c r="Y3858" s="1" t="n">
        <v>5500</v>
      </c>
    </row>
    <row r="3859" customFormat="false" ht="13.8" hidden="false" customHeight="false" outlineLevel="0" collapsed="false">
      <c r="A3859" s="1" t="s">
        <v>4017</v>
      </c>
      <c r="B3859" s="2" t="s">
        <v>3856</v>
      </c>
      <c r="C3859" s="1" t="s">
        <v>4018</v>
      </c>
      <c r="D3859" s="1" t="s">
        <v>15</v>
      </c>
      <c r="E3859" s="1" t="s">
        <v>3858</v>
      </c>
      <c r="F3859" s="1" t="s">
        <v>3859</v>
      </c>
      <c r="G3859" s="1" t="s">
        <v>3860</v>
      </c>
      <c r="H3859" s="2" t="s">
        <v>3005</v>
      </c>
      <c r="I3859" s="1" t="s">
        <v>3880</v>
      </c>
      <c r="J3859" s="1" t="s">
        <v>38</v>
      </c>
      <c r="K3859" s="1" t="n">
        <v>23</v>
      </c>
      <c r="L3859" s="36" t="s">
        <v>46</v>
      </c>
      <c r="M3859" s="1" t="s">
        <v>46</v>
      </c>
      <c r="N3859" s="1" t="s">
        <v>325</v>
      </c>
      <c r="O3859" s="1" t="s">
        <v>161</v>
      </c>
      <c r="P3859" s="1" t="s">
        <v>3863</v>
      </c>
      <c r="Q3859" s="1" t="s">
        <v>46</v>
      </c>
      <c r="R3859" s="1" t="s">
        <v>72</v>
      </c>
      <c r="S3859" s="1" t="s">
        <v>46</v>
      </c>
      <c r="T3859" s="1" t="s">
        <v>46</v>
      </c>
      <c r="U3859" s="1" t="s">
        <v>46</v>
      </c>
      <c r="V3859" s="1" t="n">
        <v>1</v>
      </c>
      <c r="W3859" s="1" t="s">
        <v>46</v>
      </c>
      <c r="X3859" s="1" t="s">
        <v>47</v>
      </c>
      <c r="Y3859" s="1" t="n">
        <v>5500</v>
      </c>
    </row>
    <row r="3860" customFormat="false" ht="13.8" hidden="false" customHeight="false" outlineLevel="0" collapsed="false">
      <c r="A3860" s="1" t="s">
        <v>4017</v>
      </c>
      <c r="B3860" s="2" t="s">
        <v>3856</v>
      </c>
      <c r="C3860" s="1" t="s">
        <v>4018</v>
      </c>
      <c r="D3860" s="1" t="s">
        <v>15</v>
      </c>
      <c r="E3860" s="1" t="s">
        <v>3858</v>
      </c>
      <c r="F3860" s="1" t="s">
        <v>3859</v>
      </c>
      <c r="G3860" s="1" t="s">
        <v>3860</v>
      </c>
      <c r="H3860" s="2" t="s">
        <v>2773</v>
      </c>
      <c r="I3860" s="1" t="s">
        <v>3882</v>
      </c>
      <c r="J3860" s="1" t="s">
        <v>38</v>
      </c>
      <c r="K3860" s="1" t="n">
        <v>27</v>
      </c>
      <c r="L3860" s="36" t="s">
        <v>46</v>
      </c>
      <c r="M3860" s="1" t="s">
        <v>46</v>
      </c>
      <c r="N3860" s="1" t="s">
        <v>325</v>
      </c>
      <c r="O3860" s="1" t="s">
        <v>161</v>
      </c>
      <c r="P3860" s="1" t="s">
        <v>3863</v>
      </c>
      <c r="Q3860" s="1" t="s">
        <v>46</v>
      </c>
      <c r="R3860" s="1" t="s">
        <v>72</v>
      </c>
      <c r="S3860" s="1" t="s">
        <v>46</v>
      </c>
      <c r="T3860" s="1" t="s">
        <v>46</v>
      </c>
      <c r="U3860" s="1" t="s">
        <v>46</v>
      </c>
      <c r="V3860" s="1" t="n">
        <v>1</v>
      </c>
      <c r="W3860" s="1" t="s">
        <v>46</v>
      </c>
      <c r="X3860" s="1" t="s">
        <v>47</v>
      </c>
      <c r="Y3860" s="1" t="n">
        <v>5500</v>
      </c>
    </row>
    <row r="3861" customFormat="false" ht="13.8" hidden="false" customHeight="false" outlineLevel="0" collapsed="false">
      <c r="A3861" s="1" t="s">
        <v>4017</v>
      </c>
      <c r="B3861" s="2" t="s">
        <v>3856</v>
      </c>
      <c r="C3861" s="1" t="s">
        <v>4018</v>
      </c>
      <c r="D3861" s="1" t="s">
        <v>15</v>
      </c>
      <c r="E3861" s="1" t="s">
        <v>3858</v>
      </c>
      <c r="F3861" s="1" t="s">
        <v>3859</v>
      </c>
      <c r="G3861" s="1" t="s">
        <v>3860</v>
      </c>
      <c r="H3861" s="2" t="s">
        <v>2979</v>
      </c>
      <c r="I3861" s="1" t="s">
        <v>3885</v>
      </c>
      <c r="J3861" s="1" t="s">
        <v>38</v>
      </c>
      <c r="K3861" s="1" t="n">
        <v>35</v>
      </c>
      <c r="L3861" s="36" t="s">
        <v>46</v>
      </c>
      <c r="M3861" s="1" t="s">
        <v>46</v>
      </c>
      <c r="N3861" s="1" t="s">
        <v>325</v>
      </c>
      <c r="O3861" s="1" t="s">
        <v>161</v>
      </c>
      <c r="P3861" s="1" t="s">
        <v>3863</v>
      </c>
      <c r="Q3861" s="1" t="s">
        <v>46</v>
      </c>
      <c r="R3861" s="1" t="s">
        <v>72</v>
      </c>
      <c r="S3861" s="1" t="s">
        <v>46</v>
      </c>
      <c r="T3861" s="1" t="s">
        <v>46</v>
      </c>
      <c r="U3861" s="1" t="s">
        <v>46</v>
      </c>
      <c r="V3861" s="1" t="n">
        <v>1</v>
      </c>
      <c r="W3861" s="1" t="s">
        <v>46</v>
      </c>
      <c r="X3861" s="1" t="s">
        <v>47</v>
      </c>
      <c r="Y3861" s="1" t="n">
        <v>5500</v>
      </c>
    </row>
    <row r="3862" customFormat="false" ht="13.8" hidden="false" customHeight="false" outlineLevel="0" collapsed="false">
      <c r="A3862" s="1" t="s">
        <v>4017</v>
      </c>
      <c r="B3862" s="2" t="s">
        <v>3856</v>
      </c>
      <c r="C3862" s="1" t="s">
        <v>4018</v>
      </c>
      <c r="D3862" s="1" t="s">
        <v>15</v>
      </c>
      <c r="E3862" s="1" t="s">
        <v>3858</v>
      </c>
      <c r="F3862" s="1" t="s">
        <v>3859</v>
      </c>
      <c r="G3862" s="1" t="s">
        <v>3860</v>
      </c>
      <c r="H3862" s="2" t="s">
        <v>3033</v>
      </c>
      <c r="I3862" s="1" t="s">
        <v>3888</v>
      </c>
      <c r="J3862" s="1" t="s">
        <v>38</v>
      </c>
      <c r="K3862" s="1" t="n">
        <v>42</v>
      </c>
      <c r="L3862" s="36" t="s">
        <v>46</v>
      </c>
      <c r="M3862" s="1" t="s">
        <v>46</v>
      </c>
      <c r="N3862" s="1" t="s">
        <v>325</v>
      </c>
      <c r="O3862" s="1" t="s">
        <v>161</v>
      </c>
      <c r="P3862" s="1" t="s">
        <v>3863</v>
      </c>
      <c r="Q3862" s="1" t="s">
        <v>46</v>
      </c>
      <c r="R3862" s="1" t="s">
        <v>72</v>
      </c>
      <c r="S3862" s="1" t="s">
        <v>46</v>
      </c>
      <c r="T3862" s="1" t="s">
        <v>46</v>
      </c>
      <c r="U3862" s="1" t="s">
        <v>46</v>
      </c>
      <c r="V3862" s="1" t="n">
        <v>1</v>
      </c>
      <c r="W3862" s="1" t="s">
        <v>46</v>
      </c>
      <c r="X3862" s="1" t="s">
        <v>47</v>
      </c>
      <c r="Y3862" s="1" t="n">
        <v>5500</v>
      </c>
    </row>
    <row r="3863" customFormat="false" ht="13.8" hidden="false" customHeight="false" outlineLevel="0" collapsed="false">
      <c r="A3863" s="1" t="s">
        <v>4017</v>
      </c>
      <c r="B3863" s="2" t="s">
        <v>3856</v>
      </c>
      <c r="C3863" s="1" t="s">
        <v>4018</v>
      </c>
      <c r="D3863" s="1" t="s">
        <v>15</v>
      </c>
      <c r="E3863" s="1" t="s">
        <v>3858</v>
      </c>
      <c r="F3863" s="1" t="s">
        <v>3859</v>
      </c>
      <c r="G3863" s="1" t="s">
        <v>3860</v>
      </c>
      <c r="H3863" s="2" t="s">
        <v>2786</v>
      </c>
      <c r="I3863" s="1" t="s">
        <v>3889</v>
      </c>
      <c r="J3863" s="1" t="s">
        <v>38</v>
      </c>
      <c r="K3863" s="1" t="n">
        <v>43</v>
      </c>
      <c r="L3863" s="36" t="s">
        <v>46</v>
      </c>
      <c r="M3863" s="1" t="s">
        <v>46</v>
      </c>
      <c r="N3863" s="1" t="s">
        <v>325</v>
      </c>
      <c r="O3863" s="1" t="s">
        <v>161</v>
      </c>
      <c r="P3863" s="1" t="s">
        <v>3863</v>
      </c>
      <c r="Q3863" s="1" t="s">
        <v>46</v>
      </c>
      <c r="R3863" s="1" t="s">
        <v>72</v>
      </c>
      <c r="S3863" s="1" t="s">
        <v>46</v>
      </c>
      <c r="T3863" s="1" t="s">
        <v>46</v>
      </c>
      <c r="U3863" s="1" t="s">
        <v>46</v>
      </c>
      <c r="V3863" s="1" t="n">
        <v>1</v>
      </c>
      <c r="W3863" s="1" t="s">
        <v>46</v>
      </c>
      <c r="X3863" s="1" t="s">
        <v>47</v>
      </c>
      <c r="Y3863" s="1" t="n">
        <v>5500</v>
      </c>
    </row>
    <row r="3864" customFormat="false" ht="13.8" hidden="false" customHeight="false" outlineLevel="0" collapsed="false">
      <c r="A3864" s="1" t="s">
        <v>4017</v>
      </c>
      <c r="B3864" s="2" t="s">
        <v>3856</v>
      </c>
      <c r="C3864" s="1" t="s">
        <v>4018</v>
      </c>
      <c r="D3864" s="1" t="s">
        <v>15</v>
      </c>
      <c r="E3864" s="1" t="s">
        <v>3858</v>
      </c>
      <c r="F3864" s="1" t="s">
        <v>3859</v>
      </c>
      <c r="G3864" s="1" t="s">
        <v>3860</v>
      </c>
      <c r="H3864" s="2" t="s">
        <v>3096</v>
      </c>
      <c r="I3864" s="1" t="s">
        <v>3890</v>
      </c>
      <c r="J3864" s="1" t="s">
        <v>38</v>
      </c>
      <c r="K3864" s="1" t="n">
        <v>47</v>
      </c>
      <c r="L3864" s="36" t="s">
        <v>46</v>
      </c>
      <c r="M3864" s="1" t="s">
        <v>46</v>
      </c>
      <c r="N3864" s="1" t="s">
        <v>325</v>
      </c>
      <c r="O3864" s="1" t="s">
        <v>161</v>
      </c>
      <c r="P3864" s="1" t="s">
        <v>3863</v>
      </c>
      <c r="Q3864" s="1" t="s">
        <v>46</v>
      </c>
      <c r="R3864" s="1" t="s">
        <v>72</v>
      </c>
      <c r="S3864" s="1" t="s">
        <v>46</v>
      </c>
      <c r="T3864" s="1" t="s">
        <v>46</v>
      </c>
      <c r="U3864" s="1" t="s">
        <v>46</v>
      </c>
      <c r="V3864" s="1" t="n">
        <v>1</v>
      </c>
      <c r="W3864" s="1" t="s">
        <v>46</v>
      </c>
      <c r="X3864" s="1" t="s">
        <v>47</v>
      </c>
      <c r="Y3864" s="1" t="n">
        <v>5500</v>
      </c>
    </row>
    <row r="3865" customFormat="false" ht="13.8" hidden="false" customHeight="false" outlineLevel="0" collapsed="false">
      <c r="A3865" s="1" t="s">
        <v>4017</v>
      </c>
      <c r="B3865" s="2" t="s">
        <v>3856</v>
      </c>
      <c r="C3865" s="1" t="s">
        <v>4018</v>
      </c>
      <c r="D3865" s="1" t="s">
        <v>15</v>
      </c>
      <c r="E3865" s="1" t="s">
        <v>3858</v>
      </c>
      <c r="F3865" s="1" t="s">
        <v>3859</v>
      </c>
      <c r="G3865" s="1" t="s">
        <v>3860</v>
      </c>
      <c r="H3865" s="2" t="s">
        <v>3893</v>
      </c>
      <c r="I3865" s="1" t="s">
        <v>3894</v>
      </c>
      <c r="J3865" s="1" t="s">
        <v>38</v>
      </c>
      <c r="K3865" s="1" t="n">
        <v>51</v>
      </c>
      <c r="L3865" s="36" t="s">
        <v>46</v>
      </c>
      <c r="M3865" s="1" t="s">
        <v>46</v>
      </c>
      <c r="N3865" s="1" t="s">
        <v>325</v>
      </c>
      <c r="O3865" s="1" t="s">
        <v>161</v>
      </c>
      <c r="P3865" s="1" t="s">
        <v>3863</v>
      </c>
      <c r="Q3865" s="1" t="s">
        <v>46</v>
      </c>
      <c r="R3865" s="1" t="s">
        <v>72</v>
      </c>
      <c r="S3865" s="1" t="s">
        <v>46</v>
      </c>
      <c r="T3865" s="1" t="s">
        <v>46</v>
      </c>
      <c r="U3865" s="1" t="s">
        <v>46</v>
      </c>
      <c r="V3865" s="1" t="n">
        <v>1</v>
      </c>
      <c r="W3865" s="1" t="s">
        <v>46</v>
      </c>
      <c r="X3865" s="1" t="s">
        <v>47</v>
      </c>
      <c r="Y3865" s="1" t="n">
        <v>5500</v>
      </c>
    </row>
    <row r="3866" customFormat="false" ht="13.8" hidden="false" customHeight="false" outlineLevel="0" collapsed="false">
      <c r="A3866" s="1" t="s">
        <v>4017</v>
      </c>
      <c r="B3866" s="2" t="s">
        <v>3856</v>
      </c>
      <c r="C3866" s="1" t="s">
        <v>4018</v>
      </c>
      <c r="D3866" s="1" t="s">
        <v>15</v>
      </c>
      <c r="E3866" s="1" t="s">
        <v>3858</v>
      </c>
      <c r="F3866" s="1" t="s">
        <v>3859</v>
      </c>
      <c r="G3866" s="1" t="s">
        <v>3860</v>
      </c>
      <c r="H3866" s="2" t="s">
        <v>3895</v>
      </c>
      <c r="I3866" s="1" t="s">
        <v>3896</v>
      </c>
      <c r="J3866" s="1" t="s">
        <v>38</v>
      </c>
      <c r="K3866" s="1" t="n">
        <v>53</v>
      </c>
      <c r="L3866" s="36" t="s">
        <v>46</v>
      </c>
      <c r="M3866" s="1" t="s">
        <v>46</v>
      </c>
      <c r="N3866" s="1" t="s">
        <v>325</v>
      </c>
      <c r="O3866" s="1" t="s">
        <v>161</v>
      </c>
      <c r="P3866" s="1" t="s">
        <v>3863</v>
      </c>
      <c r="Q3866" s="1" t="s">
        <v>46</v>
      </c>
      <c r="R3866" s="1" t="s">
        <v>72</v>
      </c>
      <c r="S3866" s="1" t="s">
        <v>46</v>
      </c>
      <c r="T3866" s="1" t="s">
        <v>46</v>
      </c>
      <c r="U3866" s="1" t="s">
        <v>46</v>
      </c>
      <c r="V3866" s="1" t="n">
        <v>1</v>
      </c>
      <c r="W3866" s="1" t="s">
        <v>46</v>
      </c>
      <c r="X3866" s="1" t="s">
        <v>47</v>
      </c>
      <c r="Y3866" s="1" t="n">
        <v>5500</v>
      </c>
    </row>
    <row r="3867" customFormat="false" ht="13.8" hidden="false" customHeight="false" outlineLevel="0" collapsed="false">
      <c r="A3867" s="1" t="s">
        <v>4017</v>
      </c>
      <c r="B3867" s="2" t="s">
        <v>3856</v>
      </c>
      <c r="C3867" s="1" t="s">
        <v>4018</v>
      </c>
      <c r="D3867" s="1" t="s">
        <v>15</v>
      </c>
      <c r="E3867" s="1" t="s">
        <v>3858</v>
      </c>
      <c r="F3867" s="1" t="s">
        <v>3859</v>
      </c>
      <c r="G3867" s="1" t="s">
        <v>3860</v>
      </c>
      <c r="H3867" s="2" t="s">
        <v>64</v>
      </c>
      <c r="I3867" s="1" t="s">
        <v>3897</v>
      </c>
      <c r="J3867" s="1" t="s">
        <v>52</v>
      </c>
      <c r="K3867" s="1" t="s">
        <v>157</v>
      </c>
      <c r="L3867" s="36" t="s">
        <v>46</v>
      </c>
      <c r="M3867" s="1" t="s">
        <v>46</v>
      </c>
      <c r="N3867" s="1" t="s">
        <v>65</v>
      </c>
      <c r="O3867" s="1" t="s">
        <v>46</v>
      </c>
      <c r="P3867" s="1" t="s">
        <v>46</v>
      </c>
      <c r="Q3867" s="1" t="s">
        <v>46</v>
      </c>
      <c r="R3867" s="1" t="s">
        <v>46</v>
      </c>
      <c r="S3867" s="1" t="s">
        <v>46</v>
      </c>
      <c r="T3867" s="1" t="s">
        <v>46</v>
      </c>
      <c r="U3867" s="1" t="s">
        <v>46</v>
      </c>
      <c r="V3867" s="1" t="n">
        <v>1</v>
      </c>
      <c r="W3867" s="1" t="s">
        <v>46</v>
      </c>
      <c r="X3867" s="1" t="s">
        <v>46</v>
      </c>
      <c r="Y3867" s="1" t="n">
        <v>5500</v>
      </c>
    </row>
    <row r="3868" customFormat="false" ht="13.8" hidden="false" customHeight="false" outlineLevel="0" collapsed="false">
      <c r="A3868" s="1" t="s">
        <v>4017</v>
      </c>
      <c r="B3868" s="2" t="s">
        <v>3856</v>
      </c>
      <c r="C3868" s="1" t="s">
        <v>4018</v>
      </c>
      <c r="D3868" s="1" t="s">
        <v>15</v>
      </c>
      <c r="E3868" s="1" t="s">
        <v>3858</v>
      </c>
      <c r="F3868" s="1" t="s">
        <v>3859</v>
      </c>
      <c r="G3868" s="1" t="s">
        <v>3860</v>
      </c>
      <c r="H3868" s="2" t="s">
        <v>66</v>
      </c>
      <c r="I3868" s="1" t="s">
        <v>3898</v>
      </c>
      <c r="J3868" s="1" t="s">
        <v>52</v>
      </c>
      <c r="K3868" s="1" t="s">
        <v>165</v>
      </c>
      <c r="L3868" s="36" t="s">
        <v>46</v>
      </c>
      <c r="M3868" s="1" t="s">
        <v>46</v>
      </c>
      <c r="N3868" s="1" t="s">
        <v>65</v>
      </c>
      <c r="O3868" s="1" t="s">
        <v>46</v>
      </c>
      <c r="P3868" s="1" t="s">
        <v>46</v>
      </c>
      <c r="Q3868" s="1" t="s">
        <v>46</v>
      </c>
      <c r="R3868" s="1" t="s">
        <v>46</v>
      </c>
      <c r="S3868" s="1" t="s">
        <v>46</v>
      </c>
      <c r="T3868" s="1" t="s">
        <v>46</v>
      </c>
      <c r="U3868" s="1" t="s">
        <v>46</v>
      </c>
      <c r="V3868" s="1" t="n">
        <v>1</v>
      </c>
      <c r="W3868" s="1" t="s">
        <v>46</v>
      </c>
      <c r="X3868" s="1" t="s">
        <v>46</v>
      </c>
      <c r="Y3868" s="1" t="n">
        <v>5500</v>
      </c>
    </row>
    <row r="3869" customFormat="false" ht="13.8" hidden="false" customHeight="false" outlineLevel="0" collapsed="false">
      <c r="A3869" s="1" t="s">
        <v>4017</v>
      </c>
      <c r="B3869" s="2" t="s">
        <v>3856</v>
      </c>
      <c r="C3869" s="1" t="s">
        <v>4018</v>
      </c>
      <c r="D3869" s="1" t="s">
        <v>15</v>
      </c>
      <c r="E3869" s="1" t="s">
        <v>3858</v>
      </c>
      <c r="F3869" s="1" t="s">
        <v>3859</v>
      </c>
      <c r="G3869" s="1" t="s">
        <v>3860</v>
      </c>
      <c r="H3869" s="2" t="s">
        <v>67</v>
      </c>
      <c r="I3869" s="1" t="s">
        <v>3899</v>
      </c>
      <c r="J3869" s="1" t="s">
        <v>52</v>
      </c>
      <c r="K3869" s="1" t="s">
        <v>171</v>
      </c>
      <c r="L3869" s="36" t="s">
        <v>46</v>
      </c>
      <c r="M3869" s="1" t="s">
        <v>46</v>
      </c>
      <c r="N3869" s="1" t="s">
        <v>65</v>
      </c>
      <c r="O3869" s="1" t="s">
        <v>46</v>
      </c>
      <c r="P3869" s="1" t="s">
        <v>46</v>
      </c>
      <c r="Q3869" s="1" t="s">
        <v>46</v>
      </c>
      <c r="R3869" s="1" t="s">
        <v>46</v>
      </c>
      <c r="S3869" s="1" t="s">
        <v>46</v>
      </c>
      <c r="T3869" s="1" t="s">
        <v>46</v>
      </c>
      <c r="U3869" s="1" t="s">
        <v>46</v>
      </c>
      <c r="V3869" s="1" t="n">
        <v>1</v>
      </c>
      <c r="W3869" s="1" t="s">
        <v>46</v>
      </c>
      <c r="X3869" s="1" t="s">
        <v>46</v>
      </c>
      <c r="Y3869" s="1" t="n">
        <v>5500</v>
      </c>
    </row>
    <row r="3870" customFormat="false" ht="13.8" hidden="false" customHeight="false" outlineLevel="0" collapsed="false">
      <c r="A3870" s="1" t="s">
        <v>4017</v>
      </c>
      <c r="B3870" s="2" t="s">
        <v>3856</v>
      </c>
      <c r="C3870" s="1" t="s">
        <v>4018</v>
      </c>
      <c r="D3870" s="1" t="s">
        <v>15</v>
      </c>
      <c r="E3870" s="1" t="s">
        <v>3858</v>
      </c>
      <c r="F3870" s="1" t="s">
        <v>3859</v>
      </c>
      <c r="G3870" s="1" t="s">
        <v>3860</v>
      </c>
      <c r="H3870" s="2" t="s">
        <v>221</v>
      </c>
      <c r="I3870" s="1" t="s">
        <v>3900</v>
      </c>
      <c r="J3870" s="1" t="s">
        <v>52</v>
      </c>
      <c r="K3870" s="1" t="s">
        <v>1256</v>
      </c>
      <c r="L3870" s="36" t="s">
        <v>46</v>
      </c>
      <c r="M3870" s="1" t="s">
        <v>46</v>
      </c>
      <c r="N3870" s="1" t="s">
        <v>65</v>
      </c>
      <c r="O3870" s="1" t="s">
        <v>46</v>
      </c>
      <c r="P3870" s="1" t="s">
        <v>46</v>
      </c>
      <c r="Q3870" s="1" t="s">
        <v>46</v>
      </c>
      <c r="R3870" s="1" t="s">
        <v>46</v>
      </c>
      <c r="S3870" s="1" t="s">
        <v>46</v>
      </c>
      <c r="T3870" s="1" t="s">
        <v>46</v>
      </c>
      <c r="U3870" s="1" t="s">
        <v>46</v>
      </c>
      <c r="V3870" s="1" t="n">
        <v>1</v>
      </c>
      <c r="W3870" s="1" t="s">
        <v>46</v>
      </c>
      <c r="X3870" s="1" t="s">
        <v>46</v>
      </c>
      <c r="Y3870" s="1" t="n">
        <v>5500</v>
      </c>
    </row>
    <row r="3871" customFormat="false" ht="13.8" hidden="false" customHeight="false" outlineLevel="0" collapsed="false">
      <c r="A3871" s="1" t="s">
        <v>4017</v>
      </c>
      <c r="B3871" s="2" t="s">
        <v>3856</v>
      </c>
      <c r="C3871" s="1" t="s">
        <v>4018</v>
      </c>
      <c r="D3871" s="1" t="s">
        <v>15</v>
      </c>
      <c r="E3871" s="1" t="s">
        <v>3858</v>
      </c>
      <c r="F3871" s="1" t="s">
        <v>3859</v>
      </c>
      <c r="G3871" s="1" t="s">
        <v>3860</v>
      </c>
      <c r="H3871" s="2" t="s">
        <v>2450</v>
      </c>
      <c r="I3871" s="1" t="s">
        <v>3901</v>
      </c>
      <c r="J3871" s="1" t="s">
        <v>52</v>
      </c>
      <c r="K3871" s="1" t="s">
        <v>3902</v>
      </c>
      <c r="L3871" s="36" t="s">
        <v>46</v>
      </c>
      <c r="M3871" s="1" t="s">
        <v>46</v>
      </c>
      <c r="N3871" s="1" t="s">
        <v>65</v>
      </c>
      <c r="O3871" s="1" t="s">
        <v>46</v>
      </c>
      <c r="P3871" s="1" t="s">
        <v>46</v>
      </c>
      <c r="Q3871" s="1" t="s">
        <v>46</v>
      </c>
      <c r="R3871" s="1" t="s">
        <v>46</v>
      </c>
      <c r="S3871" s="1" t="s">
        <v>46</v>
      </c>
      <c r="T3871" s="1" t="s">
        <v>46</v>
      </c>
      <c r="U3871" s="1" t="s">
        <v>46</v>
      </c>
      <c r="V3871" s="1" t="n">
        <v>1</v>
      </c>
      <c r="W3871" s="1" t="s">
        <v>46</v>
      </c>
      <c r="X3871" s="1" t="s">
        <v>46</v>
      </c>
      <c r="Y3871" s="1" t="n">
        <v>5500</v>
      </c>
    </row>
    <row r="3872" customFormat="false" ht="13.8" hidden="false" customHeight="false" outlineLevel="0" collapsed="false">
      <c r="A3872" s="1" t="s">
        <v>4017</v>
      </c>
      <c r="B3872" s="2" t="s">
        <v>3856</v>
      </c>
      <c r="C3872" s="1" t="s">
        <v>4018</v>
      </c>
      <c r="D3872" s="1" t="s">
        <v>15</v>
      </c>
      <c r="E3872" s="1" t="s">
        <v>3858</v>
      </c>
      <c r="F3872" s="1" t="s">
        <v>3859</v>
      </c>
      <c r="G3872" s="1" t="s">
        <v>3860</v>
      </c>
      <c r="H3872" s="2" t="s">
        <v>3903</v>
      </c>
      <c r="I3872" s="1" t="s">
        <v>3904</v>
      </c>
      <c r="J3872" s="1" t="s">
        <v>52</v>
      </c>
      <c r="K3872" s="1" t="s">
        <v>3905</v>
      </c>
      <c r="L3872" s="36" t="s">
        <v>46</v>
      </c>
      <c r="M3872" s="1" t="s">
        <v>46</v>
      </c>
      <c r="N3872" s="1" t="s">
        <v>65</v>
      </c>
      <c r="O3872" s="1" t="s">
        <v>46</v>
      </c>
      <c r="P3872" s="1" t="s">
        <v>46</v>
      </c>
      <c r="Q3872" s="1" t="s">
        <v>46</v>
      </c>
      <c r="R3872" s="1" t="s">
        <v>46</v>
      </c>
      <c r="S3872" s="1" t="s">
        <v>46</v>
      </c>
      <c r="T3872" s="1" t="s">
        <v>46</v>
      </c>
      <c r="U3872" s="1" t="s">
        <v>46</v>
      </c>
      <c r="V3872" s="1" t="n">
        <v>1</v>
      </c>
      <c r="W3872" s="1" t="s">
        <v>46</v>
      </c>
      <c r="X3872" s="1" t="s">
        <v>46</v>
      </c>
      <c r="Y3872" s="1" t="n">
        <v>5500</v>
      </c>
    </row>
    <row r="3873" customFormat="false" ht="13.8" hidden="false" customHeight="false" outlineLevel="0" collapsed="false">
      <c r="A3873" s="1" t="s">
        <v>4017</v>
      </c>
      <c r="B3873" s="2" t="s">
        <v>3856</v>
      </c>
      <c r="C3873" s="1" t="s">
        <v>4018</v>
      </c>
      <c r="D3873" s="1" t="s">
        <v>15</v>
      </c>
      <c r="E3873" s="1" t="s">
        <v>3858</v>
      </c>
      <c r="F3873" s="1" t="s">
        <v>3859</v>
      </c>
      <c r="G3873" s="1" t="s">
        <v>3860</v>
      </c>
      <c r="H3873" s="2" t="s">
        <v>463</v>
      </c>
      <c r="I3873" s="1" t="s">
        <v>3906</v>
      </c>
      <c r="J3873" s="1" t="s">
        <v>52</v>
      </c>
      <c r="K3873" s="1" t="s">
        <v>3907</v>
      </c>
      <c r="L3873" s="36" t="s">
        <v>46</v>
      </c>
      <c r="M3873" s="1" t="s">
        <v>46</v>
      </c>
      <c r="N3873" s="1" t="s">
        <v>3908</v>
      </c>
      <c r="O3873" s="1" t="s">
        <v>46</v>
      </c>
      <c r="P3873" s="1" t="s">
        <v>46</v>
      </c>
      <c r="Q3873" s="1" t="s">
        <v>46</v>
      </c>
      <c r="R3873" s="1" t="s">
        <v>46</v>
      </c>
      <c r="S3873" s="1" t="s">
        <v>46</v>
      </c>
      <c r="T3873" s="1" t="s">
        <v>46</v>
      </c>
      <c r="U3873" s="1" t="s">
        <v>46</v>
      </c>
      <c r="V3873" s="1" t="n">
        <v>1</v>
      </c>
      <c r="W3873" s="1" t="s">
        <v>46</v>
      </c>
      <c r="X3873" s="1" t="s">
        <v>47</v>
      </c>
      <c r="Y3873" s="1" t="n">
        <v>5500</v>
      </c>
    </row>
    <row r="3874" customFormat="false" ht="13.8" hidden="false" customHeight="false" outlineLevel="0" collapsed="false">
      <c r="A3874" s="1" t="s">
        <v>4017</v>
      </c>
      <c r="B3874" s="2" t="s">
        <v>3856</v>
      </c>
      <c r="C3874" s="1" t="s">
        <v>4018</v>
      </c>
      <c r="D3874" s="1" t="s">
        <v>15</v>
      </c>
      <c r="E3874" s="1" t="s">
        <v>3858</v>
      </c>
      <c r="F3874" s="1" t="s">
        <v>3859</v>
      </c>
      <c r="G3874" s="1" t="s">
        <v>3860</v>
      </c>
      <c r="H3874" s="2" t="s">
        <v>468</v>
      </c>
      <c r="I3874" s="1" t="s">
        <v>3909</v>
      </c>
      <c r="J3874" s="1" t="s">
        <v>52</v>
      </c>
      <c r="K3874" s="1" t="s">
        <v>3910</v>
      </c>
      <c r="L3874" s="36" t="s">
        <v>46</v>
      </c>
      <c r="M3874" s="1" t="s">
        <v>46</v>
      </c>
      <c r="N3874" s="1" t="s">
        <v>3908</v>
      </c>
      <c r="O3874" s="1" t="s">
        <v>46</v>
      </c>
      <c r="P3874" s="1" t="s">
        <v>46</v>
      </c>
      <c r="Q3874" s="1" t="s">
        <v>46</v>
      </c>
      <c r="R3874" s="1" t="s">
        <v>46</v>
      </c>
      <c r="S3874" s="1" t="s">
        <v>46</v>
      </c>
      <c r="T3874" s="1" t="s">
        <v>46</v>
      </c>
      <c r="U3874" s="1" t="s">
        <v>46</v>
      </c>
      <c r="V3874" s="1" t="n">
        <v>1</v>
      </c>
      <c r="W3874" s="1" t="s">
        <v>46</v>
      </c>
      <c r="X3874" s="1" t="s">
        <v>47</v>
      </c>
      <c r="Y3874" s="1" t="n">
        <v>5500</v>
      </c>
    </row>
    <row r="3875" customFormat="false" ht="13.8" hidden="false" customHeight="false" outlineLevel="0" collapsed="false">
      <c r="A3875" s="1" t="s">
        <v>4017</v>
      </c>
      <c r="B3875" s="2" t="s">
        <v>3856</v>
      </c>
      <c r="C3875" s="1" t="s">
        <v>4018</v>
      </c>
      <c r="D3875" s="1" t="s">
        <v>15</v>
      </c>
      <c r="E3875" s="1" t="s">
        <v>3858</v>
      </c>
      <c r="F3875" s="1" t="s">
        <v>3859</v>
      </c>
      <c r="G3875" s="1" t="s">
        <v>3860</v>
      </c>
      <c r="H3875" s="2" t="s">
        <v>472</v>
      </c>
      <c r="I3875" s="1" t="s">
        <v>3911</v>
      </c>
      <c r="J3875" s="1" t="s">
        <v>52</v>
      </c>
      <c r="K3875" s="1" t="s">
        <v>3912</v>
      </c>
      <c r="L3875" s="36" t="s">
        <v>46</v>
      </c>
      <c r="M3875" s="1" t="s">
        <v>46</v>
      </c>
      <c r="N3875" s="1" t="s">
        <v>3908</v>
      </c>
      <c r="O3875" s="1" t="s">
        <v>46</v>
      </c>
      <c r="P3875" s="1" t="s">
        <v>46</v>
      </c>
      <c r="Q3875" s="1" t="s">
        <v>46</v>
      </c>
      <c r="R3875" s="1" t="s">
        <v>46</v>
      </c>
      <c r="S3875" s="1" t="s">
        <v>46</v>
      </c>
      <c r="T3875" s="1" t="s">
        <v>46</v>
      </c>
      <c r="U3875" s="1" t="s">
        <v>46</v>
      </c>
      <c r="V3875" s="1" t="n">
        <v>1</v>
      </c>
      <c r="W3875" s="1" t="s">
        <v>46</v>
      </c>
      <c r="X3875" s="1" t="s">
        <v>47</v>
      </c>
      <c r="Y3875" s="1" t="n">
        <v>5500</v>
      </c>
    </row>
    <row r="3876" customFormat="false" ht="13.8" hidden="false" customHeight="false" outlineLevel="0" collapsed="false">
      <c r="A3876" s="1" t="s">
        <v>4017</v>
      </c>
      <c r="B3876" s="2" t="s">
        <v>3856</v>
      </c>
      <c r="C3876" s="1" t="s">
        <v>4018</v>
      </c>
      <c r="D3876" s="1" t="s">
        <v>15</v>
      </c>
      <c r="E3876" s="1" t="s">
        <v>3858</v>
      </c>
      <c r="F3876" s="1" t="s">
        <v>3859</v>
      </c>
      <c r="G3876" s="1" t="s">
        <v>3860</v>
      </c>
      <c r="H3876" s="2" t="s">
        <v>476</v>
      </c>
      <c r="I3876" s="1" t="s">
        <v>3913</v>
      </c>
      <c r="J3876" s="1" t="s">
        <v>52</v>
      </c>
      <c r="K3876" s="1" t="s">
        <v>3914</v>
      </c>
      <c r="L3876" s="36" t="s">
        <v>46</v>
      </c>
      <c r="M3876" s="1" t="s">
        <v>46</v>
      </c>
      <c r="N3876" s="1" t="s">
        <v>3908</v>
      </c>
      <c r="O3876" s="1" t="s">
        <v>46</v>
      </c>
      <c r="P3876" s="1" t="s">
        <v>46</v>
      </c>
      <c r="Q3876" s="1" t="s">
        <v>46</v>
      </c>
      <c r="R3876" s="1" t="s">
        <v>46</v>
      </c>
      <c r="S3876" s="1" t="s">
        <v>46</v>
      </c>
      <c r="T3876" s="1" t="s">
        <v>46</v>
      </c>
      <c r="U3876" s="1" t="s">
        <v>46</v>
      </c>
      <c r="V3876" s="1" t="n">
        <v>1</v>
      </c>
      <c r="W3876" s="1" t="s">
        <v>46</v>
      </c>
      <c r="X3876" s="1" t="s">
        <v>47</v>
      </c>
      <c r="Y3876" s="1" t="n">
        <v>5500</v>
      </c>
    </row>
    <row r="3877" customFormat="false" ht="13.8" hidden="false" customHeight="false" outlineLevel="0" collapsed="false">
      <c r="A3877" s="1" t="s">
        <v>4017</v>
      </c>
      <c r="B3877" s="2" t="s">
        <v>3856</v>
      </c>
      <c r="C3877" s="1" t="s">
        <v>4018</v>
      </c>
      <c r="D3877" s="1" t="s">
        <v>15</v>
      </c>
      <c r="E3877" s="1" t="s">
        <v>3858</v>
      </c>
      <c r="F3877" s="1" t="s">
        <v>3859</v>
      </c>
      <c r="G3877" s="1" t="s">
        <v>3860</v>
      </c>
      <c r="H3877" s="2" t="s">
        <v>3915</v>
      </c>
      <c r="I3877" s="1" t="s">
        <v>3916</v>
      </c>
      <c r="J3877" s="1" t="s">
        <v>52</v>
      </c>
      <c r="K3877" s="1" t="s">
        <v>3917</v>
      </c>
      <c r="L3877" s="36" t="s">
        <v>46</v>
      </c>
      <c r="M3877" s="1" t="s">
        <v>46</v>
      </c>
      <c r="N3877" s="1" t="s">
        <v>3908</v>
      </c>
      <c r="O3877" s="1" t="s">
        <v>46</v>
      </c>
      <c r="P3877" s="1" t="s">
        <v>46</v>
      </c>
      <c r="Q3877" s="1" t="s">
        <v>46</v>
      </c>
      <c r="R3877" s="1" t="s">
        <v>46</v>
      </c>
      <c r="S3877" s="1" t="s">
        <v>46</v>
      </c>
      <c r="T3877" s="1" t="s">
        <v>46</v>
      </c>
      <c r="U3877" s="1" t="s">
        <v>46</v>
      </c>
      <c r="V3877" s="1" t="n">
        <v>1</v>
      </c>
      <c r="W3877" s="1" t="s">
        <v>46</v>
      </c>
      <c r="X3877" s="1" t="s">
        <v>47</v>
      </c>
      <c r="Y3877" s="1" t="n">
        <v>5500</v>
      </c>
    </row>
    <row r="3878" customFormat="false" ht="13.8" hidden="false" customHeight="false" outlineLevel="0" collapsed="false">
      <c r="A3878" s="1" t="s">
        <v>4017</v>
      </c>
      <c r="B3878" s="2" t="s">
        <v>3856</v>
      </c>
      <c r="C3878" s="1" t="s">
        <v>4018</v>
      </c>
      <c r="D3878" s="1" t="s">
        <v>15</v>
      </c>
      <c r="E3878" s="1" t="s">
        <v>3858</v>
      </c>
      <c r="F3878" s="1" t="s">
        <v>3859</v>
      </c>
      <c r="G3878" s="1" t="s">
        <v>3860</v>
      </c>
      <c r="H3878" s="2" t="s">
        <v>3918</v>
      </c>
      <c r="I3878" s="1" t="s">
        <v>3919</v>
      </c>
      <c r="J3878" s="1" t="s">
        <v>52</v>
      </c>
      <c r="K3878" s="1" t="s">
        <v>3920</v>
      </c>
      <c r="L3878" s="36" t="s">
        <v>46</v>
      </c>
      <c r="M3878" s="1" t="s">
        <v>46</v>
      </c>
      <c r="N3878" s="1" t="s">
        <v>3908</v>
      </c>
      <c r="O3878" s="1" t="s">
        <v>46</v>
      </c>
      <c r="P3878" s="1" t="s">
        <v>46</v>
      </c>
      <c r="Q3878" s="1" t="s">
        <v>46</v>
      </c>
      <c r="R3878" s="1" t="s">
        <v>46</v>
      </c>
      <c r="S3878" s="1" t="s">
        <v>46</v>
      </c>
      <c r="T3878" s="1" t="s">
        <v>46</v>
      </c>
      <c r="U3878" s="1" t="s">
        <v>46</v>
      </c>
      <c r="V3878" s="1" t="n">
        <v>1</v>
      </c>
      <c r="W3878" s="1" t="s">
        <v>46</v>
      </c>
      <c r="X3878" s="1" t="s">
        <v>47</v>
      </c>
      <c r="Y3878" s="1" t="n">
        <v>5500</v>
      </c>
    </row>
    <row r="3879" customFormat="false" ht="13.8" hidden="false" customHeight="false" outlineLevel="0" collapsed="false">
      <c r="A3879" s="1" t="s">
        <v>4017</v>
      </c>
      <c r="B3879" s="2" t="s">
        <v>3856</v>
      </c>
      <c r="C3879" s="1" t="s">
        <v>4018</v>
      </c>
      <c r="D3879" s="1" t="s">
        <v>15</v>
      </c>
      <c r="E3879" s="1" t="s">
        <v>3858</v>
      </c>
      <c r="F3879" s="1" t="s">
        <v>3859</v>
      </c>
      <c r="G3879" s="1" t="s">
        <v>3860</v>
      </c>
      <c r="H3879" s="2" t="s">
        <v>348</v>
      </c>
      <c r="I3879" s="1" t="s">
        <v>3921</v>
      </c>
      <c r="J3879" s="1" t="s">
        <v>52</v>
      </c>
      <c r="K3879" s="1" t="s">
        <v>3922</v>
      </c>
      <c r="L3879" s="36" t="s">
        <v>46</v>
      </c>
      <c r="M3879" s="1" t="s">
        <v>46</v>
      </c>
      <c r="N3879" s="1" t="s">
        <v>281</v>
      </c>
      <c r="O3879" s="1" t="s">
        <v>46</v>
      </c>
      <c r="P3879" s="1" t="s">
        <v>46</v>
      </c>
      <c r="Q3879" s="1" t="s">
        <v>46</v>
      </c>
      <c r="R3879" s="1" t="s">
        <v>46</v>
      </c>
      <c r="S3879" s="1" t="s">
        <v>46</v>
      </c>
      <c r="T3879" s="1" t="s">
        <v>46</v>
      </c>
      <c r="U3879" s="1" t="s">
        <v>46</v>
      </c>
      <c r="V3879" s="1" t="n">
        <v>1</v>
      </c>
      <c r="W3879" s="1" t="s">
        <v>46</v>
      </c>
      <c r="X3879" s="1" t="s">
        <v>2740</v>
      </c>
      <c r="Y3879" s="1" t="n">
        <v>5500</v>
      </c>
    </row>
    <row r="3880" customFormat="false" ht="13.8" hidden="false" customHeight="false" outlineLevel="0" collapsed="false">
      <c r="A3880" s="1" t="s">
        <v>4017</v>
      </c>
      <c r="B3880" s="2" t="s">
        <v>3856</v>
      </c>
      <c r="C3880" s="1" t="s">
        <v>4018</v>
      </c>
      <c r="D3880" s="1" t="s">
        <v>15</v>
      </c>
      <c r="E3880" s="1" t="s">
        <v>3858</v>
      </c>
      <c r="F3880" s="1" t="s">
        <v>3859</v>
      </c>
      <c r="G3880" s="1" t="s">
        <v>3860</v>
      </c>
      <c r="H3880" s="2" t="s">
        <v>349</v>
      </c>
      <c r="I3880" s="1" t="s">
        <v>3923</v>
      </c>
      <c r="J3880" s="1" t="s">
        <v>52</v>
      </c>
      <c r="K3880" s="1" t="s">
        <v>3924</v>
      </c>
      <c r="L3880" s="36" t="s">
        <v>46</v>
      </c>
      <c r="M3880" s="1" t="s">
        <v>46</v>
      </c>
      <c r="N3880" s="1" t="s">
        <v>281</v>
      </c>
      <c r="O3880" s="1" t="s">
        <v>46</v>
      </c>
      <c r="P3880" s="1" t="s">
        <v>46</v>
      </c>
      <c r="Q3880" s="1" t="s">
        <v>46</v>
      </c>
      <c r="R3880" s="1" t="s">
        <v>46</v>
      </c>
      <c r="S3880" s="1" t="s">
        <v>46</v>
      </c>
      <c r="T3880" s="1" t="s">
        <v>46</v>
      </c>
      <c r="U3880" s="1" t="s">
        <v>46</v>
      </c>
      <c r="V3880" s="1" t="n">
        <v>1</v>
      </c>
      <c r="W3880" s="1" t="s">
        <v>46</v>
      </c>
      <c r="X3880" s="1" t="s">
        <v>2740</v>
      </c>
      <c r="Y3880" s="1" t="n">
        <v>5500</v>
      </c>
    </row>
    <row r="3881" customFormat="false" ht="13.8" hidden="false" customHeight="false" outlineLevel="0" collapsed="false">
      <c r="A3881" s="1" t="s">
        <v>4017</v>
      </c>
      <c r="B3881" s="2" t="s">
        <v>3856</v>
      </c>
      <c r="C3881" s="1" t="s">
        <v>4018</v>
      </c>
      <c r="D3881" s="1" t="s">
        <v>15</v>
      </c>
      <c r="E3881" s="1" t="s">
        <v>3858</v>
      </c>
      <c r="F3881" s="1" t="s">
        <v>3859</v>
      </c>
      <c r="G3881" s="1" t="s">
        <v>3860</v>
      </c>
      <c r="H3881" s="2" t="s">
        <v>350</v>
      </c>
      <c r="I3881" s="1" t="s">
        <v>3925</v>
      </c>
      <c r="J3881" s="1" t="s">
        <v>52</v>
      </c>
      <c r="K3881" s="1" t="s">
        <v>3926</v>
      </c>
      <c r="L3881" s="36" t="s">
        <v>46</v>
      </c>
      <c r="M3881" s="1" t="s">
        <v>46</v>
      </c>
      <c r="N3881" s="1" t="s">
        <v>281</v>
      </c>
      <c r="O3881" s="1" t="s">
        <v>46</v>
      </c>
      <c r="P3881" s="1" t="s">
        <v>46</v>
      </c>
      <c r="Q3881" s="1" t="s">
        <v>46</v>
      </c>
      <c r="R3881" s="1" t="s">
        <v>46</v>
      </c>
      <c r="S3881" s="1" t="s">
        <v>46</v>
      </c>
      <c r="T3881" s="1" t="s">
        <v>46</v>
      </c>
      <c r="U3881" s="1" t="s">
        <v>46</v>
      </c>
      <c r="V3881" s="1" t="n">
        <v>1</v>
      </c>
      <c r="W3881" s="1" t="s">
        <v>46</v>
      </c>
      <c r="X3881" s="1" t="s">
        <v>2740</v>
      </c>
      <c r="Y3881" s="1" t="n">
        <v>5500</v>
      </c>
    </row>
    <row r="3882" customFormat="false" ht="13.8" hidden="false" customHeight="false" outlineLevel="0" collapsed="false">
      <c r="A3882" s="1" t="s">
        <v>4017</v>
      </c>
      <c r="B3882" s="2" t="s">
        <v>3856</v>
      </c>
      <c r="C3882" s="1" t="s">
        <v>4018</v>
      </c>
      <c r="D3882" s="1" t="s">
        <v>15</v>
      </c>
      <c r="E3882" s="1" t="s">
        <v>3858</v>
      </c>
      <c r="F3882" s="1" t="s">
        <v>3859</v>
      </c>
      <c r="G3882" s="1" t="s">
        <v>3860</v>
      </c>
      <c r="H3882" s="2" t="s">
        <v>351</v>
      </c>
      <c r="I3882" s="1" t="s">
        <v>3927</v>
      </c>
      <c r="J3882" s="1" t="s">
        <v>52</v>
      </c>
      <c r="K3882" s="1" t="s">
        <v>3928</v>
      </c>
      <c r="L3882" s="36" t="s">
        <v>46</v>
      </c>
      <c r="M3882" s="1" t="s">
        <v>46</v>
      </c>
      <c r="N3882" s="1" t="s">
        <v>281</v>
      </c>
      <c r="O3882" s="1" t="s">
        <v>46</v>
      </c>
      <c r="P3882" s="1" t="s">
        <v>46</v>
      </c>
      <c r="Q3882" s="1" t="s">
        <v>46</v>
      </c>
      <c r="R3882" s="1" t="s">
        <v>46</v>
      </c>
      <c r="S3882" s="1" t="s">
        <v>46</v>
      </c>
      <c r="T3882" s="1" t="s">
        <v>46</v>
      </c>
      <c r="U3882" s="1" t="s">
        <v>46</v>
      </c>
      <c r="V3882" s="1" t="n">
        <v>1</v>
      </c>
      <c r="W3882" s="1" t="s">
        <v>46</v>
      </c>
      <c r="X3882" s="1" t="s">
        <v>2740</v>
      </c>
      <c r="Y3882" s="1" t="n">
        <v>5500</v>
      </c>
    </row>
    <row r="3883" customFormat="false" ht="13.8" hidden="false" customHeight="false" outlineLevel="0" collapsed="false">
      <c r="A3883" s="1" t="s">
        <v>4017</v>
      </c>
      <c r="B3883" s="2" t="s">
        <v>3856</v>
      </c>
      <c r="C3883" s="1" t="s">
        <v>4018</v>
      </c>
      <c r="D3883" s="1" t="s">
        <v>15</v>
      </c>
      <c r="E3883" s="1" t="s">
        <v>3858</v>
      </c>
      <c r="F3883" s="1" t="s">
        <v>3859</v>
      </c>
      <c r="G3883" s="1" t="s">
        <v>3860</v>
      </c>
      <c r="H3883" s="2" t="s">
        <v>352</v>
      </c>
      <c r="I3883" s="1" t="s">
        <v>3929</v>
      </c>
      <c r="J3883" s="1" t="s">
        <v>52</v>
      </c>
      <c r="K3883" s="1" t="s">
        <v>3930</v>
      </c>
      <c r="L3883" s="36" t="s">
        <v>46</v>
      </c>
      <c r="M3883" s="1" t="s">
        <v>46</v>
      </c>
      <c r="N3883" s="1" t="s">
        <v>281</v>
      </c>
      <c r="O3883" s="1" t="s">
        <v>46</v>
      </c>
      <c r="P3883" s="1" t="s">
        <v>46</v>
      </c>
      <c r="Q3883" s="1" t="s">
        <v>46</v>
      </c>
      <c r="R3883" s="1" t="s">
        <v>46</v>
      </c>
      <c r="S3883" s="1" t="s">
        <v>46</v>
      </c>
      <c r="T3883" s="1" t="s">
        <v>46</v>
      </c>
      <c r="U3883" s="1" t="s">
        <v>46</v>
      </c>
      <c r="V3883" s="1" t="n">
        <v>1</v>
      </c>
      <c r="W3883" s="1" t="s">
        <v>46</v>
      </c>
      <c r="X3883" s="1" t="s">
        <v>2740</v>
      </c>
      <c r="Y3883" s="1" t="n">
        <v>5500</v>
      </c>
    </row>
    <row r="3884" customFormat="false" ht="13.8" hidden="false" customHeight="false" outlineLevel="0" collapsed="false">
      <c r="A3884" s="1" t="s">
        <v>4017</v>
      </c>
      <c r="B3884" s="2" t="s">
        <v>3856</v>
      </c>
      <c r="C3884" s="1" t="s">
        <v>4018</v>
      </c>
      <c r="D3884" s="1" t="s">
        <v>15</v>
      </c>
      <c r="E3884" s="1" t="s">
        <v>3858</v>
      </c>
      <c r="F3884" s="1" t="s">
        <v>3859</v>
      </c>
      <c r="G3884" s="1" t="s">
        <v>3860</v>
      </c>
      <c r="H3884" s="2" t="s">
        <v>3931</v>
      </c>
      <c r="I3884" s="1" t="s">
        <v>3932</v>
      </c>
      <c r="J3884" s="1" t="s">
        <v>52</v>
      </c>
      <c r="K3884" s="1" t="s">
        <v>3933</v>
      </c>
      <c r="L3884" s="36" t="s">
        <v>46</v>
      </c>
      <c r="M3884" s="1" t="s">
        <v>46</v>
      </c>
      <c r="N3884" s="1" t="s">
        <v>281</v>
      </c>
      <c r="O3884" s="1" t="s">
        <v>46</v>
      </c>
      <c r="P3884" s="1" t="s">
        <v>46</v>
      </c>
      <c r="Q3884" s="1" t="s">
        <v>46</v>
      </c>
      <c r="R3884" s="1" t="s">
        <v>46</v>
      </c>
      <c r="S3884" s="1" t="s">
        <v>46</v>
      </c>
      <c r="T3884" s="1" t="s">
        <v>46</v>
      </c>
      <c r="U3884" s="1" t="s">
        <v>46</v>
      </c>
      <c r="V3884" s="1" t="n">
        <v>1</v>
      </c>
      <c r="W3884" s="1" t="s">
        <v>46</v>
      </c>
      <c r="X3884" s="1" t="s">
        <v>2740</v>
      </c>
      <c r="Y3884" s="1" t="n">
        <v>5500</v>
      </c>
    </row>
    <row r="3885" customFormat="false" ht="13.8" hidden="false" customHeight="false" outlineLevel="0" collapsed="false">
      <c r="A3885" s="1" t="s">
        <v>4017</v>
      </c>
      <c r="B3885" s="2" t="s">
        <v>3856</v>
      </c>
      <c r="C3885" s="1" t="s">
        <v>4018</v>
      </c>
      <c r="D3885" s="1" t="s">
        <v>15</v>
      </c>
      <c r="E3885" s="1" t="s">
        <v>3936</v>
      </c>
      <c r="F3885" s="1" t="s">
        <v>3937</v>
      </c>
      <c r="G3885" s="1" t="s">
        <v>3938</v>
      </c>
      <c r="H3885" s="2" t="s">
        <v>3941</v>
      </c>
      <c r="I3885" s="1" t="s">
        <v>3942</v>
      </c>
      <c r="J3885" s="1" t="s">
        <v>52</v>
      </c>
      <c r="K3885" s="1" t="s">
        <v>3941</v>
      </c>
      <c r="L3885" s="36" t="s">
        <v>46</v>
      </c>
      <c r="M3885" s="1" t="s">
        <v>46</v>
      </c>
      <c r="N3885" s="1" t="s">
        <v>325</v>
      </c>
      <c r="O3885" s="1" t="s">
        <v>161</v>
      </c>
      <c r="P3885" s="1" t="s">
        <v>326</v>
      </c>
      <c r="Q3885" s="1" t="s">
        <v>46</v>
      </c>
      <c r="R3885" s="1" t="s">
        <v>72</v>
      </c>
      <c r="S3885" s="1" t="s">
        <v>46</v>
      </c>
      <c r="T3885" s="1" t="s">
        <v>46</v>
      </c>
      <c r="U3885" s="1" t="s">
        <v>46</v>
      </c>
      <c r="V3885" s="1" t="n">
        <v>1</v>
      </c>
      <c r="W3885" s="1" t="s">
        <v>46</v>
      </c>
      <c r="X3885" s="1" t="s">
        <v>47</v>
      </c>
      <c r="Y3885" s="1" t="n">
        <v>5500</v>
      </c>
    </row>
    <row r="3886" customFormat="false" ht="13.8" hidden="false" customHeight="false" outlineLevel="0" collapsed="false">
      <c r="A3886" s="1" t="s">
        <v>4017</v>
      </c>
      <c r="B3886" s="2" t="s">
        <v>3856</v>
      </c>
      <c r="C3886" s="1" t="s">
        <v>4018</v>
      </c>
      <c r="D3886" s="1" t="s">
        <v>15</v>
      </c>
      <c r="E3886" s="1" t="s">
        <v>3936</v>
      </c>
      <c r="F3886" s="1" t="s">
        <v>3937</v>
      </c>
      <c r="G3886" s="1" t="s">
        <v>3938</v>
      </c>
      <c r="H3886" s="2" t="s">
        <v>3947</v>
      </c>
      <c r="I3886" s="1" t="s">
        <v>3948</v>
      </c>
      <c r="J3886" s="1" t="s">
        <v>52</v>
      </c>
      <c r="K3886" s="1" t="s">
        <v>3947</v>
      </c>
      <c r="L3886" s="36" t="s">
        <v>46</v>
      </c>
      <c r="M3886" s="1" t="s">
        <v>46</v>
      </c>
      <c r="N3886" s="1" t="s">
        <v>325</v>
      </c>
      <c r="O3886" s="1" t="s">
        <v>161</v>
      </c>
      <c r="P3886" s="1" t="s">
        <v>326</v>
      </c>
      <c r="Q3886" s="1" t="s">
        <v>46</v>
      </c>
      <c r="R3886" s="1" t="s">
        <v>72</v>
      </c>
      <c r="S3886" s="1" t="s">
        <v>46</v>
      </c>
      <c r="T3886" s="1" t="s">
        <v>46</v>
      </c>
      <c r="U3886" s="1" t="s">
        <v>46</v>
      </c>
      <c r="V3886" s="1" t="n">
        <v>1</v>
      </c>
      <c r="W3886" s="1" t="s">
        <v>46</v>
      </c>
      <c r="X3886" s="1" t="s">
        <v>47</v>
      </c>
      <c r="Y3886" s="1" t="n">
        <v>5500</v>
      </c>
    </row>
    <row r="3887" customFormat="false" ht="13.8" hidden="false" customHeight="false" outlineLevel="0" collapsed="false">
      <c r="A3887" s="1" t="s">
        <v>4017</v>
      </c>
      <c r="B3887" s="2" t="s">
        <v>3856</v>
      </c>
      <c r="C3887" s="1" t="s">
        <v>4018</v>
      </c>
      <c r="D3887" s="1" t="s">
        <v>15</v>
      </c>
      <c r="E3887" s="1" t="s">
        <v>3936</v>
      </c>
      <c r="F3887" s="1" t="s">
        <v>3937</v>
      </c>
      <c r="G3887" s="1" t="s">
        <v>3938</v>
      </c>
      <c r="H3887" s="2" t="s">
        <v>3949</v>
      </c>
      <c r="I3887" s="1" t="s">
        <v>3950</v>
      </c>
      <c r="J3887" s="1" t="s">
        <v>52</v>
      </c>
      <c r="K3887" s="1" t="s">
        <v>3949</v>
      </c>
      <c r="L3887" s="36" t="s">
        <v>46</v>
      </c>
      <c r="M3887" s="1" t="s">
        <v>46</v>
      </c>
      <c r="N3887" s="1" t="s">
        <v>325</v>
      </c>
      <c r="O3887" s="1" t="s">
        <v>161</v>
      </c>
      <c r="P3887" s="1" t="s">
        <v>326</v>
      </c>
      <c r="Q3887" s="1" t="s">
        <v>46</v>
      </c>
      <c r="R3887" s="1" t="s">
        <v>72</v>
      </c>
      <c r="S3887" s="1" t="s">
        <v>46</v>
      </c>
      <c r="T3887" s="1" t="s">
        <v>46</v>
      </c>
      <c r="U3887" s="1" t="s">
        <v>46</v>
      </c>
      <c r="V3887" s="1" t="n">
        <v>1</v>
      </c>
      <c r="W3887" s="1" t="s">
        <v>46</v>
      </c>
      <c r="X3887" s="1" t="s">
        <v>47</v>
      </c>
      <c r="Y3887" s="1" t="n">
        <v>5500</v>
      </c>
    </row>
    <row r="3888" customFormat="false" ht="13.8" hidden="false" customHeight="false" outlineLevel="0" collapsed="false">
      <c r="A3888" s="1" t="s">
        <v>4017</v>
      </c>
      <c r="B3888" s="2" t="s">
        <v>3856</v>
      </c>
      <c r="C3888" s="1" t="s">
        <v>4018</v>
      </c>
      <c r="D3888" s="1" t="s">
        <v>15</v>
      </c>
      <c r="E3888" s="1" t="s">
        <v>3936</v>
      </c>
      <c r="F3888" s="1" t="s">
        <v>3937</v>
      </c>
      <c r="G3888" s="1" t="s">
        <v>3938</v>
      </c>
      <c r="H3888" s="2" t="s">
        <v>3951</v>
      </c>
      <c r="I3888" s="1" t="s">
        <v>3952</v>
      </c>
      <c r="J3888" s="1" t="s">
        <v>52</v>
      </c>
      <c r="K3888" s="1" t="s">
        <v>3951</v>
      </c>
      <c r="L3888" s="36" t="s">
        <v>46</v>
      </c>
      <c r="M3888" s="1" t="s">
        <v>46</v>
      </c>
      <c r="N3888" s="1" t="s">
        <v>325</v>
      </c>
      <c r="O3888" s="1" t="s">
        <v>161</v>
      </c>
      <c r="P3888" s="1" t="s">
        <v>326</v>
      </c>
      <c r="Q3888" s="1" t="s">
        <v>46</v>
      </c>
      <c r="R3888" s="1" t="s">
        <v>72</v>
      </c>
      <c r="S3888" s="1" t="s">
        <v>46</v>
      </c>
      <c r="T3888" s="1" t="s">
        <v>46</v>
      </c>
      <c r="U3888" s="1" t="s">
        <v>46</v>
      </c>
      <c r="V3888" s="1" t="n">
        <v>1</v>
      </c>
      <c r="W3888" s="1" t="s">
        <v>46</v>
      </c>
      <c r="X3888" s="1" t="s">
        <v>47</v>
      </c>
      <c r="Y3888" s="1" t="n">
        <v>5500</v>
      </c>
    </row>
    <row r="3889" customFormat="false" ht="13.8" hidden="false" customHeight="false" outlineLevel="0" collapsed="false">
      <c r="A3889" s="1" t="s">
        <v>4017</v>
      </c>
      <c r="B3889" s="2" t="s">
        <v>3856</v>
      </c>
      <c r="C3889" s="1" t="s">
        <v>4018</v>
      </c>
      <c r="D3889" s="1" t="s">
        <v>15</v>
      </c>
      <c r="E3889" s="1" t="s">
        <v>3936</v>
      </c>
      <c r="F3889" s="1" t="s">
        <v>3937</v>
      </c>
      <c r="G3889" s="1" t="s">
        <v>3938</v>
      </c>
      <c r="H3889" s="2" t="s">
        <v>3955</v>
      </c>
      <c r="I3889" s="1" t="s">
        <v>3956</v>
      </c>
      <c r="J3889" s="1" t="s">
        <v>52</v>
      </c>
      <c r="K3889" s="1" t="s">
        <v>3955</v>
      </c>
      <c r="L3889" s="36" t="s">
        <v>46</v>
      </c>
      <c r="M3889" s="1" t="s">
        <v>46</v>
      </c>
      <c r="N3889" s="1" t="s">
        <v>325</v>
      </c>
      <c r="O3889" s="1" t="s">
        <v>161</v>
      </c>
      <c r="P3889" s="1" t="s">
        <v>326</v>
      </c>
      <c r="Q3889" s="1" t="s">
        <v>46</v>
      </c>
      <c r="R3889" s="1" t="s">
        <v>72</v>
      </c>
      <c r="S3889" s="1" t="s">
        <v>46</v>
      </c>
      <c r="T3889" s="1" t="s">
        <v>46</v>
      </c>
      <c r="U3889" s="1" t="s">
        <v>46</v>
      </c>
      <c r="V3889" s="1" t="n">
        <v>1</v>
      </c>
      <c r="W3889" s="1" t="s">
        <v>46</v>
      </c>
      <c r="X3889" s="1" t="s">
        <v>47</v>
      </c>
      <c r="Y3889" s="1" t="n">
        <v>5500</v>
      </c>
    </row>
    <row r="3890" customFormat="false" ht="13.8" hidden="false" customHeight="false" outlineLevel="0" collapsed="false">
      <c r="A3890" s="1" t="s">
        <v>4017</v>
      </c>
      <c r="B3890" s="2" t="s">
        <v>3856</v>
      </c>
      <c r="C3890" s="1" t="s">
        <v>4018</v>
      </c>
      <c r="D3890" s="1" t="s">
        <v>15</v>
      </c>
      <c r="E3890" s="1" t="s">
        <v>3936</v>
      </c>
      <c r="F3890" s="1" t="s">
        <v>3937</v>
      </c>
      <c r="G3890" s="1" t="s">
        <v>3938</v>
      </c>
      <c r="H3890" s="2" t="s">
        <v>3957</v>
      </c>
      <c r="I3890" s="1" t="s">
        <v>3958</v>
      </c>
      <c r="J3890" s="1" t="s">
        <v>52</v>
      </c>
      <c r="K3890" s="1" t="s">
        <v>3957</v>
      </c>
      <c r="L3890" s="36" t="s">
        <v>46</v>
      </c>
      <c r="M3890" s="1" t="s">
        <v>46</v>
      </c>
      <c r="N3890" s="1" t="s">
        <v>325</v>
      </c>
      <c r="O3890" s="1" t="s">
        <v>161</v>
      </c>
      <c r="P3890" s="1" t="s">
        <v>326</v>
      </c>
      <c r="Q3890" s="1" t="s">
        <v>46</v>
      </c>
      <c r="R3890" s="1" t="s">
        <v>72</v>
      </c>
      <c r="S3890" s="1" t="s">
        <v>46</v>
      </c>
      <c r="T3890" s="1" t="s">
        <v>46</v>
      </c>
      <c r="U3890" s="1" t="s">
        <v>46</v>
      </c>
      <c r="V3890" s="1" t="n">
        <v>1</v>
      </c>
      <c r="W3890" s="1" t="s">
        <v>46</v>
      </c>
      <c r="X3890" s="1" t="s">
        <v>47</v>
      </c>
      <c r="Y3890" s="1" t="n">
        <v>5500</v>
      </c>
    </row>
    <row r="3891" customFormat="false" ht="13.8" hidden="false" customHeight="false" outlineLevel="0" collapsed="false">
      <c r="A3891" s="1" t="s">
        <v>4017</v>
      </c>
      <c r="B3891" s="2" t="s">
        <v>3856</v>
      </c>
      <c r="C3891" s="1" t="s">
        <v>4018</v>
      </c>
      <c r="D3891" s="1" t="s">
        <v>15</v>
      </c>
      <c r="E3891" s="1" t="s">
        <v>3936</v>
      </c>
      <c r="F3891" s="1" t="s">
        <v>3937</v>
      </c>
      <c r="G3891" s="1" t="s">
        <v>3938</v>
      </c>
      <c r="H3891" s="2" t="s">
        <v>64</v>
      </c>
      <c r="I3891" s="1" t="s">
        <v>3959</v>
      </c>
      <c r="J3891" s="1" t="s">
        <v>52</v>
      </c>
      <c r="K3891" s="1" t="s">
        <v>64</v>
      </c>
      <c r="L3891" s="36" t="s">
        <v>46</v>
      </c>
      <c r="M3891" s="1" t="s">
        <v>46</v>
      </c>
      <c r="N3891" s="1" t="s">
        <v>65</v>
      </c>
      <c r="O3891" s="1" t="s">
        <v>46</v>
      </c>
      <c r="P3891" s="1" t="s">
        <v>46</v>
      </c>
      <c r="Q3891" s="1" t="s">
        <v>46</v>
      </c>
      <c r="R3891" s="1" t="s">
        <v>46</v>
      </c>
      <c r="S3891" s="1" t="s">
        <v>46</v>
      </c>
      <c r="T3891" s="1" t="s">
        <v>46</v>
      </c>
      <c r="U3891" s="1" t="s">
        <v>46</v>
      </c>
      <c r="V3891" s="1" t="n">
        <v>1</v>
      </c>
      <c r="W3891" s="1" t="s">
        <v>46</v>
      </c>
      <c r="X3891" s="1" t="s">
        <v>46</v>
      </c>
      <c r="Y3891" s="1" t="n">
        <v>5500</v>
      </c>
    </row>
    <row r="3892" customFormat="false" ht="13.8" hidden="false" customHeight="false" outlineLevel="0" collapsed="false">
      <c r="A3892" s="1" t="s">
        <v>4017</v>
      </c>
      <c r="B3892" s="2" t="s">
        <v>3856</v>
      </c>
      <c r="C3892" s="1" t="s">
        <v>4018</v>
      </c>
      <c r="D3892" s="1" t="s">
        <v>15</v>
      </c>
      <c r="E3892" s="1" t="s">
        <v>3936</v>
      </c>
      <c r="F3892" s="1" t="s">
        <v>3937</v>
      </c>
      <c r="G3892" s="1" t="s">
        <v>3938</v>
      </c>
      <c r="H3892" s="2" t="s">
        <v>66</v>
      </c>
      <c r="I3892" s="1" t="s">
        <v>3960</v>
      </c>
      <c r="J3892" s="1" t="s">
        <v>52</v>
      </c>
      <c r="K3892" s="1" t="s">
        <v>66</v>
      </c>
      <c r="L3892" s="36" t="s">
        <v>46</v>
      </c>
      <c r="M3892" s="1" t="s">
        <v>46</v>
      </c>
      <c r="N3892" s="1" t="s">
        <v>65</v>
      </c>
      <c r="O3892" s="1" t="s">
        <v>46</v>
      </c>
      <c r="P3892" s="1" t="s">
        <v>46</v>
      </c>
      <c r="Q3892" s="1" t="s">
        <v>46</v>
      </c>
      <c r="R3892" s="1" t="s">
        <v>46</v>
      </c>
      <c r="S3892" s="1" t="s">
        <v>46</v>
      </c>
      <c r="T3892" s="1" t="s">
        <v>46</v>
      </c>
      <c r="U3892" s="1" t="s">
        <v>46</v>
      </c>
      <c r="V3892" s="1" t="n">
        <v>1</v>
      </c>
      <c r="W3892" s="1" t="s">
        <v>46</v>
      </c>
      <c r="X3892" s="1" t="s">
        <v>46</v>
      </c>
      <c r="Y3892" s="1" t="n">
        <v>5500</v>
      </c>
    </row>
    <row r="3893" customFormat="false" ht="13.8" hidden="false" customHeight="false" outlineLevel="0" collapsed="false">
      <c r="A3893" s="1" t="s">
        <v>4017</v>
      </c>
      <c r="B3893" s="2" t="s">
        <v>3856</v>
      </c>
      <c r="C3893" s="1" t="s">
        <v>4018</v>
      </c>
      <c r="D3893" s="1" t="s">
        <v>15</v>
      </c>
      <c r="E3893" s="1" t="s">
        <v>3936</v>
      </c>
      <c r="F3893" s="1" t="s">
        <v>3937</v>
      </c>
      <c r="G3893" s="1" t="s">
        <v>3938</v>
      </c>
      <c r="H3893" s="2" t="s">
        <v>67</v>
      </c>
      <c r="I3893" s="1" t="s">
        <v>3961</v>
      </c>
      <c r="J3893" s="1" t="s">
        <v>52</v>
      </c>
      <c r="K3893" s="1" t="s">
        <v>67</v>
      </c>
      <c r="L3893" s="36" t="s">
        <v>46</v>
      </c>
      <c r="M3893" s="1" t="s">
        <v>46</v>
      </c>
      <c r="N3893" s="1" t="s">
        <v>65</v>
      </c>
      <c r="O3893" s="1" t="s">
        <v>46</v>
      </c>
      <c r="P3893" s="1" t="s">
        <v>46</v>
      </c>
      <c r="Q3893" s="1" t="s">
        <v>46</v>
      </c>
      <c r="R3893" s="1" t="s">
        <v>46</v>
      </c>
      <c r="S3893" s="1" t="s">
        <v>46</v>
      </c>
      <c r="T3893" s="1" t="s">
        <v>46</v>
      </c>
      <c r="U3893" s="1" t="s">
        <v>46</v>
      </c>
      <c r="V3893" s="1" t="n">
        <v>1</v>
      </c>
      <c r="W3893" s="1" t="s">
        <v>46</v>
      </c>
      <c r="X3893" s="1" t="s">
        <v>46</v>
      </c>
      <c r="Y3893" s="1" t="n">
        <v>5500</v>
      </c>
    </row>
    <row r="3894" customFormat="false" ht="13.8" hidden="false" customHeight="false" outlineLevel="0" collapsed="false">
      <c r="A3894" s="1" t="s">
        <v>4017</v>
      </c>
      <c r="B3894" s="2" t="s">
        <v>3856</v>
      </c>
      <c r="C3894" s="1" t="s">
        <v>4018</v>
      </c>
      <c r="D3894" s="1" t="s">
        <v>15</v>
      </c>
      <c r="E3894" s="1" t="s">
        <v>3936</v>
      </c>
      <c r="F3894" s="1" t="s">
        <v>3937</v>
      </c>
      <c r="G3894" s="1" t="s">
        <v>3938</v>
      </c>
      <c r="H3894" s="2" t="s">
        <v>3962</v>
      </c>
      <c r="I3894" s="1" t="s">
        <v>3963</v>
      </c>
      <c r="J3894" s="1" t="s">
        <v>52</v>
      </c>
      <c r="K3894" s="1" t="s">
        <v>3962</v>
      </c>
      <c r="L3894" s="36" t="s">
        <v>46</v>
      </c>
      <c r="M3894" s="1" t="s">
        <v>46</v>
      </c>
      <c r="N3894" s="1" t="s">
        <v>78</v>
      </c>
      <c r="O3894" s="1" t="s">
        <v>46</v>
      </c>
      <c r="P3894" s="1" t="s">
        <v>46</v>
      </c>
      <c r="Q3894" s="1" t="s">
        <v>46</v>
      </c>
      <c r="R3894" s="1" t="s">
        <v>46</v>
      </c>
      <c r="S3894" s="1" t="s">
        <v>46</v>
      </c>
      <c r="T3894" s="1" t="s">
        <v>46</v>
      </c>
      <c r="U3894" s="1" t="s">
        <v>46</v>
      </c>
      <c r="V3894" s="1" t="n">
        <v>1</v>
      </c>
      <c r="W3894" s="1" t="s">
        <v>46</v>
      </c>
      <c r="X3894" s="1" t="s">
        <v>2740</v>
      </c>
      <c r="Y3894" s="1" t="n">
        <v>5500</v>
      </c>
    </row>
    <row r="3895" customFormat="false" ht="13.8" hidden="false" customHeight="false" outlineLevel="0" collapsed="false">
      <c r="A3895" s="1" t="s">
        <v>4017</v>
      </c>
      <c r="B3895" s="2" t="s">
        <v>3856</v>
      </c>
      <c r="C3895" s="1" t="s">
        <v>4018</v>
      </c>
      <c r="D3895" s="1" t="s">
        <v>15</v>
      </c>
      <c r="E3895" s="1" t="s">
        <v>3936</v>
      </c>
      <c r="F3895" s="1" t="s">
        <v>3937</v>
      </c>
      <c r="G3895" s="1" t="s">
        <v>3938</v>
      </c>
      <c r="H3895" s="2" t="s">
        <v>3964</v>
      </c>
      <c r="I3895" s="1" t="s">
        <v>3965</v>
      </c>
      <c r="J3895" s="1" t="s">
        <v>52</v>
      </c>
      <c r="K3895" s="1" t="s">
        <v>3964</v>
      </c>
      <c r="L3895" s="36" t="s">
        <v>46</v>
      </c>
      <c r="M3895" s="1" t="s">
        <v>46</v>
      </c>
      <c r="N3895" s="1" t="s">
        <v>78</v>
      </c>
      <c r="O3895" s="1" t="s">
        <v>46</v>
      </c>
      <c r="P3895" s="1" t="s">
        <v>46</v>
      </c>
      <c r="Q3895" s="1" t="s">
        <v>46</v>
      </c>
      <c r="R3895" s="1" t="s">
        <v>46</v>
      </c>
      <c r="S3895" s="1" t="s">
        <v>46</v>
      </c>
      <c r="T3895" s="1" t="s">
        <v>46</v>
      </c>
      <c r="U3895" s="1" t="s">
        <v>46</v>
      </c>
      <c r="V3895" s="1" t="n">
        <v>1</v>
      </c>
      <c r="W3895" s="1" t="s">
        <v>46</v>
      </c>
      <c r="X3895" s="1" t="s">
        <v>2740</v>
      </c>
      <c r="Y3895" s="1" t="n">
        <v>5500</v>
      </c>
    </row>
    <row r="3896" customFormat="false" ht="13.8" hidden="false" customHeight="false" outlineLevel="0" collapsed="false">
      <c r="A3896" s="1" t="s">
        <v>4017</v>
      </c>
      <c r="B3896" s="2" t="s">
        <v>3856</v>
      </c>
      <c r="C3896" s="1" t="s">
        <v>4018</v>
      </c>
      <c r="D3896" s="1" t="s">
        <v>15</v>
      </c>
      <c r="E3896" s="1" t="s">
        <v>3936</v>
      </c>
      <c r="F3896" s="1" t="s">
        <v>3937</v>
      </c>
      <c r="G3896" s="1" t="s">
        <v>3938</v>
      </c>
      <c r="H3896" s="2" t="s">
        <v>3966</v>
      </c>
      <c r="I3896" s="1" t="s">
        <v>3967</v>
      </c>
      <c r="J3896" s="1" t="s">
        <v>52</v>
      </c>
      <c r="K3896" s="1" t="s">
        <v>3966</v>
      </c>
      <c r="L3896" s="36" t="s">
        <v>46</v>
      </c>
      <c r="M3896" s="1" t="s">
        <v>46</v>
      </c>
      <c r="N3896" s="1" t="s">
        <v>78</v>
      </c>
      <c r="O3896" s="1" t="s">
        <v>46</v>
      </c>
      <c r="P3896" s="1" t="s">
        <v>46</v>
      </c>
      <c r="Q3896" s="1" t="s">
        <v>46</v>
      </c>
      <c r="R3896" s="1" t="s">
        <v>46</v>
      </c>
      <c r="S3896" s="1" t="s">
        <v>46</v>
      </c>
      <c r="T3896" s="1" t="s">
        <v>46</v>
      </c>
      <c r="U3896" s="1" t="s">
        <v>46</v>
      </c>
      <c r="V3896" s="1" t="n">
        <v>1</v>
      </c>
      <c r="W3896" s="1" t="s">
        <v>46</v>
      </c>
      <c r="X3896" s="1" t="s">
        <v>2740</v>
      </c>
      <c r="Y3896" s="1" t="n">
        <v>5500</v>
      </c>
    </row>
    <row r="3897" customFormat="false" ht="13.8" hidden="false" customHeight="false" outlineLevel="0" collapsed="false">
      <c r="A3897" s="1" t="s">
        <v>4017</v>
      </c>
      <c r="B3897" s="2" t="s">
        <v>3856</v>
      </c>
      <c r="C3897" s="1" t="s">
        <v>4018</v>
      </c>
      <c r="D3897" s="1" t="s">
        <v>15</v>
      </c>
      <c r="E3897" s="1" t="s">
        <v>3936</v>
      </c>
      <c r="F3897" s="1" t="s">
        <v>3937</v>
      </c>
      <c r="G3897" s="1" t="s">
        <v>3938</v>
      </c>
      <c r="H3897" s="2" t="s">
        <v>463</v>
      </c>
      <c r="I3897" s="1" t="s">
        <v>3968</v>
      </c>
      <c r="J3897" s="1" t="s">
        <v>52</v>
      </c>
      <c r="K3897" s="1" t="s">
        <v>463</v>
      </c>
      <c r="L3897" s="36" t="s">
        <v>46</v>
      </c>
      <c r="M3897" s="1" t="s">
        <v>46</v>
      </c>
      <c r="N3897" s="1" t="s">
        <v>3908</v>
      </c>
      <c r="O3897" s="1" t="s">
        <v>46</v>
      </c>
      <c r="P3897" s="1" t="s">
        <v>46</v>
      </c>
      <c r="Q3897" s="1" t="s">
        <v>46</v>
      </c>
      <c r="R3897" s="1" t="s">
        <v>46</v>
      </c>
      <c r="S3897" s="1" t="s">
        <v>46</v>
      </c>
      <c r="T3897" s="1" t="s">
        <v>46</v>
      </c>
      <c r="U3897" s="1" t="s">
        <v>46</v>
      </c>
      <c r="V3897" s="1" t="n">
        <v>1</v>
      </c>
      <c r="W3897" s="1" t="s">
        <v>46</v>
      </c>
      <c r="X3897" s="1" t="s">
        <v>47</v>
      </c>
      <c r="Y3897" s="1" t="n">
        <v>5500</v>
      </c>
    </row>
    <row r="3898" customFormat="false" ht="13.8" hidden="false" customHeight="false" outlineLevel="0" collapsed="false">
      <c r="A3898" s="1" t="s">
        <v>4017</v>
      </c>
      <c r="B3898" s="2" t="s">
        <v>3856</v>
      </c>
      <c r="C3898" s="1" t="s">
        <v>4018</v>
      </c>
      <c r="D3898" s="1" t="s">
        <v>15</v>
      </c>
      <c r="E3898" s="1" t="s">
        <v>3936</v>
      </c>
      <c r="F3898" s="1" t="s">
        <v>3937</v>
      </c>
      <c r="G3898" s="1" t="s">
        <v>3938</v>
      </c>
      <c r="H3898" s="2" t="s">
        <v>468</v>
      </c>
      <c r="I3898" s="1" t="s">
        <v>3970</v>
      </c>
      <c r="J3898" s="1" t="s">
        <v>52</v>
      </c>
      <c r="K3898" s="1" t="s">
        <v>468</v>
      </c>
      <c r="L3898" s="36" t="s">
        <v>46</v>
      </c>
      <c r="M3898" s="1" t="s">
        <v>46</v>
      </c>
      <c r="N3898" s="1" t="s">
        <v>3908</v>
      </c>
      <c r="O3898" s="1" t="s">
        <v>46</v>
      </c>
      <c r="P3898" s="1" t="s">
        <v>46</v>
      </c>
      <c r="Q3898" s="1" t="s">
        <v>46</v>
      </c>
      <c r="R3898" s="1" t="s">
        <v>46</v>
      </c>
      <c r="S3898" s="1" t="s">
        <v>46</v>
      </c>
      <c r="T3898" s="1" t="s">
        <v>46</v>
      </c>
      <c r="U3898" s="1" t="s">
        <v>46</v>
      </c>
      <c r="V3898" s="1" t="n">
        <v>1</v>
      </c>
      <c r="W3898" s="1" t="s">
        <v>46</v>
      </c>
      <c r="X3898" s="1" t="s">
        <v>47</v>
      </c>
      <c r="Y3898" s="1" t="n">
        <v>5500</v>
      </c>
    </row>
    <row r="3899" customFormat="false" ht="13.8" hidden="false" customHeight="false" outlineLevel="0" collapsed="false">
      <c r="A3899" s="1" t="s">
        <v>4017</v>
      </c>
      <c r="B3899" s="2" t="s">
        <v>3856</v>
      </c>
      <c r="C3899" s="1" t="s">
        <v>4018</v>
      </c>
      <c r="D3899" s="1" t="s">
        <v>15</v>
      </c>
      <c r="E3899" s="1" t="s">
        <v>3936</v>
      </c>
      <c r="F3899" s="1" t="s">
        <v>3937</v>
      </c>
      <c r="G3899" s="1" t="s">
        <v>3938</v>
      </c>
      <c r="H3899" s="2" t="s">
        <v>472</v>
      </c>
      <c r="I3899" s="1" t="s">
        <v>3971</v>
      </c>
      <c r="J3899" s="1" t="s">
        <v>52</v>
      </c>
      <c r="K3899" s="1" t="s">
        <v>472</v>
      </c>
      <c r="L3899" s="36" t="s">
        <v>46</v>
      </c>
      <c r="M3899" s="1" t="s">
        <v>46</v>
      </c>
      <c r="N3899" s="1" t="s">
        <v>3908</v>
      </c>
      <c r="O3899" s="1" t="s">
        <v>46</v>
      </c>
      <c r="P3899" s="1" t="s">
        <v>46</v>
      </c>
      <c r="Q3899" s="1" t="s">
        <v>46</v>
      </c>
      <c r="R3899" s="1" t="s">
        <v>46</v>
      </c>
      <c r="S3899" s="1" t="s">
        <v>46</v>
      </c>
      <c r="T3899" s="1" t="s">
        <v>46</v>
      </c>
      <c r="U3899" s="1" t="s">
        <v>46</v>
      </c>
      <c r="V3899" s="1" t="n">
        <v>1</v>
      </c>
      <c r="W3899" s="1" t="s">
        <v>46</v>
      </c>
      <c r="X3899" s="1" t="s">
        <v>47</v>
      </c>
      <c r="Y3899" s="1" t="n">
        <v>5500</v>
      </c>
    </row>
    <row r="3900" customFormat="false" ht="13.8" hidden="false" customHeight="false" outlineLevel="0" collapsed="false">
      <c r="A3900" s="1" t="s">
        <v>4017</v>
      </c>
      <c r="B3900" s="2" t="s">
        <v>3856</v>
      </c>
      <c r="C3900" s="1" t="s">
        <v>4018</v>
      </c>
      <c r="D3900" s="1" t="s">
        <v>15</v>
      </c>
      <c r="E3900" s="1" t="s">
        <v>3972</v>
      </c>
      <c r="F3900" s="1" t="s">
        <v>3937</v>
      </c>
      <c r="G3900" s="1" t="s">
        <v>3973</v>
      </c>
      <c r="H3900" s="2" t="s">
        <v>3974</v>
      </c>
      <c r="I3900" s="1" t="s">
        <v>3975</v>
      </c>
      <c r="J3900" s="1" t="s">
        <v>52</v>
      </c>
      <c r="K3900" s="1" t="s">
        <v>3974</v>
      </c>
      <c r="L3900" s="36" t="s">
        <v>46</v>
      </c>
      <c r="M3900" s="1" t="s">
        <v>46</v>
      </c>
      <c r="N3900" s="1" t="s">
        <v>325</v>
      </c>
      <c r="O3900" s="1" t="s">
        <v>161</v>
      </c>
      <c r="P3900" s="1" t="s">
        <v>326</v>
      </c>
      <c r="Q3900" s="1" t="s">
        <v>46</v>
      </c>
      <c r="R3900" s="1" t="s">
        <v>72</v>
      </c>
      <c r="S3900" s="1" t="s">
        <v>46</v>
      </c>
      <c r="T3900" s="1" t="s">
        <v>46</v>
      </c>
      <c r="U3900" s="1" t="s">
        <v>46</v>
      </c>
      <c r="V3900" s="1" t="n">
        <v>1</v>
      </c>
      <c r="W3900" s="1" t="s">
        <v>46</v>
      </c>
      <c r="X3900" s="1" t="s">
        <v>47</v>
      </c>
      <c r="Y3900" s="1" t="n">
        <v>5500</v>
      </c>
    </row>
    <row r="3901" customFormat="false" ht="13.8" hidden="false" customHeight="false" outlineLevel="0" collapsed="false">
      <c r="A3901" s="1" t="s">
        <v>4017</v>
      </c>
      <c r="B3901" s="2" t="s">
        <v>3856</v>
      </c>
      <c r="C3901" s="1" t="s">
        <v>4018</v>
      </c>
      <c r="D3901" s="1" t="s">
        <v>15</v>
      </c>
      <c r="E3901" s="1" t="s">
        <v>3972</v>
      </c>
      <c r="F3901" s="1" t="s">
        <v>3937</v>
      </c>
      <c r="G3901" s="1" t="s">
        <v>3973</v>
      </c>
      <c r="H3901" s="2" t="s">
        <v>3980</v>
      </c>
      <c r="I3901" s="1" t="s">
        <v>3981</v>
      </c>
      <c r="J3901" s="1" t="s">
        <v>52</v>
      </c>
      <c r="K3901" s="1" t="s">
        <v>3980</v>
      </c>
      <c r="L3901" s="36" t="s">
        <v>46</v>
      </c>
      <c r="M3901" s="1" t="s">
        <v>46</v>
      </c>
      <c r="N3901" s="1" t="s">
        <v>325</v>
      </c>
      <c r="O3901" s="1" t="s">
        <v>161</v>
      </c>
      <c r="P3901" s="1" t="s">
        <v>326</v>
      </c>
      <c r="Q3901" s="1" t="s">
        <v>46</v>
      </c>
      <c r="R3901" s="1" t="s">
        <v>72</v>
      </c>
      <c r="S3901" s="1" t="s">
        <v>46</v>
      </c>
      <c r="T3901" s="1" t="s">
        <v>46</v>
      </c>
      <c r="U3901" s="1" t="s">
        <v>46</v>
      </c>
      <c r="V3901" s="1" t="n">
        <v>1</v>
      </c>
      <c r="W3901" s="1" t="s">
        <v>46</v>
      </c>
      <c r="X3901" s="1" t="s">
        <v>47</v>
      </c>
      <c r="Y3901" s="1" t="n">
        <v>5500</v>
      </c>
    </row>
    <row r="3902" customFormat="false" ht="13.8" hidden="false" customHeight="false" outlineLevel="0" collapsed="false">
      <c r="A3902" s="1" t="s">
        <v>4017</v>
      </c>
      <c r="B3902" s="2" t="s">
        <v>3856</v>
      </c>
      <c r="C3902" s="1" t="s">
        <v>4018</v>
      </c>
      <c r="D3902" s="1" t="s">
        <v>15</v>
      </c>
      <c r="E3902" s="1" t="s">
        <v>3972</v>
      </c>
      <c r="F3902" s="1" t="s">
        <v>3937</v>
      </c>
      <c r="G3902" s="1" t="s">
        <v>3973</v>
      </c>
      <c r="H3902" s="2" t="s">
        <v>3984</v>
      </c>
      <c r="I3902" s="1" t="s">
        <v>3985</v>
      </c>
      <c r="J3902" s="1" t="s">
        <v>52</v>
      </c>
      <c r="K3902" s="1" t="s">
        <v>3984</v>
      </c>
      <c r="L3902" s="36" t="s">
        <v>46</v>
      </c>
      <c r="M3902" s="1" t="s">
        <v>46</v>
      </c>
      <c r="N3902" s="1" t="s">
        <v>325</v>
      </c>
      <c r="O3902" s="1" t="s">
        <v>161</v>
      </c>
      <c r="P3902" s="1" t="s">
        <v>326</v>
      </c>
      <c r="Q3902" s="1" t="s">
        <v>46</v>
      </c>
      <c r="R3902" s="1" t="s">
        <v>72</v>
      </c>
      <c r="S3902" s="1" t="s">
        <v>46</v>
      </c>
      <c r="T3902" s="1" t="s">
        <v>46</v>
      </c>
      <c r="U3902" s="1" t="s">
        <v>46</v>
      </c>
      <c r="V3902" s="1" t="n">
        <v>1</v>
      </c>
      <c r="W3902" s="1" t="s">
        <v>46</v>
      </c>
      <c r="X3902" s="1" t="s">
        <v>47</v>
      </c>
      <c r="Y3902" s="1" t="n">
        <v>5500</v>
      </c>
    </row>
    <row r="3903" customFormat="false" ht="13.8" hidden="false" customHeight="false" outlineLevel="0" collapsed="false">
      <c r="A3903" s="1" t="s">
        <v>4017</v>
      </c>
      <c r="B3903" s="2" t="s">
        <v>3856</v>
      </c>
      <c r="C3903" s="1" t="s">
        <v>4018</v>
      </c>
      <c r="D3903" s="1" t="s">
        <v>15</v>
      </c>
      <c r="E3903" s="1" t="s">
        <v>3972</v>
      </c>
      <c r="F3903" s="1" t="s">
        <v>3937</v>
      </c>
      <c r="G3903" s="1" t="s">
        <v>3973</v>
      </c>
      <c r="H3903" s="2" t="s">
        <v>3986</v>
      </c>
      <c r="I3903" s="1" t="s">
        <v>3987</v>
      </c>
      <c r="J3903" s="1" t="s">
        <v>52</v>
      </c>
      <c r="K3903" s="1" t="s">
        <v>3986</v>
      </c>
      <c r="L3903" s="36" t="s">
        <v>46</v>
      </c>
      <c r="M3903" s="1" t="s">
        <v>46</v>
      </c>
      <c r="N3903" s="1" t="s">
        <v>325</v>
      </c>
      <c r="O3903" s="1" t="s">
        <v>161</v>
      </c>
      <c r="P3903" s="1" t="s">
        <v>326</v>
      </c>
      <c r="Q3903" s="1" t="s">
        <v>46</v>
      </c>
      <c r="R3903" s="1" t="s">
        <v>72</v>
      </c>
      <c r="S3903" s="1" t="s">
        <v>46</v>
      </c>
      <c r="T3903" s="1" t="s">
        <v>46</v>
      </c>
      <c r="U3903" s="1" t="s">
        <v>46</v>
      </c>
      <c r="V3903" s="1" t="n">
        <v>1</v>
      </c>
      <c r="W3903" s="1" t="s">
        <v>46</v>
      </c>
      <c r="X3903" s="1" t="s">
        <v>47</v>
      </c>
      <c r="Y3903" s="1" t="n">
        <v>5500</v>
      </c>
    </row>
    <row r="3904" customFormat="false" ht="13.8" hidden="false" customHeight="false" outlineLevel="0" collapsed="false">
      <c r="A3904" s="1" t="s">
        <v>4017</v>
      </c>
      <c r="B3904" s="2" t="s">
        <v>3856</v>
      </c>
      <c r="C3904" s="1" t="s">
        <v>4018</v>
      </c>
      <c r="D3904" s="1" t="s">
        <v>15</v>
      </c>
      <c r="E3904" s="1" t="s">
        <v>3972</v>
      </c>
      <c r="F3904" s="1" t="s">
        <v>3937</v>
      </c>
      <c r="G3904" s="1" t="s">
        <v>3973</v>
      </c>
      <c r="H3904" s="2" t="s">
        <v>3990</v>
      </c>
      <c r="I3904" s="1" t="s">
        <v>3991</v>
      </c>
      <c r="J3904" s="1" t="s">
        <v>52</v>
      </c>
      <c r="K3904" s="1" t="s">
        <v>3990</v>
      </c>
      <c r="L3904" s="36" t="s">
        <v>46</v>
      </c>
      <c r="M3904" s="1" t="s">
        <v>46</v>
      </c>
      <c r="N3904" s="1" t="s">
        <v>325</v>
      </c>
      <c r="O3904" s="1" t="s">
        <v>161</v>
      </c>
      <c r="P3904" s="1" t="s">
        <v>326</v>
      </c>
      <c r="Q3904" s="1" t="s">
        <v>46</v>
      </c>
      <c r="R3904" s="1" t="s">
        <v>72</v>
      </c>
      <c r="S3904" s="1" t="s">
        <v>46</v>
      </c>
      <c r="T3904" s="1" t="s">
        <v>46</v>
      </c>
      <c r="U3904" s="1" t="s">
        <v>46</v>
      </c>
      <c r="V3904" s="1" t="n">
        <v>1</v>
      </c>
      <c r="W3904" s="1" t="s">
        <v>46</v>
      </c>
      <c r="X3904" s="1" t="s">
        <v>47</v>
      </c>
      <c r="Y3904" s="1" t="n">
        <v>5500</v>
      </c>
    </row>
    <row r="3905" customFormat="false" ht="13.8" hidden="false" customHeight="false" outlineLevel="0" collapsed="false">
      <c r="A3905" s="1" t="s">
        <v>4017</v>
      </c>
      <c r="B3905" s="2" t="s">
        <v>3856</v>
      </c>
      <c r="C3905" s="1" t="s">
        <v>4018</v>
      </c>
      <c r="D3905" s="1" t="s">
        <v>15</v>
      </c>
      <c r="E3905" s="1" t="s">
        <v>3972</v>
      </c>
      <c r="F3905" s="1" t="s">
        <v>3937</v>
      </c>
      <c r="G3905" s="1" t="s">
        <v>3973</v>
      </c>
      <c r="H3905" s="2" t="s">
        <v>3992</v>
      </c>
      <c r="I3905" s="1" t="s">
        <v>3993</v>
      </c>
      <c r="J3905" s="1" t="s">
        <v>52</v>
      </c>
      <c r="K3905" s="1" t="s">
        <v>3992</v>
      </c>
      <c r="L3905" s="36" t="s">
        <v>46</v>
      </c>
      <c r="M3905" s="1" t="s">
        <v>46</v>
      </c>
      <c r="N3905" s="1" t="s">
        <v>325</v>
      </c>
      <c r="O3905" s="1" t="s">
        <v>161</v>
      </c>
      <c r="P3905" s="1" t="s">
        <v>326</v>
      </c>
      <c r="Q3905" s="1" t="s">
        <v>46</v>
      </c>
      <c r="R3905" s="1" t="s">
        <v>72</v>
      </c>
      <c r="S3905" s="1" t="s">
        <v>46</v>
      </c>
      <c r="T3905" s="1" t="s">
        <v>46</v>
      </c>
      <c r="U3905" s="1" t="s">
        <v>46</v>
      </c>
      <c r="V3905" s="1" t="n">
        <v>1</v>
      </c>
      <c r="W3905" s="1" t="s">
        <v>46</v>
      </c>
      <c r="X3905" s="1" t="s">
        <v>47</v>
      </c>
      <c r="Y3905" s="1" t="n">
        <v>5500</v>
      </c>
    </row>
    <row r="3906" customFormat="false" ht="13.8" hidden="false" customHeight="false" outlineLevel="0" collapsed="false">
      <c r="A3906" s="1" t="s">
        <v>4017</v>
      </c>
      <c r="B3906" s="2" t="s">
        <v>3856</v>
      </c>
      <c r="C3906" s="1" t="s">
        <v>4018</v>
      </c>
      <c r="D3906" s="1" t="s">
        <v>15</v>
      </c>
      <c r="E3906" s="1" t="s">
        <v>3972</v>
      </c>
      <c r="F3906" s="1" t="s">
        <v>3937</v>
      </c>
      <c r="G3906" s="1" t="s">
        <v>3973</v>
      </c>
      <c r="H3906" s="2" t="s">
        <v>3996</v>
      </c>
      <c r="I3906" s="1" t="s">
        <v>3997</v>
      </c>
      <c r="J3906" s="1" t="s">
        <v>52</v>
      </c>
      <c r="K3906" s="1" t="s">
        <v>3996</v>
      </c>
      <c r="L3906" s="36" t="s">
        <v>46</v>
      </c>
      <c r="M3906" s="1" t="s">
        <v>46</v>
      </c>
      <c r="N3906" s="1" t="s">
        <v>325</v>
      </c>
      <c r="O3906" s="1" t="s">
        <v>161</v>
      </c>
      <c r="P3906" s="1" t="s">
        <v>326</v>
      </c>
      <c r="Q3906" s="1" t="s">
        <v>46</v>
      </c>
      <c r="R3906" s="1" t="s">
        <v>72</v>
      </c>
      <c r="S3906" s="1" t="s">
        <v>46</v>
      </c>
      <c r="T3906" s="1" t="s">
        <v>46</v>
      </c>
      <c r="U3906" s="1" t="s">
        <v>46</v>
      </c>
      <c r="V3906" s="1" t="n">
        <v>1</v>
      </c>
      <c r="W3906" s="1" t="s">
        <v>46</v>
      </c>
      <c r="X3906" s="1" t="s">
        <v>47</v>
      </c>
      <c r="Y3906" s="1" t="n">
        <v>5500</v>
      </c>
    </row>
    <row r="3907" customFormat="false" ht="13.8" hidden="false" customHeight="false" outlineLevel="0" collapsed="false">
      <c r="A3907" s="1" t="s">
        <v>4017</v>
      </c>
      <c r="B3907" s="2" t="s">
        <v>3856</v>
      </c>
      <c r="C3907" s="1" t="s">
        <v>4018</v>
      </c>
      <c r="D3907" s="1" t="s">
        <v>15</v>
      </c>
      <c r="E3907" s="1" t="s">
        <v>3972</v>
      </c>
      <c r="F3907" s="1" t="s">
        <v>3937</v>
      </c>
      <c r="G3907" s="1" t="s">
        <v>3973</v>
      </c>
      <c r="H3907" s="2" t="s">
        <v>4000</v>
      </c>
      <c r="I3907" s="1" t="s">
        <v>4001</v>
      </c>
      <c r="J3907" s="1" t="s">
        <v>52</v>
      </c>
      <c r="K3907" s="1" t="s">
        <v>4000</v>
      </c>
      <c r="L3907" s="36" t="s">
        <v>46</v>
      </c>
      <c r="M3907" s="1" t="s">
        <v>46</v>
      </c>
      <c r="N3907" s="1" t="s">
        <v>325</v>
      </c>
      <c r="O3907" s="1" t="s">
        <v>161</v>
      </c>
      <c r="P3907" s="1" t="s">
        <v>326</v>
      </c>
      <c r="Q3907" s="1" t="s">
        <v>46</v>
      </c>
      <c r="R3907" s="1" t="s">
        <v>72</v>
      </c>
      <c r="S3907" s="1" t="s">
        <v>46</v>
      </c>
      <c r="T3907" s="1" t="s">
        <v>46</v>
      </c>
      <c r="U3907" s="1" t="s">
        <v>46</v>
      </c>
      <c r="V3907" s="1" t="n">
        <v>1</v>
      </c>
      <c r="W3907" s="1" t="s">
        <v>46</v>
      </c>
      <c r="X3907" s="1" t="s">
        <v>47</v>
      </c>
      <c r="Y3907" s="1" t="n">
        <v>5500</v>
      </c>
    </row>
    <row r="3908" customFormat="false" ht="13.8" hidden="false" customHeight="false" outlineLevel="0" collapsed="false">
      <c r="A3908" s="1" t="s">
        <v>4017</v>
      </c>
      <c r="B3908" s="2" t="s">
        <v>3856</v>
      </c>
      <c r="C3908" s="1" t="s">
        <v>4018</v>
      </c>
      <c r="D3908" s="1" t="s">
        <v>15</v>
      </c>
      <c r="E3908" s="1" t="s">
        <v>3972</v>
      </c>
      <c r="F3908" s="1" t="s">
        <v>3937</v>
      </c>
      <c r="G3908" s="1" t="s">
        <v>3973</v>
      </c>
      <c r="H3908" s="2" t="s">
        <v>64</v>
      </c>
      <c r="I3908" s="1" t="s">
        <v>4004</v>
      </c>
      <c r="J3908" s="1" t="s">
        <v>52</v>
      </c>
      <c r="K3908" s="1" t="s">
        <v>64</v>
      </c>
      <c r="L3908" s="36" t="s">
        <v>46</v>
      </c>
      <c r="M3908" s="1" t="s">
        <v>46</v>
      </c>
      <c r="N3908" s="1" t="s">
        <v>65</v>
      </c>
      <c r="O3908" s="1" t="s">
        <v>46</v>
      </c>
      <c r="P3908" s="1" t="s">
        <v>46</v>
      </c>
      <c r="Q3908" s="1" t="s">
        <v>46</v>
      </c>
      <c r="R3908" s="1" t="s">
        <v>46</v>
      </c>
      <c r="S3908" s="1" t="s">
        <v>46</v>
      </c>
      <c r="T3908" s="1" t="s">
        <v>46</v>
      </c>
      <c r="U3908" s="1" t="s">
        <v>46</v>
      </c>
      <c r="V3908" s="1" t="n">
        <v>1</v>
      </c>
      <c r="W3908" s="1" t="s">
        <v>46</v>
      </c>
      <c r="X3908" s="1" t="s">
        <v>46</v>
      </c>
      <c r="Y3908" s="1" t="n">
        <v>5500</v>
      </c>
    </row>
    <row r="3909" customFormat="false" ht="13.8" hidden="false" customHeight="false" outlineLevel="0" collapsed="false">
      <c r="A3909" s="1" t="s">
        <v>4017</v>
      </c>
      <c r="B3909" s="2" t="s">
        <v>3856</v>
      </c>
      <c r="C3909" s="1" t="s">
        <v>4018</v>
      </c>
      <c r="D3909" s="1" t="s">
        <v>15</v>
      </c>
      <c r="E3909" s="1" t="s">
        <v>3972</v>
      </c>
      <c r="F3909" s="1" t="s">
        <v>3937</v>
      </c>
      <c r="G3909" s="1" t="s">
        <v>3973</v>
      </c>
      <c r="H3909" s="2" t="s">
        <v>66</v>
      </c>
      <c r="I3909" s="1" t="s">
        <v>4005</v>
      </c>
      <c r="J3909" s="1" t="s">
        <v>52</v>
      </c>
      <c r="K3909" s="1" t="s">
        <v>66</v>
      </c>
      <c r="L3909" s="36" t="s">
        <v>46</v>
      </c>
      <c r="M3909" s="1" t="s">
        <v>46</v>
      </c>
      <c r="N3909" s="1" t="s">
        <v>65</v>
      </c>
      <c r="O3909" s="1" t="s">
        <v>46</v>
      </c>
      <c r="P3909" s="1" t="s">
        <v>46</v>
      </c>
      <c r="Q3909" s="1" t="s">
        <v>46</v>
      </c>
      <c r="R3909" s="1" t="s">
        <v>46</v>
      </c>
      <c r="S3909" s="1" t="s">
        <v>46</v>
      </c>
      <c r="T3909" s="1" t="s">
        <v>46</v>
      </c>
      <c r="U3909" s="1" t="s">
        <v>46</v>
      </c>
      <c r="V3909" s="1" t="n">
        <v>1</v>
      </c>
      <c r="W3909" s="1" t="s">
        <v>46</v>
      </c>
      <c r="X3909" s="1" t="s">
        <v>46</v>
      </c>
      <c r="Y3909" s="1" t="n">
        <v>5500</v>
      </c>
    </row>
    <row r="3910" customFormat="false" ht="13.8" hidden="false" customHeight="false" outlineLevel="0" collapsed="false">
      <c r="A3910" s="1" t="s">
        <v>4017</v>
      </c>
      <c r="B3910" s="2" t="s">
        <v>3856</v>
      </c>
      <c r="C3910" s="1" t="s">
        <v>4018</v>
      </c>
      <c r="D3910" s="1" t="s">
        <v>15</v>
      </c>
      <c r="E3910" s="1" t="s">
        <v>3972</v>
      </c>
      <c r="F3910" s="1" t="s">
        <v>3937</v>
      </c>
      <c r="G3910" s="1" t="s">
        <v>3973</v>
      </c>
      <c r="H3910" s="2" t="s">
        <v>67</v>
      </c>
      <c r="I3910" s="1" t="s">
        <v>4006</v>
      </c>
      <c r="J3910" s="1" t="s">
        <v>52</v>
      </c>
      <c r="K3910" s="1" t="s">
        <v>67</v>
      </c>
      <c r="L3910" s="36" t="s">
        <v>46</v>
      </c>
      <c r="M3910" s="1" t="s">
        <v>46</v>
      </c>
      <c r="N3910" s="1" t="s">
        <v>65</v>
      </c>
      <c r="O3910" s="1" t="s">
        <v>46</v>
      </c>
      <c r="P3910" s="1" t="s">
        <v>46</v>
      </c>
      <c r="Q3910" s="1" t="s">
        <v>46</v>
      </c>
      <c r="R3910" s="1" t="s">
        <v>46</v>
      </c>
      <c r="S3910" s="1" t="s">
        <v>46</v>
      </c>
      <c r="T3910" s="1" t="s">
        <v>46</v>
      </c>
      <c r="U3910" s="1" t="s">
        <v>46</v>
      </c>
      <c r="V3910" s="1" t="n">
        <v>1</v>
      </c>
      <c r="W3910" s="1" t="s">
        <v>46</v>
      </c>
      <c r="X3910" s="1" t="s">
        <v>46</v>
      </c>
      <c r="Y3910" s="1" t="n">
        <v>5500</v>
      </c>
    </row>
    <row r="3911" customFormat="false" ht="13.8" hidden="false" customHeight="false" outlineLevel="0" collapsed="false">
      <c r="A3911" s="1" t="s">
        <v>4017</v>
      </c>
      <c r="B3911" s="2" t="s">
        <v>3856</v>
      </c>
      <c r="C3911" s="1" t="s">
        <v>4018</v>
      </c>
      <c r="D3911" s="1" t="s">
        <v>15</v>
      </c>
      <c r="E3911" s="1" t="s">
        <v>3972</v>
      </c>
      <c r="F3911" s="1" t="s">
        <v>3937</v>
      </c>
      <c r="G3911" s="1" t="s">
        <v>3973</v>
      </c>
      <c r="H3911" s="2" t="s">
        <v>221</v>
      </c>
      <c r="I3911" s="1" t="s">
        <v>4007</v>
      </c>
      <c r="J3911" s="1" t="s">
        <v>52</v>
      </c>
      <c r="K3911" s="1" t="s">
        <v>221</v>
      </c>
      <c r="L3911" s="36" t="s">
        <v>46</v>
      </c>
      <c r="M3911" s="1" t="s">
        <v>46</v>
      </c>
      <c r="N3911" s="1" t="s">
        <v>65</v>
      </c>
      <c r="O3911" s="1" t="s">
        <v>46</v>
      </c>
      <c r="P3911" s="1" t="s">
        <v>46</v>
      </c>
      <c r="Q3911" s="1" t="s">
        <v>46</v>
      </c>
      <c r="R3911" s="1" t="s">
        <v>46</v>
      </c>
      <c r="S3911" s="1" t="s">
        <v>46</v>
      </c>
      <c r="T3911" s="1" t="s">
        <v>46</v>
      </c>
      <c r="U3911" s="1" t="s">
        <v>46</v>
      </c>
      <c r="V3911" s="1" t="n">
        <v>1</v>
      </c>
      <c r="W3911" s="1" t="s">
        <v>46</v>
      </c>
      <c r="X3911" s="1" t="s">
        <v>46</v>
      </c>
      <c r="Y3911" s="1" t="n">
        <v>5500</v>
      </c>
    </row>
    <row r="3912" customFormat="false" ht="13.8" hidden="false" customHeight="false" outlineLevel="0" collapsed="false">
      <c r="A3912" s="1" t="s">
        <v>4017</v>
      </c>
      <c r="B3912" s="2" t="s">
        <v>3856</v>
      </c>
      <c r="C3912" s="1" t="s">
        <v>4018</v>
      </c>
      <c r="D3912" s="1" t="s">
        <v>15</v>
      </c>
      <c r="E3912" s="1" t="s">
        <v>3972</v>
      </c>
      <c r="F3912" s="1" t="s">
        <v>3937</v>
      </c>
      <c r="G3912" s="1" t="s">
        <v>3973</v>
      </c>
      <c r="H3912" s="2" t="s">
        <v>3962</v>
      </c>
      <c r="I3912" s="1" t="s">
        <v>4008</v>
      </c>
      <c r="J3912" s="1" t="s">
        <v>52</v>
      </c>
      <c r="K3912" s="1" t="s">
        <v>3962</v>
      </c>
      <c r="L3912" s="36" t="s">
        <v>46</v>
      </c>
      <c r="M3912" s="1" t="s">
        <v>46</v>
      </c>
      <c r="N3912" s="1" t="s">
        <v>78</v>
      </c>
      <c r="O3912" s="1" t="s">
        <v>46</v>
      </c>
      <c r="P3912" s="1" t="s">
        <v>46</v>
      </c>
      <c r="Q3912" s="1" t="s">
        <v>46</v>
      </c>
      <c r="R3912" s="1" t="s">
        <v>46</v>
      </c>
      <c r="S3912" s="1" t="s">
        <v>46</v>
      </c>
      <c r="T3912" s="1" t="s">
        <v>46</v>
      </c>
      <c r="U3912" s="1" t="s">
        <v>46</v>
      </c>
      <c r="V3912" s="1" t="n">
        <v>1</v>
      </c>
      <c r="W3912" s="1" t="s">
        <v>46</v>
      </c>
      <c r="X3912" s="1" t="s">
        <v>2740</v>
      </c>
      <c r="Y3912" s="1" t="n">
        <v>5500</v>
      </c>
    </row>
    <row r="3913" customFormat="false" ht="13.8" hidden="false" customHeight="false" outlineLevel="0" collapsed="false">
      <c r="A3913" s="1" t="s">
        <v>4017</v>
      </c>
      <c r="B3913" s="2" t="s">
        <v>3856</v>
      </c>
      <c r="C3913" s="1" t="s">
        <v>4018</v>
      </c>
      <c r="D3913" s="1" t="s">
        <v>15</v>
      </c>
      <c r="E3913" s="1" t="s">
        <v>3972</v>
      </c>
      <c r="F3913" s="1" t="s">
        <v>3937</v>
      </c>
      <c r="G3913" s="1" t="s">
        <v>3973</v>
      </c>
      <c r="H3913" s="2" t="s">
        <v>3964</v>
      </c>
      <c r="I3913" s="1" t="s">
        <v>4009</v>
      </c>
      <c r="J3913" s="1" t="s">
        <v>52</v>
      </c>
      <c r="K3913" s="1" t="s">
        <v>3964</v>
      </c>
      <c r="L3913" s="36" t="s">
        <v>46</v>
      </c>
      <c r="M3913" s="1" t="s">
        <v>46</v>
      </c>
      <c r="N3913" s="1" t="s">
        <v>78</v>
      </c>
      <c r="O3913" s="1" t="s">
        <v>46</v>
      </c>
      <c r="P3913" s="1" t="s">
        <v>46</v>
      </c>
      <c r="Q3913" s="1" t="s">
        <v>46</v>
      </c>
      <c r="R3913" s="1" t="s">
        <v>46</v>
      </c>
      <c r="S3913" s="1" t="s">
        <v>46</v>
      </c>
      <c r="T3913" s="1" t="s">
        <v>46</v>
      </c>
      <c r="U3913" s="1" t="s">
        <v>46</v>
      </c>
      <c r="V3913" s="1" t="n">
        <v>1</v>
      </c>
      <c r="W3913" s="1" t="s">
        <v>46</v>
      </c>
      <c r="X3913" s="1" t="s">
        <v>2740</v>
      </c>
      <c r="Y3913" s="1" t="n">
        <v>5500</v>
      </c>
    </row>
    <row r="3914" customFormat="false" ht="13.8" hidden="false" customHeight="false" outlineLevel="0" collapsed="false">
      <c r="A3914" s="1" t="s">
        <v>4017</v>
      </c>
      <c r="B3914" s="2" t="s">
        <v>3856</v>
      </c>
      <c r="C3914" s="1" t="s">
        <v>4018</v>
      </c>
      <c r="D3914" s="1" t="s">
        <v>15</v>
      </c>
      <c r="E3914" s="1" t="s">
        <v>3972</v>
      </c>
      <c r="F3914" s="1" t="s">
        <v>3937</v>
      </c>
      <c r="G3914" s="1" t="s">
        <v>3973</v>
      </c>
      <c r="H3914" s="2" t="s">
        <v>3966</v>
      </c>
      <c r="I3914" s="1" t="s">
        <v>4010</v>
      </c>
      <c r="J3914" s="1" t="s">
        <v>52</v>
      </c>
      <c r="K3914" s="1" t="s">
        <v>3966</v>
      </c>
      <c r="L3914" s="36" t="s">
        <v>46</v>
      </c>
      <c r="M3914" s="1" t="s">
        <v>46</v>
      </c>
      <c r="N3914" s="1" t="s">
        <v>78</v>
      </c>
      <c r="O3914" s="1" t="s">
        <v>46</v>
      </c>
      <c r="P3914" s="1" t="s">
        <v>46</v>
      </c>
      <c r="Q3914" s="1" t="s">
        <v>46</v>
      </c>
      <c r="R3914" s="1" t="s">
        <v>46</v>
      </c>
      <c r="S3914" s="1" t="s">
        <v>46</v>
      </c>
      <c r="T3914" s="1" t="s">
        <v>46</v>
      </c>
      <c r="U3914" s="1" t="s">
        <v>46</v>
      </c>
      <c r="V3914" s="1" t="n">
        <v>1</v>
      </c>
      <c r="W3914" s="1" t="s">
        <v>46</v>
      </c>
      <c r="X3914" s="1" t="s">
        <v>2740</v>
      </c>
      <c r="Y3914" s="1" t="n">
        <v>5500</v>
      </c>
    </row>
    <row r="3915" customFormat="false" ht="13.8" hidden="false" customHeight="false" outlineLevel="0" collapsed="false">
      <c r="A3915" s="1" t="s">
        <v>4017</v>
      </c>
      <c r="B3915" s="2" t="s">
        <v>3856</v>
      </c>
      <c r="C3915" s="1" t="s">
        <v>4018</v>
      </c>
      <c r="D3915" s="1" t="s">
        <v>15</v>
      </c>
      <c r="E3915" s="1" t="s">
        <v>3972</v>
      </c>
      <c r="F3915" s="1" t="s">
        <v>3937</v>
      </c>
      <c r="G3915" s="1" t="s">
        <v>3973</v>
      </c>
      <c r="H3915" s="2" t="s">
        <v>4011</v>
      </c>
      <c r="I3915" s="1" t="s">
        <v>4012</v>
      </c>
      <c r="J3915" s="1" t="s">
        <v>52</v>
      </c>
      <c r="K3915" s="1" t="s">
        <v>4011</v>
      </c>
      <c r="L3915" s="36" t="s">
        <v>46</v>
      </c>
      <c r="M3915" s="1" t="s">
        <v>46</v>
      </c>
      <c r="N3915" s="1" t="s">
        <v>78</v>
      </c>
      <c r="O3915" s="1" t="s">
        <v>46</v>
      </c>
      <c r="P3915" s="1" t="s">
        <v>46</v>
      </c>
      <c r="Q3915" s="1" t="s">
        <v>46</v>
      </c>
      <c r="R3915" s="1" t="s">
        <v>46</v>
      </c>
      <c r="S3915" s="1" t="s">
        <v>46</v>
      </c>
      <c r="T3915" s="1" t="s">
        <v>46</v>
      </c>
      <c r="U3915" s="1" t="s">
        <v>46</v>
      </c>
      <c r="V3915" s="1" t="n">
        <v>1</v>
      </c>
      <c r="W3915" s="1" t="s">
        <v>46</v>
      </c>
      <c r="X3915" s="1" t="s">
        <v>2740</v>
      </c>
      <c r="Y3915" s="1" t="n">
        <v>5500</v>
      </c>
    </row>
    <row r="3916" customFormat="false" ht="13.8" hidden="false" customHeight="false" outlineLevel="0" collapsed="false">
      <c r="A3916" s="1" t="s">
        <v>4017</v>
      </c>
      <c r="B3916" s="2" t="s">
        <v>3856</v>
      </c>
      <c r="C3916" s="1" t="s">
        <v>4018</v>
      </c>
      <c r="D3916" s="1" t="s">
        <v>15</v>
      </c>
      <c r="E3916" s="1" t="s">
        <v>3972</v>
      </c>
      <c r="F3916" s="1" t="s">
        <v>3937</v>
      </c>
      <c r="G3916" s="1" t="s">
        <v>3973</v>
      </c>
      <c r="H3916" s="2" t="s">
        <v>463</v>
      </c>
      <c r="I3916" s="1" t="s">
        <v>4013</v>
      </c>
      <c r="J3916" s="1" t="s">
        <v>52</v>
      </c>
      <c r="K3916" s="1" t="s">
        <v>463</v>
      </c>
      <c r="L3916" s="36" t="s">
        <v>46</v>
      </c>
      <c r="M3916" s="1" t="s">
        <v>46</v>
      </c>
      <c r="N3916" s="1" t="s">
        <v>4019</v>
      </c>
      <c r="O3916" s="1" t="s">
        <v>46</v>
      </c>
      <c r="P3916" s="1" t="s">
        <v>46</v>
      </c>
      <c r="Q3916" s="1" t="s">
        <v>46</v>
      </c>
      <c r="R3916" s="1" t="s">
        <v>46</v>
      </c>
      <c r="S3916" s="1" t="s">
        <v>46</v>
      </c>
      <c r="T3916" s="1" t="s">
        <v>46</v>
      </c>
      <c r="U3916" s="1" t="s">
        <v>46</v>
      </c>
      <c r="V3916" s="1" t="n">
        <v>1</v>
      </c>
      <c r="W3916" s="1" t="s">
        <v>46</v>
      </c>
      <c r="X3916" s="1" t="s">
        <v>47</v>
      </c>
      <c r="Y3916" s="1" t="n">
        <v>5500</v>
      </c>
    </row>
    <row r="3917" customFormat="false" ht="13.8" hidden="false" customHeight="false" outlineLevel="0" collapsed="false">
      <c r="A3917" s="1" t="s">
        <v>4017</v>
      </c>
      <c r="B3917" s="2" t="s">
        <v>3856</v>
      </c>
      <c r="C3917" s="1" t="s">
        <v>4018</v>
      </c>
      <c r="D3917" s="1" t="s">
        <v>15</v>
      </c>
      <c r="E3917" s="1" t="s">
        <v>3972</v>
      </c>
      <c r="F3917" s="1" t="s">
        <v>3937</v>
      </c>
      <c r="G3917" s="1" t="s">
        <v>3973</v>
      </c>
      <c r="H3917" s="2" t="s">
        <v>468</v>
      </c>
      <c r="I3917" s="1" t="s">
        <v>4014</v>
      </c>
      <c r="J3917" s="1" t="s">
        <v>52</v>
      </c>
      <c r="K3917" s="1" t="s">
        <v>468</v>
      </c>
      <c r="L3917" s="36" t="s">
        <v>46</v>
      </c>
      <c r="M3917" s="1" t="s">
        <v>46</v>
      </c>
      <c r="N3917" s="1" t="s">
        <v>4019</v>
      </c>
      <c r="O3917" s="1" t="s">
        <v>46</v>
      </c>
      <c r="P3917" s="1" t="s">
        <v>46</v>
      </c>
      <c r="Q3917" s="1" t="s">
        <v>46</v>
      </c>
      <c r="R3917" s="1" t="s">
        <v>46</v>
      </c>
      <c r="S3917" s="1" t="s">
        <v>46</v>
      </c>
      <c r="T3917" s="1" t="s">
        <v>46</v>
      </c>
      <c r="U3917" s="1" t="s">
        <v>46</v>
      </c>
      <c r="V3917" s="1" t="n">
        <v>1</v>
      </c>
      <c r="W3917" s="1" t="s">
        <v>46</v>
      </c>
      <c r="X3917" s="1" t="s">
        <v>47</v>
      </c>
      <c r="Y3917" s="1" t="n">
        <v>5500</v>
      </c>
    </row>
    <row r="3918" customFormat="false" ht="13.8" hidden="false" customHeight="false" outlineLevel="0" collapsed="false">
      <c r="A3918" s="1" t="s">
        <v>4017</v>
      </c>
      <c r="B3918" s="2" t="s">
        <v>3856</v>
      </c>
      <c r="C3918" s="1" t="s">
        <v>4018</v>
      </c>
      <c r="D3918" s="1" t="s">
        <v>15</v>
      </c>
      <c r="E3918" s="1" t="s">
        <v>3972</v>
      </c>
      <c r="F3918" s="1" t="s">
        <v>3937</v>
      </c>
      <c r="G3918" s="1" t="s">
        <v>3973</v>
      </c>
      <c r="H3918" s="2" t="s">
        <v>472</v>
      </c>
      <c r="I3918" s="1" t="s">
        <v>4015</v>
      </c>
      <c r="J3918" s="1" t="s">
        <v>52</v>
      </c>
      <c r="K3918" s="1" t="s">
        <v>472</v>
      </c>
      <c r="L3918" s="36" t="s">
        <v>46</v>
      </c>
      <c r="M3918" s="1" t="s">
        <v>46</v>
      </c>
      <c r="N3918" s="1" t="s">
        <v>4019</v>
      </c>
      <c r="O3918" s="1" t="s">
        <v>46</v>
      </c>
      <c r="P3918" s="1" t="s">
        <v>46</v>
      </c>
      <c r="Q3918" s="1" t="s">
        <v>46</v>
      </c>
      <c r="R3918" s="1" t="s">
        <v>46</v>
      </c>
      <c r="S3918" s="1" t="s">
        <v>46</v>
      </c>
      <c r="T3918" s="1" t="s">
        <v>46</v>
      </c>
      <c r="U3918" s="1" t="s">
        <v>46</v>
      </c>
      <c r="V3918" s="1" t="n">
        <v>1</v>
      </c>
      <c r="W3918" s="1" t="s">
        <v>46</v>
      </c>
      <c r="X3918" s="1" t="s">
        <v>47</v>
      </c>
      <c r="Y3918" s="1" t="n">
        <v>5500</v>
      </c>
    </row>
    <row r="3919" customFormat="false" ht="13.8" hidden="false" customHeight="false" outlineLevel="0" collapsed="false">
      <c r="A3919" s="1" t="s">
        <v>4017</v>
      </c>
      <c r="B3919" s="2" t="s">
        <v>3856</v>
      </c>
      <c r="C3919" s="1" t="s">
        <v>4018</v>
      </c>
      <c r="D3919" s="1" t="s">
        <v>15</v>
      </c>
      <c r="E3919" s="1" t="s">
        <v>3972</v>
      </c>
      <c r="F3919" s="1" t="s">
        <v>3937</v>
      </c>
      <c r="G3919" s="1" t="s">
        <v>3973</v>
      </c>
      <c r="H3919" s="2" t="s">
        <v>476</v>
      </c>
      <c r="I3919" s="1" t="s">
        <v>4016</v>
      </c>
      <c r="J3919" s="1" t="s">
        <v>52</v>
      </c>
      <c r="K3919" s="1" t="s">
        <v>476</v>
      </c>
      <c r="L3919" s="36" t="s">
        <v>46</v>
      </c>
      <c r="M3919" s="1" t="s">
        <v>46</v>
      </c>
      <c r="N3919" s="1" t="s">
        <v>4019</v>
      </c>
      <c r="O3919" s="1" t="s">
        <v>46</v>
      </c>
      <c r="P3919" s="1" t="s">
        <v>46</v>
      </c>
      <c r="Q3919" s="1" t="s">
        <v>46</v>
      </c>
      <c r="R3919" s="1" t="s">
        <v>46</v>
      </c>
      <c r="S3919" s="1" t="s">
        <v>46</v>
      </c>
      <c r="T3919" s="1" t="s">
        <v>46</v>
      </c>
      <c r="U3919" s="1" t="s">
        <v>46</v>
      </c>
      <c r="V3919" s="1" t="n">
        <v>1</v>
      </c>
      <c r="W3919" s="1" t="s">
        <v>46</v>
      </c>
      <c r="X3919" s="1" t="s">
        <v>47</v>
      </c>
      <c r="Y3919" s="1" t="n">
        <v>5500</v>
      </c>
    </row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763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  <cfRule type="expression" priority="103" aboveAverage="0" equalAverage="0" bottom="0" percent="0" rank="0" text="" dxfId="104">
      <formula>LEN(TRIM(J869))=0</formula>
    </cfRule>
    <cfRule type="expression" priority="104" aboveAverage="0" equalAverage="0" bottom="0" percent="0" rank="0" text="" dxfId="105">
      <formula>LEN(TRIM(J869))=0</formula>
    </cfRule>
    <cfRule type="expression" priority="105" aboveAverage="0" equalAverage="0" bottom="0" percent="0" rank="0" text="" dxfId="106">
      <formula>LEN(TRIM(J869))=0</formula>
    </cfRule>
  </conditionalFormatting>
  <conditionalFormatting sqref="H869">
    <cfRule type="expression" priority="106" aboveAverage="0" equalAverage="0" bottom="0" percent="0" rank="0" text="" dxfId="107">
      <formula>LEN(TRIM(H869))=0</formula>
    </cfRule>
  </conditionalFormatting>
  <conditionalFormatting sqref="AE869">
    <cfRule type="expression" priority="107" aboveAverage="0" equalAverage="0" bottom="0" percent="0" rank="0" text="" dxfId="108">
      <formula>LEN(TRIM(AE869))=0</formula>
    </cfRule>
  </conditionalFormatting>
  <conditionalFormatting sqref="AF869">
    <cfRule type="expression" priority="108" aboveAverage="0" equalAverage="0" bottom="0" percent="0" rank="0" text="" dxfId="109">
      <formula>LEN(TRIM(AF869))=0</formula>
    </cfRule>
  </conditionalFormatting>
  <conditionalFormatting sqref="J866:J868">
    <cfRule type="expression" priority="109" aboveAverage="0" equalAverage="0" bottom="0" percent="0" rank="0" text="" dxfId="110">
      <formula>LEN(TRIM(J866))=0</formula>
    </cfRule>
    <cfRule type="expression" priority="110" aboveAverage="0" equalAverage="0" bottom="0" percent="0" rank="0" text="" dxfId="111">
      <formula>LEN(TRIM(J866))=0</formula>
    </cfRule>
  </conditionalFormatting>
  <conditionalFormatting sqref="V867">
    <cfRule type="expression" priority="111" aboveAverage="0" equalAverage="0" bottom="0" percent="0" rank="0" text="" dxfId="112">
      <formula>LEN(TRIM(V867))=0</formula>
    </cfRule>
  </conditionalFormatting>
  <conditionalFormatting sqref="H866">
    <cfRule type="expression" priority="112" aboveAverage="0" equalAverage="0" bottom="0" percent="0" rank="0" text="" dxfId="113">
      <formula>LEN(TRIM(H866))=0</formula>
    </cfRule>
  </conditionalFormatting>
  <conditionalFormatting sqref="AE866">
    <cfRule type="expression" priority="113" aboveAverage="0" equalAverage="0" bottom="0" percent="0" rank="0" text="" dxfId="114">
      <formula>LEN(TRIM(AE866))=0</formula>
    </cfRule>
  </conditionalFormatting>
  <conditionalFormatting sqref="AF866">
    <cfRule type="expression" priority="114" aboveAverage="0" equalAverage="0" bottom="0" percent="0" rank="0" text="" dxfId="115">
      <formula>LEN(TRIM(AF866))=0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  <cfRule type="expression" priority="657" aboveAverage="0" equalAverage="0" bottom="0" percent="0" rank="0" text="" dxfId="658">
      <formula>LEN(TRIM(J967))=0</formula>
    </cfRule>
    <cfRule type="expression" priority="658" aboveAverage="0" equalAverage="0" bottom="0" percent="0" rank="0" text="" dxfId="659">
      <formula>LEN(TRIM(J967))=0</formula>
    </cfRule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  <cfRule type="expression" priority="843" aboveAverage="0" equalAverage="0" bottom="0" percent="0" rank="0" text="" dxfId="844">
      <formula>LEN(TRIM(J1088))=0</formula>
    </cfRule>
    <cfRule type="expression" priority="844" aboveAverage="0" equalAverage="0" bottom="0" percent="0" rank="0" text="" dxfId="845">
      <formula>LEN(TRIM(J1088))=0</formula>
    </cfRule>
    <cfRule type="expression" priority="845" aboveAverage="0" equalAverage="0" bottom="0" percent="0" rank="0" text="" dxfId="846">
      <formula>LEN(TRIM(J1088))=0</formula>
    </cfRule>
  </conditionalFormatting>
  <conditionalFormatting sqref="H1088">
    <cfRule type="expression" priority="846" aboveAverage="0" equalAverage="0" bottom="0" percent="0" rank="0" text="" dxfId="847">
      <formula>LEN(TRIM(H1088))=0</formula>
    </cfRule>
  </conditionalFormatting>
  <conditionalFormatting sqref="AE1088">
    <cfRule type="expression" priority="847" aboveAverage="0" equalAverage="0" bottom="0" percent="0" rank="0" text="" dxfId="848">
      <formula>LEN(TRIM(AE1088))=0</formula>
    </cfRule>
  </conditionalFormatting>
  <conditionalFormatting sqref="AF1088">
    <cfRule type="expression" priority="848" aboveAverage="0" equalAverage="0" bottom="0" percent="0" rank="0" text="" dxfId="849">
      <formula>LEN(TRIM(AF1088))=0</formula>
    </cfRule>
  </conditionalFormatting>
  <conditionalFormatting sqref="J1085:J1087">
    <cfRule type="expression" priority="849" aboveAverage="0" equalAverage="0" bottom="0" percent="0" rank="0" text="" dxfId="850">
      <formula>LEN(TRIM(J1085))=0</formula>
    </cfRule>
    <cfRule type="expression" priority="850" aboveAverage="0" equalAverage="0" bottom="0" percent="0" rank="0" text="" dxfId="851">
      <formula>LEN(TRIM(J1085))=0</formula>
    </cfRule>
  </conditionalFormatting>
  <conditionalFormatting sqref="V1086">
    <cfRule type="expression" priority="851" aboveAverage="0" equalAverage="0" bottom="0" percent="0" rank="0" text="" dxfId="852">
      <formula>LEN(TRIM(V1086))=0</formula>
    </cfRule>
  </conditionalFormatting>
  <conditionalFormatting sqref="H1085">
    <cfRule type="expression" priority="852" aboveAverage="0" equalAverage="0" bottom="0" percent="0" rank="0" text="" dxfId="853">
      <formula>LEN(TRIM(H1085))=0</formula>
    </cfRule>
  </conditionalFormatting>
  <conditionalFormatting sqref="AE1085">
    <cfRule type="expression" priority="853" aboveAverage="0" equalAverage="0" bottom="0" percent="0" rank="0" text="" dxfId="854">
      <formula>LEN(TRIM(AE1085))=0</formula>
    </cfRule>
  </conditionalFormatting>
  <conditionalFormatting sqref="AF1085">
    <cfRule type="expression" priority="854" aboveAverage="0" equalAverage="0" bottom="0" percent="0" rank="0" text="" dxfId="855">
      <formula>LEN(TRIM(AF1085))=0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LEN(TRIM(Q1135))=0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  <cfRule type="expression" priority="1524" aboveAverage="0" equalAverage="0" bottom="0" percent="0" rank="0" text="" dxfId="1525">
      <formula>LEN(TRIM(J1193))=0</formula>
    </cfRule>
    <cfRule type="expression" priority="1525" aboveAverage="0" equalAverage="0" bottom="0" percent="0" rank="0" text="" dxfId="1526">
      <formula>LEN(TRIM(J1193))=0</formula>
    </cfRule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  <cfRule type="expression" priority="1659" aboveAverage="0" equalAverage="0" bottom="0" percent="0" rank="0" text="" dxfId="1660">
      <formula>LEN(TRIM(J1220))=0</formula>
    </cfRule>
    <cfRule type="expression" priority="1660" aboveAverage="0" equalAverage="0" bottom="0" percent="0" rank="0" text="" dxfId="1661">
      <formula>LEN(TRIM(J1220))=0</formula>
    </cfRule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LEN(TRIM(Q1117))=0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69 R2294:R2323 R2349:R2373 R2404:R2433 R2458:R2487 R2512:R2541 R2567:R2596 R2622:R2651 R2700:R2729 R2780:R2809 R2858:R2887 R2938:R2967" type="none">
      <formula1>'legal entries'!$D$5:$D$9</formula1>
      <formula2>0</formula2>
    </dataValidation>
    <dataValidation allowBlank="true" errorStyle="stop" operator="between" showDropDown="false" showErrorMessage="true" showInputMessage="true" sqref="X1:X221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4" activeCellId="0" sqref="B14"/>
    </sheetView>
  </sheetViews>
  <sheetFormatPr defaultColWidth="12.9570312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4020</v>
      </c>
      <c r="B1" s="1" t="s">
        <v>4021</v>
      </c>
      <c r="C1" s="1" t="s">
        <v>4022</v>
      </c>
      <c r="D1" s="1" t="s">
        <v>4023</v>
      </c>
      <c r="E1" s="5" t="s">
        <v>24</v>
      </c>
    </row>
    <row r="2" customFormat="false" ht="15" hidden="false" customHeight="false" outlineLevel="0" collapsed="false">
      <c r="A2" s="1" t="s">
        <v>4024</v>
      </c>
      <c r="B2" s="1" t="s">
        <v>4025</v>
      </c>
      <c r="C2" s="1" t="s">
        <v>4026</v>
      </c>
      <c r="D2" s="1" t="s">
        <v>4027</v>
      </c>
      <c r="E2" s="1" t="s">
        <v>4028</v>
      </c>
    </row>
    <row r="3" customFormat="false" ht="15" hidden="false" customHeight="false" outlineLevel="0" collapsed="false">
      <c r="A3" s="1" t="s">
        <v>4029</v>
      </c>
      <c r="B3" s="1" t="s">
        <v>4030</v>
      </c>
    </row>
    <row r="4" customFormat="false" ht="15" hidden="false" customHeight="false" outlineLevel="0" collapsed="false">
      <c r="A4" s="1" t="s">
        <v>4031</v>
      </c>
    </row>
    <row r="5" customFormat="false" ht="15.65" hidden="false" customHeight="false" outlineLevel="0" collapsed="false">
      <c r="A5" s="1" t="s">
        <v>4032</v>
      </c>
      <c r="B5" s="1" t="s">
        <v>246</v>
      </c>
      <c r="C5" s="8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4033</v>
      </c>
      <c r="B6" s="1" t="s">
        <v>41</v>
      </c>
      <c r="C6" s="8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4034</v>
      </c>
      <c r="B7" s="1" t="s">
        <v>392</v>
      </c>
      <c r="C7" s="8" t="s">
        <v>193</v>
      </c>
      <c r="D7" s="1" t="s">
        <v>81</v>
      </c>
    </row>
    <row r="8" customFormat="false" ht="15" hidden="false" customHeight="false" outlineLevel="0" collapsed="false">
      <c r="A8" s="1" t="s">
        <v>4035</v>
      </c>
      <c r="B8" s="5" t="s">
        <v>65</v>
      </c>
      <c r="C8" s="5" t="s">
        <v>4036</v>
      </c>
      <c r="D8" s="1" t="s">
        <v>69</v>
      </c>
    </row>
    <row r="9" customFormat="false" ht="15" hidden="false" customHeight="false" outlineLevel="0" collapsed="false">
      <c r="B9" s="5" t="s">
        <v>78</v>
      </c>
      <c r="C9" s="5" t="s">
        <v>4037</v>
      </c>
      <c r="D9" s="1" t="s">
        <v>46</v>
      </c>
    </row>
    <row r="10" customFormat="false" ht="15" hidden="false" customHeight="false" outlineLevel="0" collapsed="false">
      <c r="B10" s="5" t="s">
        <v>70</v>
      </c>
      <c r="C10" s="1" t="s">
        <v>4038</v>
      </c>
    </row>
    <row r="11" customFormat="false" ht="15" hidden="false" customHeight="false" outlineLevel="0" collapsed="false">
      <c r="B11" s="5" t="s">
        <v>465</v>
      </c>
    </row>
    <row r="12" customFormat="false" ht="15" hidden="false" customHeight="false" outlineLevel="0" collapsed="false">
      <c r="B12" s="5" t="s">
        <v>404</v>
      </c>
      <c r="C12" s="1" t="s">
        <v>4039</v>
      </c>
    </row>
    <row r="13" customFormat="false" ht="15" hidden="false" customHeight="false" outlineLevel="0" collapsed="false">
      <c r="B13" s="5" t="s">
        <v>325</v>
      </c>
    </row>
    <row r="14" customFormat="false" ht="15" hidden="false" customHeight="false" outlineLevel="0" collapsed="false">
      <c r="C14" s="5" t="s">
        <v>83</v>
      </c>
    </row>
    <row r="15" customFormat="false" ht="15" hidden="false" customHeight="false" outlineLevel="0" collapsed="false">
      <c r="C15" s="5" t="s">
        <v>74</v>
      </c>
    </row>
    <row r="16" customFormat="false" ht="15.65" hidden="false" customHeight="false" outlineLevel="0" collapsed="false">
      <c r="C16" s="8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2168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2025-12-08T15:07:03Z</dcterms:modified>
  <cp:revision>166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