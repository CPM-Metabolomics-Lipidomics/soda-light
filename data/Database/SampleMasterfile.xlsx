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<sst xmlns="http://schemas.openxmlformats.org/spreadsheetml/2006/main" count="102593" uniqueCount="4671">
  <si>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</si>
  <si>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</si>
  <si>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</si>
  <si>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</si>
  <si>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</si>
  <si>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</si>
  <si>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</si>
  <si>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</si>
  <si>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</si>
  <si>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</si>
  <si>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</si>
  <si>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</si>
  <si>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</si>
  <si>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</si>
  <si>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</si>
  <si>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</si>
  <si>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</si>
  <si>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</si>
  <si>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</si>
  <si>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</si>
  <si>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</si>
  <si>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</si>
  <si>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</si>
  <si>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</si>
  <si>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</si>
  <si>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</si>
  <si>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</si>
  <si>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</si>
  <si>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</si>
  <si>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</si>
  <si>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</si>
  <si>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</si>
  <si>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</si>
  <si>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</si>
  <si>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</si>
  <si>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</si>
  <si>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</si>
  <si>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</si>
  <si>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</si>
  <si>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</si>
  <si>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</si>
  <si>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</si>
  <si>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</si>
  <si>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</si>
  <si>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</si>
  <si>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</si>
  <si>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</si>
  <si>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</si>
  <si>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</si>
  <si>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</si>
  <si>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</si>
  <si>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</si>
  <si>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</si>
  <si>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</si>
  <si>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</si>
  <si>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</si>
  <si>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</si>
  <si>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</si>
  <si>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</si>
  <si>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</si>
  <si>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</si>
  <si>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</si>
  <si>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</si>
  <si>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</si>
  <si>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</si>
  <si>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</si>
  <si>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</si>
  <si>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</si>
  <si>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</si>
  <si>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</si>
  <si>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</si>
  <si>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</si>
  <si>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</si>
  <si>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</si>
  <si>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</si>
  <si>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</si>
  <si>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</si>
  <si>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</si>
  <si>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</si>
  <si>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</si>
  <si>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</si>
  <si>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</si>
  <si>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</si>
  <si>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</si>
  <si>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</si>
  <si>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</si>
  <si>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</si>
  <si>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</si>
  <si>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</si>
  <si>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</si>
  <si>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</si>
  <si>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</si>
  <si>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</si>
  <si>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</si>
  <si>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</si>
  <si>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</si>
  <si>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</si>
  <si>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</si>
  <si>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</si>
  <si>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</si>
  <si>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</si>
  <si>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</si>
  <si>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</si>
  <si>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</si>
  <si>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</si>
  <si>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</si>
  <si>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</si>
  <si>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</si>
  <si>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</si>
  <si>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</si>
  <si>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</si>
  <si>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</si>
  <si>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</si>
  <si>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</si>
  <si>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</si>
  <si>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</si>
  <si>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</si>
  <si>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</si>
  <si>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</si>
  <si>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</si>
  <si>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</si>
  <si>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</si>
  <si>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</si>
  <si>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</si>
  <si>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</si>
  <si>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</si>
  <si>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</si>
  <si>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</si>
  <si>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</si>
  <si>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</si>
  <si>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</si>
  <si>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</si>
  <si>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</si>
  <si>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</si>
  <si>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</si>
  <si>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</si>
  <si>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</si>
  <si>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</si>
  <si>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</si>
  <si>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</si>
  <si>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</si>
  <si>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</si>
  <si>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</si>
  <si>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</si>
  <si>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</si>
  <si>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</si>
  <si>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</si>
  <si>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</si>
  <si>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</si>
  <si>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</si>
  <si>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</si>
  <si>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</si>
  <si>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</si>
  <si>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</si>
  <si>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</si>
  <si>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</si>
  <si>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</si>
  <si>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</si>
  <si>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</si>
  <si>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</si>
  <si>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</si>
  <si>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</si>
  <si>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</si>
  <si>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</si>
  <si>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</si>
  <si>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</si>
  <si>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</si>
  <si>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</si>
  <si>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</si>
  <si>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</si>
  <si>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</si>
  <si>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</si>
  <si>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</si>
  <si>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</si>
  <si>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</si>
  <si>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</si>
  <si>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</si>
  <si>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</si>
  <si>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</si>
  <si>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</si>
  <si>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</si>
  <si>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</si>
  <si>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</si>
  <si>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</si>
  <si>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</si>
  <si>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</si>
  <si>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</si>
  <si>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</si>
  <si>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</si>
  <si>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</si>
  <si>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</si>
  <si>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</si>
  <si>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</si>
  <si>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</si>
  <si>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</si>
  <si>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</si>
  <si>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</si>
  <si>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</si>
  <si>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</si>
  <si>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</si>
  <si>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</si>
  <si>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</si>
  <si>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</si>
  <si>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</si>
  <si>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</si>
  <si>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</si>
  <si>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</si>
  <si>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</si>
  <si>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</si>
  <si>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</si>
  <si>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</si>
  <si>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</si>
  <si>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</si>
  <si>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</si>
  <si>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</si>
  <si>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</si>
  <si>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</si>
  <si>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</si>
  <si>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</si>
  <si>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</si>
  <si>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</si>
  <si>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</si>
  <si>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</si>
  <si>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</si>
  <si>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</si>
  <si>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</si>
  <si>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</si>
  <si>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</si>
  <si>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</si>
  <si>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</si>
  <si>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</si>
  <si>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</si>
  <si>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</si>
  <si>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</si>
  <si>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</si>
  <si>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</si>
  <si>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</si>
  <si>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</si>
  <si>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</si>
  <si>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</si>
  <si>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</si>
  <si>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</si>
  <si>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</si>
  <si>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</si>
  <si>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</si>
  <si>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</si>
  <si>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</si>
  <si>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</si>
  <si>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</si>
  <si>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</si>
  <si>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</si>
  <si>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</si>
  <si>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</si>
  <si>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</si>
  <si>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</si>
  <si>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</si>
  <si>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</si>
  <si>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</si>
  <si>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</si>
  <si>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</si>
  <si>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</si>
  <si>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</si>
  <si>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</si>
  <si>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</si>
  <si>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</si>
  <si>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</si>
  <si>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</si>
  <si>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</si>
  <si>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</si>
  <si>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</si>
  <si>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</si>
  <si>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</si>
  <si>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</si>
  <si>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</si>
  <si>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</si>
  <si>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</si>
  <si>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</si>
  <si>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</si>
  <si>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</si>
  <si>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</si>
  <si>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</si>
  <si>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</si>
  <si>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</si>
  <si>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</si>
  <si>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</si>
  <si>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</si>
  <si>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</si>
  <si>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</si>
  <si>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</si>
  <si>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</si>
  <si>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</si>
  <si>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</si>
  <si>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</si>
  <si>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</si>
  <si>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</si>
  <si>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</si>
  <si>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</si>
  <si>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</si>
  <si>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</si>
  <si>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</si>
  <si>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</si>
  <si>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</si>
  <si>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</si>
  <si>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</si>
  <si>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</si>
  <si>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</si>
  <si>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</si>
  <si>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</si>
  <si>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</si>
  <si>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</si>
  <si>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</si>
  <si>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</si>
  <si>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</si>
  <si>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</si>
  <si>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</si>
  <si>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</si>
  <si>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</si>
  <si>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</si>
  <si>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</si>
  <si>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</si>
  <si>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</si>
  <si>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</si>
  <si>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</si>
  <si>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</si>
  <si>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</si>
  <si>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</si>
  <si>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</si>
  <si>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</si>
  <si>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</si>
  <si>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</si>
  <si>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</si>
  <si>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</si>
  <si>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</si>
  <si>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</si>
  <si>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</si>
  <si>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</si>
  <si>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</si>
  <si>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</si>
  <si>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</si>
  <si>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</si>
  <si>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</si>
  <si>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</si>
  <si>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</si>
  <si>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</si>
  <si>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</si>
  <si>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</si>
  <si>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</si>
  <si>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</si>
  <si>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</si>
  <si>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</si>
  <si>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</si>
  <si>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</si>
  <si>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</si>
  <si>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</si>
  <si>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</si>
  <si>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</si>
  <si>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</si>
  <si>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</si>
  <si>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</si>
  <si>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</si>
  <si>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</si>
  <si>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</si>
  <si>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</si>
  <si>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</si>
  <si>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</si>
  <si>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</si>
  <si>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</si>
  <si>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</si>
  <si>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</si>
  <si>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</si>
  <si>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</si>
  <si>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</si>
  <si>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</si>
  <si>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</si>
  <si>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</si>
  <si>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</si>
  <si>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</si>
  <si>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</si>
  <si>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</si>
  <si>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</si>
  <si>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</si>
  <si>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</si>
  <si>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</si>
  <si>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</si>
  <si>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</si>
  <si>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</si>
  <si>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</si>
  <si>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</si>
  <si>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</si>
  <si>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</si>
  <si>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</si>
  <si>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</si>
  <si>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</si>
  <si>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</si>
  <si>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</si>
  <si>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</si>
  <si>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</si>
  <si>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</si>
  <si>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</si>
  <si>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</si>
  <si>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</si>
  <si>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</si>
  <si>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</si>
  <si>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</si>
  <si>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</si>
  <si>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</si>
  <si>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</si>
  <si>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</si>
  <si>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</si>
  <si>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</si>
  <si>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</si>
  <si>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</si>
  <si>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</si>
  <si>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</si>
  <si>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</si>
  <si>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</si>
  <si>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</si>
  <si>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</si>
  <si>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</si>
  <si>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</si>
  <si>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</si>
  <si>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</si>
  <si>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</si>
  <si>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</si>
  <si>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</si>
  <si>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</si>
  <si>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</si>
  <si>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</si>
  <si>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</si>
  <si>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</si>
  <si>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</si>
  <si>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</si>
  <si>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</si>
  <si>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</si>
  <si>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</si>
  <si>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</si>
  <si>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</si>
  <si>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</si>
  <si>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</si>
  <si>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</si>
  <si>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</si>
  <si>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</si>
  <si>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</si>
  <si>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</si>
  <si>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</si>
  <si>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</si>
  <si>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</si>
  <si>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</si>
  <si>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</si>
  <si>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</si>
  <si>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</si>
  <si>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</si>
  <si>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</si>
  <si>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</si>
  <si>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</si>
  <si>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</si>
  <si>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</si>
  <si>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</si>
  <si>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</si>
  <si>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</si>
  <si>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</si>
  <si>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</si>
  <si>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</si>
  <si>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</si>
  <si>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</si>
  <si>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</si>
  <si>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</si>
  <si>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</si>
  <si>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</si>
  <si>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</si>
  <si>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</si>
  <si>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</si>
  <si>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</si>
  <si>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</si>
  <si>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</si>
  <si>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</si>
  <si>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</si>
  <si>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</si>
  <si>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</si>
  <si>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</si>
  <si>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</si>
  <si>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</si>
  <si>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</si>
  <si>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</si>
  <si>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</si>
  <si>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</si>
  <si>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</si>
  <si>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</si>
  <si>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</si>
  <si>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</si>
  <si>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</si>
  <si>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</si>
  <si>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</si>
  <si>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</si>
  <si>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</si>
  <si>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</si>
  <si>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</si>
  <si>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</si>
  <si>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</si>
  <si>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</si>
  <si>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</si>
  <si>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</si>
  <si>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</si>
  <si>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</si>
  <si>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</si>
  <si>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</si>
  <si>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</si>
  <si>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</si>
  <si>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</si>
  <si>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</si>
  <si>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</si>
  <si>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</si>
  <si>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</si>
  <si>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</si>
  <si>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</si>
  <si>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</si>
  <si>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</si>
  <si>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</si>
  <si>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</si>
  <si>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</si>
  <si>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</si>
  <si>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</si>
  <si>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</si>
  <si>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</si>
  <si>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</si>
  <si>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</si>
  <si>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</si>
  <si>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</si>
  <si>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</si>
  <si>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</si>
  <si>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</si>
  <si>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</si>
  <si>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</si>
  <si>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</si>
  <si>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</si>
  <si>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</si>
  <si>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</si>
  <si>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</si>
  <si>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</si>
  <si>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</si>
  <si>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</si>
  <si>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</si>
  <si>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</si>
  <si>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</si>
  <si>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</si>
  <si>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</si>
  <si>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</si>
  <si>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</si>
  <si>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</si>
  <si>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</si>
  <si>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</si>
  <si>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</si>
  <si>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</si>
  <si>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</si>
  <si>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</si>
  <si>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</si>
  <si>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</si>
  <si>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</si>
  <si>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</si>
  <si>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</si>
  <si>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</si>
  <si>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</si>
  <si>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</si>
  <si>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</si>
  <si>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</si>
  <si>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</si>
  <si>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</si>
  <si>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</si>
  <si>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</si>
  <si>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</si>
  <si>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</si>
  <si>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</si>
  <si>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</si>
  <si>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</si>
  <si>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</si>
  <si>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</si>
  <si>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</si>
  <si>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</si>
  <si>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</si>
  <si>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</si>
  <si>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</si>
  <si>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</si>
  <si>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</si>
  <si>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</si>
  <si>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</si>
  <si>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</si>
  <si>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</si>
  <si>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</si>
  <si>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</si>
  <si>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</si>
  <si>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</si>
  <si>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</si>
  <si>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</si>
  <si>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</si>
  <si>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</si>
  <si>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</si>
  <si>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</si>
  <si>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</si>
  <si>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</si>
  <si>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</si>
  <si>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</si>
  <si>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</si>
  <si>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</si>
  <si>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</si>
  <si>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</si>
  <si>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</si>
  <si>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</si>
  <si>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</si>
  <si>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</si>
  <si>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</si>
  <si>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</si>
  <si>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</si>
  <si>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</si>
  <si>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</si>
  <si>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</si>
  <si>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</si>
  <si>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</si>
  <si>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</si>
  <si>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</si>
  <si>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</si>
  <si>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</si>
  <si>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</si>
  <si>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</si>
  <si>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</si>
  <si>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</si>
  <si>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</si>
  <si>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</si>
  <si>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</si>
  <si>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</si>
  <si>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</si>
  <si>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</si>
  <si>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</si>
  <si>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</si>
  <si>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</si>
  <si>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</si>
  <si>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</si>
  <si>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</si>
  <si>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</si>
  <si>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</si>
  <si>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</si>
  <si>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</si>
  <si>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</si>
  <si>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</si>
  <si>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</si>
  <si>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</si>
  <si>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</si>
  <si>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</si>
  <si>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</si>
  <si>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</si>
  <si>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</si>
  <si>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</si>
  <si>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</si>
  <si>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</si>
  <si>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</si>
  <si>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</si>
  <si>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</si>
  <si>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</si>
  <si>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</si>
  <si>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</si>
  <si>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</si>
  <si>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</si>
  <si>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</si>
  <si>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</si>
  <si>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</si>
  <si>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</si>
  <si>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</si>
  <si>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</si>
  <si>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</si>
  <si>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</si>
  <si>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</si>
  <si>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</si>
  <si>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</si>
  <si>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</si>
  <si>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</si>
  <si>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</si>
  <si>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</si>
  <si>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</si>
  <si>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</si>
  <si>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</si>
  <si>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</si>
  <si>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</si>
  <si>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</si>
  <si>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</si>
  <si>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</si>
  <si>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</si>
  <si>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</si>
  <si>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</si>
  <si>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</si>
  <si>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</si>
  <si>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</si>
  <si>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</si>
  <si>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</si>
  <si>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</si>
  <si>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</si>
  <si>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</si>
  <si>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</si>
  <si>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</si>
  <si>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</si>
  <si>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</si>
  <si>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</si>
  <si>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</si>
  <si>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</si>
  <si>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</si>
  <si>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</si>
  <si>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</si>
  <si>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</si>
  <si>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</si>
  <si>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</si>
  <si>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</si>
  <si>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</si>
  <si>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</si>
  <si>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</si>
  <si>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</si>
  <si>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</si>
  <si>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</si>
  <si>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</si>
  <si>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</si>
  <si>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</si>
  <si>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</si>
  <si>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</si>
  <si>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</si>
  <si>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</si>
  <si>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</si>
  <si>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</si>
  <si>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</si>
  <si>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</si>
  <si>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</si>
  <si>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</si>
  <si>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</si>
  <si>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</si>
  <si>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</si>
  <si>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</si>
  <si>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</si>
  <si>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</si>
  <si>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</si>
  <si>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</si>
  <si>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</si>
  <si>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</si>
  <si>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</si>
  <si>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</si>
  <si>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</si>
  <si>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</si>
  <si>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</si>
  <si>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</si>
  <si>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</si>
  <si>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</si>
  <si>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</si>
  <si>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</si>
  <si>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</si>
  <si>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</si>
  <si>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</si>
  <si>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</si>
  <si>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</si>
  <si>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</si>
  <si>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</si>
  <si>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</si>
  <si>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</si>
  <si>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</si>
  <si>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</si>
  <si>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</si>
  <si>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</si>
  <si>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</si>
  <si>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</si>
  <si>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</si>
  <si>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</si>
  <si>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</si>
  <si>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</si>
  <si>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</si>
  <si>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</si>
  <si>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</si>
  <si>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</si>
  <si>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</si>
  <si>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</si>
  <si>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</si>
  <si>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</si>
  <si>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</si>
  <si>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</si>
  <si>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</si>
  <si>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</si>
  <si>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</si>
  <si>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</si>
  <si>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</si>
  <si>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</si>
  <si>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</si>
  <si>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</si>
  <si>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</si>
  <si>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</si>
  <si>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</si>
  <si>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</si>
  <si>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</si>
  <si>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</si>
  <si>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</si>
  <si>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</si>
  <si>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</si>
  <si>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</si>
  <si>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</si>
  <si>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</si>
  <si>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</si>
  <si>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</si>
  <si>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</si>
  <si>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</si>
  <si>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</si>
  <si>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</si>
  <si>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</si>
  <si>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</si>
  <si>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</si>
  <si>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</si>
  <si>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</si>
  <si>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</si>
  <si>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</si>
  <si>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</si>
  <si>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</si>
  <si>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</si>
  <si>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</si>
  <si>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</si>
  <si>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</si>
  <si>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</si>
  <si>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</si>
  <si>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</si>
  <si>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</si>
  <si>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</si>
  <si>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</si>
  <si>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</si>
  <si>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</si>
  <si>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</si>
  <si>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</si>
  <si>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</si>
  <si>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</si>
  <si>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</si>
  <si>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</si>
  <si>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</si>
  <si>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</si>
  <si>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</si>
  <si>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</si>
  <si>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</si>
  <si>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</si>
  <si>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</si>
  <si>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</si>
  <si>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</si>
  <si>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</si>
  <si>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</si>
  <si>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</si>
  <si>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</si>
  <si>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</si>
  <si>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</si>
  <si>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</si>
  <si>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</si>
  <si>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</si>
  <si>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</si>
  <si>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</si>
  <si>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</si>
  <si>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</si>
  <si>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</si>
  <si>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</si>
  <si>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</si>
  <si>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</si>
  <si>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</si>
  <si>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</si>
  <si>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</si>
  <si>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</si>
  <si>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</si>
  <si>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</si>
  <si>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</si>
  <si>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</si>
  <si>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</si>
  <si>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</si>
  <si>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</si>
  <si>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</si>
  <si>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</si>
  <si>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</si>
  <si>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</si>
  <si>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</si>
  <si>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</si>
  <si>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</si>
  <si>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</si>
  <si>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</si>
  <si>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</si>
  <si>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</si>
  <si>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</si>
  <si>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</si>
  <si>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</si>
  <si>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</si>
  <si>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</si>
  <si>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</si>
  <si>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</si>
  <si>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</si>
  <si>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</si>
  <si>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</si>
  <si>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</si>
  <si>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</si>
  <si>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</si>
  <si>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</si>
  <si>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</si>
  <si>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</si>
  <si>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</si>
  <si>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</si>
  <si>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</si>
  <si>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</si>
  <si>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</si>
  <si>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</si>
  <si>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</si>
  <si>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</si>
  <si>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</si>
  <si>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</si>
  <si>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</si>
  <si>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</si>
  <si>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</si>
  <si>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</si>
  <si>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</si>
  <si>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</si>
  <si>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</si>
  <si>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</si>
  <si>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</si>
  <si>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</si>
  <si>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</si>
  <si>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</si>
  <si>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</si>
  <si>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</si>
  <si>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</si>
  <si>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</si>
  <si>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</si>
  <si>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</si>
  <si>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</si>
  <si>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</si>
  <si>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</si>
  <si>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</si>
  <si>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</si>
  <si>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</si>
  <si>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</si>
  <si>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</si>
  <si>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</si>
  <si>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</si>
  <si>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</si>
  <si>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</si>
  <si>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</si>
  <si>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</si>
  <si>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</si>
  <si>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</si>
  <si>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</si>
  <si>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</si>
  <si>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</si>
  <si>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</si>
  <si>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</si>
  <si>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</si>
  <si>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</si>
  <si>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</si>
  <si>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</si>
  <si>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</si>
  <si>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</si>
  <si>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</si>
  <si>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</si>
  <si>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</si>
  <si>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</si>
  <si>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</si>
  <si>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</si>
  <si>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</si>
  <si>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</si>
  <si>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</si>
  <si>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</si>
  <si>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</si>
  <si>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</si>
  <si>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</si>
  <si>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</si>
  <si>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</si>
  <si>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</si>
  <si>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</si>
  <si>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</si>
  <si>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</si>
  <si>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</si>
  <si>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</si>
  <si>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</si>
  <si>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</si>
  <si>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</si>
  <si>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</si>
  <si>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</si>
  <si>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</si>
  <si>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</si>
  <si>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</si>
  <si>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</si>
  <si>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</si>
  <si>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</si>
  <si>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</si>
  <si>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</si>
  <si>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</si>
  <si>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</si>
  <si>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</si>
  <si>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</si>
  <si>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</si>
  <si>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</si>
  <si>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</si>
  <si>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</si>
  <si>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</si>
  <si>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</si>
  <si>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</si>
  <si>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</si>
  <si>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</si>
  <si>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</si>
  <si>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</si>
  <si>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</si>
  <si>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</si>
  <si>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</si>
  <si>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</si>
  <si>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</si>
  <si>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</si>
  <si>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</si>
  <si>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</si>
  <si>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</si>
  <si>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</si>
  <si>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</si>
  <si>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</si>
  <si>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</si>
  <si>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</si>
  <si>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</si>
  <si>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</si>
  <si>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</si>
  <si>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</si>
  <si>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</si>
  <si>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</si>
  <si>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</si>
  <si>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</si>
  <si>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</si>
  <si>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</si>
  <si>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</si>
  <si>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</si>
  <si>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</si>
  <si>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</si>
  <si>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</si>
  <si>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</si>
  <si>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</si>
  <si>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</si>
  <si>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</si>
  <si>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</si>
  <si>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</si>
  <si>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</si>
  <si>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</si>
  <si>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</si>
  <si>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</si>
  <si>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</si>
  <si>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</si>
  <si>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</si>
  <si>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</si>
  <si>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</si>
  <si>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</si>
  <si>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</si>
  <si>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</si>
  <si>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</si>
  <si>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</si>
  <si>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</si>
  <si>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</si>
  <si>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</si>
  <si>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</si>
  <si>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</si>
  <si>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</si>
  <si>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</si>
  <si>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</si>
  <si>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</si>
  <si>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</si>
  <si>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</si>
  <si>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</si>
  <si>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</si>
  <si>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</si>
  <si>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</si>
  <si>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</si>
  <si>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</si>
  <si>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</si>
  <si>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</si>
  <si>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</si>
  <si>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</si>
  <si>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</si>
  <si>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</si>
  <si>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</si>
  <si>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</si>
  <si>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</si>
  <si>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</si>
  <si>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</si>
  <si>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</si>
  <si>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</si>
  <si>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</si>
  <si>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</si>
  <si>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</si>
  <si>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</si>
  <si>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</si>
  <si>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</si>
  <si>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</si>
  <si>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</si>
  <si>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</si>
  <si>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</si>
  <si>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</si>
  <si>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</si>
  <si>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</si>
  <si>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</si>
  <si>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</si>
  <si>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</si>
  <si>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</si>
  <si>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</si>
  <si>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</si>
  <si>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</si>
  <si>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</si>
  <si>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</si>
  <si>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</si>
  <si>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</si>
  <si>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</si>
  <si>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</si>
  <si>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</si>
  <si>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</si>
  <si>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</si>
  <si>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</si>
  <si>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</si>
  <si>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</si>
  <si>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</si>
  <si>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</si>
  <si>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</si>
  <si>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</si>
  <si>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</si>
  <si>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</si>
  <si>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</si>
  <si>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</si>
  <si>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</si>
  <si>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</si>
  <si>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</si>
  <si>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</si>
  <si>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</si>
  <si>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</si>
  <si>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</si>
  <si>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</si>
  <si>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</si>
  <si>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</si>
  <si>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</si>
  <si>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</si>
  <si>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</si>
  <si>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</si>
  <si>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</si>
  <si>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</si>
  <si>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</si>
  <si>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</si>
  <si>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</si>
  <si>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</si>
  <si>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</si>
  <si>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</si>
  <si>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</si>
  <si>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</si>
  <si>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</si>
  <si>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</si>
  <si>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</si>
  <si>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</si>
  <si>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</si>
  <si>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</si>
  <si>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</si>
  <si>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</si>
  <si>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</si>
  <si>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</si>
  <si>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</si>
  <si>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</si>
  <si>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</si>
  <si>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</si>
  <si>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</si>
  <si>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</si>
  <si>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</si>
  <si>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</si>
  <si>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</si>
  <si>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</si>
  <si>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</si>
  <si>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</si>
  <si>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</si>
  <si>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</si>
  <si>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</si>
  <si>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</si>
  <si>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</si>
  <si>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</si>
  <si>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</si>
  <si>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</si>
  <si>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</si>
  <si>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</si>
  <si>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</si>
  <si>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</si>
  <si>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</si>
  <si>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</si>
  <si>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</si>
  <si>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</si>
  <si>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</si>
  <si>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</si>
  <si>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</si>
  <si>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</si>
  <si>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</si>
  <si>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</si>
  <si>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</si>
  <si>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</si>
  <si>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</si>
  <si>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</si>
  <si>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</si>
  <si>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</si>
  <si>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</si>
  <si>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</si>
  <si>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</si>
  <si>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</si>
  <si>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</si>
  <si>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</si>
  <si>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</si>
  <si>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</si>
  <si>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</si>
  <si>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</si>
  <si>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</si>
  <si>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</si>
  <si>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</si>
  <si>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</si>
  <si>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</si>
  <si>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</si>
  <si>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</si>
  <si>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</si>
  <si>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</si>
  <si>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</si>
  <si>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</si>
  <si>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</si>
  <si>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</si>
  <si>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</si>
  <si>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</si>
  <si>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</si>
  <si>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</si>
  <si>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</si>
  <si>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</si>
  <si>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</si>
  <si>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</si>
  <si>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</si>
  <si>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</si>
  <si>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</si>
  <si>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</si>
  <si>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</si>
  <si>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</si>
  <si>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</si>
  <si>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</si>
  <si>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</si>
  <si>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</si>
  <si>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</si>
  <si>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</si>
  <si>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</si>
  <si>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</si>
  <si>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</si>
  <si>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</si>
  <si>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</si>
  <si>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</si>
  <si>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</si>
  <si>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</si>
  <si>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</si>
  <si>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</si>
  <si>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</si>
  <si>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</si>
  <si>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</si>
  <si>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</si>
  <si>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</si>
  <si>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</si>
  <si>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</si>
  <si>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</si>
  <si>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</si>
  <si>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</si>
  <si>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</si>
  <si>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</si>
  <si>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</si>
  <si>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</si>
  <si>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</si>
  <si>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</si>
  <si>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</si>
  <si>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</si>
  <si>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</si>
  <si>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</si>
  <si>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</si>
  <si>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</si>
  <si>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</si>
  <si>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</si>
  <si>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</si>
  <si>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</si>
  <si>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</si>
  <si>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</si>
  <si>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</si>
  <si>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</si>
  <si>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</si>
  <si>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</si>
  <si>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</si>
  <si>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</si>
  <si>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</si>
  <si>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</si>
  <si>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</si>
  <si>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</si>
  <si>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</si>
  <si>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</si>
  <si>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</si>
  <si>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</si>
  <si>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</si>
  <si>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</si>
  <si>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</si>
  <si>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</si>
  <si>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</si>
  <si>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</si>
  <si>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</si>
  <si>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</si>
  <si>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</si>
  <si>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</si>
  <si>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</si>
  <si>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</si>
  <si>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</si>
  <si>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</si>
  <si>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</si>
  <si>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</si>
  <si>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</si>
  <si>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</si>
  <si>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</si>
  <si>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</si>
  <si>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</si>
  <si>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</si>
  <si>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</si>
  <si>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</si>
  <si>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</si>
  <si>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</si>
  <si>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</si>
  <si>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</si>
  <si>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</si>
  <si>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</si>
  <si>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</si>
  <si>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</si>
  <si>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</si>
  <si>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</si>
  <si>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</si>
  <si>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</si>
  <si>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</si>
  <si>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</si>
  <si>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</si>
  <si>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</si>
  <si>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</si>
  <si>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</si>
  <si>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</si>
  <si>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</si>
  <si>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</si>
  <si>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</si>
  <si>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</si>
  <si>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</si>
  <si>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</si>
  <si>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</si>
  <si>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</si>
  <si>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</si>
  <si>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</si>
  <si>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</si>
  <si>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</si>
  <si>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</si>
  <si>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</si>
  <si>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</si>
  <si>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</si>
  <si>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</si>
  <si>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</si>
  <si>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</si>
  <si>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</si>
  <si>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</si>
  <si>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</si>
  <si>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</si>
  <si>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</si>
  <si>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</si>
  <si>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</si>
  <si>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</si>
  <si>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</si>
  <si>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</si>
  <si>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</si>
  <si>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</si>
  <si>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</si>
  <si>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</si>
  <si>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</si>
  <si>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</si>
  <si>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</si>
  <si>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</si>
  <si>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</si>
  <si>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</si>
  <si>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</si>
  <si>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</si>
  <si>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</si>
  <si>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</si>
  <si>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</si>
  <si>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</si>
  <si>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</si>
  <si>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</si>
  <si>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</si>
  <si>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</si>
  <si>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</si>
  <si>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</si>
  <si>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</si>
  <si>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</si>
  <si>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</si>
  <si>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</si>
  <si>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</si>
  <si>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</si>
  <si>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</si>
  <si>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</si>
  <si>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</si>
  <si>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</si>
  <si>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</si>
  <si>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</si>
  <si>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</si>
  <si>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</si>
  <si>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</si>
  <si>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</si>
  <si>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</si>
  <si>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</si>
  <si>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</si>
  <si>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</si>
  <si>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</si>
  <si>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</si>
  <si>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</si>
  <si>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</si>
  <si>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</si>
  <si>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</si>
  <si>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</si>
  <si>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</si>
  <si>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</si>
  <si>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</si>
  <si>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</si>
  <si>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</si>
  <si>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</si>
  <si>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</si>
  <si>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</si>
  <si>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</si>
  <si>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</si>
  <si>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</si>
  <si>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</si>
  <si>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</si>
  <si>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</si>
  <si>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</si>
  <si>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</si>
  <si>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</si>
  <si>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</si>
  <si>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</si>
  <si>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</si>
  <si>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</si>
  <si>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</si>
  <si>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</si>
  <si>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</si>
  <si>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</si>
  <si>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</si>
  <si>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</si>
  <si>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</si>
  <si>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</si>
  <si>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</si>
  <si>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</si>
  <si>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</si>
  <si>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</si>
  <si>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</si>
  <si>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</si>
  <si>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</si>
  <si>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</si>
  <si>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</si>
  <si>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</si>
  <si>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</si>
  <si>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</si>
  <si>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</si>
  <si>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</si>
  <si>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</si>
  <si>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</si>
  <si>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</si>
  <si>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</si>
  <si>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</si>
  <si>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</si>
  <si>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</si>
  <si>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</si>
  <si>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</si>
  <si>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</si>
  <si>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</si>
  <si>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</si>
  <si>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</si>
  <si>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</si>
  <si>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</si>
  <si>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</si>
  <si>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</si>
  <si>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</si>
  <si>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</si>
  <si>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</si>
  <si>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</si>
  <si>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</si>
  <si>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</si>
  <si>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</si>
  <si>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</si>
  <si>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</si>
  <si>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</si>
  <si>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</si>
  <si>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</si>
  <si>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</si>
  <si>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</si>
  <si>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</si>
  <si>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</si>
  <si>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</si>
  <si>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</si>
  <si>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</si>
  <si>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</si>
  <si>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</si>
  <si>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</si>
  <si>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</si>
  <si>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</si>
  <si>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</si>
  <si>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</si>
  <si>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</si>
  <si>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</si>
  <si>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</si>
  <si>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</si>
  <si>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</si>
  <si>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</si>
  <si>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</si>
  <si>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</si>
  <si>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</si>
  <si>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</si>
  <si>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</si>
  <si>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</si>
  <si>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</si>
  <si>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</si>
  <si>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</si>
  <si>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</si>
  <si>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</si>
  <si>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</si>
  <si>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</si>
  <si>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</si>
  <si>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</si>
  <si>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</si>
  <si>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</si>
  <si>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</si>
  <si>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</si>
  <si>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</si>
  <si>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</si>
  <si>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</si>
  <si>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</si>
  <si>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</si>
  <si>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</si>
  <si>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</si>
  <si>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</si>
  <si>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</si>
  <si>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</si>
  <si>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</si>
  <si>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</si>
  <si>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</si>
  <si>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</si>
  <si>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</si>
  <si>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</si>
  <si>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</si>
  <si>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</si>
  <si>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</si>
  <si>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</si>
  <si>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</si>
  <si>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</si>
  <si>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</si>
  <si>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</si>
  <si>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</si>
  <si>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</si>
  <si>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</si>
  <si>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</si>
  <si>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</si>
  <si>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</si>
  <si>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</si>
  <si>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</si>
  <si>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</si>
  <si>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</si>
  <si>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</si>
  <si>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</si>
  <si>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</si>
  <si>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</si>
  <si>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</si>
  <si>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</si>
  <si>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</si>
  <si>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</si>
  <si>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</si>
  <si>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</si>
  <si>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</si>
  <si>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</si>
  <si>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</si>
  <si>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</si>
  <si>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</si>
  <si>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</si>
  <si>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</si>
  <si>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</si>
  <si>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</si>
  <si>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</si>
  <si>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</si>
  <si>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</si>
  <si>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</si>
  <si>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</si>
  <si>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</si>
  <si>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</si>
  <si>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</si>
  <si>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</si>
  <si>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</si>
  <si>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</si>
  <si>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</si>
  <si>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</si>
  <si>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</si>
  <si>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</si>
  <si>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</si>
  <si>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</si>
  <si>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</si>
  <si>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</si>
  <si>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</si>
  <si>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</si>
  <si>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</si>
  <si>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</si>
  <si>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</si>
  <si>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</si>
  <si>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</si>
  <si>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</si>
  <si>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</si>
  <si>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</si>
  <si>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</si>
  <si>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</si>
  <si>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</si>
  <si>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</si>
  <si>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</si>
  <si>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</si>
  <si>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</si>
  <si>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</si>
  <si>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</si>
  <si>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</si>
  <si>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</si>
  <si>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</si>
  <si>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</si>
  <si>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</si>
  <si>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</si>
  <si>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</si>
  <si>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</si>
  <si>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</si>
  <si>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</si>
  <si>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</si>
  <si>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</si>
  <si>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</si>
  <si>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</si>
  <si>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</si>
  <si>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</si>
  <si>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</si>
  <si>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</si>
  <si>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</si>
  <si>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</si>
  <si>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</si>
  <si>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</si>
  <si>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</si>
  <si>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</si>
  <si>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</si>
  <si>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</si>
  <si>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</si>
  <si>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</si>
  <si>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</si>
  <si>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</si>
  <si>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</si>
  <si>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</si>
  <si>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</si>
  <si>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</si>
  <si>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</si>
  <si>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</si>
  <si>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</si>
  <si>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</si>
  <si>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</si>
  <si>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</si>
  <si>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</si>
  <si>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</si>
  <si>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</si>
  <si>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</si>
  <si>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</si>
  <si>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</si>
  <si>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</si>
  <si>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</si>
  <si>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</si>
  <si>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</si>
  <si>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</si>
  <si>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</si>
  <si>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</si>
  <si>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</si>
  <si>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</si>
  <si>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</si>
  <si>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</si>
  <si>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</si>
  <si>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</si>
  <si>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</si>
  <si>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</si>
  <si>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</si>
  <si>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</si>
  <si>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</si>
  <si>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</si>
  <si>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</si>
  <si>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</si>
  <si>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</si>
  <si>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</si>
  <si>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</si>
  <si>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</si>
  <si>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</si>
  <si>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</si>
  <si>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</si>
  <si>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</si>
  <si>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</si>
  <si>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</si>
  <si>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</si>
  <si>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</si>
  <si>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</si>
  <si>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</si>
  <si>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</si>
  <si>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</si>
  <si>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</si>
  <si>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</si>
  <si>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</si>
  <si>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</si>
  <si>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</si>
  <si>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</si>
  <si>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</si>
  <si>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</si>
  <si>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</si>
  <si>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</si>
  <si>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</si>
  <si>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</si>
  <si>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</si>
  <si>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</si>
  <si>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</si>
  <si>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</si>
  <si>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</si>
  <si>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</si>
  <si>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</si>
  <si>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</si>
  <si>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</si>
  <si>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</si>
  <si>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</si>
  <si>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</si>
  <si>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</si>
  <si>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</si>
  <si>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</si>
  <si>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</si>
  <si>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</si>
  <si>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</si>
  <si>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</si>
  <si>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</si>
  <si>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</si>
  <si>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</si>
  <si>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</si>
  <si>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</si>
  <si>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</si>
  <si>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</si>
  <si>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</si>
  <si>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</si>
  <si>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</si>
  <si>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</si>
  <si>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</si>
  <si>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</si>
  <si>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</si>
  <si>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</si>
  <si>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</si>
  <si>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</si>
  <si>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</si>
  <si>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</si>
  <si>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</si>
  <si>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</si>
  <si>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</si>
  <si>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</si>
  <si>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</si>
  <si>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</si>
  <si>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</si>
  <si>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</si>
  <si>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</si>
  <si>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</si>
  <si>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</si>
  <si>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</si>
  <si>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</si>
  <si>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</si>
  <si>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</si>
  <si>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</si>
  <si>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</si>
  <si>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</si>
  <si>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</si>
  <si>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</si>
  <si>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</si>
  <si>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</si>
  <si>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</si>
  <si>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</si>
  <si>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</si>
  <si>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</si>
  <si>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</si>
  <si>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</si>
  <si>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</si>
  <si>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</si>
  <si>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</si>
  <si>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</si>
  <si>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</si>
  <si>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</si>
  <si>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</si>
  <si>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</si>
  <si>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</si>
  <si>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</si>
  <si>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</si>
  <si>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</si>
  <si>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</si>
  <si>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</si>
  <si>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</si>
  <si>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</si>
  <si>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</si>
  <si>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</si>
  <si>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</si>
  <si>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</si>
  <si>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</si>
  <si>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</si>
  <si>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</si>
  <si>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</si>
  <si>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</si>
  <si>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</si>
  <si>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</si>
  <si>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</si>
  <si>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</si>
  <si>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</si>
  <si>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</si>
  <si>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</si>
  <si>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</si>
  <si>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</si>
  <si>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</si>
  <si>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</si>
  <si>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</si>
  <si>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</si>
  <si>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</si>
  <si>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</si>
  <si>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</si>
  <si>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</si>
  <si>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</si>
  <si>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</si>
  <si>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</si>
  <si>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</si>
  <si>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</si>
  <si>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</si>
  <si>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</si>
  <si>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</si>
  <si>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</si>
  <si>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</si>
  <si>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</si>
  <si>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</si>
  <si>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</si>
  <si>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</si>
  <si>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</si>
  <si>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</si>
  <si>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</si>
  <si>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</si>
  <si>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</si>
  <si>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</si>
  <si>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</si>
  <si>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</si>
  <si>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</si>
  <si>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</si>
  <si>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</si>
  <si>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</si>
  <si>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</si>
  <si>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</si>
  <si>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</si>
  <si>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</si>
  <si>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</si>
  <si>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</si>
  <si>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</si>
  <si>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</si>
  <si>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</si>
  <si>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</si>
  <si>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</si>
  <si>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</si>
  <si>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</si>
  <si>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</si>
  <si>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</si>
  <si>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</si>
  <si>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</si>
  <si>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</si>
  <si>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</si>
  <si>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</si>
  <si>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</si>
  <si>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</si>
  <si>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</si>
  <si>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</si>
  <si>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</si>
  <si>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</si>
  <si>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</si>
  <si>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</si>
  <si>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</si>
  <si>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</si>
  <si>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</si>
  <si>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</si>
  <si>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</si>
  <si>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</si>
  <si>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</si>
  <si>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</si>
  <si>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</si>
  <si>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</si>
  <si>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</si>
  <si>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</si>
  <si>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</si>
  <si>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</si>
  <si>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</si>
  <si>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</si>
  <si>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</si>
  <si>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</si>
  <si>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</si>
  <si>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</si>
  <si>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</si>
  <si>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</si>
  <si>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</si>
  <si>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</si>
  <si>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</si>
  <si>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</si>
  <si>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</si>
  <si>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</si>
  <si>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</si>
  <si>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</si>
  <si>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</si>
  <si>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</si>
  <si>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</si>
  <si>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</si>
  <si>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</si>
  <si>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</si>
  <si>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</si>
  <si>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</si>
  <si>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</si>
  <si>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</si>
  <si>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</si>
  <si>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</si>
  <si>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</si>
  <si>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</si>
  <si>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</si>
  <si>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</si>
  <si>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</si>
  <si>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</si>
  <si>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</si>
  <si>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</si>
  <si>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</si>
  <si>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</si>
  <si>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</si>
  <si>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</si>
  <si>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</si>
  <si>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</si>
  <si>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</si>
  <si>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</si>
  <si>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</si>
  <si>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</si>
  <si>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</si>
  <si>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</si>
  <si>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</si>
  <si>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</si>
  <si>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</si>
  <si>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</si>
  <si>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</si>
  <si>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</si>
  <si>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</si>
  <si>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</si>
  <si>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</si>
  <si>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</si>
  <si>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</si>
  <si>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</si>
  <si>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</si>
  <si>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</si>
  <si>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</si>
  <si>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</si>
  <si>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</si>
  <si>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</si>
  <si>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</si>
  <si>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</si>
  <si>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</si>
  <si>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</si>
  <si>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</si>
  <si>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</si>
  <si>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</si>
  <si>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</si>
  <si>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</si>
  <si>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</si>
  <si>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</si>
  <si>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</si>
  <si>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</si>
  <si>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</si>
  <si>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</si>
  <si>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</si>
  <si>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</si>
  <si>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</si>
  <si>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</si>
  <si>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</si>
  <si>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</si>
  <si>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</si>
  <si>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</si>
  <si>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</si>
  <si>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</si>
  <si>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</si>
  <si>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</si>
  <si>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</si>
  <si>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</si>
  <si>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</si>
  <si>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</si>
  <si>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</si>
  <si>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</si>
  <si>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</si>
  <si>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</si>
  <si>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</si>
  <si>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</si>
  <si>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</si>
  <si>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</si>
  <si>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</si>
  <si>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</si>
  <si>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</si>
  <si>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</si>
  <si>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</si>
  <si>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</si>
  <si>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</si>
  <si>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</si>
  <si>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</si>
  <si>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</si>
  <si>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</si>
  <si>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</si>
  <si>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</si>
  <si>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</si>
  <si>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</si>
  <si>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</si>
  <si>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</si>
  <si>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</si>
  <si>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</si>
  <si>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</si>
  <si>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</si>
  <si>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</si>
  <si>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</si>
  <si>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</si>
  <si>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</si>
  <si>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</si>
  <si>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</si>
  <si>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</si>
  <si>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</si>
  <si>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</si>
  <si>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</si>
  <si>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</si>
  <si>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</si>
  <si>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</si>
  <si>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</si>
  <si>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</si>
  <si>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</si>
  <si>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</si>
  <si>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</si>
  <si>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</si>
  <si>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</si>
  <si>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</si>
  <si>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</si>
  <si>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</si>
  <si>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</si>
  <si>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</si>
  <si>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</si>
  <si>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</si>
  <si>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</si>
  <si>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</si>
  <si>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</si>
  <si>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</si>
  <si>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</si>
  <si>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</si>
  <si>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</si>
  <si>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</si>
  <si>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</si>
  <si>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</si>
  <si>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</si>
  <si>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</si>
  <si>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</si>
  <si>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</si>
  <si>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</si>
  <si>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</si>
  <si>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</si>
  <si>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</si>
  <si>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</si>
  <si>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</si>
  <si>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</si>
  <si>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</si>
  <si>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</si>
  <si>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</si>
  <si>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</si>
  <si>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</si>
  <si>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</si>
  <si>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</si>
  <si>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</si>
  <si>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</si>
  <si>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</si>
  <si>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</si>
  <si>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</si>
  <si>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</si>
  <si>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</si>
  <si>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</si>
  <si>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</si>
  <si>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</si>
  <si>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</si>
  <si>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</si>
  <si>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</si>
  <si>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</si>
  <si>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</si>
  <si>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</si>
  <si>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</si>
  <si>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</si>
  <si>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</si>
  <si>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</si>
  <si>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</si>
  <si>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</si>
  <si>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</si>
  <si>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</si>
  <si>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</si>
  <si>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</si>
  <si>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</si>
  <si>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</si>
  <si>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</si>
  <si>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</si>
  <si>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</si>
  <si>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</si>
  <si>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</si>
  <si>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</si>
  <si>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</si>
  <si>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</si>
  <si>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</si>
  <si>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</si>
  <si>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</si>
  <si>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</si>
  <si>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</si>
  <si>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</si>
  <si>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</si>
  <si>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</si>
  <si>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</si>
  <si>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</si>
  <si>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</si>
  <si>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</si>
  <si>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</si>
  <si>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</si>
  <si>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</si>
  <si>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</si>
  <si>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</si>
  <si>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</si>
  <si>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</si>
  <si>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</si>
  <si>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</si>
  <si>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</si>
  <si>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</si>
  <si>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</si>
  <si>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</si>
  <si>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</si>
  <si>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</si>
  <si>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</si>
  <si>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</si>
  <si>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</si>
  <si>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</si>
  <si>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</si>
  <si>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</si>
  <si>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</si>
  <si>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</si>
  <si>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</si>
  <si>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</si>
  <si>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</si>
  <si>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</si>
  <si>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</si>
  <si>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</si>
  <si>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</si>
  <si>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</si>
  <si>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</si>
  <si>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</si>
  <si>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</si>
  <si>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</si>
  <si>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</si>
  <si>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</si>
  <si>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</si>
  <si>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</si>
  <si>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</si>
  <si>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</si>
  <si>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</si>
  <si>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</si>
  <si>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</si>
  <si>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</si>
  <si>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</si>
  <si>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</si>
  <si>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</si>
  <si>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</si>
  <si>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</si>
  <si>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</si>
  <si>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</si>
  <si>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</si>
  <si>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</si>
  <si>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</si>
  <si>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</si>
  <si>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</si>
  <si>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</si>
  <si>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</si>
  <si>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</si>
  <si>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</si>
  <si>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</si>
  <si>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</si>
  <si>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</si>
  <si>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</si>
  <si>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</si>
  <si>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</si>
  <si>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</si>
  <si>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</si>
  <si>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</si>
  <si>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</si>
  <si>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</si>
  <si>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</si>
  <si>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</si>
  <si>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</si>
  <si>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</si>
  <si>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</si>
  <si>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</si>
  <si>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</si>
  <si>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</si>
  <si>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</si>
  <si>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</si>
  <si>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</si>
  <si>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</si>
  <si>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</si>
  <si>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</si>
  <si>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</si>
  <si>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</si>
  <si>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</si>
  <si>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</si>
  <si>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</si>
  <si>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</si>
  <si>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</si>
  <si>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</si>
  <si>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</si>
  <si>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</si>
  <si>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</si>
  <si>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</si>
  <si>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</si>
  <si>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</si>
  <si>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</si>
  <si>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</si>
  <si>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</si>
  <si>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</si>
  <si>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</si>
  <si>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</si>
  <si>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</si>
  <si>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</si>
  <si>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</si>
  <si>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</si>
  <si>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</si>
  <si>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</si>
  <si>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</si>
  <si>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</si>
  <si>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</si>
  <si>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</si>
  <si>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</si>
  <si>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</si>
  <si>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</si>
  <si>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</si>
  <si>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</si>
  <si>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</si>
  <si>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</si>
  <si>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</si>
  <si>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</si>
  <si>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</si>
  <si>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</si>
  <si>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</si>
  <si>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</si>
  <si>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</si>
  <si>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</si>
  <si>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</si>
  <si>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</si>
  <si>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</si>
  <si>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</si>
  <si>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</si>
  <si>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</si>
  <si>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</si>
  <si>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</si>
  <si>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</si>
  <si>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</si>
  <si>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</si>
  <si>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</si>
  <si>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</si>
  <si>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</si>
  <si>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</si>
  <si>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</si>
  <si>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</si>
  <si>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</si>
  <si>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</si>
  <si>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</si>
  <si>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</si>
  <si>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</si>
  <si>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</si>
  <si>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</si>
  <si>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</si>
  <si>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</si>
  <si>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</si>
  <si>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</si>
  <si>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</si>
  <si>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</si>
  <si>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</si>
  <si>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</si>
  <si>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</si>
  <si>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</si>
  <si>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</si>
  <si>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</si>
  <si>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</si>
  <si>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</si>
  <si>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</si>
  <si>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</si>
  <si>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</si>
  <si>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</si>
  <si>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</si>
  <si>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</si>
  <si>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</si>
  <si>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</si>
  <si>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</si>
  <si>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</si>
  <si>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</si>
  <si>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</si>
  <si>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</si>
  <si>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</si>
  <si>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</si>
  <si>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</si>
  <si>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</si>
  <si>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</si>
  <si>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</si>
  <si>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</si>
  <si>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</si>
  <si>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</si>
  <si>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</si>
  <si>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</si>
  <si>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</si>
  <si>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</si>
  <si>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</si>
  <si>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</si>
  <si>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</si>
  <si>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</si>
  <si>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</si>
  <si>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</si>
  <si>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</si>
  <si>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</si>
  <si>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</si>
  <si>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</si>
  <si>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</si>
  <si>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</si>
  <si>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</si>
  <si>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</si>
  <si>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</si>
  <si>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</si>
  <si>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</si>
  <si>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</si>
  <si>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</si>
  <si>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</si>
  <si>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</si>
  <si>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</si>
  <si>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</si>
  <si>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</si>
  <si>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</si>
  <si>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</si>
  <si>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</si>
  <si>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</si>
  <si>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</si>
  <si>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</si>
  <si>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</si>
  <si>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</si>
  <si>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</si>
  <si>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</si>
  <si>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</si>
  <si>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</si>
  <si>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</si>
  <si>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</si>
  <si>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</si>
  <si>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</si>
  <si>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</si>
  <si>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</si>
  <si>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</si>
  <si>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</si>
  <si>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</si>
  <si>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</si>
  <si>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</si>
  <si>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</si>
  <si>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</si>
  <si>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</si>
  <si>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</si>
  <si>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</si>
  <si>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</si>
  <si>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</si>
  <si>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</si>
  <si>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</si>
  <si>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</si>
  <si>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</si>
  <si>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</si>
  <si>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</si>
  <si>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</si>
  <si>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</si>
  <si>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</si>
  <si>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</si>
  <si>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</si>
  <si>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</si>
  <si>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</si>
  <si>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</si>
  <si>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</si>
  <si>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</si>
  <si>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</si>
  <si>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</si>
  <si>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</si>
  <si>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</si>
  <si>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</si>
  <si>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</si>
  <si>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</si>
  <si>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</si>
  <si>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</si>
  <si>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</si>
  <si>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</si>
  <si>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</si>
  <si>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</si>
  <si>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</si>
  <si>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</si>
  <si>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</si>
  <si>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</si>
  <si>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</si>
  <si>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</si>
  <si>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</si>
  <si>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</si>
  <si>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</si>
  <si>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</si>
  <si>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</si>
  <si>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</si>
  <si>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</si>
  <si>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</si>
  <si>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</si>
  <si>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</si>
  <si>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</si>
  <si>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</si>
  <si>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</si>
  <si>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</si>
  <si>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</si>
  <si>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</si>
  <si>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</si>
  <si>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</si>
  <si>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</si>
  <si>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</si>
  <si>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</si>
  <si>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</si>
  <si>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</si>
  <si>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</si>
  <si>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</si>
  <si>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</si>
  <si>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</si>
  <si>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</si>
  <si>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</si>
  <si>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</si>
  <si>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</si>
  <si>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</si>
  <si>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</si>
  <si>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</si>
  <si>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</si>
  <si>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</si>
  <si>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</si>
  <si>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</si>
  <si>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</si>
  <si>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</si>
  <si>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</si>
  <si>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</si>
  <si>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</si>
  <si>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</si>
  <si>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</si>
  <si>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</si>
  <si>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</si>
  <si>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</si>
  <si>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</si>
  <si>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</si>
  <si>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</si>
  <si>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</si>
  <si>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</si>
  <si>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</si>
  <si>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</si>
  <si>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</si>
  <si>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</si>
  <si>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</si>
  <si>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</si>
  <si>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</si>
  <si>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</si>
  <si>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</si>
  <si>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</si>
  <si>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</si>
  <si>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</si>
  <si>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</si>
  <si>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</si>
  <si>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</si>
  <si>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</si>
  <si>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</si>
  <si>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</si>
  <si>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</si>
  <si>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</si>
  <si>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</si>
  <si>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</si>
  <si>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</si>
  <si>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</si>
  <si>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</si>
  <si>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</si>
  <si>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</si>
  <si>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</si>
  <si>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</si>
  <si>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</si>
  <si>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</si>
  <si>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</si>
  <si>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</si>
  <si>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</si>
  <si>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</si>
  <si>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</si>
  <si>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</si>
  <si>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</si>
  <si>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</si>
  <si>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</si>
  <si>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</si>
  <si>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</si>
  <si>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</si>
  <si>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</si>
  <si>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</si>
  <si>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</si>
  <si>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</si>
  <si>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</si>
  <si>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</si>
  <si>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</si>
  <si>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</si>
  <si>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</si>
  <si>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</si>
  <si>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</si>
  <si>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</si>
  <si>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</si>
  <si>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</si>
  <si>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</si>
  <si>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</si>
  <si>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</si>
  <si>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</si>
  <si>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</si>
  <si>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</si>
  <si>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</si>
  <si>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</si>
  <si>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</si>
  <si>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</si>
  <si>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</si>
  <si>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</si>
  <si>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</si>
  <si>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</si>
  <si>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</si>
  <si>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</si>
  <si>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</si>
  <si>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</si>
  <si>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</si>
  <si>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</si>
  <si>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</si>
  <si>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</si>
  <si>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</si>
  <si>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</si>
  <si>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</si>
  <si>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</si>
  <si>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</si>
  <si>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</si>
  <si>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</si>
  <si>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</si>
  <si>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</si>
  <si>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</si>
  <si>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</si>
  <si>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</si>
  <si>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</si>
  <si>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</si>
  <si>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</si>
  <si>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</si>
  <si>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</si>
  <si>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</si>
  <si>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</si>
  <si>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</si>
  <si>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</si>
  <si>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</si>
  <si>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</si>
  <si>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</si>
  <si>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</si>
  <si>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</si>
  <si>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</si>
  <si>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</si>
  <si>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</si>
  <si>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</si>
  <si>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</si>
  <si>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</si>
  <si>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</si>
  <si>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</si>
  <si>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</si>
  <si>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</si>
  <si>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</si>
  <si>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</si>
  <si>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</si>
  <si>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</si>
  <si>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</si>
  <si>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</si>
  <si>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</si>
  <si>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</si>
  <si>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</si>
  <si>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</si>
  <si>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</si>
  <si>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</si>
  <si>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</si>
  <si>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</si>
  <si>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</si>
  <si>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</si>
  <si>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</si>
  <si>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</si>
  <si>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</si>
  <si>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</si>
  <si>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</si>
  <si>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</si>
  <si>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</si>
  <si>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</si>
  <si>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</si>
  <si>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</si>
  <si>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</si>
  <si>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</si>
  <si>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</si>
  <si>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</si>
  <si>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</si>
  <si>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</si>
  <si>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</si>
  <si>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</si>
  <si>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</si>
  <si>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</si>
  <si>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</si>
  <si>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</si>
  <si>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</si>
  <si>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</si>
  <si>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</si>
  <si>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</si>
  <si>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</si>
  <si>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</si>
  <si>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</si>
  <si>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</si>
  <si>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</si>
  <si>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</si>
  <si>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</si>
  <si>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</si>
  <si>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</si>
  <si>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</si>
  <si>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</si>
  <si>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</si>
  <si>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</si>
  <si>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</si>
  <si>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</si>
  <si>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</si>
  <si>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</si>
  <si>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</si>
  <si>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</si>
  <si>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</si>
  <si>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</si>
  <si>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</si>
  <si>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</si>
  <si>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</si>
  <si>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</si>
  <si>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</si>
  <si>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</si>
  <si>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</si>
  <si>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</si>
  <si>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</si>
  <si>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</si>
  <si>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</si>
  <si>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</si>
  <si>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</si>
  <si>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</si>
  <si>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</si>
  <si>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</si>
  <si>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</si>
  <si>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</si>
  <si>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</si>
  <si>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</si>
  <si>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</si>
  <si>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</si>
  <si>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</si>
  <si>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</si>
  <si>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</si>
  <si>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</si>
  <si>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</si>
  <si>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</si>
  <si>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</si>
  <si>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</si>
  <si>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</si>
  <si>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</si>
  <si>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</si>
  <si>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</si>
  <si>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</si>
  <si>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</si>
  <si>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</si>
  <si>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</si>
  <si>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</si>
  <si>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</si>
  <si>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</si>
  <si>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</si>
  <si>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</si>
  <si>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</si>
  <si>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</si>
  <si>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</si>
  <si>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</si>
  <si>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</si>
  <si>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</si>
  <si>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</si>
  <si>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</si>
  <si>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</si>
  <si>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</si>
  <si>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</si>
  <si>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</si>
  <si>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</si>
  <si>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</si>
  <si>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</si>
  <si>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</si>
  <si>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</si>
  <si>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</si>
  <si>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</si>
  <si>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</si>
  <si>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</si>
  <si>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</si>
  <si>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</si>
  <si>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</si>
  <si>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</si>
  <si>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</si>
  <si>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</si>
  <si>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</si>
  <si>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</si>
  <si>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</si>
  <si>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</si>
  <si>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</si>
  <si>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</si>
  <si>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</si>
  <si>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</si>
  <si>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</si>
  <si>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</si>
  <si>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</si>
  <si>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</si>
  <si>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</si>
  <si>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</si>
  <si>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</si>
  <si>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</si>
  <si>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</si>
  <si>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</si>
  <si>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</si>
  <si>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</si>
  <si>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</si>
  <si>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</si>
  <si>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</si>
  <si>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</si>
  <si>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</si>
  <si>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</si>
  <si>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</si>
  <si>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</si>
  <si>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</si>
  <si>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</si>
  <si>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</si>
  <si>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</si>
  <si>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</si>
  <si>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</si>
  <si>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</si>
  <si>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</si>
  <si>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</si>
  <si>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</si>
  <si>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</si>
  <si>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</si>
  <si>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</si>
  <si>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</si>
  <si>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</si>
  <si>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</si>
  <si>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</si>
  <si>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</si>
  <si>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</si>
  <si>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</si>
  <si>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</si>
  <si>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</si>
  <si>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</si>
  <si>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</si>
  <si>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</si>
  <si>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</si>
  <si>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</si>
  <si>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</si>
  <si>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</si>
  <si>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</si>
  <si>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</si>
  <si>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</si>
  <si>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</si>
  <si>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</si>
  <si>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</si>
  <si>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</si>
  <si>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</si>
  <si>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</si>
  <si>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</si>
  <si>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</si>
  <si>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</si>
  <si>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</si>
  <si>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</si>
  <si>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</si>
  <si>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</si>
  <si>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</si>
  <si>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</si>
  <si>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</si>
  <si>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</si>
  <si>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</si>
  <si>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</si>
  <si>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</si>
  <si>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</si>
  <si>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</si>
  <si>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</si>
  <si>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</si>
  <si>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</si>
  <si>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</si>
  <si>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</si>
  <si>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</si>
  <si>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</si>
  <si>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</si>
  <si>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</si>
  <si>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</si>
  <si>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</si>
  <si>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</si>
  <si>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</si>
  <si>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</si>
  <si>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</si>
  <si>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</si>
  <si>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</si>
  <si>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</si>
  <si>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</si>
  <si>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</si>
  <si>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</si>
  <si>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</si>
  <si>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</si>
  <si>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</si>
  <si>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</si>
  <si>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</si>
  <si>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</si>
  <si>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</si>
  <si>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</si>
  <si>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</si>
  <si>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</si>
  <si>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</si>
  <si>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</si>
  <si>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</si>
  <si>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</si>
  <si>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</si>
  <si>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</si>
  <si>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</si>
  <si>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</si>
  <si>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</si>
  <si>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</si>
  <si>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</si>
  <si>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</si>
  <si>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</si>
  <si>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</si>
  <si>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</si>
  <si>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</si>
  <si>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</si>
  <si>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</si>
  <si>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</si>
  <si>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</si>
  <si>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</si>
  <si>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</si>
  <si>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</si>
  <si>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</si>
  <si>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</si>
  <si>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</si>
  <si>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</si>
  <si>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</si>
  <si>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</si>
  <si>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</si>
  <si>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</si>
  <si>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</si>
  <si>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</si>
  <si>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</si>
  <si>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</si>
  <si>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</si>
  <si>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</si>
  <si>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</si>
  <si>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</si>
  <si>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</si>
  <si>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</si>
  <si>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</si>
  <si>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</si>
  <si>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</si>
  <si>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</si>
  <si>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</si>
  <si>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</si>
  <si>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</si>
  <si>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</si>
  <si>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</si>
  <si>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</si>
  <si>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</si>
  <si>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</si>
  <si>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</si>
  <si>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</si>
  <si>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</si>
  <si>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</si>
  <si>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</si>
  <si>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</si>
  <si>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</si>
  <si>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</si>
  <si>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</si>
  <si>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</si>
  <si>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</si>
  <si>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</si>
  <si>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</si>
  <si>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</si>
  <si>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</si>
  <si>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</si>
  <si>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</si>
  <si>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</si>
  <si>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</si>
  <si>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</si>
  <si>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</si>
  <si>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</si>
  <si>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</si>
  <si>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</si>
  <si>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</si>
  <si>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</si>
  <si>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</si>
  <si>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</si>
  <si>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</si>
  <si>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</si>
  <si>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</si>
  <si>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</si>
  <si>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</si>
  <si>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</si>
  <si>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</si>
  <si>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</si>
  <si>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</si>
  <si>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</si>
  <si>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</si>
  <si>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</si>
  <si>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</si>
  <si>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</si>
  <si>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</si>
  <si>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</si>
  <si>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</si>
  <si>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</si>
  <si>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</si>
  <si>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</si>
  <si>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</si>
  <si>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</si>
  <si>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</si>
  <si>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</si>
  <si>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</si>
  <si>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</si>
  <si>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</si>
  <si>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</si>
  <si>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</si>
  <si>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</si>
  <si>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</si>
  <si>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</si>
  <si>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</si>
  <si>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</si>
  <si>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</si>
  <si>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</si>
  <si>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</si>
  <si>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</si>
  <si>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</si>
  <si>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</si>
  <si>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</si>
  <si>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</si>
  <si>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</si>
  <si>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</si>
  <si>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</si>
  <si>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</si>
  <si>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</si>
  <si>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</si>
  <si>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</si>
  <si>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</si>
  <si>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</si>
  <si>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</si>
  <si>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</si>
  <si>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</si>
  <si>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</si>
  <si>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</si>
  <si>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</si>
  <si>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</si>
  <si>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</si>
  <si>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</si>
  <si>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</si>
  <si>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</si>
  <si>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</si>
  <si>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</si>
  <si>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</si>
  <si>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</si>
  <si>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</si>
  <si>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</si>
  <si>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</si>
  <si>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</si>
  <si>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</si>
  <si>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</si>
  <si>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</si>
  <si>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</si>
  <si>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</si>
  <si>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</si>
  <si>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</si>
  <si>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</si>
  <si>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</si>
  <si>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</si>
  <si>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</si>
  <si>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</si>
  <si>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</si>
  <si>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</si>
  <si>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</si>
  <si>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</si>
  <si>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</si>
  <si>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</si>
  <si>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</si>
  <si>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</si>
  <si>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</si>
  <si>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</si>
  <si>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</si>
  <si>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</si>
  <si>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</si>
  <si>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</si>
  <si>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</si>
  <si>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</si>
  <si>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</si>
  <si>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</si>
  <si>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</si>
  <si>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</si>
  <si>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</si>
  <si>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</si>
  <si>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</si>
  <si>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</si>
  <si>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</si>
  <si>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</si>
  <si>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</si>
  <si>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</si>
  <si>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</si>
  <si>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</si>
  <si>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</si>
  <si>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</si>
  <si>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</si>
  <si>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</si>
  <si>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</si>
  <si>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</si>
  <si>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</si>
  <si>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</si>
  <si>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</si>
  <si>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</si>
  <si>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</si>
  <si>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</si>
  <si>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</si>
  <si>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</si>
  <si>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</si>
  <si>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</si>
  <si>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</si>
  <si>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</si>
  <si>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</si>
  <si>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</si>
  <si>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</si>
  <si>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</si>
  <si>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</si>
  <si>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</si>
  <si>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</si>
  <si>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</si>
  <si>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</si>
  <si>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</si>
  <si>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</si>
  <si>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</si>
  <si>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</si>
  <si>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</si>
  <si>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</si>
  <si>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</si>
  <si>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</si>
  <si>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</si>
  <si>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</si>
  <si>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</si>
  <si>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</si>
  <si>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</si>
  <si>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</si>
  <si>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</si>
  <si>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</si>
  <si>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</si>
  <si>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</si>
  <si>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</si>
  <si>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</si>
  <si>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</si>
  <si>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</si>
  <si>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</si>
  <si>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</si>
  <si>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</si>
  <si>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</si>
  <si>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</si>
  <si>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</si>
  <si>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</si>
  <si>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</si>
  <si>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</si>
  <si>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</si>
  <si>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</si>
  <si>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</si>
  <si>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</si>
  <si>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</si>
  <si>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</si>
  <si>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</si>
  <si>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</si>
  <si>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</si>
  <si>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</si>
  <si>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</si>
  <si>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</si>
  <si>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</si>
  <si>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</si>
  <si>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</si>
  <si>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</si>
  <si>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</si>
  <si>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</si>
  <si>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</si>
  <si>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</si>
  <si>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</si>
  <si>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</si>
  <si>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</si>
  <si>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</si>
  <si>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</si>
  <si>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</si>
  <si>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</si>
  <si>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</si>
  <si>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</si>
  <si>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</si>
  <si>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</si>
  <si>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</si>
  <si>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</si>
  <si>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</si>
  <si>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</si>
  <si>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</si>
  <si>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</si>
  <si>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</si>
  <si>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</si>
  <si>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</si>
  <si>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</si>
  <si>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</si>
  <si>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</si>
  <si>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</si>
  <si>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</si>
  <si>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</si>
  <si>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</si>
  <si>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</si>
  <si>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</si>
  <si>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</si>
  <si>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</si>
  <si>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</si>
  <si>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</si>
  <si>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</si>
  <si>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</si>
  <si>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</si>
  <si>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</si>
  <si>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</si>
  <si>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</si>
  <si>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</si>
  <si>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</si>
  <si>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</si>
  <si>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</si>
  <si>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</si>
  <si>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</si>
  <si>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</si>
  <si>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</si>
  <si>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</si>
  <si>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</si>
  <si>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</si>
  <si>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</si>
  <si>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</si>
  <si>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</si>
  <si>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</si>
  <si>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</si>
  <si>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</si>
  <si>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</si>
  <si>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</si>
  <si>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</si>
  <si>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</si>
  <si>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</si>
  <si>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</si>
  <si>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</si>
  <si>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</si>
  <si>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</si>
  <si>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</si>
  <si>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</si>
  <si>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</si>
  <si>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</si>
  <si>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</si>
  <si>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</si>
  <si>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</si>
  <si>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</si>
  <si>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</si>
  <si>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</si>
  <si>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</si>
  <si>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</si>
  <si>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</si>
  <si>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</si>
  <si>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</si>
  <si>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</si>
  <si>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</si>
  <si>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</si>
  <si>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</si>
  <si>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</si>
  <si>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</si>
  <si>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</si>
  <si>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</si>
  <si>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</si>
  <si>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</si>
  <si>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</si>
  <si>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</si>
  <si>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</si>
  <si>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</si>
  <si>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</si>
  <si>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</si>
  <si>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</si>
  <si>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</si>
  <si>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</si>
  <si>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</si>
  <si>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</si>
  <si>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</si>
  <si>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</si>
  <si>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</si>
  <si>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</si>
  <si>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</si>
  <si>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</si>
  <si>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</si>
  <si>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</si>
  <si>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</si>
  <si>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</si>
  <si>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</si>
  <si>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</si>
  <si>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</si>
  <si>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</si>
  <si>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</si>
  <si>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</si>
  <si>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</si>
  <si>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</si>
  <si>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</si>
  <si>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</si>
  <si>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</si>
  <si>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</si>
  <si>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</si>
  <si>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</si>
  <si>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</si>
  <si>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</si>
  <si>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</si>
  <si>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</si>
  <si>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</si>
  <si>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</si>
  <si>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</si>
  <si>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</si>
  <si>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</si>
  <si>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</si>
  <si>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</si>
  <si>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</si>
  <si>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</si>
  <si>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</si>
  <si>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</si>
  <si>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</si>
  <si>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</si>
  <si>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</si>
  <si>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</si>
  <si>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</si>
  <si>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</si>
  <si>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</si>
  <si>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</si>
  <si>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</si>
  <si>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</si>
  <si>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</si>
  <si>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</si>
  <si>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</si>
  <si>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</si>
  <si>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</si>
  <si>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</si>
  <si>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</si>
  <si>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</si>
  <si>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</si>
  <si>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</si>
  <si>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</si>
  <si>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</si>
  <si>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</si>
  <si>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</si>
  <si>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</si>
  <si>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</si>
  <si>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</si>
  <si>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</si>
  <si>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</si>
  <si>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</si>
  <si>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</si>
  <si>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</si>
  <si>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</si>
  <si>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</si>
  <si>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</si>
  <si>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</si>
  <si>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</si>
  <si>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</si>
  <si>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</si>
  <si>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</si>
  <si>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</si>
  <si>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</si>
  <si>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</si>
  <si>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</si>
  <si>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</si>
  <si>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</si>
  <si>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</si>
  <si>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</si>
  <si>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</si>
  <si>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</si>
  <si>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</si>
  <si>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</si>
  <si>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</si>
  <si>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</si>
  <si>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</si>
  <si>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</si>
  <si>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</si>
  <si>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</si>
  <si>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</si>
  <si>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</si>
  <si>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</si>
  <si>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</si>
  <si>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</si>
  <si>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</si>
  <si>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</si>
  <si>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</si>
  <si>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</si>
  <si>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</si>
  <si>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</si>
  <si>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</si>
  <si>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</si>
  <si>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</si>
  <si>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</si>
  <si>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</si>
  <si>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</si>
  <si>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</si>
  <si>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</si>
  <si>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</si>
  <si>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</si>
  <si>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</si>
  <si>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</si>
  <si>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</si>
  <si>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</si>
  <si>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</si>
  <si>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</si>
  <si>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</si>
  <si>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</si>
  <si>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</si>
  <si>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</si>
  <si>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</si>
  <si>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</si>
  <si>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</si>
  <si>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</si>
  <si>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</si>
  <si>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</si>
  <si>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</si>
  <si>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</si>
  <si>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</si>
  <si>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</si>
  <si>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</si>
  <si>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</si>
  <si>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</si>
  <si>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</si>
  <si>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</si>
  <si>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</si>
  <si>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</si>
  <si>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</si>
  <si>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</si>
  <si>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</si>
  <si>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</si>
  <si>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</si>
  <si>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</si>
  <si>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</si>
  <si>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</si>
  <si>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</si>
  <si>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</si>
  <si>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</si>
  <si>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</si>
  <si>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</si>
  <si>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</si>
  <si>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</si>
  <si>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</si>
  <si>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</si>
  <si>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</si>
  <si>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</si>
  <si>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</si>
  <si>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</si>
  <si>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</si>
  <si>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</si>
  <si>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</si>
  <si>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</si>
  <si>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</si>
  <si>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</si>
  <si>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</si>
  <si>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</si>
  <si>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</si>
  <si>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</si>
  <si>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</si>
  <si>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</si>
  <si>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</si>
  <si>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</si>
  <si>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</si>
  <si>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</si>
  <si>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</si>
  <si>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</si>
  <si>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</si>
  <si>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</si>
  <si>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</si>
  <si>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</si>
  <si>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</si>
  <si>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</si>
  <si>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</si>
  <si>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</si>
  <si>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</si>
  <si>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</si>
  <si>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</si>
  <si>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</si>
  <si>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</si>
  <si>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</si>
  <si>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</si>
  <si>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</si>
  <si>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</si>
  <si>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</si>
  <si>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</si>
  <si>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</si>
  <si>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</si>
  <si>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</si>
  <si>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</si>
  <si>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</si>
  <si>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</si>
  <si>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</si>
  <si>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</si>
  <si>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</si>
  <si>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</si>
  <si>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</si>
  <si>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</si>
  <si>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</si>
  <si>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</si>
  <si>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</si>
  <si>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</si>
  <si>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</si>
  <si>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</si>
  <si>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</si>
  <si>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</si>
  <si>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</si>
  <si>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</si>
  <si>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</si>
  <si>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</si>
  <si>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</si>
  <si>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</si>
  <si>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</si>
  <si>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</si>
  <si>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</si>
  <si>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</si>
  <si>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</si>
  <si>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</si>
  <si>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</si>
  <si>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</si>
  <si>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</si>
  <si>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</si>
  <si>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</si>
  <si>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</si>
  <si>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</si>
  <si>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</si>
  <si>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</si>
  <si>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</si>
  <si>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</si>
  <si>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</si>
  <si>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</si>
  <si>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</si>
  <si>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</si>
  <si>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</si>
  <si>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</si>
  <si>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</si>
  <si>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</si>
  <si>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</si>
  <si>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</si>
  <si>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</si>
  <si>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</si>
  <si>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</si>
  <si>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</si>
  <si>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</si>
  <si>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</si>
  <si>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</si>
  <si>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</si>
  <si>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</si>
  <si>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</si>
  <si>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</si>
  <si>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</si>
  <si>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</si>
  <si>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</si>
  <si>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</si>
  <si>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</si>
  <si>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</si>
  <si>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</si>
  <si>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</si>
  <si>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</si>
  <si>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</si>
  <si>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</si>
  <si>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</si>
  <si>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</si>
  <si>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</si>
  <si>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</si>
  <si>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</si>
  <si>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</si>
  <si>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</si>
  <si>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</si>
  <si>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</si>
  <si>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</si>
  <si>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</si>
  <si>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</si>
  <si>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</si>
  <si>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</si>
  <si>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</si>
  <si>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</si>
  <si>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</si>
  <si>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</si>
  <si>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</si>
  <si>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</si>
  <si>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</si>
  <si>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</si>
  <si>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</si>
  <si>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</si>
  <si>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</si>
  <si>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</si>
  <si>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</si>
  <si>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</si>
  <si>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</si>
  <si>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</si>
  <si>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</si>
  <si>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</si>
  <si>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</si>
  <si>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</si>
  <si>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</si>
  <si>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</si>
  <si>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</si>
  <si>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</si>
  <si>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</si>
  <si>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</si>
  <si>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</si>
  <si>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</si>
  <si>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</si>
  <si>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</si>
  <si>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</si>
  <si>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</si>
  <si>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</si>
  <si>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</si>
  <si>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</si>
  <si>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</si>
  <si>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</si>
  <si>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</si>
  <si>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</si>
  <si>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</si>
  <si>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</si>
  <si>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</si>
  <si>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</si>
  <si>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</si>
  <si>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</si>
  <si>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</si>
  <si>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</si>
  <si>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</si>
  <si>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</si>
  <si>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</si>
  <si>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</si>
  <si>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</si>
  <si>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</si>
  <si>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</si>
  <si>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</si>
  <si>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</si>
  <si>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</si>
  <si>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</si>
  <si>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</si>
  <si>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</si>
  <si>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</si>
  <si>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</si>
  <si>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</si>
  <si>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</si>
  <si>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</si>
  <si>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</si>
  <si>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</si>
  <si>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</si>
  <si>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</si>
  <si>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</si>
  <si>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</si>
  <si>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</si>
  <si>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</si>
  <si>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</si>
  <si>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</si>
  <si>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</si>
  <si>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</si>
  <si>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</si>
  <si>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</si>
  <si>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</si>
  <si>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</si>
  <si>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</si>
  <si>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</si>
  <si>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</si>
  <si>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</si>
  <si>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</si>
  <si>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</si>
  <si>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</si>
  <si>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</si>
  <si>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</si>
  <si>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</si>
  <si>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</si>
  <si>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</si>
  <si>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</si>
  <si>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</si>
  <si>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</si>
  <si>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</si>
  <si>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</si>
  <si>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</si>
  <si>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</si>
  <si>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</si>
  <si>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</si>
  <si>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</si>
  <si>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</si>
  <si>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</si>
  <si>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</si>
  <si>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</si>
  <si>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</si>
  <si>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</si>
  <si>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</si>
  <si>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</si>
  <si>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</si>
  <si>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</si>
  <si>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</si>
  <si>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</si>
  <si>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</si>
  <si>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</si>
  <si>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</si>
  <si>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</si>
  <si>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</si>
  <si>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</si>
  <si>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</si>
  <si>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</si>
  <si>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</si>
  <si>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</si>
  <si>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</si>
  <si>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</si>
  <si>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</si>
  <si>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</si>
  <si>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</si>
  <si>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</si>
  <si>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</si>
  <si>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</si>
  <si>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</si>
  <si>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</si>
  <si>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</si>
  <si>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</si>
  <si>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</si>
  <si>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</si>
  <si>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</si>
  <si>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</si>
  <si>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</si>
  <si>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</si>
  <si>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</si>
  <si>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</si>
  <si>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</si>
  <si>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</si>
  <si>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</si>
  <si>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</si>
  <si>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</si>
  <si>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</si>
  <si>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</si>
  <si>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</si>
  <si>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</si>
  <si>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</si>
  <si>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</si>
  <si>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</si>
  <si>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</si>
  <si>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</si>
  <si>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</si>
  <si>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</si>
  <si>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</si>
  <si>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</si>
  <si>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</si>
  <si>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</si>
  <si>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</si>
  <si>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</si>
  <si>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</si>
  <si>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</si>
  <si>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</si>
  <si>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</si>
  <si>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</si>
  <si>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</si>
  <si>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</si>
  <si>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</si>
  <si>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</si>
  <si>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</si>
  <si>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</si>
  <si>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</si>
  <si>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</si>
  <si>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</si>
  <si>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</si>
  <si>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</si>
  <si>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</si>
  <si>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</si>
  <si>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</si>
  <si>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</si>
  <si>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</si>
  <si>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</si>
  <si>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</si>
  <si>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</si>
  <si>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</si>
  <si>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</si>
  <si>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</si>
  <si>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</si>
  <si>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</si>
  <si>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</si>
  <si>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</si>
  <si>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</si>
  <si>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</si>
  <si>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</si>
  <si>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</si>
  <si>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</si>
  <si>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</si>
  <si>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</si>
  <si>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</si>
  <si>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</si>
  <si>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</si>
  <si>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</si>
  <si>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</si>
  <si>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</si>
  <si>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</si>
  <si>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</si>
  <si>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</si>
  <si>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</si>
  <si>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</si>
  <si>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</si>
  <si>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</si>
  <si>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</si>
  <si>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</si>
  <si>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</si>
  <si>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</si>
  <si>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</si>
  <si>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</si>
  <si>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</si>
  <si>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</si>
  <si>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</si>
  <si>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</si>
  <si>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</si>
  <si>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</si>
  <si>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</si>
  <si>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</si>
  <si>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</si>
  <si>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</si>
  <si>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</si>
  <si>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</si>
  <si>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</si>
  <si>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</si>
  <si>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</si>
  <si>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</si>
  <si>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</si>
  <si>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</si>
  <si>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</si>
  <si>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</si>
  <si>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</si>
  <si>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</si>
  <si>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</si>
  <si>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</si>
  <si>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</si>
  <si>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</si>
  <si>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</si>
  <si>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</si>
  <si>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</si>
  <si>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</si>
  <si>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</si>
  <si>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</si>
  <si>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</si>
  <si>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</si>
  <si>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</si>
  <si>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</si>
  <si>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</si>
  <si>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</si>
  <si>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</si>
  <si>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</si>
  <si>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</si>
  <si>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</si>
  <si>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</si>
  <si>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</si>
  <si>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</si>
  <si>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</si>
  <si>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</si>
  <si>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</si>
  <si>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</si>
  <si>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</si>
  <si>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</si>
  <si>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</si>
  <si>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</si>
  <si>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</si>
  <si>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</si>
  <si>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</si>
  <si>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</si>
  <si>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</si>
  <si>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</si>
  <si>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</si>
  <si>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</si>
  <si>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</si>
  <si>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</si>
  <si>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</si>
  <si>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</si>
  <si>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</si>
  <si>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</si>
  <si>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</si>
  <si>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</si>
  <si>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</si>
  <si>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</si>
  <si>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</si>
  <si>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</si>
  <si>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</si>
  <si>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</si>
  <si>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</si>
  <si>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</si>
  <si>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</si>
  <si>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</si>
  <si>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</si>
  <si>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</si>
  <si>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</si>
  <si>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</si>
  <si>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</si>
  <si>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</si>
  <si>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</si>
  <si>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</si>
  <si>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</si>
  <si>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</si>
  <si>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</si>
  <si>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</si>
  <si>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</si>
  <si>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</si>
  <si>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</si>
  <si>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</si>
  <si>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</si>
  <si>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</si>
  <si>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</si>
  <si>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</si>
  <si>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</si>
  <si>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</si>
  <si>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</si>
  <si>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</si>
  <si>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</si>
  <si>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</si>
  <si>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</si>
  <si>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</si>
  <si>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</si>
  <si>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</si>
  <si>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</si>
  <si>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</si>
  <si>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</si>
  <si>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</si>
  <si>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</si>
  <si>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</si>
  <si>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</si>
  <si>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</si>
  <si>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</si>
  <si>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</si>
  <si>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</si>
  <si>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</si>
  <si>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</si>
  <si>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</si>
  <si>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</si>
  <si>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</si>
  <si>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</si>
  <si>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</si>
  <si>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</si>
  <si>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</si>
  <si>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</si>
  <si>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</si>
  <si>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</si>
  <si>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</si>
  <si>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</si>
  <si>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</si>
  <si>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</si>
  <si>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</si>
  <si>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</si>
  <si>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</si>
  <si>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</si>
  <si>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</si>
  <si>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</si>
  <si>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</si>
  <si>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</si>
  <si>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</si>
  <si>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</si>
  <si>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</si>
  <si>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</si>
  <si>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</si>
  <si>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</si>
  <si>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</si>
  <si>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</si>
  <si>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</si>
  <si>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</si>
  <si>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</si>
  <si>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</si>
  <si>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</si>
  <si>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</si>
  <si>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</si>
  <si>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</si>
  <si>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</si>
  <si>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</si>
  <si>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</si>
  <si>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</si>
  <si>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</si>
  <si>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</si>
  <si>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</si>
  <si>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</si>
  <si>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</si>
  <si>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</si>
  <si>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</si>
  <si>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</si>
  <si>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</si>
  <si>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</si>
  <si>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</si>
  <si>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</si>
  <si>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</si>
  <si>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</si>
  <si>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</si>
  <si>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</si>
  <si>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</si>
  <si>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</si>
  <si>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</si>
  <si>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</si>
  <si>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</si>
  <si>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</si>
  <si>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</si>
  <si>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</si>
  <si>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</si>
  <si>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</si>
  <si>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</si>
  <si>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</si>
  <si>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</si>
  <si>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</si>
  <si>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</si>
  <si>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</si>
  <si>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</si>
  <si>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</si>
  <si>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</si>
  <si>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</si>
  <si>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</si>
  <si>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</si>
  <si>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</si>
  <si>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</si>
  <si>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</si>
  <si>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</si>
  <si>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</si>
  <si>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</si>
  <si>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</si>
  <si>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</si>
  <si>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</si>
  <si>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</si>
  <si>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</si>
  <si>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</si>
  <si>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</si>
  <si>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</si>
  <si>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</si>
  <si>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</si>
  <si>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</si>
  <si>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</si>
  <si>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</si>
  <si>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</si>
  <si>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</si>
  <si>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</si>
  <si>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</si>
  <si>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</si>
  <si>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</si>
  <si>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</si>
  <si>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</si>
  <si>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</si>
  <si>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</si>
  <si>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</si>
  <si>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</si>
  <si>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</si>
  <si>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</si>
  <si>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</si>
  <si>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</si>
  <si>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</si>
  <si>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</si>
  <si>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</si>
  <si>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</si>
  <si>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</si>
  <si>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</si>
  <si>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</si>
  <si>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</si>
  <si>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</si>
  <si>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</si>
  <si>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</si>
  <si>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</si>
  <si>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</si>
  <si>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</si>
  <si>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</si>
  <si>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</si>
  <si>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</si>
  <si>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</si>
  <si>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</si>
  <si>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</si>
  <si>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</si>
  <si>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</si>
  <si>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</si>
  <si>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</si>
  <si>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</si>
  <si>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</si>
  <si>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</si>
  <si>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</si>
  <si>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</si>
  <si>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</si>
  <si>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</si>
  <si>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</si>
  <si>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</si>
  <si>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</si>
  <si>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</si>
  <si>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</si>
  <si>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</si>
  <si>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</si>
  <si>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</si>
  <si>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</si>
  <si>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</si>
  <si>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</si>
  <si>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</si>
  <si>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</si>
  <si>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</si>
  <si>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</si>
  <si>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</si>
  <si>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</si>
  <si>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</si>
  <si>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</si>
  <si>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</si>
  <si>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</si>
  <si>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</si>
  <si>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</si>
  <si>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</si>
  <si>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</si>
  <si>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</si>
  <si>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</si>
  <si>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</si>
  <si>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</si>
  <si>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</si>
  <si>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</si>
  <si>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</si>
  <si>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</si>
  <si>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</si>
  <si>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</si>
  <si>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</si>
  <si>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</si>
  <si>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</si>
  <si>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</si>
  <si>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</si>
  <si>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</si>
  <si>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</si>
  <si>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</si>
  <si>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</si>
  <si>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</si>
  <si>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</si>
  <si>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</si>
  <si>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</si>
  <si>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</si>
  <si>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</si>
  <si>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</si>
  <si>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</si>
  <si>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</si>
  <si>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</si>
  <si>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</si>
  <si>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</si>
  <si>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</si>
  <si>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</si>
  <si>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10.1016/j.stemcr.2025.102779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</si>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</sst>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/dd/yy"/>
    <numFmt numFmtId="167" formatCode="General"/>
    <numFmt numFmtId="168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427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I4252" activePane="bottomRight" state="frozen"/>
      <selection pane="topLeft" activeCell="A1" activeCellId="0" sqref="A1"/>
      <selection pane="topRight" activeCell="I1" activeCellId="0" sqref="I1"/>
      <selection pane="bottomLeft" activeCell="A4252" activeCellId="0" sqref="A4252"/>
      <selection pane="bottomRight" activeCell="B3920" activeCellId="0" sqref="B3920:B4278"/>
    </sheetView>
  </sheetViews>
  <sheetFormatPr defaultColWidth="10.445312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3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7" t="s">
        <v>5</v>
      </c>
      <c r="G1" s="6" t="s">
        <v>6</v>
      </c>
      <c r="H1" s="8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1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1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customFormat="false" ht="15" hidden="false" customHeight="false" outlineLevel="0" collapsed="false">
      <c r="A2" s="4" t="s">
        <v>32</v>
      </c>
      <c r="B2" s="5"/>
      <c r="C2" s="4" t="s">
        <v>33</v>
      </c>
      <c r="D2" s="6" t="s">
        <v>14</v>
      </c>
      <c r="E2" s="6" t="s">
        <v>34</v>
      </c>
      <c r="F2" s="7" t="s">
        <v>35</v>
      </c>
      <c r="G2" s="6" t="s">
        <v>36</v>
      </c>
      <c r="H2" s="8" t="s">
        <v>37</v>
      </c>
      <c r="I2" s="6" t="str">
        <f aca="false">CONCATENATE(E2, "_",H2)</f>
        <v>NLA_2023_001_009</v>
      </c>
      <c r="J2" s="6" t="s">
        <v>38</v>
      </c>
      <c r="K2" s="6" t="s">
        <v>39</v>
      </c>
      <c r="L2" s="12" t="n">
        <v>264.1</v>
      </c>
      <c r="M2" s="13" t="s">
        <v>40</v>
      </c>
      <c r="N2" s="6" t="s">
        <v>41</v>
      </c>
      <c r="O2" s="14" t="s">
        <v>42</v>
      </c>
      <c r="P2" s="14" t="s">
        <v>43</v>
      </c>
      <c r="Q2" s="14" t="s">
        <v>43</v>
      </c>
      <c r="R2" s="6" t="s">
        <v>44</v>
      </c>
      <c r="S2" s="14" t="s">
        <v>45</v>
      </c>
      <c r="T2" s="6" t="s">
        <v>46</v>
      </c>
      <c r="U2" s="6" t="n">
        <v>1000</v>
      </c>
      <c r="V2" s="1" t="n">
        <v>1</v>
      </c>
      <c r="W2" s="6"/>
      <c r="X2" s="9" t="s">
        <v>47</v>
      </c>
      <c r="Y2" s="9" t="n">
        <v>5500</v>
      </c>
      <c r="Z2" s="9" t="s">
        <v>48</v>
      </c>
      <c r="AA2" s="9" t="s">
        <v>49</v>
      </c>
      <c r="AB2" s="15" t="str">
        <f aca="true" t="array" ref="AB2:AB2">LEFT(AA2,LOOKUP(2^15,FIND(".",AA2,ROW(INDIRECT("1:"&amp;LEN(AA2)))))-1)</f>
        <v>NB_2023_002 - 12012023 - 1</v>
      </c>
      <c r="AC2" s="9" t="s">
        <v>50</v>
      </c>
      <c r="AD2" s="15" t="str">
        <f aca="true" t="array" ref="AD2:AD2">LEFT(AC2,LOOKUP(2^15,FIND(".",AC2,ROW(INDIRECT("1:"&amp;LEN(AC2)))))-1)</f>
        <v>NB_2023_002 - 12012023 - 2</v>
      </c>
      <c r="AE2" s="6" t="str">
        <f aca="false">CONCATENATE(AB2, "-",H2, ".mzML")</f>
        <v>NB_2023_002 - 12012023 - 1-009.mzML</v>
      </c>
      <c r="AF2" s="6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4" t="s">
        <v>32</v>
      </c>
      <c r="B3" s="5"/>
      <c r="C3" s="4" t="s">
        <v>33</v>
      </c>
      <c r="D3" s="6" t="s">
        <v>14</v>
      </c>
      <c r="E3" s="6" t="s">
        <v>34</v>
      </c>
      <c r="F3" s="7" t="s">
        <v>35</v>
      </c>
      <c r="G3" s="6" t="s">
        <v>36</v>
      </c>
      <c r="H3" s="8" t="s">
        <v>51</v>
      </c>
      <c r="I3" s="6" t="str">
        <f aca="false">CONCATENATE(E3, "_",H3)</f>
        <v>NLA_2023_001_012</v>
      </c>
      <c r="J3" s="6" t="s">
        <v>52</v>
      </c>
      <c r="K3" s="6" t="s">
        <v>53</v>
      </c>
      <c r="L3" s="12" t="n">
        <v>273.7</v>
      </c>
      <c r="M3" s="13" t="s">
        <v>40</v>
      </c>
      <c r="N3" s="6" t="s">
        <v>41</v>
      </c>
      <c r="O3" s="14" t="s">
        <v>54</v>
      </c>
      <c r="P3" s="14" t="s">
        <v>43</v>
      </c>
      <c r="Q3" s="14" t="s">
        <v>55</v>
      </c>
      <c r="R3" s="6" t="s">
        <v>44</v>
      </c>
      <c r="S3" s="14" t="s">
        <v>45</v>
      </c>
      <c r="T3" s="6" t="s">
        <v>46</v>
      </c>
      <c r="U3" s="6" t="n">
        <v>1000</v>
      </c>
      <c r="V3" s="1" t="n">
        <v>1</v>
      </c>
      <c r="W3" s="6"/>
      <c r="X3" s="9" t="s">
        <v>47</v>
      </c>
      <c r="Y3" s="9" t="n">
        <v>5500</v>
      </c>
      <c r="Z3" s="9" t="s">
        <v>48</v>
      </c>
      <c r="AA3" s="9" t="s">
        <v>49</v>
      </c>
      <c r="AB3" s="15" t="str">
        <f aca="true" t="array" ref="AB3:AB3">LEFT(AA3,LOOKUP(2^15,FIND(".",AA3,ROW(INDIRECT("1:"&amp;LEN(AA3)))))-1)</f>
        <v>NB_2023_002 - 12012023 - 1</v>
      </c>
      <c r="AC3" s="9" t="s">
        <v>50</v>
      </c>
      <c r="AD3" s="15" t="str">
        <f aca="true" t="array" ref="AD3:AD3">LEFT(AC3,LOOKUP(2^15,FIND(".",AC3,ROW(INDIRECT("1:"&amp;LEN(AC3)))))-1)</f>
        <v>NB_2023_002 - 12012023 - 2</v>
      </c>
      <c r="AE3" s="6" t="str">
        <f aca="false">CONCATENATE(AB3, "-",H3, ".mzML")</f>
        <v>NB_2023_002 - 12012023 - 1-012.mzML</v>
      </c>
      <c r="AF3" s="6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4" t="s">
        <v>32</v>
      </c>
      <c r="B4" s="5"/>
      <c r="C4" s="4" t="s">
        <v>33</v>
      </c>
      <c r="D4" s="6" t="s">
        <v>14</v>
      </c>
      <c r="E4" s="6" t="s">
        <v>34</v>
      </c>
      <c r="F4" s="7" t="s">
        <v>35</v>
      </c>
      <c r="G4" s="6" t="s">
        <v>36</v>
      </c>
      <c r="H4" s="8" t="s">
        <v>56</v>
      </c>
      <c r="I4" s="6" t="str">
        <f aca="false">CONCATENATE(E4, "_",H4)</f>
        <v>NLA_2023_001_013</v>
      </c>
      <c r="J4" s="6" t="s">
        <v>52</v>
      </c>
      <c r="K4" s="6" t="s">
        <v>57</v>
      </c>
      <c r="L4" s="12" t="n">
        <v>293.6</v>
      </c>
      <c r="M4" s="13" t="s">
        <v>40</v>
      </c>
      <c r="N4" s="6" t="s">
        <v>41</v>
      </c>
      <c r="O4" s="14" t="s">
        <v>54</v>
      </c>
      <c r="P4" s="14" t="s">
        <v>43</v>
      </c>
      <c r="Q4" s="14" t="s">
        <v>55</v>
      </c>
      <c r="R4" s="6" t="s">
        <v>44</v>
      </c>
      <c r="S4" s="14" t="s">
        <v>45</v>
      </c>
      <c r="T4" s="6" t="s">
        <v>46</v>
      </c>
      <c r="U4" s="6" t="n">
        <v>1000</v>
      </c>
      <c r="V4" s="1" t="n">
        <v>1</v>
      </c>
      <c r="W4" s="6"/>
      <c r="X4" s="9" t="s">
        <v>47</v>
      </c>
      <c r="Y4" s="9" t="n">
        <v>5500</v>
      </c>
      <c r="Z4" s="9" t="s">
        <v>48</v>
      </c>
      <c r="AA4" s="9" t="s">
        <v>49</v>
      </c>
      <c r="AB4" s="15" t="str">
        <f aca="true" t="array" ref="AB4:AB4">LEFT(AA4,LOOKUP(2^15,FIND(".",AA4,ROW(INDIRECT("1:"&amp;LEN(AA4)))))-1)</f>
        <v>NB_2023_002 - 12012023 - 1</v>
      </c>
      <c r="AC4" s="9" t="s">
        <v>50</v>
      </c>
      <c r="AD4" s="15" t="str">
        <f aca="true" t="array" ref="AD4:AD4">LEFT(AC4,LOOKUP(2^15,FIND(".",AC4,ROW(INDIRECT("1:"&amp;LEN(AC4)))))-1)</f>
        <v>NB_2023_002 - 12012023 - 2</v>
      </c>
      <c r="AE4" s="6" t="str">
        <f aca="false">CONCATENATE(AB4, "-",H4, ".mzML")</f>
        <v>NB_2023_002 - 12012023 - 1-013.mzML</v>
      </c>
      <c r="AF4" s="6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4" t="s">
        <v>32</v>
      </c>
      <c r="B5" s="5"/>
      <c r="C5" s="4" t="s">
        <v>33</v>
      </c>
      <c r="D5" s="6" t="s">
        <v>14</v>
      </c>
      <c r="E5" s="6" t="s">
        <v>34</v>
      </c>
      <c r="F5" s="7" t="s">
        <v>35</v>
      </c>
      <c r="G5" s="6" t="s">
        <v>36</v>
      </c>
      <c r="H5" s="8" t="s">
        <v>58</v>
      </c>
      <c r="I5" s="6" t="str">
        <f aca="false">CONCATENATE(E5, "_",H5)</f>
        <v>NLA_2023_001_014</v>
      </c>
      <c r="J5" s="6" t="s">
        <v>38</v>
      </c>
      <c r="K5" s="6" t="s">
        <v>59</v>
      </c>
      <c r="L5" s="12" t="n">
        <v>186.4</v>
      </c>
      <c r="M5" s="13" t="s">
        <v>40</v>
      </c>
      <c r="N5" s="6" t="s">
        <v>41</v>
      </c>
      <c r="O5" s="14" t="s">
        <v>42</v>
      </c>
      <c r="P5" s="14" t="s">
        <v>43</v>
      </c>
      <c r="Q5" s="14" t="s">
        <v>43</v>
      </c>
      <c r="R5" s="6" t="s">
        <v>44</v>
      </c>
      <c r="S5" s="14" t="s">
        <v>45</v>
      </c>
      <c r="T5" s="6" t="s">
        <v>46</v>
      </c>
      <c r="U5" s="6" t="n">
        <v>1000</v>
      </c>
      <c r="V5" s="1" t="n">
        <v>1</v>
      </c>
      <c r="W5" s="6"/>
      <c r="X5" s="9" t="s">
        <v>47</v>
      </c>
      <c r="Y5" s="9" t="n">
        <v>5500</v>
      </c>
      <c r="Z5" s="9" t="s">
        <v>48</v>
      </c>
      <c r="AA5" s="9" t="s">
        <v>49</v>
      </c>
      <c r="AB5" s="15" t="str">
        <f aca="true" t="array" ref="AB5:AB5">LEFT(AA5,LOOKUP(2^15,FIND(".",AA5,ROW(INDIRECT("1:"&amp;LEN(AA5)))))-1)</f>
        <v>NB_2023_002 - 12012023 - 1</v>
      </c>
      <c r="AC5" s="9" t="s">
        <v>50</v>
      </c>
      <c r="AD5" s="15" t="str">
        <f aca="true" t="array" ref="AD5:AD5">LEFT(AC5,LOOKUP(2^15,FIND(".",AC5,ROW(INDIRECT("1:"&amp;LEN(AC5)))))-1)</f>
        <v>NB_2023_002 - 12012023 - 2</v>
      </c>
      <c r="AE5" s="6" t="str">
        <f aca="false">CONCATENATE(AB5, "-",H5, ".mzML")</f>
        <v>NB_2023_002 - 12012023 - 1-014.mzML</v>
      </c>
      <c r="AF5" s="6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4" t="s">
        <v>32</v>
      </c>
      <c r="B6" s="5"/>
      <c r="C6" s="4" t="s">
        <v>33</v>
      </c>
      <c r="D6" s="6" t="s">
        <v>14</v>
      </c>
      <c r="E6" s="6" t="s">
        <v>34</v>
      </c>
      <c r="F6" s="7" t="s">
        <v>35</v>
      </c>
      <c r="G6" s="6" t="s">
        <v>36</v>
      </c>
      <c r="H6" s="8" t="s">
        <v>60</v>
      </c>
      <c r="I6" s="6" t="str">
        <f aca="false">CONCATENATE(E6, "_",H6)</f>
        <v>NLA_2023_001_016</v>
      </c>
      <c r="J6" s="6" t="s">
        <v>52</v>
      </c>
      <c r="K6" s="6" t="s">
        <v>61</v>
      </c>
      <c r="L6" s="12" t="n">
        <v>266.3</v>
      </c>
      <c r="M6" s="13" t="s">
        <v>40</v>
      </c>
      <c r="N6" s="6" t="s">
        <v>41</v>
      </c>
      <c r="O6" s="14" t="s">
        <v>54</v>
      </c>
      <c r="P6" s="14" t="s">
        <v>43</v>
      </c>
      <c r="Q6" s="14" t="s">
        <v>55</v>
      </c>
      <c r="R6" s="6" t="s">
        <v>44</v>
      </c>
      <c r="S6" s="14" t="s">
        <v>45</v>
      </c>
      <c r="T6" s="6" t="s">
        <v>46</v>
      </c>
      <c r="U6" s="6" t="n">
        <v>1000</v>
      </c>
      <c r="V6" s="1" t="n">
        <v>1</v>
      </c>
      <c r="W6" s="6"/>
      <c r="X6" s="9" t="s">
        <v>47</v>
      </c>
      <c r="Y6" s="9" t="n">
        <v>5500</v>
      </c>
      <c r="Z6" s="9" t="s">
        <v>48</v>
      </c>
      <c r="AA6" s="9" t="s">
        <v>49</v>
      </c>
      <c r="AB6" s="15" t="str">
        <f aca="true" t="array" ref="AB6:AB6">LEFT(AA6,LOOKUP(2^15,FIND(".",AA6,ROW(INDIRECT("1:"&amp;LEN(AA6)))))-1)</f>
        <v>NB_2023_002 - 12012023 - 1</v>
      </c>
      <c r="AC6" s="9" t="s">
        <v>50</v>
      </c>
      <c r="AD6" s="15" t="str">
        <f aca="true" t="array" ref="AD6:AD6">LEFT(AC6,LOOKUP(2^15,FIND(".",AC6,ROW(INDIRECT("1:"&amp;LEN(AC6)))))-1)</f>
        <v>NB_2023_002 - 12012023 - 2</v>
      </c>
      <c r="AE6" s="6" t="str">
        <f aca="false">CONCATENATE(AB6, "-",H6, ".mzML")</f>
        <v>NB_2023_002 - 12012023 - 1-016.mzML</v>
      </c>
      <c r="AF6" s="6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4" t="s">
        <v>32</v>
      </c>
      <c r="B7" s="5"/>
      <c r="C7" s="4" t="s">
        <v>33</v>
      </c>
      <c r="D7" s="6" t="s">
        <v>14</v>
      </c>
      <c r="E7" s="6" t="s">
        <v>34</v>
      </c>
      <c r="F7" s="7" t="s">
        <v>35</v>
      </c>
      <c r="G7" s="6" t="s">
        <v>36</v>
      </c>
      <c r="H7" s="8" t="s">
        <v>62</v>
      </c>
      <c r="I7" s="6" t="str">
        <f aca="false">CONCATENATE(E7, "_",H7)</f>
        <v>NLA_2023_001_021</v>
      </c>
      <c r="J7" s="6" t="s">
        <v>38</v>
      </c>
      <c r="K7" s="6" t="s">
        <v>63</v>
      </c>
      <c r="L7" s="12" t="n">
        <v>203.8</v>
      </c>
      <c r="M7" s="13" t="s">
        <v>40</v>
      </c>
      <c r="N7" s="6" t="s">
        <v>41</v>
      </c>
      <c r="O7" s="14" t="s">
        <v>42</v>
      </c>
      <c r="P7" s="14" t="s">
        <v>43</v>
      </c>
      <c r="Q7" s="14" t="s">
        <v>43</v>
      </c>
      <c r="R7" s="6" t="s">
        <v>44</v>
      </c>
      <c r="S7" s="14" t="s">
        <v>45</v>
      </c>
      <c r="T7" s="6" t="s">
        <v>46</v>
      </c>
      <c r="U7" s="6" t="n">
        <v>1000</v>
      </c>
      <c r="V7" s="1" t="n">
        <v>1</v>
      </c>
      <c r="W7" s="6"/>
      <c r="X7" s="9" t="s">
        <v>47</v>
      </c>
      <c r="Y7" s="9" t="n">
        <v>5500</v>
      </c>
      <c r="Z7" s="9" t="s">
        <v>48</v>
      </c>
      <c r="AA7" s="9" t="s">
        <v>49</v>
      </c>
      <c r="AB7" s="15" t="str">
        <f aca="true" t="array" ref="AB7:AB7">LEFT(AA7,LOOKUP(2^15,FIND(".",AA7,ROW(INDIRECT("1:"&amp;LEN(AA7)))))-1)</f>
        <v>NB_2023_002 - 12012023 - 1</v>
      </c>
      <c r="AC7" s="9" t="s">
        <v>50</v>
      </c>
      <c r="AD7" s="15" t="str">
        <f aca="true" t="array" ref="AD7:AD7">LEFT(AC7,LOOKUP(2^15,FIND(".",AC7,ROW(INDIRECT("1:"&amp;LEN(AC7)))))-1)</f>
        <v>NB_2023_002 - 12012023 - 2</v>
      </c>
      <c r="AE7" s="6" t="str">
        <f aca="false">CONCATENATE(AB7, "-",H7, ".mzML")</f>
        <v>NB_2023_002 - 12012023 - 1-021.mzML</v>
      </c>
      <c r="AF7" s="6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4" t="s">
        <v>32</v>
      </c>
      <c r="B8" s="5"/>
      <c r="C8" s="4" t="s">
        <v>33</v>
      </c>
      <c r="D8" s="6" t="s">
        <v>14</v>
      </c>
      <c r="E8" s="6" t="s">
        <v>34</v>
      </c>
      <c r="F8" s="7" t="s">
        <v>35</v>
      </c>
      <c r="G8" s="6" t="s">
        <v>34</v>
      </c>
      <c r="H8" s="8" t="s">
        <v>64</v>
      </c>
      <c r="I8" s="6" t="str">
        <f aca="false">CONCATENATE(E8, "_",H8)</f>
        <v>NLA_2023_001_Blank_1</v>
      </c>
      <c r="J8" s="6" t="s">
        <v>52</v>
      </c>
      <c r="K8" s="6" t="s">
        <v>64</v>
      </c>
      <c r="L8" s="9" t="s">
        <v>46</v>
      </c>
      <c r="M8" s="13" t="s">
        <v>46</v>
      </c>
      <c r="N8" s="6" t="s">
        <v>65</v>
      </c>
      <c r="O8" s="6" t="s">
        <v>46</v>
      </c>
      <c r="P8" s="6" t="s">
        <v>46</v>
      </c>
      <c r="Q8" s="6" t="s">
        <v>46</v>
      </c>
      <c r="R8" s="6" t="s">
        <v>46</v>
      </c>
      <c r="S8" s="6" t="s">
        <v>46</v>
      </c>
      <c r="T8" s="6" t="s">
        <v>46</v>
      </c>
      <c r="U8" s="6" t="s">
        <v>46</v>
      </c>
      <c r="V8" s="1" t="n">
        <v>1</v>
      </c>
      <c r="W8" s="6"/>
      <c r="X8" s="9" t="s">
        <v>46</v>
      </c>
      <c r="Y8" s="9" t="n">
        <v>5500</v>
      </c>
      <c r="Z8" s="9" t="s">
        <v>48</v>
      </c>
      <c r="AA8" s="9" t="s">
        <v>49</v>
      </c>
      <c r="AB8" s="15" t="str">
        <f aca="true" t="array" ref="AB8:AB8">LEFT(AA8,LOOKUP(2^15,FIND(".",AA8,ROW(INDIRECT("1:"&amp;LEN(AA8)))))-1)</f>
        <v>NB_2023_002 - 12012023 - 1</v>
      </c>
      <c r="AC8" s="9" t="s">
        <v>50</v>
      </c>
      <c r="AD8" s="15" t="str">
        <f aca="true" t="array" ref="AD8:AD8">LEFT(AC8,LOOKUP(2^15,FIND(".",AC8,ROW(INDIRECT("1:"&amp;LEN(AC8)))))-1)</f>
        <v>NB_2023_002 - 12012023 - 2</v>
      </c>
      <c r="AE8" s="6" t="str">
        <f aca="false">CONCATENATE(AB8, "-",H8, ".mzML")</f>
        <v>NB_2023_002 - 12012023 - 1-Blank_1.mzML</v>
      </c>
      <c r="AF8" s="6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4" t="s">
        <v>32</v>
      </c>
      <c r="B9" s="5"/>
      <c r="C9" s="4" t="s">
        <v>33</v>
      </c>
      <c r="D9" s="6" t="s">
        <v>14</v>
      </c>
      <c r="E9" s="6" t="s">
        <v>34</v>
      </c>
      <c r="F9" s="7" t="s">
        <v>35</v>
      </c>
      <c r="G9" s="6" t="s">
        <v>34</v>
      </c>
      <c r="H9" s="8" t="s">
        <v>66</v>
      </c>
      <c r="I9" s="6" t="str">
        <f aca="false">CONCATENATE(E9, "_",H9)</f>
        <v>NLA_2023_001_Blank_2</v>
      </c>
      <c r="J9" s="6" t="s">
        <v>52</v>
      </c>
      <c r="K9" s="6" t="s">
        <v>66</v>
      </c>
      <c r="L9" s="9" t="s">
        <v>46</v>
      </c>
      <c r="M9" s="13" t="s">
        <v>46</v>
      </c>
      <c r="N9" s="6" t="s">
        <v>65</v>
      </c>
      <c r="O9" s="6" t="s">
        <v>46</v>
      </c>
      <c r="P9" s="6" t="s">
        <v>46</v>
      </c>
      <c r="Q9" s="6" t="s">
        <v>46</v>
      </c>
      <c r="R9" s="6" t="s">
        <v>46</v>
      </c>
      <c r="S9" s="6" t="s">
        <v>46</v>
      </c>
      <c r="T9" s="6" t="s">
        <v>46</v>
      </c>
      <c r="U9" s="6" t="s">
        <v>46</v>
      </c>
      <c r="V9" s="1" t="n">
        <v>2</v>
      </c>
      <c r="W9" s="6"/>
      <c r="X9" s="9" t="s">
        <v>46</v>
      </c>
      <c r="Y9" s="9" t="n">
        <v>5500</v>
      </c>
      <c r="Z9" s="9" t="s">
        <v>48</v>
      </c>
      <c r="AA9" s="9" t="s">
        <v>49</v>
      </c>
      <c r="AB9" s="15" t="str">
        <f aca="true" t="array" ref="AB9:AB9">LEFT(AA9,LOOKUP(2^15,FIND(".",AA9,ROW(INDIRECT("1:"&amp;LEN(AA9)))))-1)</f>
        <v>NB_2023_002 - 12012023 - 1</v>
      </c>
      <c r="AC9" s="9" t="s">
        <v>50</v>
      </c>
      <c r="AD9" s="15" t="str">
        <f aca="true" t="array" ref="AD9:AD9">LEFT(AC9,LOOKUP(2^15,FIND(".",AC9,ROW(INDIRECT("1:"&amp;LEN(AC9)))))-1)</f>
        <v>NB_2023_002 - 12012023 - 2</v>
      </c>
      <c r="AE9" s="6" t="str">
        <f aca="false">CONCATENATE(AB9, "-",H9, ".mzML")</f>
        <v>NB_2023_002 - 12012023 - 1-Blank_2.mzML</v>
      </c>
      <c r="AF9" s="6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4" t="s">
        <v>32</v>
      </c>
      <c r="B10" s="5"/>
      <c r="C10" s="4" t="s">
        <v>33</v>
      </c>
      <c r="D10" s="6" t="s">
        <v>14</v>
      </c>
      <c r="E10" s="6" t="s">
        <v>34</v>
      </c>
      <c r="F10" s="7" t="s">
        <v>35</v>
      </c>
      <c r="G10" s="6" t="s">
        <v>34</v>
      </c>
      <c r="H10" s="8" t="s">
        <v>67</v>
      </c>
      <c r="I10" s="6" t="str">
        <f aca="false">CONCATENATE(E10, "_",H10)</f>
        <v>NLA_2023_001_Blank_3</v>
      </c>
      <c r="J10" s="6" t="s">
        <v>52</v>
      </c>
      <c r="K10" s="6" t="s">
        <v>67</v>
      </c>
      <c r="L10" s="9" t="s">
        <v>46</v>
      </c>
      <c r="M10" s="13" t="s">
        <v>46</v>
      </c>
      <c r="N10" s="6" t="s">
        <v>65</v>
      </c>
      <c r="O10" s="6" t="s">
        <v>46</v>
      </c>
      <c r="P10" s="6" t="s">
        <v>46</v>
      </c>
      <c r="Q10" s="6" t="s">
        <v>46</v>
      </c>
      <c r="R10" s="6" t="s">
        <v>46</v>
      </c>
      <c r="S10" s="6" t="s">
        <v>46</v>
      </c>
      <c r="T10" s="6" t="s">
        <v>46</v>
      </c>
      <c r="U10" s="6" t="s">
        <v>46</v>
      </c>
      <c r="V10" s="1" t="n">
        <v>3</v>
      </c>
      <c r="W10" s="6"/>
      <c r="X10" s="9" t="s">
        <v>46</v>
      </c>
      <c r="Y10" s="9" t="n">
        <v>5500</v>
      </c>
      <c r="Z10" s="9" t="s">
        <v>48</v>
      </c>
      <c r="AA10" s="9" t="s">
        <v>49</v>
      </c>
      <c r="AB10" s="15" t="str">
        <f aca="true" t="array" ref="AB10:AB10">LEFT(AA10,LOOKUP(2^15,FIND(".",AA10,ROW(INDIRECT("1:"&amp;LEN(AA10)))))-1)</f>
        <v>NB_2023_002 - 12012023 - 1</v>
      </c>
      <c r="AC10" s="9" t="s">
        <v>50</v>
      </c>
      <c r="AD10" s="15" t="str">
        <f aca="true" t="array" ref="AD10:AD10">LEFT(AC10,LOOKUP(2^15,FIND(".",AC10,ROW(INDIRECT("1:"&amp;LEN(AC10)))))-1)</f>
        <v>NB_2023_002 - 12012023 - 2</v>
      </c>
      <c r="AE10" s="6" t="str">
        <f aca="false">CONCATENATE(AB10, "-",H10, ".mzML")</f>
        <v>NB_2023_002 - 12012023 - 1-Blank_3.mzML</v>
      </c>
      <c r="AF10" s="6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4" t="s">
        <v>32</v>
      </c>
      <c r="B11" s="5"/>
      <c r="C11" s="4" t="s">
        <v>33</v>
      </c>
      <c r="D11" s="6" t="s">
        <v>14</v>
      </c>
      <c r="E11" s="6" t="s">
        <v>34</v>
      </c>
      <c r="F11" s="7" t="s">
        <v>35</v>
      </c>
      <c r="G11" s="6" t="s">
        <v>34</v>
      </c>
      <c r="H11" s="8" t="s">
        <v>68</v>
      </c>
      <c r="I11" s="6" t="str">
        <f aca="false">CONCATENATE(E11, "_",H11)</f>
        <v>NLA_2023_001_QC_C_1</v>
      </c>
      <c r="J11" s="6" t="s">
        <v>52</v>
      </c>
      <c r="K11" s="6" t="s">
        <v>68</v>
      </c>
      <c r="L11" s="9" t="s">
        <v>69</v>
      </c>
      <c r="M11" s="13" t="s">
        <v>46</v>
      </c>
      <c r="N11" s="6" t="s">
        <v>70</v>
      </c>
      <c r="O11" s="6" t="s">
        <v>46</v>
      </c>
      <c r="P11" s="6" t="s">
        <v>71</v>
      </c>
      <c r="Q11" s="6" t="s">
        <v>71</v>
      </c>
      <c r="R11" s="6" t="s">
        <v>72</v>
      </c>
      <c r="S11" s="6" t="s">
        <v>73</v>
      </c>
      <c r="T11" s="6" t="s">
        <v>46</v>
      </c>
      <c r="U11" s="6" t="n">
        <v>1000</v>
      </c>
      <c r="V11" s="1" t="n">
        <v>1</v>
      </c>
      <c r="W11" s="6"/>
      <c r="X11" s="6" t="s">
        <v>74</v>
      </c>
      <c r="Y11" s="9" t="n">
        <v>5500</v>
      </c>
      <c r="Z11" s="9" t="s">
        <v>48</v>
      </c>
      <c r="AA11" s="9" t="s">
        <v>49</v>
      </c>
      <c r="AB11" s="15" t="str">
        <f aca="true" t="array" ref="AB11:AB11">LEFT(AA11,LOOKUP(2^15,FIND(".",AA11,ROW(INDIRECT("1:"&amp;LEN(AA11)))))-1)</f>
        <v>NB_2023_002 - 12012023 - 1</v>
      </c>
      <c r="AC11" s="9" t="s">
        <v>50</v>
      </c>
      <c r="AD11" s="15" t="str">
        <f aca="true" t="array" ref="AD11:AD11">LEFT(AC11,LOOKUP(2^15,FIND(".",AC11,ROW(INDIRECT("1:"&amp;LEN(AC11)))))-1)</f>
        <v>NB_2023_002 - 12012023 - 2</v>
      </c>
      <c r="AE11" s="6" t="str">
        <f aca="false">CONCATENATE(AB11, "-",H11, ".mzML")</f>
        <v>NB_2023_002 - 12012023 - 1-QC_C_1.mzML</v>
      </c>
      <c r="AF11" s="6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4" t="s">
        <v>32</v>
      </c>
      <c r="B12" s="5"/>
      <c r="C12" s="4" t="s">
        <v>33</v>
      </c>
      <c r="D12" s="6" t="s">
        <v>14</v>
      </c>
      <c r="E12" s="6" t="s">
        <v>34</v>
      </c>
      <c r="F12" s="7" t="s">
        <v>35</v>
      </c>
      <c r="G12" s="6" t="s">
        <v>34</v>
      </c>
      <c r="H12" s="8" t="s">
        <v>75</v>
      </c>
      <c r="I12" s="6" t="str">
        <f aca="false">CONCATENATE(E12, "_",H12)</f>
        <v>NLA_2023_001_QC_C_2</v>
      </c>
      <c r="J12" s="6" t="s">
        <v>52</v>
      </c>
      <c r="K12" s="6" t="s">
        <v>75</v>
      </c>
      <c r="L12" s="9" t="s">
        <v>69</v>
      </c>
      <c r="M12" s="13" t="s">
        <v>46</v>
      </c>
      <c r="N12" s="6" t="s">
        <v>70</v>
      </c>
      <c r="O12" s="6" t="s">
        <v>46</v>
      </c>
      <c r="P12" s="6" t="s">
        <v>71</v>
      </c>
      <c r="Q12" s="6" t="s">
        <v>71</v>
      </c>
      <c r="R12" s="6" t="s">
        <v>72</v>
      </c>
      <c r="S12" s="6" t="s">
        <v>73</v>
      </c>
      <c r="T12" s="6" t="s">
        <v>46</v>
      </c>
      <c r="U12" s="6" t="n">
        <v>1000</v>
      </c>
      <c r="V12" s="1" t="n">
        <v>2</v>
      </c>
      <c r="W12" s="6"/>
      <c r="X12" s="6" t="s">
        <v>74</v>
      </c>
      <c r="Y12" s="9" t="n">
        <v>5500</v>
      </c>
      <c r="Z12" s="9" t="s">
        <v>48</v>
      </c>
      <c r="AA12" s="9" t="s">
        <v>49</v>
      </c>
      <c r="AB12" s="15" t="str">
        <f aca="true" t="array" ref="AB12:AB12">LEFT(AA12,LOOKUP(2^15,FIND(".",AA12,ROW(INDIRECT("1:"&amp;LEN(AA12)))))-1)</f>
        <v>NB_2023_002 - 12012023 - 1</v>
      </c>
      <c r="AC12" s="9" t="s">
        <v>50</v>
      </c>
      <c r="AD12" s="15" t="str">
        <f aca="true" t="array" ref="AD12:AD12">LEFT(AC12,LOOKUP(2^15,FIND(".",AC12,ROW(INDIRECT("1:"&amp;LEN(AC12)))))-1)</f>
        <v>NB_2023_002 - 12012023 - 2</v>
      </c>
      <c r="AE12" s="6" t="str">
        <f aca="false">CONCATENATE(AB12, "-",H12, ".mzML")</f>
        <v>NB_2023_002 - 12012023 - 1-QC_C_2.mzML</v>
      </c>
      <c r="AF12" s="6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4" t="s">
        <v>32</v>
      </c>
      <c r="B13" s="5"/>
      <c r="C13" s="4" t="s">
        <v>33</v>
      </c>
      <c r="D13" s="6" t="s">
        <v>14</v>
      </c>
      <c r="E13" s="6" t="s">
        <v>34</v>
      </c>
      <c r="F13" s="7" t="s">
        <v>35</v>
      </c>
      <c r="G13" s="6" t="s">
        <v>34</v>
      </c>
      <c r="H13" s="8" t="s">
        <v>76</v>
      </c>
      <c r="I13" s="6" t="str">
        <f aca="false">CONCATENATE(E13, "_",H13)</f>
        <v>NLA_2023_001_QC_C_3</v>
      </c>
      <c r="J13" s="6" t="s">
        <v>52</v>
      </c>
      <c r="K13" s="6" t="s">
        <v>76</v>
      </c>
      <c r="L13" s="9" t="s">
        <v>69</v>
      </c>
      <c r="M13" s="13" t="s">
        <v>46</v>
      </c>
      <c r="N13" s="6" t="s">
        <v>70</v>
      </c>
      <c r="O13" s="6" t="s">
        <v>46</v>
      </c>
      <c r="P13" s="6" t="s">
        <v>71</v>
      </c>
      <c r="Q13" s="6" t="s">
        <v>71</v>
      </c>
      <c r="R13" s="6" t="s">
        <v>72</v>
      </c>
      <c r="S13" s="6" t="s">
        <v>73</v>
      </c>
      <c r="T13" s="6" t="s">
        <v>46</v>
      </c>
      <c r="U13" s="6" t="n">
        <v>1000</v>
      </c>
      <c r="V13" s="1" t="n">
        <v>3</v>
      </c>
      <c r="W13" s="6"/>
      <c r="X13" s="6" t="s">
        <v>74</v>
      </c>
      <c r="Y13" s="9" t="n">
        <v>5500</v>
      </c>
      <c r="Z13" s="9" t="s">
        <v>48</v>
      </c>
      <c r="AA13" s="9" t="s">
        <v>49</v>
      </c>
      <c r="AB13" s="15" t="str">
        <f aca="true" t="array" ref="AB13:AB13">LEFT(AA13,LOOKUP(2^15,FIND(".",AA13,ROW(INDIRECT("1:"&amp;LEN(AA13)))))-1)</f>
        <v>NB_2023_002 - 12012023 - 1</v>
      </c>
      <c r="AC13" s="9" t="s">
        <v>50</v>
      </c>
      <c r="AD13" s="15" t="str">
        <f aca="true" t="array" ref="AD13:AD13">LEFT(AC13,LOOKUP(2^15,FIND(".",AC13,ROW(INDIRECT("1:"&amp;LEN(AC13)))))-1)</f>
        <v>NB_2023_002 - 12012023 - 2</v>
      </c>
      <c r="AE13" s="6" t="str">
        <f aca="false">CONCATENATE(AB13, "-",H13, ".mzML")</f>
        <v>NB_2023_002 - 12012023 - 1-QC_C_3.mzML</v>
      </c>
      <c r="AF13" s="6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4" t="s">
        <v>32</v>
      </c>
      <c r="B14" s="5"/>
      <c r="C14" s="4" t="s">
        <v>33</v>
      </c>
      <c r="D14" s="6" t="s">
        <v>14</v>
      </c>
      <c r="E14" s="6" t="s">
        <v>34</v>
      </c>
      <c r="F14" s="7" t="s">
        <v>35</v>
      </c>
      <c r="G14" s="6" t="s">
        <v>34</v>
      </c>
      <c r="H14" s="8" t="s">
        <v>77</v>
      </c>
      <c r="I14" s="6" t="str">
        <f aca="false">CONCATENATE(E14, "_",H14)</f>
        <v>NLA_2023_001_QC_P_1</v>
      </c>
      <c r="J14" s="6" t="s">
        <v>52</v>
      </c>
      <c r="K14" s="6" t="s">
        <v>77</v>
      </c>
      <c r="L14" s="9" t="s">
        <v>69</v>
      </c>
      <c r="M14" s="13" t="s">
        <v>46</v>
      </c>
      <c r="N14" s="6" t="s">
        <v>78</v>
      </c>
      <c r="O14" s="6" t="s">
        <v>46</v>
      </c>
      <c r="P14" s="6" t="s">
        <v>79</v>
      </c>
      <c r="Q14" s="6" t="s">
        <v>80</v>
      </c>
      <c r="R14" s="6" t="s">
        <v>81</v>
      </c>
      <c r="S14" s="6" t="s">
        <v>46</v>
      </c>
      <c r="T14" s="6" t="s">
        <v>46</v>
      </c>
      <c r="U14" s="6" t="s">
        <v>82</v>
      </c>
      <c r="V14" s="1" t="n">
        <v>1</v>
      </c>
      <c r="W14" s="6"/>
      <c r="X14" s="6" t="s">
        <v>83</v>
      </c>
      <c r="Y14" s="9" t="n">
        <v>5500</v>
      </c>
      <c r="Z14" s="9" t="s">
        <v>48</v>
      </c>
      <c r="AA14" s="9" t="s">
        <v>49</v>
      </c>
      <c r="AB14" s="15" t="str">
        <f aca="true" t="array" ref="AB14:AB14">LEFT(AA14,LOOKUP(2^15,FIND(".",AA14,ROW(INDIRECT("1:"&amp;LEN(AA14)))))-1)</f>
        <v>NB_2023_002 - 12012023 - 1</v>
      </c>
      <c r="AC14" s="9" t="s">
        <v>50</v>
      </c>
      <c r="AD14" s="15" t="str">
        <f aca="true" t="array" ref="AD14:AD14">LEFT(AC14,LOOKUP(2^15,FIND(".",AC14,ROW(INDIRECT("1:"&amp;LEN(AC14)))))-1)</f>
        <v>NB_2023_002 - 12012023 - 2</v>
      </c>
      <c r="AE14" s="6" t="str">
        <f aca="false">CONCATENATE(AB14, "-",H14, ".mzML")</f>
        <v>NB_2023_002 - 12012023 - 1-QC_P_1.mzML</v>
      </c>
      <c r="AF14" s="6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4" t="s">
        <v>32</v>
      </c>
      <c r="B15" s="5"/>
      <c r="C15" s="4" t="s">
        <v>33</v>
      </c>
      <c r="D15" s="6" t="s">
        <v>14</v>
      </c>
      <c r="E15" s="6" t="s">
        <v>34</v>
      </c>
      <c r="F15" s="7" t="s">
        <v>35</v>
      </c>
      <c r="G15" s="6" t="s">
        <v>34</v>
      </c>
      <c r="H15" s="8" t="s">
        <v>84</v>
      </c>
      <c r="I15" s="6" t="str">
        <f aca="false">CONCATENATE(E15, "_",H15)</f>
        <v>NLA_2023_001_QC_P_2</v>
      </c>
      <c r="J15" s="6" t="s">
        <v>52</v>
      </c>
      <c r="K15" s="6" t="s">
        <v>84</v>
      </c>
      <c r="L15" s="9" t="s">
        <v>69</v>
      </c>
      <c r="M15" s="13" t="s">
        <v>46</v>
      </c>
      <c r="N15" s="6" t="s">
        <v>78</v>
      </c>
      <c r="O15" s="6" t="s">
        <v>46</v>
      </c>
      <c r="P15" s="6" t="s">
        <v>79</v>
      </c>
      <c r="Q15" s="6" t="s">
        <v>80</v>
      </c>
      <c r="R15" s="6" t="s">
        <v>81</v>
      </c>
      <c r="S15" s="6" t="s">
        <v>46</v>
      </c>
      <c r="T15" s="6" t="s">
        <v>46</v>
      </c>
      <c r="U15" s="6" t="s">
        <v>82</v>
      </c>
      <c r="V15" s="1" t="n">
        <v>2</v>
      </c>
      <c r="W15" s="6"/>
      <c r="X15" s="6" t="s">
        <v>83</v>
      </c>
      <c r="Y15" s="9" t="n">
        <v>5500</v>
      </c>
      <c r="Z15" s="9" t="s">
        <v>48</v>
      </c>
      <c r="AA15" s="9" t="s">
        <v>49</v>
      </c>
      <c r="AB15" s="15" t="str">
        <f aca="true" t="array" ref="AB15:AB15">LEFT(AA15,LOOKUP(2^15,FIND(".",AA15,ROW(INDIRECT("1:"&amp;LEN(AA15)))))-1)</f>
        <v>NB_2023_002 - 12012023 - 1</v>
      </c>
      <c r="AC15" s="9" t="s">
        <v>50</v>
      </c>
      <c r="AD15" s="15" t="str">
        <f aca="true" t="array" ref="AD15:AD15">LEFT(AC15,LOOKUP(2^15,FIND(".",AC15,ROW(INDIRECT("1:"&amp;LEN(AC15)))))-1)</f>
        <v>NB_2023_002 - 12012023 - 2</v>
      </c>
      <c r="AE15" s="6" t="str">
        <f aca="false">CONCATENATE(AB15, "-",H15, ".mzML")</f>
        <v>NB_2023_002 - 12012023 - 1-QC_P_2.mzML</v>
      </c>
      <c r="AF15" s="6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4" t="s">
        <v>32</v>
      </c>
      <c r="B16" s="5"/>
      <c r="C16" s="4" t="s">
        <v>33</v>
      </c>
      <c r="D16" s="6" t="s">
        <v>14</v>
      </c>
      <c r="E16" s="6" t="s">
        <v>34</v>
      </c>
      <c r="F16" s="7" t="s">
        <v>35</v>
      </c>
      <c r="G16" s="6" t="s">
        <v>34</v>
      </c>
      <c r="H16" s="8" t="s">
        <v>85</v>
      </c>
      <c r="I16" s="6" t="str">
        <f aca="false">CONCATENATE(E16, "_",H16)</f>
        <v>NLA_2023_001_QC_P_3</v>
      </c>
      <c r="J16" s="6" t="s">
        <v>52</v>
      </c>
      <c r="K16" s="6" t="s">
        <v>85</v>
      </c>
      <c r="L16" s="9" t="s">
        <v>69</v>
      </c>
      <c r="M16" s="13" t="s">
        <v>46</v>
      </c>
      <c r="N16" s="6" t="s">
        <v>78</v>
      </c>
      <c r="O16" s="6" t="s">
        <v>46</v>
      </c>
      <c r="P16" s="6" t="s">
        <v>79</v>
      </c>
      <c r="Q16" s="6" t="s">
        <v>80</v>
      </c>
      <c r="R16" s="6" t="s">
        <v>81</v>
      </c>
      <c r="S16" s="6" t="s">
        <v>46</v>
      </c>
      <c r="T16" s="6" t="s">
        <v>46</v>
      </c>
      <c r="U16" s="6" t="s">
        <v>82</v>
      </c>
      <c r="V16" s="1" t="n">
        <v>3</v>
      </c>
      <c r="W16" s="6"/>
      <c r="X16" s="6" t="s">
        <v>83</v>
      </c>
      <c r="Y16" s="9" t="n">
        <v>5500</v>
      </c>
      <c r="Z16" s="9" t="s">
        <v>48</v>
      </c>
      <c r="AA16" s="9" t="s">
        <v>49</v>
      </c>
      <c r="AB16" s="15" t="str">
        <f aca="true" t="array" ref="AB16:AB16">LEFT(AA16,LOOKUP(2^15,FIND(".",AA16,ROW(INDIRECT("1:"&amp;LEN(AA16)))))-1)</f>
        <v>NB_2023_002 - 12012023 - 1</v>
      </c>
      <c r="AC16" s="9" t="s">
        <v>50</v>
      </c>
      <c r="AD16" s="15" t="str">
        <f aca="true" t="array" ref="AD16:AD16">LEFT(AC16,LOOKUP(2^15,FIND(".",AC16,ROW(INDIRECT("1:"&amp;LEN(AC16)))))-1)</f>
        <v>NB_2023_002 - 12012023 - 2</v>
      </c>
      <c r="AE16" s="6" t="str">
        <f aca="false">CONCATENATE(AB16, "-",H16, ".mzML")</f>
        <v>NB_2023_002 - 12012023 - 1-QC_P_3.mzML</v>
      </c>
      <c r="AF16" s="6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4" t="s">
        <v>86</v>
      </c>
      <c r="B17" s="5"/>
      <c r="C17" s="4" t="s">
        <v>87</v>
      </c>
      <c r="D17" s="6" t="s">
        <v>18</v>
      </c>
      <c r="E17" s="6" t="s">
        <v>34</v>
      </c>
      <c r="F17" s="7" t="s">
        <v>35</v>
      </c>
      <c r="G17" s="6" t="s">
        <v>36</v>
      </c>
      <c r="H17" s="8" t="s">
        <v>88</v>
      </c>
      <c r="I17" s="6" t="str">
        <f aca="false">CONCATENATE(E17, "_",H17)</f>
        <v>NLA_2023_001_002</v>
      </c>
      <c r="J17" s="6" t="s">
        <v>38</v>
      </c>
      <c r="K17" s="6" t="s">
        <v>89</v>
      </c>
      <c r="L17" s="12" t="n">
        <v>359.6</v>
      </c>
      <c r="M17" s="13" t="s">
        <v>40</v>
      </c>
      <c r="N17" s="6" t="s">
        <v>41</v>
      </c>
      <c r="O17" s="14" t="s">
        <v>42</v>
      </c>
      <c r="P17" s="14" t="s">
        <v>43</v>
      </c>
      <c r="Q17" s="14" t="s">
        <v>43</v>
      </c>
      <c r="R17" s="6" t="s">
        <v>44</v>
      </c>
      <c r="S17" s="14" t="s">
        <v>90</v>
      </c>
      <c r="T17" s="6" t="s">
        <v>46</v>
      </c>
      <c r="U17" s="6" t="n">
        <v>1000</v>
      </c>
      <c r="V17" s="1" t="n">
        <v>1</v>
      </c>
      <c r="W17" s="6"/>
      <c r="X17" s="9" t="s">
        <v>47</v>
      </c>
      <c r="Y17" s="9" t="n">
        <v>5500</v>
      </c>
      <c r="Z17" s="9" t="s">
        <v>48</v>
      </c>
      <c r="AA17" s="9" t="s">
        <v>49</v>
      </c>
      <c r="AB17" s="15" t="str">
        <f aca="true" t="array" ref="AB17:AB17">LEFT(AA17,LOOKUP(2^15,FIND(".",AA17,ROW(INDIRECT("1:"&amp;LEN(AA17)))))-1)</f>
        <v>NB_2023_002 - 12012023 - 1</v>
      </c>
      <c r="AC17" s="9" t="s">
        <v>50</v>
      </c>
      <c r="AD17" s="15" t="str">
        <f aca="true" t="array" ref="AD17:AD17">LEFT(AC17,LOOKUP(2^15,FIND(".",AC17,ROW(INDIRECT("1:"&amp;LEN(AC17)))))-1)</f>
        <v>NB_2023_002 - 12012023 - 2</v>
      </c>
      <c r="AE17" s="6" t="str">
        <f aca="false">CONCATENATE(AB17, "-",H17, ".mzML")</f>
        <v>NB_2023_002 - 12012023 - 1-002.mzML</v>
      </c>
      <c r="AF17" s="6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4" t="s">
        <v>86</v>
      </c>
      <c r="B18" s="5"/>
      <c r="C18" s="4" t="s">
        <v>87</v>
      </c>
      <c r="D18" s="6" t="s">
        <v>18</v>
      </c>
      <c r="E18" s="6" t="s">
        <v>34</v>
      </c>
      <c r="F18" s="7" t="s">
        <v>35</v>
      </c>
      <c r="G18" s="6" t="s">
        <v>36</v>
      </c>
      <c r="H18" s="8" t="s">
        <v>91</v>
      </c>
      <c r="I18" s="6" t="str">
        <f aca="false">CONCATENATE(E18, "_",H18)</f>
        <v>NLA_2023_001_005</v>
      </c>
      <c r="J18" s="6" t="s">
        <v>38</v>
      </c>
      <c r="K18" s="6" t="s">
        <v>92</v>
      </c>
      <c r="L18" s="12" t="n">
        <v>228.8</v>
      </c>
      <c r="M18" s="13" t="s">
        <v>40</v>
      </c>
      <c r="N18" s="6" t="s">
        <v>41</v>
      </c>
      <c r="O18" s="14" t="s">
        <v>42</v>
      </c>
      <c r="P18" s="14" t="s">
        <v>43</v>
      </c>
      <c r="Q18" s="14" t="s">
        <v>43</v>
      </c>
      <c r="R18" s="6" t="s">
        <v>44</v>
      </c>
      <c r="S18" s="14" t="s">
        <v>90</v>
      </c>
      <c r="T18" s="6" t="s">
        <v>46</v>
      </c>
      <c r="U18" s="6" t="n">
        <v>1000</v>
      </c>
      <c r="V18" s="1" t="n">
        <v>1</v>
      </c>
      <c r="W18" s="6"/>
      <c r="X18" s="9" t="s">
        <v>47</v>
      </c>
      <c r="Y18" s="9" t="n">
        <v>5500</v>
      </c>
      <c r="Z18" s="9" t="s">
        <v>48</v>
      </c>
      <c r="AA18" s="9" t="s">
        <v>49</v>
      </c>
      <c r="AB18" s="15" t="str">
        <f aca="true" t="array" ref="AB18:AB18">LEFT(AA18,LOOKUP(2^15,FIND(".",AA18,ROW(INDIRECT("1:"&amp;LEN(AA18)))))-1)</f>
        <v>NB_2023_002 - 12012023 - 1</v>
      </c>
      <c r="AC18" s="9" t="s">
        <v>50</v>
      </c>
      <c r="AD18" s="15" t="str">
        <f aca="true" t="array" ref="AD18:AD18">LEFT(AC18,LOOKUP(2^15,FIND(".",AC18,ROW(INDIRECT("1:"&amp;LEN(AC18)))))-1)</f>
        <v>NB_2023_002 - 12012023 - 2</v>
      </c>
      <c r="AE18" s="6" t="str">
        <f aca="false">CONCATENATE(AB18, "-",H18, ".mzML")</f>
        <v>NB_2023_002 - 12012023 - 1-005.mzML</v>
      </c>
      <c r="AF18" s="6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4" t="s">
        <v>86</v>
      </c>
      <c r="B19" s="5"/>
      <c r="C19" s="4" t="s">
        <v>87</v>
      </c>
      <c r="D19" s="6" t="s">
        <v>18</v>
      </c>
      <c r="E19" s="6" t="s">
        <v>34</v>
      </c>
      <c r="F19" s="7" t="s">
        <v>35</v>
      </c>
      <c r="G19" s="6" t="s">
        <v>36</v>
      </c>
      <c r="H19" s="8" t="s">
        <v>37</v>
      </c>
      <c r="I19" s="6" t="str">
        <f aca="false">CONCATENATE(E19, "_",H19)</f>
        <v>NLA_2023_001_009</v>
      </c>
      <c r="J19" s="6" t="s">
        <v>38</v>
      </c>
      <c r="K19" s="6" t="s">
        <v>39</v>
      </c>
      <c r="L19" s="12" t="n">
        <v>264.1</v>
      </c>
      <c r="M19" s="13" t="s">
        <v>40</v>
      </c>
      <c r="N19" s="6" t="s">
        <v>41</v>
      </c>
      <c r="O19" s="14" t="s">
        <v>42</v>
      </c>
      <c r="P19" s="14" t="s">
        <v>43</v>
      </c>
      <c r="Q19" s="14" t="s">
        <v>43</v>
      </c>
      <c r="R19" s="6" t="s">
        <v>44</v>
      </c>
      <c r="S19" s="14" t="s">
        <v>45</v>
      </c>
      <c r="T19" s="6" t="s">
        <v>46</v>
      </c>
      <c r="U19" s="6" t="n">
        <v>1000</v>
      </c>
      <c r="V19" s="1" t="n">
        <v>1</v>
      </c>
      <c r="W19" s="6"/>
      <c r="X19" s="9" t="s">
        <v>47</v>
      </c>
      <c r="Y19" s="9" t="n">
        <v>5500</v>
      </c>
      <c r="Z19" s="9" t="s">
        <v>48</v>
      </c>
      <c r="AA19" s="9" t="s">
        <v>49</v>
      </c>
      <c r="AB19" s="15" t="str">
        <f aca="true" t="array" ref="AB19:AB19">LEFT(AA19,LOOKUP(2^15,FIND(".",AA19,ROW(INDIRECT("1:"&amp;LEN(AA19)))))-1)</f>
        <v>NB_2023_002 - 12012023 - 1</v>
      </c>
      <c r="AC19" s="9" t="s">
        <v>50</v>
      </c>
      <c r="AD19" s="15" t="str">
        <f aca="true" t="array" ref="AD19:AD19">LEFT(AC19,LOOKUP(2^15,FIND(".",AC19,ROW(INDIRECT("1:"&amp;LEN(AC19)))))-1)</f>
        <v>NB_2023_002 - 12012023 - 2</v>
      </c>
      <c r="AE19" s="6" t="str">
        <f aca="false">CONCATENATE(AB19, "-",H19, ".mzML")</f>
        <v>NB_2023_002 - 12012023 - 1-009.mzML</v>
      </c>
      <c r="AF19" s="6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4" t="s">
        <v>86</v>
      </c>
      <c r="B20" s="5"/>
      <c r="C20" s="4" t="s">
        <v>87</v>
      </c>
      <c r="D20" s="6" t="s">
        <v>18</v>
      </c>
      <c r="E20" s="6" t="s">
        <v>34</v>
      </c>
      <c r="F20" s="7" t="s">
        <v>35</v>
      </c>
      <c r="G20" s="6" t="s">
        <v>36</v>
      </c>
      <c r="H20" s="8" t="s">
        <v>58</v>
      </c>
      <c r="I20" s="6" t="str">
        <f aca="false">CONCATENATE(E20, "_",H20)</f>
        <v>NLA_2023_001_014</v>
      </c>
      <c r="J20" s="6" t="s">
        <v>38</v>
      </c>
      <c r="K20" s="6" t="s">
        <v>59</v>
      </c>
      <c r="L20" s="12" t="n">
        <v>186.4</v>
      </c>
      <c r="M20" s="13" t="s">
        <v>40</v>
      </c>
      <c r="N20" s="6" t="s">
        <v>41</v>
      </c>
      <c r="O20" s="14" t="s">
        <v>42</v>
      </c>
      <c r="P20" s="14" t="s">
        <v>43</v>
      </c>
      <c r="Q20" s="14" t="s">
        <v>43</v>
      </c>
      <c r="R20" s="6" t="s">
        <v>44</v>
      </c>
      <c r="S20" s="14" t="s">
        <v>45</v>
      </c>
      <c r="T20" s="6" t="s">
        <v>46</v>
      </c>
      <c r="U20" s="6" t="n">
        <v>1000</v>
      </c>
      <c r="V20" s="1" t="n">
        <v>1</v>
      </c>
      <c r="W20" s="6"/>
      <c r="X20" s="9" t="s">
        <v>47</v>
      </c>
      <c r="Y20" s="9" t="n">
        <v>5500</v>
      </c>
      <c r="Z20" s="9" t="s">
        <v>48</v>
      </c>
      <c r="AA20" s="9" t="s">
        <v>49</v>
      </c>
      <c r="AB20" s="15" t="str">
        <f aca="true" t="array" ref="AB20:AB20">LEFT(AA20,LOOKUP(2^15,FIND(".",AA20,ROW(INDIRECT("1:"&amp;LEN(AA20)))))-1)</f>
        <v>NB_2023_002 - 12012023 - 1</v>
      </c>
      <c r="AC20" s="9" t="s">
        <v>50</v>
      </c>
      <c r="AD20" s="15" t="str">
        <f aca="true" t="array" ref="AD20:AD20">LEFT(AC20,LOOKUP(2^15,FIND(".",AC20,ROW(INDIRECT("1:"&amp;LEN(AC20)))))-1)</f>
        <v>NB_2023_002 - 12012023 - 2</v>
      </c>
      <c r="AE20" s="6" t="str">
        <f aca="false">CONCATENATE(AB20, "-",H20, ".mzML")</f>
        <v>NB_2023_002 - 12012023 - 1-014.mzML</v>
      </c>
      <c r="AF20" s="6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4" t="s">
        <v>86</v>
      </c>
      <c r="B21" s="5"/>
      <c r="C21" s="4" t="s">
        <v>87</v>
      </c>
      <c r="D21" s="6" t="s">
        <v>18</v>
      </c>
      <c r="E21" s="6" t="s">
        <v>34</v>
      </c>
      <c r="F21" s="7" t="s">
        <v>35</v>
      </c>
      <c r="G21" s="6" t="s">
        <v>36</v>
      </c>
      <c r="H21" s="8" t="s">
        <v>93</v>
      </c>
      <c r="I21" s="6" t="str">
        <f aca="false">CONCATENATE(E21, "_",H21)</f>
        <v>NLA_2023_001_018</v>
      </c>
      <c r="J21" s="6" t="s">
        <v>38</v>
      </c>
      <c r="K21" s="6" t="s">
        <v>94</v>
      </c>
      <c r="L21" s="12" t="n">
        <v>217</v>
      </c>
      <c r="M21" s="13" t="s">
        <v>40</v>
      </c>
      <c r="N21" s="6" t="s">
        <v>41</v>
      </c>
      <c r="O21" s="14" t="s">
        <v>42</v>
      </c>
      <c r="P21" s="14" t="s">
        <v>43</v>
      </c>
      <c r="Q21" s="14" t="s">
        <v>43</v>
      </c>
      <c r="R21" s="6" t="s">
        <v>44</v>
      </c>
      <c r="S21" s="14" t="s">
        <v>90</v>
      </c>
      <c r="T21" s="6" t="s">
        <v>46</v>
      </c>
      <c r="U21" s="6" t="n">
        <v>1000</v>
      </c>
      <c r="V21" s="1" t="n">
        <v>1</v>
      </c>
      <c r="W21" s="6"/>
      <c r="X21" s="9" t="s">
        <v>47</v>
      </c>
      <c r="Y21" s="9" t="n">
        <v>5500</v>
      </c>
      <c r="Z21" s="9" t="s">
        <v>48</v>
      </c>
      <c r="AA21" s="9" t="s">
        <v>49</v>
      </c>
      <c r="AB21" s="15" t="str">
        <f aca="true" t="array" ref="AB21:AB21">LEFT(AA21,LOOKUP(2^15,FIND(".",AA21,ROW(INDIRECT("1:"&amp;LEN(AA21)))))-1)</f>
        <v>NB_2023_002 - 12012023 - 1</v>
      </c>
      <c r="AC21" s="9" t="s">
        <v>50</v>
      </c>
      <c r="AD21" s="15" t="str">
        <f aca="true" t="array" ref="AD21:AD21">LEFT(AC21,LOOKUP(2^15,FIND(".",AC21,ROW(INDIRECT("1:"&amp;LEN(AC21)))))-1)</f>
        <v>NB_2023_002 - 12012023 - 2</v>
      </c>
      <c r="AE21" s="6" t="str">
        <f aca="false">CONCATENATE(AB21, "-",H21, ".mzML")</f>
        <v>NB_2023_002 - 12012023 - 1-018.mzML</v>
      </c>
      <c r="AF21" s="6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4" t="s">
        <v>86</v>
      </c>
      <c r="B22" s="5"/>
      <c r="C22" s="4" t="s">
        <v>87</v>
      </c>
      <c r="D22" s="6" t="s">
        <v>18</v>
      </c>
      <c r="E22" s="6" t="s">
        <v>34</v>
      </c>
      <c r="F22" s="7" t="s">
        <v>35</v>
      </c>
      <c r="G22" s="6" t="s">
        <v>36</v>
      </c>
      <c r="H22" s="8" t="s">
        <v>62</v>
      </c>
      <c r="I22" s="6" t="str">
        <f aca="false">CONCATENATE(E22, "_",H22)</f>
        <v>NLA_2023_001_021</v>
      </c>
      <c r="J22" s="6" t="s">
        <v>38</v>
      </c>
      <c r="K22" s="6" t="s">
        <v>63</v>
      </c>
      <c r="L22" s="12" t="n">
        <v>203.8</v>
      </c>
      <c r="M22" s="13" t="s">
        <v>40</v>
      </c>
      <c r="N22" s="6" t="s">
        <v>41</v>
      </c>
      <c r="O22" s="14" t="s">
        <v>42</v>
      </c>
      <c r="P22" s="14" t="s">
        <v>43</v>
      </c>
      <c r="Q22" s="14" t="s">
        <v>43</v>
      </c>
      <c r="R22" s="6" t="s">
        <v>44</v>
      </c>
      <c r="S22" s="14" t="s">
        <v>45</v>
      </c>
      <c r="T22" s="6" t="s">
        <v>46</v>
      </c>
      <c r="U22" s="6" t="n">
        <v>1000</v>
      </c>
      <c r="V22" s="1" t="n">
        <v>1</v>
      </c>
      <c r="W22" s="6"/>
      <c r="X22" s="9" t="s">
        <v>47</v>
      </c>
      <c r="Y22" s="9" t="n">
        <v>5500</v>
      </c>
      <c r="Z22" s="9" t="s">
        <v>48</v>
      </c>
      <c r="AA22" s="9" t="s">
        <v>49</v>
      </c>
      <c r="AB22" s="15" t="str">
        <f aca="true" t="array" ref="AB22:AB22">LEFT(AA22,LOOKUP(2^15,FIND(".",AA22,ROW(INDIRECT("1:"&amp;LEN(AA22)))))-1)</f>
        <v>NB_2023_002 - 12012023 - 1</v>
      </c>
      <c r="AC22" s="9" t="s">
        <v>50</v>
      </c>
      <c r="AD22" s="15" t="str">
        <f aca="true" t="array" ref="AD22:AD22">LEFT(AC22,LOOKUP(2^15,FIND(".",AC22,ROW(INDIRECT("1:"&amp;LEN(AC22)))))-1)</f>
        <v>NB_2023_002 - 12012023 - 2</v>
      </c>
      <c r="AE22" s="6" t="str">
        <f aca="false">CONCATENATE(AB22, "-",H22, ".mzML")</f>
        <v>NB_2023_002 - 12012023 - 1-021.mzML</v>
      </c>
      <c r="AF22" s="6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4" t="s">
        <v>86</v>
      </c>
      <c r="B23" s="5"/>
      <c r="C23" s="4" t="s">
        <v>87</v>
      </c>
      <c r="D23" s="6" t="s">
        <v>18</v>
      </c>
      <c r="E23" s="6" t="s">
        <v>34</v>
      </c>
      <c r="F23" s="7" t="s">
        <v>35</v>
      </c>
      <c r="G23" s="6" t="s">
        <v>34</v>
      </c>
      <c r="H23" s="8" t="s">
        <v>64</v>
      </c>
      <c r="I23" s="6" t="str">
        <f aca="false">CONCATENATE(E23, "_",H23)</f>
        <v>NLA_2023_001_Blank_1</v>
      </c>
      <c r="J23" s="6" t="s">
        <v>52</v>
      </c>
      <c r="K23" s="6" t="s">
        <v>64</v>
      </c>
      <c r="L23" s="9" t="s">
        <v>46</v>
      </c>
      <c r="M23" s="13" t="s">
        <v>46</v>
      </c>
      <c r="N23" s="6" t="s">
        <v>65</v>
      </c>
      <c r="O23" s="6" t="s">
        <v>46</v>
      </c>
      <c r="P23" s="6" t="s">
        <v>46</v>
      </c>
      <c r="Q23" s="6" t="s">
        <v>46</v>
      </c>
      <c r="R23" s="6" t="s">
        <v>46</v>
      </c>
      <c r="S23" s="6" t="s">
        <v>46</v>
      </c>
      <c r="T23" s="6" t="s">
        <v>46</v>
      </c>
      <c r="U23" s="6" t="s">
        <v>46</v>
      </c>
      <c r="V23" s="1" t="n">
        <v>1</v>
      </c>
      <c r="W23" s="6"/>
      <c r="X23" s="9" t="s">
        <v>46</v>
      </c>
      <c r="Y23" s="9" t="n">
        <v>5500</v>
      </c>
      <c r="Z23" s="9" t="s">
        <v>48</v>
      </c>
      <c r="AA23" s="9" t="s">
        <v>49</v>
      </c>
      <c r="AB23" s="15" t="str">
        <f aca="true" t="array" ref="AB23:AB23">LEFT(AA23,LOOKUP(2^15,FIND(".",AA23,ROW(INDIRECT("1:"&amp;LEN(AA23)))))-1)</f>
        <v>NB_2023_002 - 12012023 - 1</v>
      </c>
      <c r="AC23" s="9" t="s">
        <v>50</v>
      </c>
      <c r="AD23" s="15" t="str">
        <f aca="true" t="array" ref="AD23:AD23">LEFT(AC23,LOOKUP(2^15,FIND(".",AC23,ROW(INDIRECT("1:"&amp;LEN(AC23)))))-1)</f>
        <v>NB_2023_002 - 12012023 - 2</v>
      </c>
      <c r="AE23" s="6" t="str">
        <f aca="false">CONCATENATE(AB23, "-",H23, ".mzML")</f>
        <v>NB_2023_002 - 12012023 - 1-Blank_1.mzML</v>
      </c>
      <c r="AF23" s="6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4" t="s">
        <v>86</v>
      </c>
      <c r="B24" s="5"/>
      <c r="C24" s="4" t="s">
        <v>87</v>
      </c>
      <c r="D24" s="6" t="s">
        <v>18</v>
      </c>
      <c r="E24" s="6" t="s">
        <v>34</v>
      </c>
      <c r="F24" s="7" t="s">
        <v>35</v>
      </c>
      <c r="G24" s="6" t="s">
        <v>34</v>
      </c>
      <c r="H24" s="8" t="s">
        <v>66</v>
      </c>
      <c r="I24" s="6" t="str">
        <f aca="false">CONCATENATE(E24, "_",H24)</f>
        <v>NLA_2023_001_Blank_2</v>
      </c>
      <c r="J24" s="6" t="s">
        <v>52</v>
      </c>
      <c r="K24" s="6" t="s">
        <v>66</v>
      </c>
      <c r="L24" s="9" t="s">
        <v>46</v>
      </c>
      <c r="M24" s="13" t="s">
        <v>46</v>
      </c>
      <c r="N24" s="6" t="s">
        <v>65</v>
      </c>
      <c r="O24" s="6" t="s">
        <v>46</v>
      </c>
      <c r="P24" s="6" t="s">
        <v>46</v>
      </c>
      <c r="Q24" s="6" t="s">
        <v>46</v>
      </c>
      <c r="R24" s="6" t="s">
        <v>46</v>
      </c>
      <c r="S24" s="6" t="s">
        <v>46</v>
      </c>
      <c r="T24" s="6" t="s">
        <v>46</v>
      </c>
      <c r="U24" s="6" t="s">
        <v>46</v>
      </c>
      <c r="V24" s="1" t="n">
        <v>2</v>
      </c>
      <c r="W24" s="6"/>
      <c r="X24" s="9" t="s">
        <v>46</v>
      </c>
      <c r="Y24" s="9" t="n">
        <v>5500</v>
      </c>
      <c r="Z24" s="9" t="s">
        <v>48</v>
      </c>
      <c r="AA24" s="9" t="s">
        <v>49</v>
      </c>
      <c r="AB24" s="15" t="str">
        <f aca="true" t="array" ref="AB24:AB24">LEFT(AA24,LOOKUP(2^15,FIND(".",AA24,ROW(INDIRECT("1:"&amp;LEN(AA24)))))-1)</f>
        <v>NB_2023_002 - 12012023 - 1</v>
      </c>
      <c r="AC24" s="9" t="s">
        <v>50</v>
      </c>
      <c r="AD24" s="15" t="str">
        <f aca="true" t="array" ref="AD24:AD24">LEFT(AC24,LOOKUP(2^15,FIND(".",AC24,ROW(INDIRECT("1:"&amp;LEN(AC24)))))-1)</f>
        <v>NB_2023_002 - 12012023 - 2</v>
      </c>
      <c r="AE24" s="6" t="str">
        <f aca="false">CONCATENATE(AB24, "-",H24, ".mzML")</f>
        <v>NB_2023_002 - 12012023 - 1-Blank_2.mzML</v>
      </c>
      <c r="AF24" s="6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4" t="s">
        <v>86</v>
      </c>
      <c r="B25" s="5"/>
      <c r="C25" s="4" t="s">
        <v>87</v>
      </c>
      <c r="D25" s="6" t="s">
        <v>18</v>
      </c>
      <c r="E25" s="6" t="s">
        <v>34</v>
      </c>
      <c r="F25" s="7" t="s">
        <v>35</v>
      </c>
      <c r="G25" s="6" t="s">
        <v>34</v>
      </c>
      <c r="H25" s="8" t="s">
        <v>67</v>
      </c>
      <c r="I25" s="6" t="str">
        <f aca="false">CONCATENATE(E25, "_",H25)</f>
        <v>NLA_2023_001_Blank_3</v>
      </c>
      <c r="J25" s="6" t="s">
        <v>52</v>
      </c>
      <c r="K25" s="6" t="s">
        <v>67</v>
      </c>
      <c r="L25" s="9" t="s">
        <v>46</v>
      </c>
      <c r="M25" s="13" t="s">
        <v>46</v>
      </c>
      <c r="N25" s="6" t="s">
        <v>65</v>
      </c>
      <c r="O25" s="6" t="s">
        <v>46</v>
      </c>
      <c r="P25" s="6" t="s">
        <v>46</v>
      </c>
      <c r="Q25" s="6" t="s">
        <v>46</v>
      </c>
      <c r="R25" s="6" t="s">
        <v>46</v>
      </c>
      <c r="S25" s="6" t="s">
        <v>46</v>
      </c>
      <c r="T25" s="6" t="s">
        <v>46</v>
      </c>
      <c r="U25" s="6" t="s">
        <v>46</v>
      </c>
      <c r="V25" s="1" t="n">
        <v>3</v>
      </c>
      <c r="W25" s="6"/>
      <c r="X25" s="9" t="s">
        <v>46</v>
      </c>
      <c r="Y25" s="9" t="n">
        <v>5500</v>
      </c>
      <c r="Z25" s="9" t="s">
        <v>48</v>
      </c>
      <c r="AA25" s="9" t="s">
        <v>49</v>
      </c>
      <c r="AB25" s="15" t="str">
        <f aca="true" t="array" ref="AB25:AB25">LEFT(AA25,LOOKUP(2^15,FIND(".",AA25,ROW(INDIRECT("1:"&amp;LEN(AA25)))))-1)</f>
        <v>NB_2023_002 - 12012023 - 1</v>
      </c>
      <c r="AC25" s="9" t="s">
        <v>50</v>
      </c>
      <c r="AD25" s="15" t="str">
        <f aca="true" t="array" ref="AD25:AD25">LEFT(AC25,LOOKUP(2^15,FIND(".",AC25,ROW(INDIRECT("1:"&amp;LEN(AC25)))))-1)</f>
        <v>NB_2023_002 - 12012023 - 2</v>
      </c>
      <c r="AE25" s="6" t="str">
        <f aca="false">CONCATENATE(AB25, "-",H25, ".mzML")</f>
        <v>NB_2023_002 - 12012023 - 1-Blank_3.mzML</v>
      </c>
      <c r="AF25" s="6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4" t="s">
        <v>86</v>
      </c>
      <c r="B26" s="5"/>
      <c r="C26" s="4" t="s">
        <v>87</v>
      </c>
      <c r="D26" s="6" t="s">
        <v>18</v>
      </c>
      <c r="E26" s="6" t="s">
        <v>34</v>
      </c>
      <c r="F26" s="7" t="s">
        <v>35</v>
      </c>
      <c r="G26" s="6" t="s">
        <v>34</v>
      </c>
      <c r="H26" s="8" t="s">
        <v>68</v>
      </c>
      <c r="I26" s="6" t="str">
        <f aca="false">CONCATENATE(E26, "_",H26)</f>
        <v>NLA_2023_001_QC_C_1</v>
      </c>
      <c r="J26" s="6" t="s">
        <v>52</v>
      </c>
      <c r="K26" s="6" t="s">
        <v>68</v>
      </c>
      <c r="L26" s="9" t="s">
        <v>69</v>
      </c>
      <c r="M26" s="13" t="s">
        <v>46</v>
      </c>
      <c r="N26" s="6" t="s">
        <v>70</v>
      </c>
      <c r="O26" s="6" t="s">
        <v>46</v>
      </c>
      <c r="P26" s="6" t="s">
        <v>71</v>
      </c>
      <c r="Q26" s="6" t="s">
        <v>71</v>
      </c>
      <c r="R26" s="6" t="s">
        <v>72</v>
      </c>
      <c r="S26" s="6" t="s">
        <v>73</v>
      </c>
      <c r="T26" s="6" t="s">
        <v>46</v>
      </c>
      <c r="U26" s="6" t="n">
        <v>1000</v>
      </c>
      <c r="V26" s="1" t="n">
        <v>1</v>
      </c>
      <c r="W26" s="6"/>
      <c r="X26" s="6" t="s">
        <v>74</v>
      </c>
      <c r="Y26" s="9" t="n">
        <v>5500</v>
      </c>
      <c r="Z26" s="9" t="s">
        <v>48</v>
      </c>
      <c r="AA26" s="9" t="s">
        <v>49</v>
      </c>
      <c r="AB26" s="15" t="str">
        <f aca="true" t="array" ref="AB26:AB26">LEFT(AA26,LOOKUP(2^15,FIND(".",AA26,ROW(INDIRECT("1:"&amp;LEN(AA26)))))-1)</f>
        <v>NB_2023_002 - 12012023 - 1</v>
      </c>
      <c r="AC26" s="9" t="s">
        <v>50</v>
      </c>
      <c r="AD26" s="15" t="str">
        <f aca="true" t="array" ref="AD26:AD26">LEFT(AC26,LOOKUP(2^15,FIND(".",AC26,ROW(INDIRECT("1:"&amp;LEN(AC26)))))-1)</f>
        <v>NB_2023_002 - 12012023 - 2</v>
      </c>
      <c r="AE26" s="6" t="str">
        <f aca="false">CONCATENATE(AB26, "-",H26, ".mzML")</f>
        <v>NB_2023_002 - 12012023 - 1-QC_C_1.mzML</v>
      </c>
      <c r="AF26" s="6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4" t="s">
        <v>86</v>
      </c>
      <c r="B27" s="5"/>
      <c r="C27" s="4" t="s">
        <v>87</v>
      </c>
      <c r="D27" s="6" t="s">
        <v>18</v>
      </c>
      <c r="E27" s="6" t="s">
        <v>34</v>
      </c>
      <c r="F27" s="7" t="s">
        <v>35</v>
      </c>
      <c r="G27" s="6" t="s">
        <v>34</v>
      </c>
      <c r="H27" s="8" t="s">
        <v>75</v>
      </c>
      <c r="I27" s="6" t="str">
        <f aca="false">CONCATENATE(E27, "_",H27)</f>
        <v>NLA_2023_001_QC_C_2</v>
      </c>
      <c r="J27" s="6" t="s">
        <v>52</v>
      </c>
      <c r="K27" s="6" t="s">
        <v>75</v>
      </c>
      <c r="L27" s="9" t="s">
        <v>69</v>
      </c>
      <c r="M27" s="13" t="s">
        <v>46</v>
      </c>
      <c r="N27" s="6" t="s">
        <v>70</v>
      </c>
      <c r="O27" s="6" t="s">
        <v>46</v>
      </c>
      <c r="P27" s="6" t="s">
        <v>71</v>
      </c>
      <c r="Q27" s="6" t="s">
        <v>71</v>
      </c>
      <c r="R27" s="6" t="s">
        <v>72</v>
      </c>
      <c r="S27" s="6" t="s">
        <v>73</v>
      </c>
      <c r="T27" s="6" t="s">
        <v>46</v>
      </c>
      <c r="U27" s="6" t="n">
        <v>1000</v>
      </c>
      <c r="V27" s="1" t="n">
        <v>2</v>
      </c>
      <c r="W27" s="6"/>
      <c r="X27" s="6" t="s">
        <v>74</v>
      </c>
      <c r="Y27" s="9" t="n">
        <v>5500</v>
      </c>
      <c r="Z27" s="9" t="s">
        <v>48</v>
      </c>
      <c r="AA27" s="9" t="s">
        <v>49</v>
      </c>
      <c r="AB27" s="15" t="str">
        <f aca="true" t="array" ref="AB27:AB27">LEFT(AA27,LOOKUP(2^15,FIND(".",AA27,ROW(INDIRECT("1:"&amp;LEN(AA27)))))-1)</f>
        <v>NB_2023_002 - 12012023 - 1</v>
      </c>
      <c r="AC27" s="9" t="s">
        <v>50</v>
      </c>
      <c r="AD27" s="15" t="str">
        <f aca="true" t="array" ref="AD27:AD27">LEFT(AC27,LOOKUP(2^15,FIND(".",AC27,ROW(INDIRECT("1:"&amp;LEN(AC27)))))-1)</f>
        <v>NB_2023_002 - 12012023 - 2</v>
      </c>
      <c r="AE27" s="6" t="str">
        <f aca="false">CONCATENATE(AB27, "-",H27, ".mzML")</f>
        <v>NB_2023_002 - 12012023 - 1-QC_C_2.mzML</v>
      </c>
      <c r="AF27" s="6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4" t="s">
        <v>86</v>
      </c>
      <c r="B28" s="5"/>
      <c r="C28" s="4" t="s">
        <v>87</v>
      </c>
      <c r="D28" s="6" t="s">
        <v>18</v>
      </c>
      <c r="E28" s="6" t="s">
        <v>34</v>
      </c>
      <c r="F28" s="7" t="s">
        <v>35</v>
      </c>
      <c r="G28" s="6" t="s">
        <v>34</v>
      </c>
      <c r="H28" s="8" t="s">
        <v>76</v>
      </c>
      <c r="I28" s="6" t="str">
        <f aca="false">CONCATENATE(E28, "_",H28)</f>
        <v>NLA_2023_001_QC_C_3</v>
      </c>
      <c r="J28" s="6" t="s">
        <v>52</v>
      </c>
      <c r="K28" s="6" t="s">
        <v>76</v>
      </c>
      <c r="L28" s="9" t="s">
        <v>69</v>
      </c>
      <c r="M28" s="13" t="s">
        <v>46</v>
      </c>
      <c r="N28" s="6" t="s">
        <v>70</v>
      </c>
      <c r="O28" s="6" t="s">
        <v>46</v>
      </c>
      <c r="P28" s="6" t="s">
        <v>71</v>
      </c>
      <c r="Q28" s="6" t="s">
        <v>71</v>
      </c>
      <c r="R28" s="6" t="s">
        <v>72</v>
      </c>
      <c r="S28" s="6" t="s">
        <v>73</v>
      </c>
      <c r="T28" s="6" t="s">
        <v>46</v>
      </c>
      <c r="U28" s="6" t="n">
        <v>1000</v>
      </c>
      <c r="V28" s="1" t="n">
        <v>3</v>
      </c>
      <c r="W28" s="6"/>
      <c r="X28" s="6" t="s">
        <v>74</v>
      </c>
      <c r="Y28" s="9" t="n">
        <v>5500</v>
      </c>
      <c r="Z28" s="9" t="s">
        <v>48</v>
      </c>
      <c r="AA28" s="9" t="s">
        <v>49</v>
      </c>
      <c r="AB28" s="15" t="str">
        <f aca="true" t="array" ref="AB28:AB28">LEFT(AA28,LOOKUP(2^15,FIND(".",AA28,ROW(INDIRECT("1:"&amp;LEN(AA28)))))-1)</f>
        <v>NB_2023_002 - 12012023 - 1</v>
      </c>
      <c r="AC28" s="9" t="s">
        <v>50</v>
      </c>
      <c r="AD28" s="15" t="str">
        <f aca="true" t="array" ref="AD28:AD28">LEFT(AC28,LOOKUP(2^15,FIND(".",AC28,ROW(INDIRECT("1:"&amp;LEN(AC28)))))-1)</f>
        <v>NB_2023_002 - 12012023 - 2</v>
      </c>
      <c r="AE28" s="6" t="str">
        <f aca="false">CONCATENATE(AB28, "-",H28, ".mzML")</f>
        <v>NB_2023_002 - 12012023 - 1-QC_C_3.mzML</v>
      </c>
      <c r="AF28" s="6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4" t="s">
        <v>86</v>
      </c>
      <c r="B29" s="5"/>
      <c r="C29" s="4" t="s">
        <v>87</v>
      </c>
      <c r="D29" s="6" t="s">
        <v>18</v>
      </c>
      <c r="E29" s="6" t="s">
        <v>34</v>
      </c>
      <c r="F29" s="7" t="s">
        <v>35</v>
      </c>
      <c r="G29" s="6" t="s">
        <v>34</v>
      </c>
      <c r="H29" s="8" t="s">
        <v>77</v>
      </c>
      <c r="I29" s="6" t="str">
        <f aca="false">CONCATENATE(E29, "_",H29)</f>
        <v>NLA_2023_001_QC_P_1</v>
      </c>
      <c r="J29" s="6" t="s">
        <v>52</v>
      </c>
      <c r="K29" s="6" t="s">
        <v>77</v>
      </c>
      <c r="L29" s="9" t="s">
        <v>69</v>
      </c>
      <c r="M29" s="13" t="s">
        <v>46</v>
      </c>
      <c r="N29" s="6" t="s">
        <v>78</v>
      </c>
      <c r="O29" s="6" t="s">
        <v>46</v>
      </c>
      <c r="P29" s="6" t="s">
        <v>79</v>
      </c>
      <c r="Q29" s="6" t="s">
        <v>80</v>
      </c>
      <c r="R29" s="6" t="s">
        <v>81</v>
      </c>
      <c r="S29" s="6" t="s">
        <v>46</v>
      </c>
      <c r="T29" s="6" t="s">
        <v>46</v>
      </c>
      <c r="U29" s="6" t="s">
        <v>82</v>
      </c>
      <c r="V29" s="1" t="n">
        <v>1</v>
      </c>
      <c r="W29" s="6"/>
      <c r="X29" s="6" t="s">
        <v>83</v>
      </c>
      <c r="Y29" s="9" t="n">
        <v>5500</v>
      </c>
      <c r="Z29" s="9" t="s">
        <v>48</v>
      </c>
      <c r="AA29" s="9" t="s">
        <v>49</v>
      </c>
      <c r="AB29" s="15" t="str">
        <f aca="true" t="array" ref="AB29:AB29">LEFT(AA29,LOOKUP(2^15,FIND(".",AA29,ROW(INDIRECT("1:"&amp;LEN(AA29)))))-1)</f>
        <v>NB_2023_002 - 12012023 - 1</v>
      </c>
      <c r="AC29" s="9" t="s">
        <v>50</v>
      </c>
      <c r="AD29" s="15" t="str">
        <f aca="true" t="array" ref="AD29:AD29">LEFT(AC29,LOOKUP(2^15,FIND(".",AC29,ROW(INDIRECT("1:"&amp;LEN(AC29)))))-1)</f>
        <v>NB_2023_002 - 12012023 - 2</v>
      </c>
      <c r="AE29" s="6" t="str">
        <f aca="false">CONCATENATE(AB29, "-",H29, ".mzML")</f>
        <v>NB_2023_002 - 12012023 - 1-QC_P_1.mzML</v>
      </c>
      <c r="AF29" s="6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4" t="s">
        <v>86</v>
      </c>
      <c r="B30" s="5"/>
      <c r="C30" s="4" t="s">
        <v>87</v>
      </c>
      <c r="D30" s="6" t="s">
        <v>18</v>
      </c>
      <c r="E30" s="6" t="s">
        <v>34</v>
      </c>
      <c r="F30" s="7" t="s">
        <v>35</v>
      </c>
      <c r="G30" s="6" t="s">
        <v>34</v>
      </c>
      <c r="H30" s="8" t="s">
        <v>84</v>
      </c>
      <c r="I30" s="6" t="str">
        <f aca="false">CONCATENATE(E30, "_",H30)</f>
        <v>NLA_2023_001_QC_P_2</v>
      </c>
      <c r="J30" s="6" t="s">
        <v>52</v>
      </c>
      <c r="K30" s="6" t="s">
        <v>84</v>
      </c>
      <c r="L30" s="9" t="s">
        <v>69</v>
      </c>
      <c r="M30" s="13" t="s">
        <v>46</v>
      </c>
      <c r="N30" s="6" t="s">
        <v>78</v>
      </c>
      <c r="O30" s="6" t="s">
        <v>46</v>
      </c>
      <c r="P30" s="6" t="s">
        <v>79</v>
      </c>
      <c r="Q30" s="6" t="s">
        <v>80</v>
      </c>
      <c r="R30" s="6" t="s">
        <v>81</v>
      </c>
      <c r="S30" s="6" t="s">
        <v>46</v>
      </c>
      <c r="T30" s="6" t="s">
        <v>46</v>
      </c>
      <c r="U30" s="6" t="s">
        <v>82</v>
      </c>
      <c r="V30" s="1" t="n">
        <v>2</v>
      </c>
      <c r="W30" s="6"/>
      <c r="X30" s="6" t="s">
        <v>83</v>
      </c>
      <c r="Y30" s="9" t="n">
        <v>5500</v>
      </c>
      <c r="Z30" s="9" t="s">
        <v>48</v>
      </c>
      <c r="AA30" s="9" t="s">
        <v>49</v>
      </c>
      <c r="AB30" s="15" t="str">
        <f aca="true" t="array" ref="AB30:AB30">LEFT(AA30,LOOKUP(2^15,FIND(".",AA30,ROW(INDIRECT("1:"&amp;LEN(AA30)))))-1)</f>
        <v>NB_2023_002 - 12012023 - 1</v>
      </c>
      <c r="AC30" s="9" t="s">
        <v>50</v>
      </c>
      <c r="AD30" s="15" t="str">
        <f aca="true" t="array" ref="AD30:AD30">LEFT(AC30,LOOKUP(2^15,FIND(".",AC30,ROW(INDIRECT("1:"&amp;LEN(AC30)))))-1)</f>
        <v>NB_2023_002 - 12012023 - 2</v>
      </c>
      <c r="AE30" s="6" t="str">
        <f aca="false">CONCATENATE(AB30, "-",H30, ".mzML")</f>
        <v>NB_2023_002 - 12012023 - 1-QC_P_2.mzML</v>
      </c>
      <c r="AF30" s="6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4" t="s">
        <v>86</v>
      </c>
      <c r="B31" s="5"/>
      <c r="C31" s="4" t="s">
        <v>87</v>
      </c>
      <c r="D31" s="6" t="s">
        <v>18</v>
      </c>
      <c r="E31" s="6" t="s">
        <v>34</v>
      </c>
      <c r="F31" s="7" t="s">
        <v>35</v>
      </c>
      <c r="G31" s="6" t="s">
        <v>34</v>
      </c>
      <c r="H31" s="8" t="s">
        <v>85</v>
      </c>
      <c r="I31" s="6" t="str">
        <f aca="false">CONCATENATE(E31, "_",H31)</f>
        <v>NLA_2023_001_QC_P_3</v>
      </c>
      <c r="J31" s="6" t="s">
        <v>52</v>
      </c>
      <c r="K31" s="6" t="s">
        <v>85</v>
      </c>
      <c r="L31" s="9" t="s">
        <v>69</v>
      </c>
      <c r="M31" s="13" t="s">
        <v>46</v>
      </c>
      <c r="N31" s="6" t="s">
        <v>78</v>
      </c>
      <c r="O31" s="6" t="s">
        <v>46</v>
      </c>
      <c r="P31" s="6" t="s">
        <v>79</v>
      </c>
      <c r="Q31" s="6" t="s">
        <v>80</v>
      </c>
      <c r="R31" s="6" t="s">
        <v>81</v>
      </c>
      <c r="S31" s="6" t="s">
        <v>46</v>
      </c>
      <c r="T31" s="6" t="s">
        <v>46</v>
      </c>
      <c r="U31" s="6" t="s">
        <v>82</v>
      </c>
      <c r="V31" s="1" t="n">
        <v>3</v>
      </c>
      <c r="W31" s="6"/>
      <c r="X31" s="6" t="s">
        <v>83</v>
      </c>
      <c r="Y31" s="9" t="n">
        <v>5500</v>
      </c>
      <c r="Z31" s="9" t="s">
        <v>48</v>
      </c>
      <c r="AA31" s="9" t="s">
        <v>49</v>
      </c>
      <c r="AB31" s="15" t="str">
        <f aca="true" t="array" ref="AB31:AB31">LEFT(AA31,LOOKUP(2^15,FIND(".",AA31,ROW(INDIRECT("1:"&amp;LEN(AA31)))))-1)</f>
        <v>NB_2023_002 - 12012023 - 1</v>
      </c>
      <c r="AC31" s="9" t="s">
        <v>50</v>
      </c>
      <c r="AD31" s="15" t="str">
        <f aca="true" t="array" ref="AD31:AD31">LEFT(AC31,LOOKUP(2^15,FIND(".",AC31,ROW(INDIRECT("1:"&amp;LEN(AC31)))))-1)</f>
        <v>NB_2023_002 - 12012023 - 2</v>
      </c>
      <c r="AE31" s="6" t="str">
        <f aca="false">CONCATENATE(AB31, "-",H31, ".mzML")</f>
        <v>NB_2023_002 - 12012023 - 1-QC_P_3.mzML</v>
      </c>
      <c r="AF31" s="6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4" t="s">
        <v>95</v>
      </c>
      <c r="B32" s="5"/>
      <c r="C32" s="4" t="s">
        <v>96</v>
      </c>
      <c r="D32" s="6" t="s">
        <v>14</v>
      </c>
      <c r="E32" s="6" t="s">
        <v>34</v>
      </c>
      <c r="F32" s="7" t="s">
        <v>35</v>
      </c>
      <c r="G32" s="6" t="s">
        <v>36</v>
      </c>
      <c r="H32" s="8" t="s">
        <v>88</v>
      </c>
      <c r="I32" s="6" t="str">
        <f aca="false">CONCATENATE(E32, "_",H32)</f>
        <v>NLA_2023_001_002</v>
      </c>
      <c r="J32" s="6" t="s">
        <v>38</v>
      </c>
      <c r="K32" s="6" t="s">
        <v>89</v>
      </c>
      <c r="L32" s="12" t="n">
        <v>359.6</v>
      </c>
      <c r="M32" s="13" t="s">
        <v>40</v>
      </c>
      <c r="N32" s="6" t="s">
        <v>41</v>
      </c>
      <c r="O32" s="14" t="s">
        <v>42</v>
      </c>
      <c r="P32" s="14" t="s">
        <v>43</v>
      </c>
      <c r="Q32" s="14" t="s">
        <v>43</v>
      </c>
      <c r="R32" s="6" t="s">
        <v>44</v>
      </c>
      <c r="S32" s="14" t="s">
        <v>90</v>
      </c>
      <c r="T32" s="6" t="s">
        <v>46</v>
      </c>
      <c r="U32" s="6" t="n">
        <v>1000</v>
      </c>
      <c r="V32" s="1" t="n">
        <v>1</v>
      </c>
      <c r="W32" s="6"/>
      <c r="X32" s="9" t="s">
        <v>47</v>
      </c>
      <c r="Y32" s="9" t="n">
        <v>5500</v>
      </c>
      <c r="Z32" s="9" t="s">
        <v>48</v>
      </c>
      <c r="AA32" s="9" t="s">
        <v>49</v>
      </c>
      <c r="AB32" s="15" t="str">
        <f aca="true" t="array" ref="AB32:AB32">LEFT(AA32,LOOKUP(2^15,FIND(".",AA32,ROW(INDIRECT("1:"&amp;LEN(AA32)))))-1)</f>
        <v>NB_2023_002 - 12012023 - 1</v>
      </c>
      <c r="AC32" s="9" t="s">
        <v>50</v>
      </c>
      <c r="AD32" s="15" t="str">
        <f aca="true" t="array" ref="AD32:AD32">LEFT(AC32,LOOKUP(2^15,FIND(".",AC32,ROW(INDIRECT("1:"&amp;LEN(AC32)))))-1)</f>
        <v>NB_2023_002 - 12012023 - 2</v>
      </c>
      <c r="AE32" s="6" t="str">
        <f aca="false">CONCATENATE(AB32, "-",H32, ".mzML")</f>
        <v>NB_2023_002 - 12012023 - 1-002.mzML</v>
      </c>
      <c r="AF32" s="6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4" t="s">
        <v>95</v>
      </c>
      <c r="B33" s="5"/>
      <c r="C33" s="4" t="s">
        <v>96</v>
      </c>
      <c r="D33" s="6" t="s">
        <v>14</v>
      </c>
      <c r="E33" s="6" t="s">
        <v>34</v>
      </c>
      <c r="F33" s="7" t="s">
        <v>35</v>
      </c>
      <c r="G33" s="6" t="s">
        <v>36</v>
      </c>
      <c r="H33" s="8" t="s">
        <v>97</v>
      </c>
      <c r="I33" s="6" t="str">
        <f aca="false">CONCATENATE(E33, "_",H33)</f>
        <v>NLA_2023_001_003</v>
      </c>
      <c r="J33" s="6" t="s">
        <v>52</v>
      </c>
      <c r="K33" s="6" t="s">
        <v>98</v>
      </c>
      <c r="L33" s="12" t="n">
        <v>268.8</v>
      </c>
      <c r="M33" s="13" t="s">
        <v>40</v>
      </c>
      <c r="N33" s="6" t="s">
        <v>41</v>
      </c>
      <c r="O33" s="14" t="s">
        <v>54</v>
      </c>
      <c r="P33" s="14" t="s">
        <v>43</v>
      </c>
      <c r="Q33" s="14" t="s">
        <v>55</v>
      </c>
      <c r="R33" s="6" t="s">
        <v>44</v>
      </c>
      <c r="S33" s="14" t="s">
        <v>90</v>
      </c>
      <c r="T33" s="6" t="s">
        <v>46</v>
      </c>
      <c r="U33" s="6" t="n">
        <v>1000</v>
      </c>
      <c r="V33" s="1" t="n">
        <v>1</v>
      </c>
      <c r="W33" s="6"/>
      <c r="X33" s="9" t="s">
        <v>47</v>
      </c>
      <c r="Y33" s="9" t="n">
        <v>5500</v>
      </c>
      <c r="Z33" s="9" t="s">
        <v>48</v>
      </c>
      <c r="AA33" s="9" t="s">
        <v>49</v>
      </c>
      <c r="AB33" s="15" t="str">
        <f aca="true" t="array" ref="AB33:AB33">LEFT(AA33,LOOKUP(2^15,FIND(".",AA33,ROW(INDIRECT("1:"&amp;LEN(AA33)))))-1)</f>
        <v>NB_2023_002 - 12012023 - 1</v>
      </c>
      <c r="AC33" s="9" t="s">
        <v>50</v>
      </c>
      <c r="AD33" s="15" t="str">
        <f aca="true" t="array" ref="AD33:AD33">LEFT(AC33,LOOKUP(2^15,FIND(".",AC33,ROW(INDIRECT("1:"&amp;LEN(AC33)))))-1)</f>
        <v>NB_2023_002 - 12012023 - 2</v>
      </c>
      <c r="AE33" s="6" t="str">
        <f aca="false">CONCATENATE(AB33, "-",H33, ".mzML")</f>
        <v>NB_2023_002 - 12012023 - 1-003.mzML</v>
      </c>
      <c r="AF33" s="6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4" t="s">
        <v>95</v>
      </c>
      <c r="B34" s="5"/>
      <c r="C34" s="4" t="s">
        <v>96</v>
      </c>
      <c r="D34" s="6" t="s">
        <v>14</v>
      </c>
      <c r="E34" s="6" t="s">
        <v>34</v>
      </c>
      <c r="F34" s="7" t="s">
        <v>35</v>
      </c>
      <c r="G34" s="6" t="s">
        <v>36</v>
      </c>
      <c r="H34" s="8" t="s">
        <v>99</v>
      </c>
      <c r="I34" s="6" t="str">
        <f aca="false">CONCATENATE(E34, "_",H34)</f>
        <v>NLA_2023_001_004</v>
      </c>
      <c r="J34" s="6" t="s">
        <v>52</v>
      </c>
      <c r="K34" s="6" t="s">
        <v>100</v>
      </c>
      <c r="L34" s="12" t="n">
        <v>211.7</v>
      </c>
      <c r="M34" s="13" t="s">
        <v>40</v>
      </c>
      <c r="N34" s="6" t="s">
        <v>41</v>
      </c>
      <c r="O34" s="14" t="s">
        <v>54</v>
      </c>
      <c r="P34" s="14" t="s">
        <v>43</v>
      </c>
      <c r="Q34" s="14" t="s">
        <v>55</v>
      </c>
      <c r="R34" s="6" t="s">
        <v>44</v>
      </c>
      <c r="S34" s="14" t="s">
        <v>90</v>
      </c>
      <c r="T34" s="6" t="s">
        <v>46</v>
      </c>
      <c r="U34" s="6" t="n">
        <v>1000</v>
      </c>
      <c r="V34" s="1" t="n">
        <v>1</v>
      </c>
      <c r="W34" s="6"/>
      <c r="X34" s="9" t="s">
        <v>47</v>
      </c>
      <c r="Y34" s="9" t="n">
        <v>5500</v>
      </c>
      <c r="Z34" s="9" t="s">
        <v>48</v>
      </c>
      <c r="AA34" s="9" t="s">
        <v>49</v>
      </c>
      <c r="AB34" s="15" t="str">
        <f aca="true" t="array" ref="AB34:AB34">LEFT(AA34,LOOKUP(2^15,FIND(".",AA34,ROW(INDIRECT("1:"&amp;LEN(AA34)))))-1)</f>
        <v>NB_2023_002 - 12012023 - 1</v>
      </c>
      <c r="AC34" s="9" t="s">
        <v>50</v>
      </c>
      <c r="AD34" s="15" t="str">
        <f aca="true" t="array" ref="AD34:AD34">LEFT(AC34,LOOKUP(2^15,FIND(".",AC34,ROW(INDIRECT("1:"&amp;LEN(AC34)))))-1)</f>
        <v>NB_2023_002 - 12012023 - 2</v>
      </c>
      <c r="AE34" s="6" t="str">
        <f aca="false">CONCATENATE(AB34, "-",H34, ".mzML")</f>
        <v>NB_2023_002 - 12012023 - 1-004.mzML</v>
      </c>
      <c r="AF34" s="6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4" t="s">
        <v>95</v>
      </c>
      <c r="B35" s="5"/>
      <c r="C35" s="4" t="s">
        <v>96</v>
      </c>
      <c r="D35" s="6" t="s">
        <v>14</v>
      </c>
      <c r="E35" s="6" t="s">
        <v>34</v>
      </c>
      <c r="F35" s="7" t="s">
        <v>35</v>
      </c>
      <c r="G35" s="6" t="s">
        <v>36</v>
      </c>
      <c r="H35" s="8" t="s">
        <v>91</v>
      </c>
      <c r="I35" s="6" t="str">
        <f aca="false">CONCATENATE(E35, "_",H35)</f>
        <v>NLA_2023_001_005</v>
      </c>
      <c r="J35" s="6" t="s">
        <v>38</v>
      </c>
      <c r="K35" s="6" t="s">
        <v>92</v>
      </c>
      <c r="L35" s="12" t="n">
        <v>228.8</v>
      </c>
      <c r="M35" s="13" t="s">
        <v>40</v>
      </c>
      <c r="N35" s="6" t="s">
        <v>41</v>
      </c>
      <c r="O35" s="14" t="s">
        <v>42</v>
      </c>
      <c r="P35" s="14" t="s">
        <v>43</v>
      </c>
      <c r="Q35" s="14" t="s">
        <v>43</v>
      </c>
      <c r="R35" s="6" t="s">
        <v>44</v>
      </c>
      <c r="S35" s="14" t="s">
        <v>90</v>
      </c>
      <c r="T35" s="6" t="s">
        <v>46</v>
      </c>
      <c r="U35" s="6" t="n">
        <v>1000</v>
      </c>
      <c r="V35" s="1" t="n">
        <v>1</v>
      </c>
      <c r="W35" s="6"/>
      <c r="X35" s="9" t="s">
        <v>47</v>
      </c>
      <c r="Y35" s="9" t="n">
        <v>5500</v>
      </c>
      <c r="Z35" s="9" t="s">
        <v>48</v>
      </c>
      <c r="AA35" s="9" t="s">
        <v>49</v>
      </c>
      <c r="AB35" s="15" t="str">
        <f aca="true" t="array" ref="AB35:AB35">LEFT(AA35,LOOKUP(2^15,FIND(".",AA35,ROW(INDIRECT("1:"&amp;LEN(AA35)))))-1)</f>
        <v>NB_2023_002 - 12012023 - 1</v>
      </c>
      <c r="AC35" s="9" t="s">
        <v>50</v>
      </c>
      <c r="AD35" s="15" t="str">
        <f aca="true" t="array" ref="AD35:AD35">LEFT(AC35,LOOKUP(2^15,FIND(".",AC35,ROW(INDIRECT("1:"&amp;LEN(AC35)))))-1)</f>
        <v>NB_2023_002 - 12012023 - 2</v>
      </c>
      <c r="AE35" s="6" t="str">
        <f aca="false">CONCATENATE(AB35, "-",H35, ".mzML")</f>
        <v>NB_2023_002 - 12012023 - 1-005.mzML</v>
      </c>
      <c r="AF35" s="6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4" t="s">
        <v>95</v>
      </c>
      <c r="B36" s="5"/>
      <c r="C36" s="4" t="s">
        <v>96</v>
      </c>
      <c r="D36" s="6" t="s">
        <v>14</v>
      </c>
      <c r="E36" s="6" t="s">
        <v>34</v>
      </c>
      <c r="F36" s="7" t="s">
        <v>35</v>
      </c>
      <c r="G36" s="6" t="s">
        <v>36</v>
      </c>
      <c r="H36" s="8" t="s">
        <v>101</v>
      </c>
      <c r="I36" s="6" t="str">
        <f aca="false">CONCATENATE(E36, "_",H36)</f>
        <v>NLA_2023_001_006</v>
      </c>
      <c r="J36" s="6" t="s">
        <v>52</v>
      </c>
      <c r="K36" s="6" t="s">
        <v>102</v>
      </c>
      <c r="L36" s="12" t="n">
        <v>185.7</v>
      </c>
      <c r="M36" s="13" t="s">
        <v>40</v>
      </c>
      <c r="N36" s="6" t="s">
        <v>41</v>
      </c>
      <c r="O36" s="14" t="s">
        <v>54</v>
      </c>
      <c r="P36" s="14" t="s">
        <v>43</v>
      </c>
      <c r="Q36" s="14" t="s">
        <v>55</v>
      </c>
      <c r="R36" s="6" t="s">
        <v>44</v>
      </c>
      <c r="S36" s="14" t="s">
        <v>90</v>
      </c>
      <c r="T36" s="6" t="s">
        <v>46</v>
      </c>
      <c r="U36" s="6" t="n">
        <v>1000</v>
      </c>
      <c r="V36" s="1" t="n">
        <v>1</v>
      </c>
      <c r="W36" s="6"/>
      <c r="X36" s="9" t="s">
        <v>47</v>
      </c>
      <c r="Y36" s="9" t="n">
        <v>5500</v>
      </c>
      <c r="Z36" s="9" t="s">
        <v>48</v>
      </c>
      <c r="AA36" s="9" t="s">
        <v>49</v>
      </c>
      <c r="AB36" s="15" t="str">
        <f aca="true" t="array" ref="AB36:AB36">LEFT(AA36,LOOKUP(2^15,FIND(".",AA36,ROW(INDIRECT("1:"&amp;LEN(AA36)))))-1)</f>
        <v>NB_2023_002 - 12012023 - 1</v>
      </c>
      <c r="AC36" s="9" t="s">
        <v>50</v>
      </c>
      <c r="AD36" s="15" t="str">
        <f aca="true" t="array" ref="AD36:AD36">LEFT(AC36,LOOKUP(2^15,FIND(".",AC36,ROW(INDIRECT("1:"&amp;LEN(AC36)))))-1)</f>
        <v>NB_2023_002 - 12012023 - 2</v>
      </c>
      <c r="AE36" s="6" t="str">
        <f aca="false">CONCATENATE(AB36, "-",H36, ".mzML")</f>
        <v>NB_2023_002 - 12012023 - 1-006.mzML</v>
      </c>
      <c r="AF36" s="6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4" t="s">
        <v>95</v>
      </c>
      <c r="B37" s="5"/>
      <c r="C37" s="4" t="s">
        <v>96</v>
      </c>
      <c r="D37" s="6" t="s">
        <v>14</v>
      </c>
      <c r="E37" s="6" t="s">
        <v>34</v>
      </c>
      <c r="F37" s="7" t="s">
        <v>35</v>
      </c>
      <c r="G37" s="6" t="s">
        <v>36</v>
      </c>
      <c r="H37" s="8" t="s">
        <v>93</v>
      </c>
      <c r="I37" s="6" t="str">
        <f aca="false">CONCATENATE(E37, "_",H37)</f>
        <v>NLA_2023_001_018</v>
      </c>
      <c r="J37" s="6" t="s">
        <v>38</v>
      </c>
      <c r="K37" s="6" t="s">
        <v>94</v>
      </c>
      <c r="L37" s="12" t="n">
        <v>217</v>
      </c>
      <c r="M37" s="13" t="s">
        <v>40</v>
      </c>
      <c r="N37" s="6" t="s">
        <v>41</v>
      </c>
      <c r="O37" s="14" t="s">
        <v>42</v>
      </c>
      <c r="P37" s="14" t="s">
        <v>43</v>
      </c>
      <c r="Q37" s="14" t="s">
        <v>43</v>
      </c>
      <c r="R37" s="6" t="s">
        <v>44</v>
      </c>
      <c r="S37" s="14" t="s">
        <v>90</v>
      </c>
      <c r="T37" s="6" t="s">
        <v>46</v>
      </c>
      <c r="U37" s="6" t="n">
        <v>1000</v>
      </c>
      <c r="V37" s="1" t="n">
        <v>1</v>
      </c>
      <c r="W37" s="6"/>
      <c r="X37" s="9" t="s">
        <v>47</v>
      </c>
      <c r="Y37" s="9" t="n">
        <v>5500</v>
      </c>
      <c r="Z37" s="9" t="s">
        <v>48</v>
      </c>
      <c r="AA37" s="9" t="s">
        <v>49</v>
      </c>
      <c r="AB37" s="15" t="str">
        <f aca="true" t="array" ref="AB37:AB37">LEFT(AA37,LOOKUP(2^15,FIND(".",AA37,ROW(INDIRECT("1:"&amp;LEN(AA37)))))-1)</f>
        <v>NB_2023_002 - 12012023 - 1</v>
      </c>
      <c r="AC37" s="9" t="s">
        <v>50</v>
      </c>
      <c r="AD37" s="15" t="str">
        <f aca="true" t="array" ref="AD37:AD37">LEFT(AC37,LOOKUP(2^15,FIND(".",AC37,ROW(INDIRECT("1:"&amp;LEN(AC37)))))-1)</f>
        <v>NB_2023_002 - 12012023 - 2</v>
      </c>
      <c r="AE37" s="6" t="str">
        <f aca="false">CONCATENATE(AB37, "-",H37, ".mzML")</f>
        <v>NB_2023_002 - 12012023 - 1-018.mzML</v>
      </c>
      <c r="AF37" s="6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4" t="s">
        <v>95</v>
      </c>
      <c r="B38" s="5"/>
      <c r="C38" s="4" t="s">
        <v>96</v>
      </c>
      <c r="D38" s="6" t="s">
        <v>14</v>
      </c>
      <c r="E38" s="6" t="s">
        <v>34</v>
      </c>
      <c r="F38" s="7" t="s">
        <v>35</v>
      </c>
      <c r="G38" s="6" t="s">
        <v>34</v>
      </c>
      <c r="H38" s="8" t="s">
        <v>64</v>
      </c>
      <c r="I38" s="6" t="str">
        <f aca="false">CONCATENATE(E38, "_",H38)</f>
        <v>NLA_2023_001_Blank_1</v>
      </c>
      <c r="J38" s="6" t="s">
        <v>52</v>
      </c>
      <c r="K38" s="6" t="s">
        <v>64</v>
      </c>
      <c r="L38" s="9" t="s">
        <v>46</v>
      </c>
      <c r="M38" s="13" t="s">
        <v>46</v>
      </c>
      <c r="N38" s="6" t="s">
        <v>65</v>
      </c>
      <c r="O38" s="6" t="s">
        <v>46</v>
      </c>
      <c r="P38" s="6" t="s">
        <v>46</v>
      </c>
      <c r="Q38" s="6" t="s">
        <v>46</v>
      </c>
      <c r="R38" s="6" t="s">
        <v>46</v>
      </c>
      <c r="S38" s="6" t="s">
        <v>46</v>
      </c>
      <c r="T38" s="6" t="s">
        <v>46</v>
      </c>
      <c r="U38" s="6" t="s">
        <v>46</v>
      </c>
      <c r="V38" s="1" t="n">
        <v>1</v>
      </c>
      <c r="W38" s="6"/>
      <c r="X38" s="9" t="s">
        <v>46</v>
      </c>
      <c r="Y38" s="9" t="n">
        <v>5500</v>
      </c>
      <c r="Z38" s="9" t="s">
        <v>48</v>
      </c>
      <c r="AA38" s="9" t="s">
        <v>49</v>
      </c>
      <c r="AB38" s="15" t="str">
        <f aca="true" t="array" ref="AB38:AB38">LEFT(AA38,LOOKUP(2^15,FIND(".",AA38,ROW(INDIRECT("1:"&amp;LEN(AA38)))))-1)</f>
        <v>NB_2023_002 - 12012023 - 1</v>
      </c>
      <c r="AC38" s="9" t="s">
        <v>50</v>
      </c>
      <c r="AD38" s="15" t="str">
        <f aca="true" t="array" ref="AD38:AD38">LEFT(AC38,LOOKUP(2^15,FIND(".",AC38,ROW(INDIRECT("1:"&amp;LEN(AC38)))))-1)</f>
        <v>NB_2023_002 - 12012023 - 2</v>
      </c>
      <c r="AE38" s="6" t="str">
        <f aca="false">CONCATENATE(AB38, "-",H38, ".mzML")</f>
        <v>NB_2023_002 - 12012023 - 1-Blank_1.mzML</v>
      </c>
      <c r="AF38" s="6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4" t="s">
        <v>95</v>
      </c>
      <c r="B39" s="5"/>
      <c r="C39" s="4" t="s">
        <v>96</v>
      </c>
      <c r="D39" s="6" t="s">
        <v>14</v>
      </c>
      <c r="E39" s="6" t="s">
        <v>34</v>
      </c>
      <c r="F39" s="7" t="s">
        <v>35</v>
      </c>
      <c r="G39" s="6" t="s">
        <v>34</v>
      </c>
      <c r="H39" s="8" t="s">
        <v>66</v>
      </c>
      <c r="I39" s="6" t="str">
        <f aca="false">CONCATENATE(E39, "_",H39)</f>
        <v>NLA_2023_001_Blank_2</v>
      </c>
      <c r="J39" s="6" t="s">
        <v>52</v>
      </c>
      <c r="K39" s="6" t="s">
        <v>66</v>
      </c>
      <c r="L39" s="9" t="s">
        <v>46</v>
      </c>
      <c r="M39" s="13" t="s">
        <v>46</v>
      </c>
      <c r="N39" s="6" t="s">
        <v>65</v>
      </c>
      <c r="O39" s="6" t="s">
        <v>46</v>
      </c>
      <c r="P39" s="6" t="s">
        <v>46</v>
      </c>
      <c r="Q39" s="6" t="s">
        <v>46</v>
      </c>
      <c r="R39" s="6" t="s">
        <v>46</v>
      </c>
      <c r="S39" s="6" t="s">
        <v>46</v>
      </c>
      <c r="T39" s="6" t="s">
        <v>46</v>
      </c>
      <c r="U39" s="6" t="s">
        <v>46</v>
      </c>
      <c r="V39" s="1" t="n">
        <v>2</v>
      </c>
      <c r="W39" s="6"/>
      <c r="X39" s="9" t="s">
        <v>46</v>
      </c>
      <c r="Y39" s="9" t="n">
        <v>5500</v>
      </c>
      <c r="Z39" s="9" t="s">
        <v>48</v>
      </c>
      <c r="AA39" s="9" t="s">
        <v>49</v>
      </c>
      <c r="AB39" s="15" t="str">
        <f aca="true" t="array" ref="AB39:AB39">LEFT(AA39,LOOKUP(2^15,FIND(".",AA39,ROW(INDIRECT("1:"&amp;LEN(AA39)))))-1)</f>
        <v>NB_2023_002 - 12012023 - 1</v>
      </c>
      <c r="AC39" s="9" t="s">
        <v>50</v>
      </c>
      <c r="AD39" s="15" t="str">
        <f aca="true" t="array" ref="AD39:AD39">LEFT(AC39,LOOKUP(2^15,FIND(".",AC39,ROW(INDIRECT("1:"&amp;LEN(AC39)))))-1)</f>
        <v>NB_2023_002 - 12012023 - 2</v>
      </c>
      <c r="AE39" s="6" t="str">
        <f aca="false">CONCATENATE(AB39, "-",H39, ".mzML")</f>
        <v>NB_2023_002 - 12012023 - 1-Blank_2.mzML</v>
      </c>
      <c r="AF39" s="6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4" t="s">
        <v>95</v>
      </c>
      <c r="B40" s="5"/>
      <c r="C40" s="4" t="s">
        <v>96</v>
      </c>
      <c r="D40" s="6" t="s">
        <v>14</v>
      </c>
      <c r="E40" s="6" t="s">
        <v>34</v>
      </c>
      <c r="F40" s="7" t="s">
        <v>35</v>
      </c>
      <c r="G40" s="6" t="s">
        <v>34</v>
      </c>
      <c r="H40" s="8" t="s">
        <v>67</v>
      </c>
      <c r="I40" s="6" t="str">
        <f aca="false">CONCATENATE(E40, "_",H40)</f>
        <v>NLA_2023_001_Blank_3</v>
      </c>
      <c r="J40" s="6" t="s">
        <v>52</v>
      </c>
      <c r="K40" s="6" t="s">
        <v>67</v>
      </c>
      <c r="L40" s="9" t="s">
        <v>46</v>
      </c>
      <c r="M40" s="13" t="s">
        <v>46</v>
      </c>
      <c r="N40" s="6" t="s">
        <v>65</v>
      </c>
      <c r="O40" s="6" t="s">
        <v>46</v>
      </c>
      <c r="P40" s="6" t="s">
        <v>46</v>
      </c>
      <c r="Q40" s="6" t="s">
        <v>46</v>
      </c>
      <c r="R40" s="6" t="s">
        <v>46</v>
      </c>
      <c r="S40" s="6" t="s">
        <v>46</v>
      </c>
      <c r="T40" s="6" t="s">
        <v>46</v>
      </c>
      <c r="U40" s="6" t="s">
        <v>46</v>
      </c>
      <c r="V40" s="1" t="n">
        <v>3</v>
      </c>
      <c r="W40" s="6"/>
      <c r="X40" s="9" t="s">
        <v>46</v>
      </c>
      <c r="Y40" s="9" t="n">
        <v>5500</v>
      </c>
      <c r="Z40" s="9" t="s">
        <v>48</v>
      </c>
      <c r="AA40" s="9" t="s">
        <v>49</v>
      </c>
      <c r="AB40" s="15" t="str">
        <f aca="true" t="array" ref="AB40:AB40">LEFT(AA40,LOOKUP(2^15,FIND(".",AA40,ROW(INDIRECT("1:"&amp;LEN(AA40)))))-1)</f>
        <v>NB_2023_002 - 12012023 - 1</v>
      </c>
      <c r="AC40" s="9" t="s">
        <v>50</v>
      </c>
      <c r="AD40" s="15" t="str">
        <f aca="true" t="array" ref="AD40:AD40">LEFT(AC40,LOOKUP(2^15,FIND(".",AC40,ROW(INDIRECT("1:"&amp;LEN(AC40)))))-1)</f>
        <v>NB_2023_002 - 12012023 - 2</v>
      </c>
      <c r="AE40" s="6" t="str">
        <f aca="false">CONCATENATE(AB40, "-",H40, ".mzML")</f>
        <v>NB_2023_002 - 12012023 - 1-Blank_3.mzML</v>
      </c>
      <c r="AF40" s="6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4" t="s">
        <v>95</v>
      </c>
      <c r="B41" s="5"/>
      <c r="C41" s="4" t="s">
        <v>96</v>
      </c>
      <c r="D41" s="6" t="s">
        <v>14</v>
      </c>
      <c r="E41" s="6" t="s">
        <v>34</v>
      </c>
      <c r="F41" s="7" t="s">
        <v>35</v>
      </c>
      <c r="G41" s="6" t="s">
        <v>34</v>
      </c>
      <c r="H41" s="8" t="s">
        <v>68</v>
      </c>
      <c r="I41" s="6" t="str">
        <f aca="false">CONCATENATE(E41, "_",H41)</f>
        <v>NLA_2023_001_QC_C_1</v>
      </c>
      <c r="J41" s="6" t="s">
        <v>52</v>
      </c>
      <c r="K41" s="6" t="s">
        <v>68</v>
      </c>
      <c r="L41" s="9" t="s">
        <v>69</v>
      </c>
      <c r="M41" s="13" t="s">
        <v>46</v>
      </c>
      <c r="N41" s="6" t="s">
        <v>70</v>
      </c>
      <c r="O41" s="6" t="s">
        <v>46</v>
      </c>
      <c r="P41" s="6" t="s">
        <v>71</v>
      </c>
      <c r="Q41" s="6" t="s">
        <v>71</v>
      </c>
      <c r="R41" s="6" t="s">
        <v>72</v>
      </c>
      <c r="S41" s="6" t="s">
        <v>73</v>
      </c>
      <c r="T41" s="6" t="s">
        <v>46</v>
      </c>
      <c r="U41" s="6" t="n">
        <v>1000</v>
      </c>
      <c r="V41" s="1" t="n">
        <v>1</v>
      </c>
      <c r="W41" s="6"/>
      <c r="X41" s="6" t="s">
        <v>74</v>
      </c>
      <c r="Y41" s="9" t="n">
        <v>5500</v>
      </c>
      <c r="Z41" s="9" t="s">
        <v>48</v>
      </c>
      <c r="AA41" s="9" t="s">
        <v>49</v>
      </c>
      <c r="AB41" s="15" t="str">
        <f aca="true" t="array" ref="AB41:AB41">LEFT(AA41,LOOKUP(2^15,FIND(".",AA41,ROW(INDIRECT("1:"&amp;LEN(AA41)))))-1)</f>
        <v>NB_2023_002 - 12012023 - 1</v>
      </c>
      <c r="AC41" s="9" t="s">
        <v>50</v>
      </c>
      <c r="AD41" s="15" t="str">
        <f aca="true" t="array" ref="AD41:AD41">LEFT(AC41,LOOKUP(2^15,FIND(".",AC41,ROW(INDIRECT("1:"&amp;LEN(AC41)))))-1)</f>
        <v>NB_2023_002 - 12012023 - 2</v>
      </c>
      <c r="AE41" s="6" t="str">
        <f aca="false">CONCATENATE(AB41, "-",H41, ".mzML")</f>
        <v>NB_2023_002 - 12012023 - 1-QC_C_1.mzML</v>
      </c>
      <c r="AF41" s="6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4" t="s">
        <v>95</v>
      </c>
      <c r="B42" s="5"/>
      <c r="C42" s="4" t="s">
        <v>96</v>
      </c>
      <c r="D42" s="6" t="s">
        <v>14</v>
      </c>
      <c r="E42" s="6" t="s">
        <v>34</v>
      </c>
      <c r="F42" s="7" t="s">
        <v>35</v>
      </c>
      <c r="G42" s="6" t="s">
        <v>34</v>
      </c>
      <c r="H42" s="8" t="s">
        <v>75</v>
      </c>
      <c r="I42" s="6" t="str">
        <f aca="false">CONCATENATE(E42, "_",H42)</f>
        <v>NLA_2023_001_QC_C_2</v>
      </c>
      <c r="J42" s="6" t="s">
        <v>52</v>
      </c>
      <c r="K42" s="6" t="s">
        <v>75</v>
      </c>
      <c r="L42" s="9" t="s">
        <v>69</v>
      </c>
      <c r="M42" s="13" t="s">
        <v>46</v>
      </c>
      <c r="N42" s="6" t="s">
        <v>70</v>
      </c>
      <c r="O42" s="6" t="s">
        <v>46</v>
      </c>
      <c r="P42" s="6" t="s">
        <v>71</v>
      </c>
      <c r="Q42" s="6" t="s">
        <v>71</v>
      </c>
      <c r="R42" s="6" t="s">
        <v>72</v>
      </c>
      <c r="S42" s="6" t="s">
        <v>73</v>
      </c>
      <c r="T42" s="6" t="s">
        <v>46</v>
      </c>
      <c r="U42" s="6" t="n">
        <v>1000</v>
      </c>
      <c r="V42" s="1" t="n">
        <v>2</v>
      </c>
      <c r="W42" s="6"/>
      <c r="X42" s="6" t="s">
        <v>74</v>
      </c>
      <c r="Y42" s="9" t="n">
        <v>5500</v>
      </c>
      <c r="Z42" s="9" t="s">
        <v>48</v>
      </c>
      <c r="AA42" s="9" t="s">
        <v>49</v>
      </c>
      <c r="AB42" s="15" t="str">
        <f aca="true" t="array" ref="AB42:AB42">LEFT(AA42,LOOKUP(2^15,FIND(".",AA42,ROW(INDIRECT("1:"&amp;LEN(AA42)))))-1)</f>
        <v>NB_2023_002 - 12012023 - 1</v>
      </c>
      <c r="AC42" s="9" t="s">
        <v>50</v>
      </c>
      <c r="AD42" s="15" t="str">
        <f aca="true" t="array" ref="AD42:AD42">LEFT(AC42,LOOKUP(2^15,FIND(".",AC42,ROW(INDIRECT("1:"&amp;LEN(AC42)))))-1)</f>
        <v>NB_2023_002 - 12012023 - 2</v>
      </c>
      <c r="AE42" s="6" t="str">
        <f aca="false">CONCATENATE(AB42, "-",H42, ".mzML")</f>
        <v>NB_2023_002 - 12012023 - 1-QC_C_2.mzML</v>
      </c>
      <c r="AF42" s="6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4" t="s">
        <v>95</v>
      </c>
      <c r="B43" s="5"/>
      <c r="C43" s="4" t="s">
        <v>96</v>
      </c>
      <c r="D43" s="6" t="s">
        <v>14</v>
      </c>
      <c r="E43" s="6" t="s">
        <v>34</v>
      </c>
      <c r="F43" s="7" t="s">
        <v>35</v>
      </c>
      <c r="G43" s="6" t="s">
        <v>34</v>
      </c>
      <c r="H43" s="8" t="s">
        <v>76</v>
      </c>
      <c r="I43" s="6" t="str">
        <f aca="false">CONCATENATE(E43, "_",H43)</f>
        <v>NLA_2023_001_QC_C_3</v>
      </c>
      <c r="J43" s="6" t="s">
        <v>52</v>
      </c>
      <c r="K43" s="6" t="s">
        <v>76</v>
      </c>
      <c r="L43" s="9" t="s">
        <v>69</v>
      </c>
      <c r="M43" s="13" t="s">
        <v>46</v>
      </c>
      <c r="N43" s="6" t="s">
        <v>70</v>
      </c>
      <c r="O43" s="6" t="s">
        <v>46</v>
      </c>
      <c r="P43" s="6" t="s">
        <v>71</v>
      </c>
      <c r="Q43" s="6" t="s">
        <v>71</v>
      </c>
      <c r="R43" s="6" t="s">
        <v>72</v>
      </c>
      <c r="S43" s="6" t="s">
        <v>73</v>
      </c>
      <c r="T43" s="6" t="s">
        <v>46</v>
      </c>
      <c r="U43" s="6" t="n">
        <v>1000</v>
      </c>
      <c r="V43" s="1" t="n">
        <v>3</v>
      </c>
      <c r="W43" s="6"/>
      <c r="X43" s="6" t="s">
        <v>74</v>
      </c>
      <c r="Y43" s="9" t="n">
        <v>5500</v>
      </c>
      <c r="Z43" s="9" t="s">
        <v>48</v>
      </c>
      <c r="AA43" s="9" t="s">
        <v>49</v>
      </c>
      <c r="AB43" s="15" t="str">
        <f aca="true" t="array" ref="AB43:AB43">LEFT(AA43,LOOKUP(2^15,FIND(".",AA43,ROW(INDIRECT("1:"&amp;LEN(AA43)))))-1)</f>
        <v>NB_2023_002 - 12012023 - 1</v>
      </c>
      <c r="AC43" s="9" t="s">
        <v>50</v>
      </c>
      <c r="AD43" s="15" t="str">
        <f aca="true" t="array" ref="AD43:AD43">LEFT(AC43,LOOKUP(2^15,FIND(".",AC43,ROW(INDIRECT("1:"&amp;LEN(AC43)))))-1)</f>
        <v>NB_2023_002 - 12012023 - 2</v>
      </c>
      <c r="AE43" s="6" t="str">
        <f aca="false">CONCATENATE(AB43, "-",H43, ".mzML")</f>
        <v>NB_2023_002 - 12012023 - 1-QC_C_3.mzML</v>
      </c>
      <c r="AF43" s="6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4" t="s">
        <v>95</v>
      </c>
      <c r="B44" s="5"/>
      <c r="C44" s="4" t="s">
        <v>96</v>
      </c>
      <c r="D44" s="6" t="s">
        <v>14</v>
      </c>
      <c r="E44" s="6" t="s">
        <v>34</v>
      </c>
      <c r="F44" s="7" t="s">
        <v>35</v>
      </c>
      <c r="G44" s="6" t="s">
        <v>34</v>
      </c>
      <c r="H44" s="8" t="s">
        <v>77</v>
      </c>
      <c r="I44" s="6" t="str">
        <f aca="false">CONCATENATE(E44, "_",H44)</f>
        <v>NLA_2023_001_QC_P_1</v>
      </c>
      <c r="J44" s="6" t="s">
        <v>52</v>
      </c>
      <c r="K44" s="6" t="s">
        <v>77</v>
      </c>
      <c r="L44" s="9" t="s">
        <v>69</v>
      </c>
      <c r="M44" s="13" t="s">
        <v>46</v>
      </c>
      <c r="N44" s="6" t="s">
        <v>78</v>
      </c>
      <c r="O44" s="6" t="s">
        <v>46</v>
      </c>
      <c r="P44" s="6" t="s">
        <v>79</v>
      </c>
      <c r="Q44" s="6" t="s">
        <v>80</v>
      </c>
      <c r="R44" s="6" t="s">
        <v>81</v>
      </c>
      <c r="S44" s="6" t="s">
        <v>46</v>
      </c>
      <c r="T44" s="6" t="s">
        <v>46</v>
      </c>
      <c r="U44" s="6" t="s">
        <v>82</v>
      </c>
      <c r="V44" s="1" t="n">
        <v>1</v>
      </c>
      <c r="W44" s="6"/>
      <c r="X44" s="6" t="s">
        <v>83</v>
      </c>
      <c r="Y44" s="9" t="n">
        <v>5500</v>
      </c>
      <c r="Z44" s="9" t="s">
        <v>48</v>
      </c>
      <c r="AA44" s="9" t="s">
        <v>49</v>
      </c>
      <c r="AB44" s="15" t="str">
        <f aca="true" t="array" ref="AB44:AB44">LEFT(AA44,LOOKUP(2^15,FIND(".",AA44,ROW(INDIRECT("1:"&amp;LEN(AA44)))))-1)</f>
        <v>NB_2023_002 - 12012023 - 1</v>
      </c>
      <c r="AC44" s="9" t="s">
        <v>50</v>
      </c>
      <c r="AD44" s="15" t="str">
        <f aca="true" t="array" ref="AD44:AD44">LEFT(AC44,LOOKUP(2^15,FIND(".",AC44,ROW(INDIRECT("1:"&amp;LEN(AC44)))))-1)</f>
        <v>NB_2023_002 - 12012023 - 2</v>
      </c>
      <c r="AE44" s="6" t="str">
        <f aca="false">CONCATENATE(AB44, "-",H44, ".mzML")</f>
        <v>NB_2023_002 - 12012023 - 1-QC_P_1.mzML</v>
      </c>
      <c r="AF44" s="6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4" t="s">
        <v>95</v>
      </c>
      <c r="B45" s="5"/>
      <c r="C45" s="4" t="s">
        <v>96</v>
      </c>
      <c r="D45" s="6" t="s">
        <v>14</v>
      </c>
      <c r="E45" s="6" t="s">
        <v>34</v>
      </c>
      <c r="F45" s="7" t="s">
        <v>35</v>
      </c>
      <c r="G45" s="6" t="s">
        <v>34</v>
      </c>
      <c r="H45" s="8" t="s">
        <v>84</v>
      </c>
      <c r="I45" s="6" t="str">
        <f aca="false">CONCATENATE(E45, "_",H45)</f>
        <v>NLA_2023_001_QC_P_2</v>
      </c>
      <c r="J45" s="6" t="s">
        <v>52</v>
      </c>
      <c r="K45" s="6" t="s">
        <v>84</v>
      </c>
      <c r="L45" s="9" t="s">
        <v>69</v>
      </c>
      <c r="M45" s="13" t="s">
        <v>46</v>
      </c>
      <c r="N45" s="6" t="s">
        <v>78</v>
      </c>
      <c r="O45" s="6" t="s">
        <v>46</v>
      </c>
      <c r="P45" s="6" t="s">
        <v>79</v>
      </c>
      <c r="Q45" s="6" t="s">
        <v>80</v>
      </c>
      <c r="R45" s="6" t="s">
        <v>81</v>
      </c>
      <c r="S45" s="6" t="s">
        <v>46</v>
      </c>
      <c r="T45" s="6" t="s">
        <v>46</v>
      </c>
      <c r="U45" s="6" t="s">
        <v>82</v>
      </c>
      <c r="V45" s="1" t="n">
        <v>2</v>
      </c>
      <c r="W45" s="6"/>
      <c r="X45" s="6" t="s">
        <v>83</v>
      </c>
      <c r="Y45" s="9" t="n">
        <v>5500</v>
      </c>
      <c r="Z45" s="9" t="s">
        <v>48</v>
      </c>
      <c r="AA45" s="9" t="s">
        <v>49</v>
      </c>
      <c r="AB45" s="15" t="str">
        <f aca="true" t="array" ref="AB45:AB45">LEFT(AA45,LOOKUP(2^15,FIND(".",AA45,ROW(INDIRECT("1:"&amp;LEN(AA45)))))-1)</f>
        <v>NB_2023_002 - 12012023 - 1</v>
      </c>
      <c r="AC45" s="9" t="s">
        <v>50</v>
      </c>
      <c r="AD45" s="15" t="str">
        <f aca="true" t="array" ref="AD45:AD45">LEFT(AC45,LOOKUP(2^15,FIND(".",AC45,ROW(INDIRECT("1:"&amp;LEN(AC45)))))-1)</f>
        <v>NB_2023_002 - 12012023 - 2</v>
      </c>
      <c r="AE45" s="6" t="str">
        <f aca="false">CONCATENATE(AB45, "-",H45, ".mzML")</f>
        <v>NB_2023_002 - 12012023 - 1-QC_P_2.mzML</v>
      </c>
      <c r="AF45" s="6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4" t="s">
        <v>95</v>
      </c>
      <c r="B46" s="5"/>
      <c r="C46" s="4" t="s">
        <v>96</v>
      </c>
      <c r="D46" s="6" t="s">
        <v>14</v>
      </c>
      <c r="E46" s="6" t="s">
        <v>34</v>
      </c>
      <c r="F46" s="7" t="s">
        <v>35</v>
      </c>
      <c r="G46" s="6" t="s">
        <v>34</v>
      </c>
      <c r="H46" s="8" t="s">
        <v>85</v>
      </c>
      <c r="I46" s="6" t="str">
        <f aca="false">CONCATENATE(E46, "_",H46)</f>
        <v>NLA_2023_001_QC_P_3</v>
      </c>
      <c r="J46" s="6" t="s">
        <v>52</v>
      </c>
      <c r="K46" s="6" t="s">
        <v>85</v>
      </c>
      <c r="L46" s="9" t="s">
        <v>69</v>
      </c>
      <c r="M46" s="13" t="s">
        <v>46</v>
      </c>
      <c r="N46" s="6" t="s">
        <v>78</v>
      </c>
      <c r="O46" s="6" t="s">
        <v>46</v>
      </c>
      <c r="P46" s="6" t="s">
        <v>79</v>
      </c>
      <c r="Q46" s="6" t="s">
        <v>80</v>
      </c>
      <c r="R46" s="6" t="s">
        <v>81</v>
      </c>
      <c r="S46" s="6" t="s">
        <v>46</v>
      </c>
      <c r="T46" s="6" t="s">
        <v>46</v>
      </c>
      <c r="U46" s="6" t="s">
        <v>82</v>
      </c>
      <c r="V46" s="1" t="n">
        <v>3</v>
      </c>
      <c r="W46" s="6"/>
      <c r="X46" s="6" t="s">
        <v>83</v>
      </c>
      <c r="Y46" s="9" t="n">
        <v>5500</v>
      </c>
      <c r="Z46" s="9" t="s">
        <v>48</v>
      </c>
      <c r="AA46" s="9" t="s">
        <v>49</v>
      </c>
      <c r="AB46" s="15" t="str">
        <f aca="true" t="array" ref="AB46:AB46">LEFT(AA46,LOOKUP(2^15,FIND(".",AA46,ROW(INDIRECT("1:"&amp;LEN(AA46)))))-1)</f>
        <v>NB_2023_002 - 12012023 - 1</v>
      </c>
      <c r="AC46" s="9" t="s">
        <v>50</v>
      </c>
      <c r="AD46" s="15" t="str">
        <f aca="true" t="array" ref="AD46:AD46">LEFT(AC46,LOOKUP(2^15,FIND(".",AC46,ROW(INDIRECT("1:"&amp;LEN(AC46)))))-1)</f>
        <v>NB_2023_002 - 12012023 - 2</v>
      </c>
      <c r="AE46" s="6" t="str">
        <f aca="false">CONCATENATE(AB46, "-",H46, ".mzML")</f>
        <v>NB_2023_002 - 12012023 - 1-QC_P_3.mzML</v>
      </c>
      <c r="AF46" s="6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4" t="s">
        <v>103</v>
      </c>
      <c r="B47" s="5"/>
      <c r="C47" s="4" t="s">
        <v>104</v>
      </c>
      <c r="D47" s="6" t="s">
        <v>14</v>
      </c>
      <c r="E47" s="6" t="s">
        <v>105</v>
      </c>
      <c r="F47" s="7" t="s">
        <v>106</v>
      </c>
      <c r="G47" s="6" t="s">
        <v>107</v>
      </c>
      <c r="H47" s="16" t="s">
        <v>108</v>
      </c>
      <c r="I47" s="6" t="str">
        <f aca="false">CONCATENATE(E47, "_",H47)</f>
        <v>NLA_2023_012_001</v>
      </c>
      <c r="J47" s="4" t="s">
        <v>52</v>
      </c>
      <c r="K47" s="4" t="s">
        <v>109</v>
      </c>
      <c r="L47" s="4" t="s">
        <v>69</v>
      </c>
      <c r="M47" s="17" t="s">
        <v>110</v>
      </c>
      <c r="N47" s="4" t="s">
        <v>41</v>
      </c>
      <c r="O47" s="4" t="s">
        <v>54</v>
      </c>
      <c r="P47" s="4" t="s">
        <v>43</v>
      </c>
      <c r="Q47" s="14" t="s">
        <v>55</v>
      </c>
      <c r="R47" s="6" t="s">
        <v>44</v>
      </c>
      <c r="S47" s="14" t="s">
        <v>90</v>
      </c>
      <c r="T47" s="4" t="s">
        <v>46</v>
      </c>
      <c r="U47" s="4" t="n">
        <v>650</v>
      </c>
      <c r="V47" s="4" t="n">
        <v>1</v>
      </c>
      <c r="W47" s="4" t="s">
        <v>111</v>
      </c>
      <c r="X47" s="6" t="s">
        <v>47</v>
      </c>
      <c r="Y47" s="14" t="n">
        <v>5500</v>
      </c>
      <c r="Z47" s="6" t="s">
        <v>112</v>
      </c>
      <c r="AA47" s="6" t="s">
        <v>113</v>
      </c>
      <c r="AB47" s="15" t="str">
        <f aca="true" t="array" ref="AB47:AB47">LEFT(AA47,LOOKUP(2^15,FIND(".",AA47,ROW(INDIRECT("1:"&amp;LEN(AA47)))))-1)</f>
        <v>NB_2023_020 - 20230929 - 1</v>
      </c>
      <c r="AC47" s="6" t="s">
        <v>114</v>
      </c>
      <c r="AD47" s="15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4" t="s">
        <v>103</v>
      </c>
      <c r="B48" s="5"/>
      <c r="C48" s="4" t="s">
        <v>104</v>
      </c>
      <c r="D48" s="6" t="s">
        <v>14</v>
      </c>
      <c r="E48" s="6" t="s">
        <v>105</v>
      </c>
      <c r="F48" s="7" t="s">
        <v>106</v>
      </c>
      <c r="G48" s="6" t="s">
        <v>115</v>
      </c>
      <c r="H48" s="16" t="s">
        <v>88</v>
      </c>
      <c r="I48" s="6" t="str">
        <f aca="false">CONCATENATE(E48, "_",H48)</f>
        <v>NLA_2023_012_002</v>
      </c>
      <c r="J48" s="4" t="s">
        <v>52</v>
      </c>
      <c r="K48" s="4" t="s">
        <v>116</v>
      </c>
      <c r="L48" s="4" t="s">
        <v>69</v>
      </c>
      <c r="M48" s="17" t="s">
        <v>110</v>
      </c>
      <c r="N48" s="4" t="s">
        <v>41</v>
      </c>
      <c r="O48" s="4" t="s">
        <v>54</v>
      </c>
      <c r="P48" s="4" t="s">
        <v>43</v>
      </c>
      <c r="Q48" s="14" t="s">
        <v>55</v>
      </c>
      <c r="R48" s="6" t="s">
        <v>44</v>
      </c>
      <c r="S48" s="14" t="s">
        <v>90</v>
      </c>
      <c r="T48" s="4" t="s">
        <v>46</v>
      </c>
      <c r="U48" s="4" t="n">
        <v>650</v>
      </c>
      <c r="V48" s="4" t="n">
        <v>2</v>
      </c>
      <c r="W48" s="4" t="s">
        <v>117</v>
      </c>
      <c r="X48" s="6" t="s">
        <v>47</v>
      </c>
      <c r="Y48" s="14" t="n">
        <v>5500</v>
      </c>
      <c r="Z48" s="6" t="s">
        <v>112</v>
      </c>
      <c r="AA48" s="6" t="s">
        <v>113</v>
      </c>
      <c r="AB48" s="15" t="str">
        <f aca="true" t="array" ref="AB48:AB48">LEFT(AA48,LOOKUP(2^15,FIND(".",AA48,ROW(INDIRECT("1:"&amp;LEN(AA48)))))-1)</f>
        <v>NB_2023_020 - 20230929 - 1</v>
      </c>
      <c r="AC48" s="6" t="s">
        <v>114</v>
      </c>
      <c r="AD48" s="15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4" t="s">
        <v>103</v>
      </c>
      <c r="B49" s="5"/>
      <c r="C49" s="4" t="s">
        <v>104</v>
      </c>
      <c r="D49" s="6" t="s">
        <v>14</v>
      </c>
      <c r="E49" s="6" t="s">
        <v>105</v>
      </c>
      <c r="F49" s="7" t="s">
        <v>106</v>
      </c>
      <c r="G49" s="6" t="s">
        <v>115</v>
      </c>
      <c r="H49" s="16" t="s">
        <v>97</v>
      </c>
      <c r="I49" s="6" t="str">
        <f aca="false">CONCATENATE(E49, "_",H49)</f>
        <v>NLA_2023_012_003</v>
      </c>
      <c r="J49" s="4" t="s">
        <v>52</v>
      </c>
      <c r="K49" s="4" t="s">
        <v>118</v>
      </c>
      <c r="L49" s="4" t="s">
        <v>69</v>
      </c>
      <c r="M49" s="17" t="s">
        <v>110</v>
      </c>
      <c r="N49" s="4" t="s">
        <v>41</v>
      </c>
      <c r="O49" s="4" t="s">
        <v>54</v>
      </c>
      <c r="P49" s="4" t="s">
        <v>43</v>
      </c>
      <c r="Q49" s="14" t="s">
        <v>55</v>
      </c>
      <c r="R49" s="6" t="s">
        <v>44</v>
      </c>
      <c r="S49" s="14" t="s">
        <v>90</v>
      </c>
      <c r="T49" s="4" t="s">
        <v>46</v>
      </c>
      <c r="U49" s="4" t="n">
        <v>650</v>
      </c>
      <c r="V49" s="4" t="n">
        <v>3</v>
      </c>
      <c r="W49" s="4" t="s">
        <v>119</v>
      </c>
      <c r="X49" s="6" t="s">
        <v>47</v>
      </c>
      <c r="Y49" s="14" t="n">
        <v>5500</v>
      </c>
      <c r="Z49" s="6" t="s">
        <v>112</v>
      </c>
      <c r="AA49" s="6" t="s">
        <v>113</v>
      </c>
      <c r="AB49" s="15" t="str">
        <f aca="true" t="array" ref="AB49:AB49">LEFT(AA49,LOOKUP(2^15,FIND(".",AA49,ROW(INDIRECT("1:"&amp;LEN(AA49)))))-1)</f>
        <v>NB_2023_020 - 20230929 - 1</v>
      </c>
      <c r="AC49" s="6" t="s">
        <v>114</v>
      </c>
      <c r="AD49" s="15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4" t="s">
        <v>103</v>
      </c>
      <c r="B50" s="5"/>
      <c r="C50" s="4" t="s">
        <v>104</v>
      </c>
      <c r="D50" s="6" t="s">
        <v>14</v>
      </c>
      <c r="E50" s="6" t="s">
        <v>105</v>
      </c>
      <c r="F50" s="7" t="s">
        <v>106</v>
      </c>
      <c r="G50" s="6" t="s">
        <v>115</v>
      </c>
      <c r="H50" s="16" t="s">
        <v>99</v>
      </c>
      <c r="I50" s="6" t="str">
        <f aca="false">CONCATENATE(E50, "_",H50)</f>
        <v>NLA_2023_012_004</v>
      </c>
      <c r="J50" s="4" t="s">
        <v>38</v>
      </c>
      <c r="K50" s="4" t="s">
        <v>120</v>
      </c>
      <c r="L50" s="4" t="s">
        <v>69</v>
      </c>
      <c r="M50" s="17" t="s">
        <v>110</v>
      </c>
      <c r="N50" s="4" t="s">
        <v>41</v>
      </c>
      <c r="O50" s="4" t="s">
        <v>42</v>
      </c>
      <c r="P50" s="4" t="s">
        <v>43</v>
      </c>
      <c r="Q50" s="4" t="s">
        <v>43</v>
      </c>
      <c r="R50" s="6" t="s">
        <v>44</v>
      </c>
      <c r="S50" s="14" t="s">
        <v>90</v>
      </c>
      <c r="T50" s="4" t="s">
        <v>46</v>
      </c>
      <c r="U50" s="4" t="n">
        <v>650</v>
      </c>
      <c r="V50" s="4" t="n">
        <v>1</v>
      </c>
      <c r="W50" s="4" t="s">
        <v>121</v>
      </c>
      <c r="X50" s="6" t="s">
        <v>47</v>
      </c>
      <c r="Y50" s="14" t="n">
        <v>5500</v>
      </c>
      <c r="Z50" s="6" t="s">
        <v>112</v>
      </c>
      <c r="AA50" s="6" t="s">
        <v>113</v>
      </c>
      <c r="AB50" s="15" t="str">
        <f aca="true" t="array" ref="AB50:AB50">LEFT(AA50,LOOKUP(2^15,FIND(".",AA50,ROW(INDIRECT("1:"&amp;LEN(AA50)))))-1)</f>
        <v>NB_2023_020 - 20230929 - 1</v>
      </c>
      <c r="AC50" s="6" t="s">
        <v>114</v>
      </c>
      <c r="AD50" s="15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4" t="s">
        <v>103</v>
      </c>
      <c r="B51" s="5"/>
      <c r="C51" s="4" t="s">
        <v>104</v>
      </c>
      <c r="D51" s="6" t="s">
        <v>14</v>
      </c>
      <c r="E51" s="6" t="s">
        <v>105</v>
      </c>
      <c r="F51" s="7" t="s">
        <v>106</v>
      </c>
      <c r="G51" s="6" t="s">
        <v>115</v>
      </c>
      <c r="H51" s="16" t="s">
        <v>91</v>
      </c>
      <c r="I51" s="6" t="str">
        <f aca="false">CONCATENATE(E51, "_",H51)</f>
        <v>NLA_2023_012_005</v>
      </c>
      <c r="J51" s="4" t="s">
        <v>38</v>
      </c>
      <c r="K51" s="4" t="s">
        <v>122</v>
      </c>
      <c r="L51" s="4" t="s">
        <v>69</v>
      </c>
      <c r="M51" s="17" t="s">
        <v>110</v>
      </c>
      <c r="N51" s="4" t="s">
        <v>41</v>
      </c>
      <c r="O51" s="4" t="s">
        <v>42</v>
      </c>
      <c r="P51" s="4" t="s">
        <v>43</v>
      </c>
      <c r="Q51" s="4" t="s">
        <v>43</v>
      </c>
      <c r="R51" s="6" t="s">
        <v>44</v>
      </c>
      <c r="S51" s="14" t="s">
        <v>90</v>
      </c>
      <c r="T51" s="4" t="s">
        <v>46</v>
      </c>
      <c r="U51" s="4" t="n">
        <v>650</v>
      </c>
      <c r="V51" s="4" t="n">
        <v>2</v>
      </c>
      <c r="W51" s="4" t="s">
        <v>123</v>
      </c>
      <c r="X51" s="6" t="s">
        <v>47</v>
      </c>
      <c r="Y51" s="14" t="n">
        <v>5500</v>
      </c>
      <c r="Z51" s="6" t="s">
        <v>112</v>
      </c>
      <c r="AA51" s="6" t="s">
        <v>113</v>
      </c>
      <c r="AB51" s="15" t="str">
        <f aca="true" t="array" ref="AB51:AB51">LEFT(AA51,LOOKUP(2^15,FIND(".",AA51,ROW(INDIRECT("1:"&amp;LEN(AA51)))))-1)</f>
        <v>NB_2023_020 - 20230929 - 1</v>
      </c>
      <c r="AC51" s="6" t="s">
        <v>114</v>
      </c>
      <c r="AD51" s="15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4" t="s">
        <v>103</v>
      </c>
      <c r="B52" s="5"/>
      <c r="C52" s="4" t="s">
        <v>104</v>
      </c>
      <c r="D52" s="6" t="s">
        <v>14</v>
      </c>
      <c r="E52" s="6" t="s">
        <v>105</v>
      </c>
      <c r="F52" s="7" t="s">
        <v>106</v>
      </c>
      <c r="G52" s="6" t="s">
        <v>115</v>
      </c>
      <c r="H52" s="16" t="s">
        <v>101</v>
      </c>
      <c r="I52" s="6" t="str">
        <f aca="false">CONCATENATE(E52, "_",H52)</f>
        <v>NLA_2023_012_006</v>
      </c>
      <c r="J52" s="4" t="s">
        <v>38</v>
      </c>
      <c r="K52" s="4" t="s">
        <v>124</v>
      </c>
      <c r="L52" s="4" t="s">
        <v>69</v>
      </c>
      <c r="M52" s="17" t="s">
        <v>110</v>
      </c>
      <c r="N52" s="4" t="s">
        <v>41</v>
      </c>
      <c r="O52" s="4" t="s">
        <v>42</v>
      </c>
      <c r="P52" s="4" t="s">
        <v>43</v>
      </c>
      <c r="Q52" s="4" t="s">
        <v>43</v>
      </c>
      <c r="R52" s="6" t="s">
        <v>44</v>
      </c>
      <c r="S52" s="14" t="s">
        <v>90</v>
      </c>
      <c r="T52" s="4" t="s">
        <v>46</v>
      </c>
      <c r="U52" s="4" t="n">
        <v>650</v>
      </c>
      <c r="V52" s="4" t="n">
        <v>3</v>
      </c>
      <c r="W52" s="4" t="s">
        <v>125</v>
      </c>
      <c r="X52" s="6" t="s">
        <v>47</v>
      </c>
      <c r="Y52" s="14" t="n">
        <v>5500</v>
      </c>
      <c r="Z52" s="6" t="s">
        <v>112</v>
      </c>
      <c r="AA52" s="6" t="s">
        <v>113</v>
      </c>
      <c r="AB52" s="15" t="str">
        <f aca="true" t="array" ref="AB52:AB52">LEFT(AA52,LOOKUP(2^15,FIND(".",AA52,ROW(INDIRECT("1:"&amp;LEN(AA52)))))-1)</f>
        <v>NB_2023_020 - 20230929 - 1</v>
      </c>
      <c r="AC52" s="6" t="s">
        <v>114</v>
      </c>
      <c r="AD52" s="15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4" t="s">
        <v>103</v>
      </c>
      <c r="B53" s="5"/>
      <c r="C53" s="4" t="s">
        <v>104</v>
      </c>
      <c r="D53" s="6" t="s">
        <v>14</v>
      </c>
      <c r="E53" s="6" t="s">
        <v>105</v>
      </c>
      <c r="F53" s="7" t="s">
        <v>106</v>
      </c>
      <c r="G53" s="6" t="s">
        <v>105</v>
      </c>
      <c r="H53" s="16" t="s">
        <v>64</v>
      </c>
      <c r="I53" s="6" t="str">
        <f aca="false">CONCATENATE(E53, "_",H53)</f>
        <v>NLA_2023_012_Blank_1</v>
      </c>
      <c r="J53" s="4" t="s">
        <v>52</v>
      </c>
      <c r="K53" s="18" t="s">
        <v>64</v>
      </c>
      <c r="L53" s="7" t="s">
        <v>46</v>
      </c>
      <c r="M53" s="17" t="s">
        <v>46</v>
      </c>
      <c r="N53" s="6" t="s">
        <v>65</v>
      </c>
      <c r="O53" s="6" t="s">
        <v>46</v>
      </c>
      <c r="P53" s="6" t="s">
        <v>46</v>
      </c>
      <c r="Q53" s="6" t="s">
        <v>46</v>
      </c>
      <c r="R53" s="6" t="s">
        <v>46</v>
      </c>
      <c r="S53" s="6" t="s">
        <v>46</v>
      </c>
      <c r="T53" s="6" t="s">
        <v>46</v>
      </c>
      <c r="U53" s="6" t="s">
        <v>46</v>
      </c>
      <c r="V53" s="1" t="n">
        <v>1</v>
      </c>
      <c r="W53" s="19" t="s">
        <v>126</v>
      </c>
      <c r="X53" s="6" t="s">
        <v>46</v>
      </c>
      <c r="Y53" s="14" t="n">
        <v>5500</v>
      </c>
      <c r="Z53" s="6" t="s">
        <v>112</v>
      </c>
      <c r="AA53" s="6" t="s">
        <v>113</v>
      </c>
      <c r="AB53" s="15" t="str">
        <f aca="true" t="array" ref="AB53:AB53">LEFT(AA53,LOOKUP(2^15,FIND(".",AA53,ROW(INDIRECT("1:"&amp;LEN(AA53)))))-1)</f>
        <v>NB_2023_020 - 20230929 - 1</v>
      </c>
      <c r="AC53" s="6" t="s">
        <v>114</v>
      </c>
      <c r="AD53" s="15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4" t="s">
        <v>103</v>
      </c>
      <c r="B54" s="5"/>
      <c r="C54" s="4" t="s">
        <v>104</v>
      </c>
      <c r="D54" s="6" t="s">
        <v>14</v>
      </c>
      <c r="E54" s="6" t="s">
        <v>105</v>
      </c>
      <c r="F54" s="7" t="s">
        <v>106</v>
      </c>
      <c r="G54" s="6" t="s">
        <v>105</v>
      </c>
      <c r="H54" s="16" t="s">
        <v>66</v>
      </c>
      <c r="I54" s="6" t="str">
        <f aca="false">CONCATENATE(E54, "_",H54)</f>
        <v>NLA_2023_012_Blank_2</v>
      </c>
      <c r="J54" s="4" t="s">
        <v>52</v>
      </c>
      <c r="K54" s="18" t="s">
        <v>66</v>
      </c>
      <c r="L54" s="7" t="s">
        <v>46</v>
      </c>
      <c r="M54" s="17" t="s">
        <v>46</v>
      </c>
      <c r="N54" s="6" t="s">
        <v>65</v>
      </c>
      <c r="O54" s="6" t="s">
        <v>46</v>
      </c>
      <c r="P54" s="6" t="s">
        <v>46</v>
      </c>
      <c r="Q54" s="6" t="s">
        <v>46</v>
      </c>
      <c r="R54" s="6" t="s">
        <v>46</v>
      </c>
      <c r="S54" s="6" t="s">
        <v>46</v>
      </c>
      <c r="T54" s="6" t="s">
        <v>46</v>
      </c>
      <c r="U54" s="6" t="s">
        <v>46</v>
      </c>
      <c r="V54" s="1" t="n">
        <v>2</v>
      </c>
      <c r="W54" s="19" t="s">
        <v>126</v>
      </c>
      <c r="X54" s="6" t="s">
        <v>46</v>
      </c>
      <c r="Y54" s="14" t="n">
        <v>5500</v>
      </c>
      <c r="Z54" s="6" t="s">
        <v>112</v>
      </c>
      <c r="AA54" s="6" t="s">
        <v>113</v>
      </c>
      <c r="AB54" s="15" t="str">
        <f aca="true" t="array" ref="AB54:AB54">LEFT(AA54,LOOKUP(2^15,FIND(".",AA54,ROW(INDIRECT("1:"&amp;LEN(AA54)))))-1)</f>
        <v>NB_2023_020 - 20230929 - 1</v>
      </c>
      <c r="AC54" s="6" t="s">
        <v>114</v>
      </c>
      <c r="AD54" s="15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4" t="s">
        <v>103</v>
      </c>
      <c r="B55" s="5"/>
      <c r="C55" s="4" t="s">
        <v>104</v>
      </c>
      <c r="D55" s="6" t="s">
        <v>14</v>
      </c>
      <c r="E55" s="6" t="s">
        <v>105</v>
      </c>
      <c r="F55" s="7" t="s">
        <v>106</v>
      </c>
      <c r="G55" s="6" t="s">
        <v>105</v>
      </c>
      <c r="H55" s="16" t="s">
        <v>67</v>
      </c>
      <c r="I55" s="6" t="str">
        <f aca="false">CONCATENATE(E55, "_",H55)</f>
        <v>NLA_2023_012_Blank_3</v>
      </c>
      <c r="J55" s="4" t="s">
        <v>52</v>
      </c>
      <c r="K55" s="18" t="s">
        <v>67</v>
      </c>
      <c r="L55" s="7" t="s">
        <v>46</v>
      </c>
      <c r="M55" s="17" t="s">
        <v>46</v>
      </c>
      <c r="N55" s="6" t="s">
        <v>65</v>
      </c>
      <c r="O55" s="6" t="s">
        <v>46</v>
      </c>
      <c r="P55" s="6" t="s">
        <v>46</v>
      </c>
      <c r="Q55" s="6" t="s">
        <v>46</v>
      </c>
      <c r="R55" s="6" t="s">
        <v>46</v>
      </c>
      <c r="S55" s="6" t="s">
        <v>46</v>
      </c>
      <c r="T55" s="6" t="s">
        <v>46</v>
      </c>
      <c r="U55" s="6" t="s">
        <v>46</v>
      </c>
      <c r="V55" s="1" t="n">
        <v>3</v>
      </c>
      <c r="W55" s="19" t="s">
        <v>126</v>
      </c>
      <c r="X55" s="6" t="s">
        <v>46</v>
      </c>
      <c r="Y55" s="14" t="n">
        <v>5500</v>
      </c>
      <c r="Z55" s="6" t="s">
        <v>112</v>
      </c>
      <c r="AA55" s="6" t="s">
        <v>113</v>
      </c>
      <c r="AB55" s="15" t="str">
        <f aca="true" t="array" ref="AB55:AB55">LEFT(AA55,LOOKUP(2^15,FIND(".",AA55,ROW(INDIRECT("1:"&amp;LEN(AA55)))))-1)</f>
        <v>NB_2023_020 - 20230929 - 1</v>
      </c>
      <c r="AC55" s="6" t="s">
        <v>114</v>
      </c>
      <c r="AD55" s="15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4" t="s">
        <v>103</v>
      </c>
      <c r="B56" s="5"/>
      <c r="C56" s="4" t="s">
        <v>104</v>
      </c>
      <c r="D56" s="6" t="s">
        <v>14</v>
      </c>
      <c r="E56" s="6" t="s">
        <v>105</v>
      </c>
      <c r="F56" s="7" t="s">
        <v>106</v>
      </c>
      <c r="G56" s="6" t="s">
        <v>105</v>
      </c>
      <c r="H56" s="16" t="s">
        <v>68</v>
      </c>
      <c r="I56" s="6" t="str">
        <f aca="false">CONCATENATE(E56, "_",H56)</f>
        <v>NLA_2023_012_QC_C_1</v>
      </c>
      <c r="J56" s="4" t="s">
        <v>52</v>
      </c>
      <c r="K56" s="18" t="s">
        <v>68</v>
      </c>
      <c r="L56" s="7" t="s">
        <v>69</v>
      </c>
      <c r="M56" s="17" t="s">
        <v>46</v>
      </c>
      <c r="N56" s="6" t="s">
        <v>70</v>
      </c>
      <c r="O56" s="6" t="s">
        <v>46</v>
      </c>
      <c r="P56" s="6" t="s">
        <v>71</v>
      </c>
      <c r="Q56" s="6" t="s">
        <v>71</v>
      </c>
      <c r="R56" s="6" t="s">
        <v>72</v>
      </c>
      <c r="S56" s="6" t="s">
        <v>73</v>
      </c>
      <c r="T56" s="6" t="s">
        <v>46</v>
      </c>
      <c r="U56" s="6" t="n">
        <v>1000</v>
      </c>
      <c r="V56" s="1" t="n">
        <v>1</v>
      </c>
      <c r="W56" s="19" t="s">
        <v>126</v>
      </c>
      <c r="X56" s="6" t="s">
        <v>74</v>
      </c>
      <c r="Y56" s="14" t="n">
        <v>5500</v>
      </c>
      <c r="Z56" s="6" t="s">
        <v>112</v>
      </c>
      <c r="AA56" s="6" t="s">
        <v>113</v>
      </c>
      <c r="AB56" s="15" t="str">
        <f aca="true" t="array" ref="AB56:AB56">LEFT(AA56,LOOKUP(2^15,FIND(".",AA56,ROW(INDIRECT("1:"&amp;LEN(AA56)))))-1)</f>
        <v>NB_2023_020 - 20230929 - 1</v>
      </c>
      <c r="AC56" s="6" t="s">
        <v>114</v>
      </c>
      <c r="AD56" s="15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4" t="s">
        <v>103</v>
      </c>
      <c r="B57" s="5"/>
      <c r="C57" s="4" t="s">
        <v>104</v>
      </c>
      <c r="D57" s="6" t="s">
        <v>14</v>
      </c>
      <c r="E57" s="6" t="s">
        <v>105</v>
      </c>
      <c r="F57" s="7" t="s">
        <v>106</v>
      </c>
      <c r="G57" s="6" t="s">
        <v>105</v>
      </c>
      <c r="H57" s="16" t="s">
        <v>75</v>
      </c>
      <c r="I57" s="6" t="str">
        <f aca="false">CONCATENATE(E57, "_",H57)</f>
        <v>NLA_2023_012_QC_C_2</v>
      </c>
      <c r="J57" s="4" t="s">
        <v>52</v>
      </c>
      <c r="K57" s="18" t="s">
        <v>75</v>
      </c>
      <c r="L57" s="7" t="s">
        <v>69</v>
      </c>
      <c r="M57" s="17" t="s">
        <v>46</v>
      </c>
      <c r="N57" s="6" t="s">
        <v>70</v>
      </c>
      <c r="O57" s="6" t="s">
        <v>46</v>
      </c>
      <c r="P57" s="6" t="s">
        <v>71</v>
      </c>
      <c r="Q57" s="6" t="s">
        <v>71</v>
      </c>
      <c r="R57" s="6" t="s">
        <v>72</v>
      </c>
      <c r="S57" s="6" t="s">
        <v>73</v>
      </c>
      <c r="T57" s="6" t="s">
        <v>46</v>
      </c>
      <c r="U57" s="6" t="n">
        <v>1000</v>
      </c>
      <c r="V57" s="1" t="n">
        <v>2</v>
      </c>
      <c r="W57" s="19" t="s">
        <v>126</v>
      </c>
      <c r="X57" s="6" t="s">
        <v>74</v>
      </c>
      <c r="Y57" s="14" t="n">
        <v>5500</v>
      </c>
      <c r="Z57" s="6" t="s">
        <v>112</v>
      </c>
      <c r="AA57" s="6" t="s">
        <v>113</v>
      </c>
      <c r="AB57" s="15" t="str">
        <f aca="true" t="array" ref="AB57:AB57">LEFT(AA57,LOOKUP(2^15,FIND(".",AA57,ROW(INDIRECT("1:"&amp;LEN(AA57)))))-1)</f>
        <v>NB_2023_020 - 20230929 - 1</v>
      </c>
      <c r="AC57" s="6" t="s">
        <v>114</v>
      </c>
      <c r="AD57" s="15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4" t="s">
        <v>103</v>
      </c>
      <c r="B58" s="5"/>
      <c r="C58" s="4" t="s">
        <v>104</v>
      </c>
      <c r="D58" s="6" t="s">
        <v>14</v>
      </c>
      <c r="E58" s="6" t="s">
        <v>105</v>
      </c>
      <c r="F58" s="7" t="s">
        <v>106</v>
      </c>
      <c r="G58" s="6" t="s">
        <v>105</v>
      </c>
      <c r="H58" s="16" t="s">
        <v>76</v>
      </c>
      <c r="I58" s="6" t="str">
        <f aca="false">CONCATENATE(E58, "_",H58)</f>
        <v>NLA_2023_012_QC_C_3</v>
      </c>
      <c r="J58" s="4" t="s">
        <v>52</v>
      </c>
      <c r="K58" s="18" t="s">
        <v>76</v>
      </c>
      <c r="L58" s="7" t="s">
        <v>69</v>
      </c>
      <c r="M58" s="17" t="s">
        <v>46</v>
      </c>
      <c r="N58" s="6" t="s">
        <v>70</v>
      </c>
      <c r="O58" s="6" t="s">
        <v>46</v>
      </c>
      <c r="P58" s="6" t="s">
        <v>71</v>
      </c>
      <c r="Q58" s="6" t="s">
        <v>71</v>
      </c>
      <c r="R58" s="6" t="s">
        <v>72</v>
      </c>
      <c r="S58" s="6" t="s">
        <v>73</v>
      </c>
      <c r="T58" s="6" t="s">
        <v>46</v>
      </c>
      <c r="U58" s="6" t="n">
        <v>1000</v>
      </c>
      <c r="V58" s="1" t="n">
        <v>3</v>
      </c>
      <c r="W58" s="19" t="s">
        <v>126</v>
      </c>
      <c r="X58" s="6" t="s">
        <v>74</v>
      </c>
      <c r="Y58" s="14" t="n">
        <v>5500</v>
      </c>
      <c r="Z58" s="6" t="s">
        <v>112</v>
      </c>
      <c r="AA58" s="6" t="s">
        <v>113</v>
      </c>
      <c r="AB58" s="15" t="str">
        <f aca="true" t="array" ref="AB58:AB58">LEFT(AA58,LOOKUP(2^15,FIND(".",AA58,ROW(INDIRECT("1:"&amp;LEN(AA58)))))-1)</f>
        <v>NB_2023_020 - 20230929 - 1</v>
      </c>
      <c r="AC58" s="6" t="s">
        <v>114</v>
      </c>
      <c r="AD58" s="15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4" t="s">
        <v>103</v>
      </c>
      <c r="B59" s="5"/>
      <c r="C59" s="4" t="s">
        <v>104</v>
      </c>
      <c r="D59" s="6" t="s">
        <v>14</v>
      </c>
      <c r="E59" s="6" t="s">
        <v>105</v>
      </c>
      <c r="F59" s="7" t="s">
        <v>106</v>
      </c>
      <c r="G59" s="6" t="s">
        <v>105</v>
      </c>
      <c r="H59" s="16" t="s">
        <v>77</v>
      </c>
      <c r="I59" s="6" t="str">
        <f aca="false">CONCATENATE(E59, "_",H59)</f>
        <v>NLA_2023_012_QC_P_1</v>
      </c>
      <c r="J59" s="4" t="s">
        <v>52</v>
      </c>
      <c r="K59" s="18" t="s">
        <v>77</v>
      </c>
      <c r="L59" s="7" t="s">
        <v>69</v>
      </c>
      <c r="M59" s="17" t="s">
        <v>46</v>
      </c>
      <c r="N59" s="6" t="s">
        <v>78</v>
      </c>
      <c r="O59" s="6" t="s">
        <v>46</v>
      </c>
      <c r="P59" s="6" t="s">
        <v>79</v>
      </c>
      <c r="Q59" s="6" t="s">
        <v>80</v>
      </c>
      <c r="R59" s="6" t="s">
        <v>81</v>
      </c>
      <c r="S59" s="6" t="s">
        <v>46</v>
      </c>
      <c r="T59" s="6" t="s">
        <v>46</v>
      </c>
      <c r="U59" s="6" t="s">
        <v>82</v>
      </c>
      <c r="V59" s="1" t="n">
        <v>1</v>
      </c>
      <c r="W59" s="19" t="s">
        <v>126</v>
      </c>
      <c r="X59" s="6" t="s">
        <v>83</v>
      </c>
      <c r="Y59" s="14" t="n">
        <v>5500</v>
      </c>
      <c r="Z59" s="6" t="s">
        <v>112</v>
      </c>
      <c r="AA59" s="6" t="s">
        <v>113</v>
      </c>
      <c r="AB59" s="15" t="str">
        <f aca="true" t="array" ref="AB59:AB59">LEFT(AA59,LOOKUP(2^15,FIND(".",AA59,ROW(INDIRECT("1:"&amp;LEN(AA59)))))-1)</f>
        <v>NB_2023_020 - 20230929 - 1</v>
      </c>
      <c r="AC59" s="6" t="s">
        <v>114</v>
      </c>
      <c r="AD59" s="15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4" t="s">
        <v>103</v>
      </c>
      <c r="B60" s="5"/>
      <c r="C60" s="4" t="s">
        <v>104</v>
      </c>
      <c r="D60" s="6" t="s">
        <v>14</v>
      </c>
      <c r="E60" s="6" t="s">
        <v>105</v>
      </c>
      <c r="F60" s="7" t="s">
        <v>106</v>
      </c>
      <c r="G60" s="6" t="s">
        <v>105</v>
      </c>
      <c r="H60" s="16" t="s">
        <v>84</v>
      </c>
      <c r="I60" s="6" t="str">
        <f aca="false">CONCATENATE(E60, "_",H60)</f>
        <v>NLA_2023_012_QC_P_2</v>
      </c>
      <c r="J60" s="4" t="s">
        <v>52</v>
      </c>
      <c r="K60" s="18" t="s">
        <v>84</v>
      </c>
      <c r="L60" s="7" t="s">
        <v>69</v>
      </c>
      <c r="M60" s="17" t="s">
        <v>46</v>
      </c>
      <c r="N60" s="6" t="s">
        <v>78</v>
      </c>
      <c r="O60" s="6" t="s">
        <v>46</v>
      </c>
      <c r="P60" s="6" t="s">
        <v>79</v>
      </c>
      <c r="Q60" s="6" t="s">
        <v>80</v>
      </c>
      <c r="R60" s="6" t="s">
        <v>81</v>
      </c>
      <c r="S60" s="6" t="s">
        <v>46</v>
      </c>
      <c r="T60" s="6" t="s">
        <v>46</v>
      </c>
      <c r="U60" s="6" t="s">
        <v>82</v>
      </c>
      <c r="V60" s="1" t="n">
        <v>2</v>
      </c>
      <c r="W60" s="19" t="s">
        <v>126</v>
      </c>
      <c r="X60" s="6" t="s">
        <v>83</v>
      </c>
      <c r="Y60" s="14" t="n">
        <v>5500</v>
      </c>
      <c r="Z60" s="6" t="s">
        <v>112</v>
      </c>
      <c r="AA60" s="6" t="s">
        <v>113</v>
      </c>
      <c r="AB60" s="15" t="str">
        <f aca="true" t="array" ref="AB60:AB60">LEFT(AA60,LOOKUP(2^15,FIND(".",AA60,ROW(INDIRECT("1:"&amp;LEN(AA60)))))-1)</f>
        <v>NB_2023_020 - 20230929 - 1</v>
      </c>
      <c r="AC60" s="6" t="s">
        <v>114</v>
      </c>
      <c r="AD60" s="15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4" t="s">
        <v>103</v>
      </c>
      <c r="B61" s="5"/>
      <c r="C61" s="4" t="s">
        <v>104</v>
      </c>
      <c r="D61" s="6" t="s">
        <v>14</v>
      </c>
      <c r="E61" s="6" t="s">
        <v>105</v>
      </c>
      <c r="F61" s="7" t="s">
        <v>106</v>
      </c>
      <c r="G61" s="6" t="s">
        <v>105</v>
      </c>
      <c r="H61" s="16" t="s">
        <v>85</v>
      </c>
      <c r="I61" s="6" t="str">
        <f aca="false">CONCATENATE(E61, "_",H61)</f>
        <v>NLA_2023_012_QC_P_3</v>
      </c>
      <c r="J61" s="4" t="s">
        <v>52</v>
      </c>
      <c r="K61" s="18" t="s">
        <v>85</v>
      </c>
      <c r="L61" s="7" t="s">
        <v>69</v>
      </c>
      <c r="M61" s="17" t="s">
        <v>46</v>
      </c>
      <c r="N61" s="6" t="s">
        <v>78</v>
      </c>
      <c r="O61" s="6" t="s">
        <v>46</v>
      </c>
      <c r="P61" s="6" t="s">
        <v>79</v>
      </c>
      <c r="Q61" s="6" t="s">
        <v>80</v>
      </c>
      <c r="R61" s="6" t="s">
        <v>81</v>
      </c>
      <c r="S61" s="6" t="s">
        <v>46</v>
      </c>
      <c r="T61" s="6" t="s">
        <v>46</v>
      </c>
      <c r="U61" s="6" t="s">
        <v>82</v>
      </c>
      <c r="V61" s="1" t="n">
        <v>3</v>
      </c>
      <c r="W61" s="19" t="s">
        <v>126</v>
      </c>
      <c r="X61" s="6" t="s">
        <v>83</v>
      </c>
      <c r="Y61" s="14" t="n">
        <v>5500</v>
      </c>
      <c r="Z61" s="6" t="s">
        <v>112</v>
      </c>
      <c r="AA61" s="6" t="s">
        <v>113</v>
      </c>
      <c r="AB61" s="15" t="str">
        <f aca="true" t="array" ref="AB61:AB61">LEFT(AA61,LOOKUP(2^15,FIND(".",AA61,ROW(INDIRECT("1:"&amp;LEN(AA61)))))-1)</f>
        <v>NB_2023_020 - 20230929 - 1</v>
      </c>
      <c r="AC61" s="6" t="s">
        <v>114</v>
      </c>
      <c r="AD61" s="15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4" t="s">
        <v>127</v>
      </c>
      <c r="B62" s="5"/>
      <c r="C62" s="4" t="s">
        <v>128</v>
      </c>
      <c r="D62" s="6" t="s">
        <v>18</v>
      </c>
      <c r="E62" s="6" t="s">
        <v>105</v>
      </c>
      <c r="F62" s="7" t="s">
        <v>106</v>
      </c>
      <c r="G62" s="6" t="s">
        <v>115</v>
      </c>
      <c r="H62" s="16" t="s">
        <v>99</v>
      </c>
      <c r="I62" s="6" t="str">
        <f aca="false">CONCATENATE(E62, "_",H62)</f>
        <v>NLA_2023_012_004</v>
      </c>
      <c r="J62" s="4" t="s">
        <v>38</v>
      </c>
      <c r="K62" s="4" t="s">
        <v>120</v>
      </c>
      <c r="L62" s="4" t="s">
        <v>69</v>
      </c>
      <c r="M62" s="17" t="s">
        <v>110</v>
      </c>
      <c r="N62" s="4" t="s">
        <v>41</v>
      </c>
      <c r="O62" s="4" t="s">
        <v>42</v>
      </c>
      <c r="P62" s="4" t="s">
        <v>43</v>
      </c>
      <c r="Q62" s="4" t="s">
        <v>43</v>
      </c>
      <c r="R62" s="6" t="s">
        <v>44</v>
      </c>
      <c r="S62" s="14" t="s">
        <v>90</v>
      </c>
      <c r="T62" s="4" t="s">
        <v>46</v>
      </c>
      <c r="U62" s="4" t="n">
        <v>650</v>
      </c>
      <c r="V62" s="4" t="n">
        <v>1</v>
      </c>
      <c r="W62" s="4" t="s">
        <v>121</v>
      </c>
      <c r="X62" s="6" t="s">
        <v>47</v>
      </c>
      <c r="Y62" s="14" t="n">
        <v>5500</v>
      </c>
      <c r="Z62" s="6" t="s">
        <v>112</v>
      </c>
      <c r="AA62" s="6" t="s">
        <v>113</v>
      </c>
      <c r="AB62" s="15" t="str">
        <f aca="true" t="array" ref="AB62:AB62">LEFT(AA62,LOOKUP(2^15,FIND(".",AA62,ROW(INDIRECT("1:"&amp;LEN(AA62)))))-1)</f>
        <v>NB_2023_020 - 20230929 - 1</v>
      </c>
      <c r="AC62" s="6" t="s">
        <v>114</v>
      </c>
      <c r="AD62" s="15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4" t="s">
        <v>127</v>
      </c>
      <c r="B63" s="5"/>
      <c r="C63" s="4" t="s">
        <v>128</v>
      </c>
      <c r="D63" s="6" t="s">
        <v>18</v>
      </c>
      <c r="E63" s="6" t="s">
        <v>105</v>
      </c>
      <c r="F63" s="7" t="s">
        <v>106</v>
      </c>
      <c r="G63" s="6" t="s">
        <v>115</v>
      </c>
      <c r="H63" s="16" t="s">
        <v>91</v>
      </c>
      <c r="I63" s="6" t="str">
        <f aca="false">CONCATENATE(E63, "_",H63)</f>
        <v>NLA_2023_012_005</v>
      </c>
      <c r="J63" s="4" t="s">
        <v>38</v>
      </c>
      <c r="K63" s="4" t="s">
        <v>122</v>
      </c>
      <c r="L63" s="4" t="s">
        <v>69</v>
      </c>
      <c r="M63" s="17" t="s">
        <v>110</v>
      </c>
      <c r="N63" s="4" t="s">
        <v>41</v>
      </c>
      <c r="O63" s="4" t="s">
        <v>42</v>
      </c>
      <c r="P63" s="4" t="s">
        <v>43</v>
      </c>
      <c r="Q63" s="4" t="s">
        <v>43</v>
      </c>
      <c r="R63" s="6" t="s">
        <v>44</v>
      </c>
      <c r="S63" s="14" t="s">
        <v>90</v>
      </c>
      <c r="T63" s="4" t="s">
        <v>46</v>
      </c>
      <c r="U63" s="4" t="n">
        <v>650</v>
      </c>
      <c r="V63" s="4" t="n">
        <v>2</v>
      </c>
      <c r="W63" s="4" t="s">
        <v>123</v>
      </c>
      <c r="X63" s="6" t="s">
        <v>47</v>
      </c>
      <c r="Y63" s="14" t="n">
        <v>5500</v>
      </c>
      <c r="Z63" s="6" t="s">
        <v>112</v>
      </c>
      <c r="AA63" s="6" t="s">
        <v>113</v>
      </c>
      <c r="AB63" s="15" t="str">
        <f aca="true" t="array" ref="AB63:AB63">LEFT(AA63,LOOKUP(2^15,FIND(".",AA63,ROW(INDIRECT("1:"&amp;LEN(AA63)))))-1)</f>
        <v>NB_2023_020 - 20230929 - 1</v>
      </c>
      <c r="AC63" s="6" t="s">
        <v>114</v>
      </c>
      <c r="AD63" s="15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4" t="s">
        <v>127</v>
      </c>
      <c r="B64" s="5"/>
      <c r="C64" s="4" t="s">
        <v>128</v>
      </c>
      <c r="D64" s="6" t="s">
        <v>18</v>
      </c>
      <c r="E64" s="6" t="s">
        <v>105</v>
      </c>
      <c r="F64" s="7" t="s">
        <v>106</v>
      </c>
      <c r="G64" s="6" t="s">
        <v>115</v>
      </c>
      <c r="H64" s="16" t="s">
        <v>101</v>
      </c>
      <c r="I64" s="6" t="str">
        <f aca="false">CONCATENATE(E64, "_",H64)</f>
        <v>NLA_2023_012_006</v>
      </c>
      <c r="J64" s="4" t="s">
        <v>38</v>
      </c>
      <c r="K64" s="4" t="s">
        <v>124</v>
      </c>
      <c r="L64" s="4" t="s">
        <v>69</v>
      </c>
      <c r="M64" s="17" t="s">
        <v>110</v>
      </c>
      <c r="N64" s="4" t="s">
        <v>41</v>
      </c>
      <c r="O64" s="4" t="s">
        <v>42</v>
      </c>
      <c r="P64" s="4" t="s">
        <v>43</v>
      </c>
      <c r="Q64" s="4" t="s">
        <v>43</v>
      </c>
      <c r="R64" s="6" t="s">
        <v>44</v>
      </c>
      <c r="S64" s="14" t="s">
        <v>90</v>
      </c>
      <c r="T64" s="4" t="s">
        <v>46</v>
      </c>
      <c r="U64" s="4" t="n">
        <v>650</v>
      </c>
      <c r="V64" s="4" t="n">
        <v>3</v>
      </c>
      <c r="W64" s="4" t="s">
        <v>125</v>
      </c>
      <c r="X64" s="6" t="s">
        <v>47</v>
      </c>
      <c r="Y64" s="14" t="n">
        <v>5500</v>
      </c>
      <c r="Z64" s="6" t="s">
        <v>112</v>
      </c>
      <c r="AA64" s="6" t="s">
        <v>113</v>
      </c>
      <c r="AB64" s="15" t="str">
        <f aca="true" t="array" ref="AB64:AB64">LEFT(AA64,LOOKUP(2^15,FIND(".",AA64,ROW(INDIRECT("1:"&amp;LEN(AA64)))))-1)</f>
        <v>NB_2023_020 - 20230929 - 1</v>
      </c>
      <c r="AC64" s="6" t="s">
        <v>114</v>
      </c>
      <c r="AD64" s="15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4" t="s">
        <v>127</v>
      </c>
      <c r="B65" s="5"/>
      <c r="C65" s="4" t="s">
        <v>128</v>
      </c>
      <c r="D65" s="6" t="s">
        <v>18</v>
      </c>
      <c r="E65" s="6" t="s">
        <v>105</v>
      </c>
      <c r="F65" s="7" t="s">
        <v>106</v>
      </c>
      <c r="G65" s="6" t="s">
        <v>115</v>
      </c>
      <c r="H65" s="16" t="s">
        <v>129</v>
      </c>
      <c r="I65" s="6" t="str">
        <f aca="false">CONCATENATE(E65, "_",H65)</f>
        <v>NLA_2023_012_010</v>
      </c>
      <c r="J65" s="4" t="s">
        <v>38</v>
      </c>
      <c r="K65" s="4" t="s">
        <v>130</v>
      </c>
      <c r="L65" s="4" t="s">
        <v>69</v>
      </c>
      <c r="M65" s="17" t="s">
        <v>110</v>
      </c>
      <c r="N65" s="4" t="s">
        <v>41</v>
      </c>
      <c r="O65" s="4" t="s">
        <v>42</v>
      </c>
      <c r="P65" s="4" t="s">
        <v>43</v>
      </c>
      <c r="Q65" s="4" t="s">
        <v>43</v>
      </c>
      <c r="R65" s="6" t="s">
        <v>44</v>
      </c>
      <c r="S65" s="4" t="s">
        <v>45</v>
      </c>
      <c r="T65" s="4" t="s">
        <v>46</v>
      </c>
      <c r="U65" s="4" t="n">
        <v>650</v>
      </c>
      <c r="V65" s="4" t="n">
        <v>1</v>
      </c>
      <c r="W65" s="4" t="s">
        <v>131</v>
      </c>
      <c r="X65" s="6" t="s">
        <v>47</v>
      </c>
      <c r="Y65" s="14" t="n">
        <v>5500</v>
      </c>
      <c r="Z65" s="6" t="s">
        <v>112</v>
      </c>
      <c r="AA65" s="6" t="s">
        <v>113</v>
      </c>
      <c r="AB65" s="15" t="str">
        <f aca="true" t="array" ref="AB65:AB65">LEFT(AA65,LOOKUP(2^15,FIND(".",AA65,ROW(INDIRECT("1:"&amp;LEN(AA65)))))-1)</f>
        <v>NB_2023_020 - 20230929 - 1</v>
      </c>
      <c r="AC65" s="6" t="s">
        <v>114</v>
      </c>
      <c r="AD65" s="15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4" t="s">
        <v>127</v>
      </c>
      <c r="B66" s="5"/>
      <c r="C66" s="4" t="s">
        <v>128</v>
      </c>
      <c r="D66" s="6" t="s">
        <v>18</v>
      </c>
      <c r="E66" s="6" t="s">
        <v>105</v>
      </c>
      <c r="F66" s="7" t="s">
        <v>106</v>
      </c>
      <c r="G66" s="6" t="s">
        <v>115</v>
      </c>
      <c r="H66" s="16" t="s">
        <v>132</v>
      </c>
      <c r="I66" s="6" t="str">
        <f aca="false">CONCATENATE(E66, "_",H66)</f>
        <v>NLA_2023_012_011</v>
      </c>
      <c r="J66" s="4" t="s">
        <v>38</v>
      </c>
      <c r="K66" s="4" t="s">
        <v>133</v>
      </c>
      <c r="L66" s="4" t="s">
        <v>69</v>
      </c>
      <c r="M66" s="17" t="s">
        <v>110</v>
      </c>
      <c r="N66" s="4" t="s">
        <v>41</v>
      </c>
      <c r="O66" s="4" t="s">
        <v>42</v>
      </c>
      <c r="P66" s="4" t="s">
        <v>43</v>
      </c>
      <c r="Q66" s="4" t="s">
        <v>43</v>
      </c>
      <c r="R66" s="6" t="s">
        <v>44</v>
      </c>
      <c r="S66" s="4" t="s">
        <v>45</v>
      </c>
      <c r="T66" s="4" t="s">
        <v>46</v>
      </c>
      <c r="U66" s="4" t="n">
        <v>650</v>
      </c>
      <c r="V66" s="4" t="n">
        <v>2</v>
      </c>
      <c r="W66" s="4" t="s">
        <v>134</v>
      </c>
      <c r="X66" s="6" t="s">
        <v>47</v>
      </c>
      <c r="Y66" s="14" t="n">
        <v>5500</v>
      </c>
      <c r="Z66" s="6" t="s">
        <v>112</v>
      </c>
      <c r="AA66" s="6" t="s">
        <v>113</v>
      </c>
      <c r="AB66" s="15" t="str">
        <f aca="true" t="array" ref="AB66:AB66">LEFT(AA66,LOOKUP(2^15,FIND(".",AA66,ROW(INDIRECT("1:"&amp;LEN(AA66)))))-1)</f>
        <v>NB_2023_020 - 20230929 - 1</v>
      </c>
      <c r="AC66" s="6" t="s">
        <v>114</v>
      </c>
      <c r="AD66" s="15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4" t="s">
        <v>127</v>
      </c>
      <c r="B67" s="5"/>
      <c r="C67" s="4" t="s">
        <v>128</v>
      </c>
      <c r="D67" s="6" t="s">
        <v>18</v>
      </c>
      <c r="E67" s="6" t="s">
        <v>105</v>
      </c>
      <c r="F67" s="7" t="s">
        <v>106</v>
      </c>
      <c r="G67" s="6" t="s">
        <v>115</v>
      </c>
      <c r="H67" s="16" t="s">
        <v>51</v>
      </c>
      <c r="I67" s="6" t="str">
        <f aca="false">CONCATENATE(E67, "_",H67)</f>
        <v>NLA_2023_012_012</v>
      </c>
      <c r="J67" s="4" t="s">
        <v>38</v>
      </c>
      <c r="K67" s="4" t="s">
        <v>135</v>
      </c>
      <c r="L67" s="4" t="s">
        <v>69</v>
      </c>
      <c r="M67" s="17" t="s">
        <v>110</v>
      </c>
      <c r="N67" s="4" t="s">
        <v>41</v>
      </c>
      <c r="O67" s="4" t="s">
        <v>42</v>
      </c>
      <c r="P67" s="4" t="s">
        <v>43</v>
      </c>
      <c r="Q67" s="4" t="s">
        <v>43</v>
      </c>
      <c r="R67" s="6" t="s">
        <v>44</v>
      </c>
      <c r="S67" s="4" t="s">
        <v>45</v>
      </c>
      <c r="T67" s="4" t="s">
        <v>46</v>
      </c>
      <c r="U67" s="4" t="n">
        <v>650</v>
      </c>
      <c r="V67" s="4" t="n">
        <v>3</v>
      </c>
      <c r="W67" s="4" t="s">
        <v>136</v>
      </c>
      <c r="X67" s="6" t="s">
        <v>47</v>
      </c>
      <c r="Y67" s="14" t="n">
        <v>5500</v>
      </c>
      <c r="Z67" s="6" t="s">
        <v>112</v>
      </c>
      <c r="AA67" s="6" t="s">
        <v>113</v>
      </c>
      <c r="AB67" s="15" t="str">
        <f aca="true" t="array" ref="AB67:AB67">LEFT(AA67,LOOKUP(2^15,FIND(".",AA67,ROW(INDIRECT("1:"&amp;LEN(AA67)))))-1)</f>
        <v>NB_2023_020 - 20230929 - 1</v>
      </c>
      <c r="AC67" s="6" t="s">
        <v>114</v>
      </c>
      <c r="AD67" s="15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4" t="s">
        <v>127</v>
      </c>
      <c r="B68" s="5"/>
      <c r="C68" s="4" t="s">
        <v>128</v>
      </c>
      <c r="D68" s="6" t="s">
        <v>18</v>
      </c>
      <c r="E68" s="6" t="s">
        <v>105</v>
      </c>
      <c r="F68" s="7" t="s">
        <v>106</v>
      </c>
      <c r="G68" s="6" t="s">
        <v>105</v>
      </c>
      <c r="H68" s="16" t="s">
        <v>64</v>
      </c>
      <c r="I68" s="6" t="str">
        <f aca="false">CONCATENATE(E68, "_",H68)</f>
        <v>NLA_2023_012_Blank_1</v>
      </c>
      <c r="J68" s="4" t="s">
        <v>52</v>
      </c>
      <c r="K68" s="18" t="s">
        <v>64</v>
      </c>
      <c r="L68" s="7" t="s">
        <v>46</v>
      </c>
      <c r="M68" s="17" t="s">
        <v>46</v>
      </c>
      <c r="N68" s="6" t="s">
        <v>65</v>
      </c>
      <c r="O68" s="6" t="s">
        <v>46</v>
      </c>
      <c r="P68" s="6" t="s">
        <v>46</v>
      </c>
      <c r="Q68" s="6" t="s">
        <v>46</v>
      </c>
      <c r="R68" s="6" t="s">
        <v>46</v>
      </c>
      <c r="S68" s="6" t="s">
        <v>46</v>
      </c>
      <c r="T68" s="6" t="s">
        <v>46</v>
      </c>
      <c r="U68" s="6" t="s">
        <v>46</v>
      </c>
      <c r="V68" s="1" t="n">
        <v>1</v>
      </c>
      <c r="W68" s="19" t="s">
        <v>126</v>
      </c>
      <c r="X68" s="6" t="s">
        <v>46</v>
      </c>
      <c r="Y68" s="14" t="n">
        <v>5500</v>
      </c>
      <c r="Z68" s="6" t="s">
        <v>112</v>
      </c>
      <c r="AA68" s="6" t="s">
        <v>113</v>
      </c>
      <c r="AB68" s="15" t="str">
        <f aca="true" t="array" ref="AB68:AB68">LEFT(AA68,LOOKUP(2^15,FIND(".",AA68,ROW(INDIRECT("1:"&amp;LEN(AA68)))))-1)</f>
        <v>NB_2023_020 - 20230929 - 1</v>
      </c>
      <c r="AC68" s="6" t="s">
        <v>114</v>
      </c>
      <c r="AD68" s="15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4" t="s">
        <v>127</v>
      </c>
      <c r="B69" s="5"/>
      <c r="C69" s="4" t="s">
        <v>128</v>
      </c>
      <c r="D69" s="6" t="s">
        <v>18</v>
      </c>
      <c r="E69" s="6" t="s">
        <v>105</v>
      </c>
      <c r="F69" s="7" t="s">
        <v>106</v>
      </c>
      <c r="G69" s="6" t="s">
        <v>105</v>
      </c>
      <c r="H69" s="16" t="s">
        <v>66</v>
      </c>
      <c r="I69" s="6" t="str">
        <f aca="false">CONCATENATE(E69, "_",H69)</f>
        <v>NLA_2023_012_Blank_2</v>
      </c>
      <c r="J69" s="4" t="s">
        <v>52</v>
      </c>
      <c r="K69" s="18" t="s">
        <v>66</v>
      </c>
      <c r="L69" s="7" t="s">
        <v>46</v>
      </c>
      <c r="M69" s="17" t="s">
        <v>46</v>
      </c>
      <c r="N69" s="6" t="s">
        <v>65</v>
      </c>
      <c r="O69" s="6" t="s">
        <v>46</v>
      </c>
      <c r="P69" s="6" t="s">
        <v>46</v>
      </c>
      <c r="Q69" s="6" t="s">
        <v>46</v>
      </c>
      <c r="R69" s="6" t="s">
        <v>46</v>
      </c>
      <c r="S69" s="6" t="s">
        <v>46</v>
      </c>
      <c r="T69" s="6" t="s">
        <v>46</v>
      </c>
      <c r="U69" s="6" t="s">
        <v>46</v>
      </c>
      <c r="V69" s="1" t="n">
        <v>2</v>
      </c>
      <c r="W69" s="19" t="s">
        <v>126</v>
      </c>
      <c r="X69" s="6" t="s">
        <v>46</v>
      </c>
      <c r="Y69" s="14" t="n">
        <v>5500</v>
      </c>
      <c r="Z69" s="6" t="s">
        <v>112</v>
      </c>
      <c r="AA69" s="6" t="s">
        <v>113</v>
      </c>
      <c r="AB69" s="15" t="str">
        <f aca="true" t="array" ref="AB69:AB69">LEFT(AA69,LOOKUP(2^15,FIND(".",AA69,ROW(INDIRECT("1:"&amp;LEN(AA69)))))-1)</f>
        <v>NB_2023_020 - 20230929 - 1</v>
      </c>
      <c r="AC69" s="6" t="s">
        <v>114</v>
      </c>
      <c r="AD69" s="15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4" t="s">
        <v>127</v>
      </c>
      <c r="B70" s="5"/>
      <c r="C70" s="4" t="s">
        <v>128</v>
      </c>
      <c r="D70" s="6" t="s">
        <v>18</v>
      </c>
      <c r="E70" s="6" t="s">
        <v>105</v>
      </c>
      <c r="F70" s="7" t="s">
        <v>106</v>
      </c>
      <c r="G70" s="6" t="s">
        <v>105</v>
      </c>
      <c r="H70" s="16" t="s">
        <v>67</v>
      </c>
      <c r="I70" s="6" t="str">
        <f aca="false">CONCATENATE(E70, "_",H70)</f>
        <v>NLA_2023_012_Blank_3</v>
      </c>
      <c r="J70" s="4" t="s">
        <v>52</v>
      </c>
      <c r="K70" s="18" t="s">
        <v>67</v>
      </c>
      <c r="L70" s="7" t="s">
        <v>46</v>
      </c>
      <c r="M70" s="17" t="s">
        <v>46</v>
      </c>
      <c r="N70" s="6" t="s">
        <v>65</v>
      </c>
      <c r="O70" s="6" t="s">
        <v>46</v>
      </c>
      <c r="P70" s="6" t="s">
        <v>46</v>
      </c>
      <c r="Q70" s="6" t="s">
        <v>46</v>
      </c>
      <c r="R70" s="6" t="s">
        <v>46</v>
      </c>
      <c r="S70" s="6" t="s">
        <v>46</v>
      </c>
      <c r="T70" s="6" t="s">
        <v>46</v>
      </c>
      <c r="U70" s="6" t="s">
        <v>46</v>
      </c>
      <c r="V70" s="1" t="n">
        <v>3</v>
      </c>
      <c r="W70" s="19" t="s">
        <v>126</v>
      </c>
      <c r="X70" s="6" t="s">
        <v>46</v>
      </c>
      <c r="Y70" s="14" t="n">
        <v>5500</v>
      </c>
      <c r="Z70" s="6" t="s">
        <v>112</v>
      </c>
      <c r="AA70" s="6" t="s">
        <v>113</v>
      </c>
      <c r="AB70" s="15" t="str">
        <f aca="true" t="array" ref="AB70:AB70">LEFT(AA70,LOOKUP(2^15,FIND(".",AA70,ROW(INDIRECT("1:"&amp;LEN(AA70)))))-1)</f>
        <v>NB_2023_020 - 20230929 - 1</v>
      </c>
      <c r="AC70" s="6" t="s">
        <v>114</v>
      </c>
      <c r="AD70" s="15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4" t="s">
        <v>127</v>
      </c>
      <c r="B71" s="5"/>
      <c r="C71" s="4" t="s">
        <v>128</v>
      </c>
      <c r="D71" s="6" t="s">
        <v>18</v>
      </c>
      <c r="E71" s="6" t="s">
        <v>105</v>
      </c>
      <c r="F71" s="7" t="s">
        <v>106</v>
      </c>
      <c r="G71" s="6" t="s">
        <v>105</v>
      </c>
      <c r="H71" s="16" t="s">
        <v>68</v>
      </c>
      <c r="I71" s="6" t="str">
        <f aca="false">CONCATENATE(E71, "_",H71)</f>
        <v>NLA_2023_012_QC_C_1</v>
      </c>
      <c r="J71" s="4" t="s">
        <v>52</v>
      </c>
      <c r="K71" s="18" t="s">
        <v>68</v>
      </c>
      <c r="L71" s="7" t="s">
        <v>69</v>
      </c>
      <c r="M71" s="17" t="s">
        <v>46</v>
      </c>
      <c r="N71" s="6" t="s">
        <v>70</v>
      </c>
      <c r="O71" s="6" t="s">
        <v>46</v>
      </c>
      <c r="P71" s="6" t="s">
        <v>71</v>
      </c>
      <c r="Q71" s="6" t="s">
        <v>71</v>
      </c>
      <c r="R71" s="6" t="s">
        <v>72</v>
      </c>
      <c r="S71" s="6" t="s">
        <v>73</v>
      </c>
      <c r="T71" s="6" t="s">
        <v>46</v>
      </c>
      <c r="U71" s="6" t="n">
        <v>1000</v>
      </c>
      <c r="V71" s="1" t="n">
        <v>1</v>
      </c>
      <c r="W71" s="19" t="s">
        <v>126</v>
      </c>
      <c r="X71" s="6" t="s">
        <v>74</v>
      </c>
      <c r="Y71" s="14" t="n">
        <v>5500</v>
      </c>
      <c r="Z71" s="6" t="s">
        <v>112</v>
      </c>
      <c r="AA71" s="6" t="s">
        <v>113</v>
      </c>
      <c r="AB71" s="15" t="str">
        <f aca="true" t="array" ref="AB71:AB71">LEFT(AA71,LOOKUP(2^15,FIND(".",AA71,ROW(INDIRECT("1:"&amp;LEN(AA71)))))-1)</f>
        <v>NB_2023_020 - 20230929 - 1</v>
      </c>
      <c r="AC71" s="6" t="s">
        <v>114</v>
      </c>
      <c r="AD71" s="15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4" t="s">
        <v>127</v>
      </c>
      <c r="B72" s="5"/>
      <c r="C72" s="4" t="s">
        <v>128</v>
      </c>
      <c r="D72" s="6" t="s">
        <v>18</v>
      </c>
      <c r="E72" s="6" t="s">
        <v>105</v>
      </c>
      <c r="F72" s="7" t="s">
        <v>106</v>
      </c>
      <c r="G72" s="6" t="s">
        <v>105</v>
      </c>
      <c r="H72" s="16" t="s">
        <v>75</v>
      </c>
      <c r="I72" s="6" t="str">
        <f aca="false">CONCATENATE(E72, "_",H72)</f>
        <v>NLA_2023_012_QC_C_2</v>
      </c>
      <c r="J72" s="4" t="s">
        <v>52</v>
      </c>
      <c r="K72" s="18" t="s">
        <v>75</v>
      </c>
      <c r="L72" s="7" t="s">
        <v>69</v>
      </c>
      <c r="M72" s="17" t="s">
        <v>46</v>
      </c>
      <c r="N72" s="6" t="s">
        <v>70</v>
      </c>
      <c r="O72" s="6" t="s">
        <v>46</v>
      </c>
      <c r="P72" s="6" t="s">
        <v>71</v>
      </c>
      <c r="Q72" s="6" t="s">
        <v>71</v>
      </c>
      <c r="R72" s="6" t="s">
        <v>72</v>
      </c>
      <c r="S72" s="6" t="s">
        <v>73</v>
      </c>
      <c r="T72" s="6" t="s">
        <v>46</v>
      </c>
      <c r="U72" s="6" t="n">
        <v>1000</v>
      </c>
      <c r="V72" s="1" t="n">
        <v>2</v>
      </c>
      <c r="W72" s="19" t="s">
        <v>126</v>
      </c>
      <c r="X72" s="6" t="s">
        <v>74</v>
      </c>
      <c r="Y72" s="14" t="n">
        <v>5500</v>
      </c>
      <c r="Z72" s="6" t="s">
        <v>112</v>
      </c>
      <c r="AA72" s="6" t="s">
        <v>113</v>
      </c>
      <c r="AB72" s="15" t="str">
        <f aca="true" t="array" ref="AB72:AB72">LEFT(AA72,LOOKUP(2^15,FIND(".",AA72,ROW(INDIRECT("1:"&amp;LEN(AA72)))))-1)</f>
        <v>NB_2023_020 - 20230929 - 1</v>
      </c>
      <c r="AC72" s="6" t="s">
        <v>114</v>
      </c>
      <c r="AD72" s="15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4" t="s">
        <v>127</v>
      </c>
      <c r="B73" s="5"/>
      <c r="C73" s="4" t="s">
        <v>128</v>
      </c>
      <c r="D73" s="6" t="s">
        <v>18</v>
      </c>
      <c r="E73" s="6" t="s">
        <v>105</v>
      </c>
      <c r="F73" s="7" t="s">
        <v>106</v>
      </c>
      <c r="G73" s="6" t="s">
        <v>105</v>
      </c>
      <c r="H73" s="16" t="s">
        <v>76</v>
      </c>
      <c r="I73" s="6" t="str">
        <f aca="false">CONCATENATE(E73, "_",H73)</f>
        <v>NLA_2023_012_QC_C_3</v>
      </c>
      <c r="J73" s="4" t="s">
        <v>52</v>
      </c>
      <c r="K73" s="18" t="s">
        <v>76</v>
      </c>
      <c r="L73" s="7" t="s">
        <v>69</v>
      </c>
      <c r="M73" s="17" t="s">
        <v>46</v>
      </c>
      <c r="N73" s="6" t="s">
        <v>70</v>
      </c>
      <c r="O73" s="6" t="s">
        <v>46</v>
      </c>
      <c r="P73" s="6" t="s">
        <v>71</v>
      </c>
      <c r="Q73" s="6" t="s">
        <v>71</v>
      </c>
      <c r="R73" s="6" t="s">
        <v>72</v>
      </c>
      <c r="S73" s="6" t="s">
        <v>73</v>
      </c>
      <c r="T73" s="6" t="s">
        <v>46</v>
      </c>
      <c r="U73" s="6" t="n">
        <v>1000</v>
      </c>
      <c r="V73" s="1" t="n">
        <v>3</v>
      </c>
      <c r="W73" s="19" t="s">
        <v>126</v>
      </c>
      <c r="X73" s="6" t="s">
        <v>74</v>
      </c>
      <c r="Y73" s="14" t="n">
        <v>5500</v>
      </c>
      <c r="Z73" s="6" t="s">
        <v>112</v>
      </c>
      <c r="AA73" s="6" t="s">
        <v>113</v>
      </c>
      <c r="AB73" s="15" t="str">
        <f aca="true" t="array" ref="AB73:AB73">LEFT(AA73,LOOKUP(2^15,FIND(".",AA73,ROW(INDIRECT("1:"&amp;LEN(AA73)))))-1)</f>
        <v>NB_2023_020 - 20230929 - 1</v>
      </c>
      <c r="AC73" s="6" t="s">
        <v>114</v>
      </c>
      <c r="AD73" s="15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4" t="s">
        <v>127</v>
      </c>
      <c r="B74" s="5"/>
      <c r="C74" s="4" t="s">
        <v>128</v>
      </c>
      <c r="D74" s="6" t="s">
        <v>18</v>
      </c>
      <c r="E74" s="6" t="s">
        <v>105</v>
      </c>
      <c r="F74" s="7" t="s">
        <v>106</v>
      </c>
      <c r="G74" s="6" t="s">
        <v>105</v>
      </c>
      <c r="H74" s="16" t="s">
        <v>77</v>
      </c>
      <c r="I74" s="6" t="str">
        <f aca="false">CONCATENATE(E74, "_",H74)</f>
        <v>NLA_2023_012_QC_P_1</v>
      </c>
      <c r="J74" s="4" t="s">
        <v>52</v>
      </c>
      <c r="K74" s="18" t="s">
        <v>77</v>
      </c>
      <c r="L74" s="7" t="s">
        <v>69</v>
      </c>
      <c r="M74" s="17" t="s">
        <v>46</v>
      </c>
      <c r="N74" s="6" t="s">
        <v>78</v>
      </c>
      <c r="O74" s="6" t="s">
        <v>46</v>
      </c>
      <c r="P74" s="6" t="s">
        <v>79</v>
      </c>
      <c r="Q74" s="6" t="s">
        <v>80</v>
      </c>
      <c r="R74" s="6" t="s">
        <v>81</v>
      </c>
      <c r="S74" s="6" t="s">
        <v>46</v>
      </c>
      <c r="T74" s="6" t="s">
        <v>46</v>
      </c>
      <c r="U74" s="6" t="s">
        <v>82</v>
      </c>
      <c r="V74" s="1" t="n">
        <v>1</v>
      </c>
      <c r="W74" s="19" t="s">
        <v>126</v>
      </c>
      <c r="X74" s="6" t="s">
        <v>83</v>
      </c>
      <c r="Y74" s="14" t="n">
        <v>5500</v>
      </c>
      <c r="Z74" s="6" t="s">
        <v>112</v>
      </c>
      <c r="AA74" s="6" t="s">
        <v>113</v>
      </c>
      <c r="AB74" s="15" t="str">
        <f aca="true" t="array" ref="AB74:AB74">LEFT(AA74,LOOKUP(2^15,FIND(".",AA74,ROW(INDIRECT("1:"&amp;LEN(AA74)))))-1)</f>
        <v>NB_2023_020 - 20230929 - 1</v>
      </c>
      <c r="AC74" s="6" t="s">
        <v>114</v>
      </c>
      <c r="AD74" s="15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4" t="s">
        <v>127</v>
      </c>
      <c r="B75" s="5"/>
      <c r="C75" s="4" t="s">
        <v>128</v>
      </c>
      <c r="D75" s="6" t="s">
        <v>18</v>
      </c>
      <c r="E75" s="6" t="s">
        <v>105</v>
      </c>
      <c r="F75" s="7" t="s">
        <v>106</v>
      </c>
      <c r="G75" s="6" t="s">
        <v>105</v>
      </c>
      <c r="H75" s="16" t="s">
        <v>84</v>
      </c>
      <c r="I75" s="6" t="str">
        <f aca="false">CONCATENATE(E75, "_",H75)</f>
        <v>NLA_2023_012_QC_P_2</v>
      </c>
      <c r="J75" s="4" t="s">
        <v>52</v>
      </c>
      <c r="K75" s="18" t="s">
        <v>84</v>
      </c>
      <c r="L75" s="7" t="s">
        <v>69</v>
      </c>
      <c r="M75" s="17" t="s">
        <v>46</v>
      </c>
      <c r="N75" s="6" t="s">
        <v>78</v>
      </c>
      <c r="O75" s="6" t="s">
        <v>46</v>
      </c>
      <c r="P75" s="6" t="s">
        <v>79</v>
      </c>
      <c r="Q75" s="6" t="s">
        <v>80</v>
      </c>
      <c r="R75" s="6" t="s">
        <v>81</v>
      </c>
      <c r="S75" s="6" t="s">
        <v>46</v>
      </c>
      <c r="T75" s="6" t="s">
        <v>46</v>
      </c>
      <c r="U75" s="6" t="s">
        <v>82</v>
      </c>
      <c r="V75" s="1" t="n">
        <v>2</v>
      </c>
      <c r="W75" s="19" t="s">
        <v>126</v>
      </c>
      <c r="X75" s="6" t="s">
        <v>83</v>
      </c>
      <c r="Y75" s="14" t="n">
        <v>5500</v>
      </c>
      <c r="Z75" s="6" t="s">
        <v>112</v>
      </c>
      <c r="AA75" s="6" t="s">
        <v>113</v>
      </c>
      <c r="AB75" s="15" t="str">
        <f aca="true" t="array" ref="AB75:AB75">LEFT(AA75,LOOKUP(2^15,FIND(".",AA75,ROW(INDIRECT("1:"&amp;LEN(AA75)))))-1)</f>
        <v>NB_2023_020 - 20230929 - 1</v>
      </c>
      <c r="AC75" s="6" t="s">
        <v>114</v>
      </c>
      <c r="AD75" s="15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4" t="s">
        <v>127</v>
      </c>
      <c r="B76" s="5"/>
      <c r="C76" s="4" t="s">
        <v>128</v>
      </c>
      <c r="D76" s="6" t="s">
        <v>18</v>
      </c>
      <c r="E76" s="6" t="s">
        <v>105</v>
      </c>
      <c r="F76" s="7" t="s">
        <v>106</v>
      </c>
      <c r="G76" s="6" t="s">
        <v>105</v>
      </c>
      <c r="H76" s="16" t="s">
        <v>85</v>
      </c>
      <c r="I76" s="6" t="str">
        <f aca="false">CONCATENATE(E76, "_",H76)</f>
        <v>NLA_2023_012_QC_P_3</v>
      </c>
      <c r="J76" s="4" t="s">
        <v>52</v>
      </c>
      <c r="K76" s="18" t="s">
        <v>85</v>
      </c>
      <c r="L76" s="7" t="s">
        <v>69</v>
      </c>
      <c r="M76" s="17" t="s">
        <v>46</v>
      </c>
      <c r="N76" s="6" t="s">
        <v>78</v>
      </c>
      <c r="O76" s="6" t="s">
        <v>46</v>
      </c>
      <c r="P76" s="6" t="s">
        <v>79</v>
      </c>
      <c r="Q76" s="6" t="s">
        <v>80</v>
      </c>
      <c r="R76" s="6" t="s">
        <v>81</v>
      </c>
      <c r="S76" s="6" t="s">
        <v>46</v>
      </c>
      <c r="T76" s="6" t="s">
        <v>46</v>
      </c>
      <c r="U76" s="6" t="s">
        <v>82</v>
      </c>
      <c r="V76" s="1" t="n">
        <v>3</v>
      </c>
      <c r="W76" s="19" t="s">
        <v>126</v>
      </c>
      <c r="X76" s="6" t="s">
        <v>83</v>
      </c>
      <c r="Y76" s="14" t="n">
        <v>5500</v>
      </c>
      <c r="Z76" s="6" t="s">
        <v>112</v>
      </c>
      <c r="AA76" s="6" t="s">
        <v>113</v>
      </c>
      <c r="AB76" s="15" t="str">
        <f aca="true" t="array" ref="AB76:AB76">LEFT(AA76,LOOKUP(2^15,FIND(".",AA76,ROW(INDIRECT("1:"&amp;LEN(AA76)))))-1)</f>
        <v>NB_2023_020 - 20230929 - 1</v>
      </c>
      <c r="AC76" s="6" t="s">
        <v>114</v>
      </c>
      <c r="AD76" s="15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4" t="s">
        <v>137</v>
      </c>
      <c r="B77" s="5"/>
      <c r="C77" s="4" t="s">
        <v>138</v>
      </c>
      <c r="D77" s="6" t="s">
        <v>14</v>
      </c>
      <c r="E77" s="6" t="s">
        <v>105</v>
      </c>
      <c r="F77" s="7" t="s">
        <v>106</v>
      </c>
      <c r="G77" s="6" t="s">
        <v>115</v>
      </c>
      <c r="H77" s="16" t="s">
        <v>139</v>
      </c>
      <c r="I77" s="6" t="str">
        <f aca="false">CONCATENATE(E77, "_",H77)</f>
        <v>NLA_2023_012_007</v>
      </c>
      <c r="J77" s="4" t="s">
        <v>52</v>
      </c>
      <c r="K77" s="4" t="s">
        <v>140</v>
      </c>
      <c r="L77" s="4" t="s">
        <v>69</v>
      </c>
      <c r="M77" s="17" t="s">
        <v>110</v>
      </c>
      <c r="N77" s="4" t="s">
        <v>41</v>
      </c>
      <c r="O77" s="4" t="s">
        <v>54</v>
      </c>
      <c r="P77" s="4" t="s">
        <v>43</v>
      </c>
      <c r="Q77" s="14" t="s">
        <v>55</v>
      </c>
      <c r="R77" s="6" t="s">
        <v>44</v>
      </c>
      <c r="S77" s="4" t="s">
        <v>45</v>
      </c>
      <c r="T77" s="4" t="s">
        <v>46</v>
      </c>
      <c r="U77" s="4" t="n">
        <v>650</v>
      </c>
      <c r="V77" s="4" t="n">
        <v>1</v>
      </c>
      <c r="W77" s="4" t="s">
        <v>141</v>
      </c>
      <c r="X77" s="6" t="s">
        <v>47</v>
      </c>
      <c r="Y77" s="14" t="n">
        <v>5500</v>
      </c>
      <c r="Z77" s="6" t="s">
        <v>112</v>
      </c>
      <c r="AA77" s="6" t="s">
        <v>113</v>
      </c>
      <c r="AB77" s="15" t="str">
        <f aca="true" t="array" ref="AB77:AB77">LEFT(AA77,LOOKUP(2^15,FIND(".",AA77,ROW(INDIRECT("1:"&amp;LEN(AA77)))))-1)</f>
        <v>NB_2023_020 - 20230929 - 1</v>
      </c>
      <c r="AC77" s="6" t="s">
        <v>114</v>
      </c>
      <c r="AD77" s="15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4" t="s">
        <v>137</v>
      </c>
      <c r="B78" s="5"/>
      <c r="C78" s="4" t="s">
        <v>138</v>
      </c>
      <c r="D78" s="6" t="s">
        <v>14</v>
      </c>
      <c r="E78" s="6" t="s">
        <v>105</v>
      </c>
      <c r="F78" s="7" t="s">
        <v>106</v>
      </c>
      <c r="G78" s="6" t="s">
        <v>115</v>
      </c>
      <c r="H78" s="16" t="s">
        <v>142</v>
      </c>
      <c r="I78" s="6" t="str">
        <f aca="false">CONCATENATE(E78, "_",H78)</f>
        <v>NLA_2023_012_008</v>
      </c>
      <c r="J78" s="4" t="s">
        <v>52</v>
      </c>
      <c r="K78" s="4" t="s">
        <v>143</v>
      </c>
      <c r="L78" s="4" t="s">
        <v>69</v>
      </c>
      <c r="M78" s="17" t="s">
        <v>110</v>
      </c>
      <c r="N78" s="4" t="s">
        <v>41</v>
      </c>
      <c r="O78" s="4" t="s">
        <v>54</v>
      </c>
      <c r="P78" s="4" t="s">
        <v>43</v>
      </c>
      <c r="Q78" s="14" t="s">
        <v>55</v>
      </c>
      <c r="R78" s="6" t="s">
        <v>44</v>
      </c>
      <c r="S78" s="4" t="s">
        <v>45</v>
      </c>
      <c r="T78" s="4" t="s">
        <v>46</v>
      </c>
      <c r="U78" s="4" t="n">
        <v>650</v>
      </c>
      <c r="V78" s="4" t="n">
        <v>2</v>
      </c>
      <c r="W78" s="4" t="s">
        <v>144</v>
      </c>
      <c r="X78" s="6" t="s">
        <v>47</v>
      </c>
      <c r="Y78" s="14" t="n">
        <v>5500</v>
      </c>
      <c r="Z78" s="6" t="s">
        <v>112</v>
      </c>
      <c r="AA78" s="6" t="s">
        <v>113</v>
      </c>
      <c r="AB78" s="15" t="str">
        <f aca="true" t="array" ref="AB78:AB78">LEFT(AA78,LOOKUP(2^15,FIND(".",AA78,ROW(INDIRECT("1:"&amp;LEN(AA78)))))-1)</f>
        <v>NB_2023_020 - 20230929 - 1</v>
      </c>
      <c r="AC78" s="6" t="s">
        <v>114</v>
      </c>
      <c r="AD78" s="15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4" t="s">
        <v>137</v>
      </c>
      <c r="B79" s="5"/>
      <c r="C79" s="4" t="s">
        <v>138</v>
      </c>
      <c r="D79" s="6" t="s">
        <v>14</v>
      </c>
      <c r="E79" s="6" t="s">
        <v>105</v>
      </c>
      <c r="F79" s="7" t="s">
        <v>106</v>
      </c>
      <c r="G79" s="6" t="s">
        <v>115</v>
      </c>
      <c r="H79" s="16" t="s">
        <v>37</v>
      </c>
      <c r="I79" s="6" t="str">
        <f aca="false">CONCATENATE(E79, "_",H79)</f>
        <v>NLA_2023_012_009</v>
      </c>
      <c r="J79" s="4" t="s">
        <v>52</v>
      </c>
      <c r="K79" s="4" t="s">
        <v>145</v>
      </c>
      <c r="L79" s="4" t="s">
        <v>69</v>
      </c>
      <c r="M79" s="17" t="s">
        <v>110</v>
      </c>
      <c r="N79" s="4" t="s">
        <v>41</v>
      </c>
      <c r="O79" s="4" t="s">
        <v>54</v>
      </c>
      <c r="P79" s="4" t="s">
        <v>43</v>
      </c>
      <c r="Q79" s="14" t="s">
        <v>55</v>
      </c>
      <c r="R79" s="6" t="s">
        <v>44</v>
      </c>
      <c r="S79" s="4" t="s">
        <v>45</v>
      </c>
      <c r="T79" s="4" t="s">
        <v>46</v>
      </c>
      <c r="U79" s="4" t="n">
        <v>650</v>
      </c>
      <c r="V79" s="4" t="n">
        <v>3</v>
      </c>
      <c r="W79" s="4" t="s">
        <v>146</v>
      </c>
      <c r="X79" s="6" t="s">
        <v>47</v>
      </c>
      <c r="Y79" s="14" t="n">
        <v>5500</v>
      </c>
      <c r="Z79" s="6" t="s">
        <v>112</v>
      </c>
      <c r="AA79" s="6" t="s">
        <v>113</v>
      </c>
      <c r="AB79" s="15" t="str">
        <f aca="true" t="array" ref="AB79:AB79">LEFT(AA79,LOOKUP(2^15,FIND(".",AA79,ROW(INDIRECT("1:"&amp;LEN(AA79)))))-1)</f>
        <v>NB_2023_020 - 20230929 - 1</v>
      </c>
      <c r="AC79" s="6" t="s">
        <v>114</v>
      </c>
      <c r="AD79" s="15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4" t="s">
        <v>137</v>
      </c>
      <c r="B80" s="5"/>
      <c r="C80" s="4" t="s">
        <v>138</v>
      </c>
      <c r="D80" s="6" t="s">
        <v>14</v>
      </c>
      <c r="E80" s="6" t="s">
        <v>105</v>
      </c>
      <c r="F80" s="7" t="s">
        <v>106</v>
      </c>
      <c r="G80" s="6" t="s">
        <v>115</v>
      </c>
      <c r="H80" s="16" t="s">
        <v>129</v>
      </c>
      <c r="I80" s="6" t="str">
        <f aca="false">CONCATENATE(E80, "_",H80)</f>
        <v>NLA_2023_012_010</v>
      </c>
      <c r="J80" s="4" t="s">
        <v>38</v>
      </c>
      <c r="K80" s="4" t="s">
        <v>130</v>
      </c>
      <c r="L80" s="4" t="s">
        <v>69</v>
      </c>
      <c r="M80" s="17" t="s">
        <v>110</v>
      </c>
      <c r="N80" s="4" t="s">
        <v>41</v>
      </c>
      <c r="O80" s="4" t="s">
        <v>42</v>
      </c>
      <c r="P80" s="4" t="s">
        <v>43</v>
      </c>
      <c r="Q80" s="4" t="s">
        <v>43</v>
      </c>
      <c r="R80" s="6" t="s">
        <v>44</v>
      </c>
      <c r="S80" s="4" t="s">
        <v>45</v>
      </c>
      <c r="T80" s="4" t="s">
        <v>46</v>
      </c>
      <c r="U80" s="4" t="n">
        <v>650</v>
      </c>
      <c r="V80" s="4" t="n">
        <v>1</v>
      </c>
      <c r="W80" s="4" t="s">
        <v>131</v>
      </c>
      <c r="X80" s="6" t="s">
        <v>47</v>
      </c>
      <c r="Y80" s="14" t="n">
        <v>5500</v>
      </c>
      <c r="Z80" s="6" t="s">
        <v>112</v>
      </c>
      <c r="AA80" s="6" t="s">
        <v>113</v>
      </c>
      <c r="AB80" s="15" t="str">
        <f aca="true" t="array" ref="AB80:AB80">LEFT(AA80,LOOKUP(2^15,FIND(".",AA80,ROW(INDIRECT("1:"&amp;LEN(AA80)))))-1)</f>
        <v>NB_2023_020 - 20230929 - 1</v>
      </c>
      <c r="AC80" s="6" t="s">
        <v>114</v>
      </c>
      <c r="AD80" s="15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4" t="s">
        <v>137</v>
      </c>
      <c r="B81" s="5"/>
      <c r="C81" s="4" t="s">
        <v>138</v>
      </c>
      <c r="D81" s="6" t="s">
        <v>14</v>
      </c>
      <c r="E81" s="6" t="s">
        <v>105</v>
      </c>
      <c r="F81" s="7" t="s">
        <v>106</v>
      </c>
      <c r="G81" s="6" t="s">
        <v>115</v>
      </c>
      <c r="H81" s="16" t="s">
        <v>132</v>
      </c>
      <c r="I81" s="6" t="str">
        <f aca="false">CONCATENATE(E81, "_",H81)</f>
        <v>NLA_2023_012_011</v>
      </c>
      <c r="J81" s="4" t="s">
        <v>38</v>
      </c>
      <c r="K81" s="4" t="s">
        <v>133</v>
      </c>
      <c r="L81" s="4" t="s">
        <v>69</v>
      </c>
      <c r="M81" s="17" t="s">
        <v>110</v>
      </c>
      <c r="N81" s="4" t="s">
        <v>41</v>
      </c>
      <c r="O81" s="4" t="s">
        <v>42</v>
      </c>
      <c r="P81" s="4" t="s">
        <v>43</v>
      </c>
      <c r="Q81" s="4" t="s">
        <v>43</v>
      </c>
      <c r="R81" s="6" t="s">
        <v>44</v>
      </c>
      <c r="S81" s="4" t="s">
        <v>45</v>
      </c>
      <c r="T81" s="4" t="s">
        <v>46</v>
      </c>
      <c r="U81" s="4" t="n">
        <v>650</v>
      </c>
      <c r="V81" s="4" t="n">
        <v>2</v>
      </c>
      <c r="W81" s="4" t="s">
        <v>134</v>
      </c>
      <c r="X81" s="6" t="s">
        <v>47</v>
      </c>
      <c r="Y81" s="14" t="n">
        <v>5500</v>
      </c>
      <c r="Z81" s="6" t="s">
        <v>112</v>
      </c>
      <c r="AA81" s="6" t="s">
        <v>113</v>
      </c>
      <c r="AB81" s="15" t="str">
        <f aca="true" t="array" ref="AB81:AB81">LEFT(AA81,LOOKUP(2^15,FIND(".",AA81,ROW(INDIRECT("1:"&amp;LEN(AA81)))))-1)</f>
        <v>NB_2023_020 - 20230929 - 1</v>
      </c>
      <c r="AC81" s="6" t="s">
        <v>114</v>
      </c>
      <c r="AD81" s="15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4" t="s">
        <v>137</v>
      </c>
      <c r="B82" s="5"/>
      <c r="C82" s="4" t="s">
        <v>138</v>
      </c>
      <c r="D82" s="6" t="s">
        <v>14</v>
      </c>
      <c r="E82" s="6" t="s">
        <v>105</v>
      </c>
      <c r="F82" s="7" t="s">
        <v>106</v>
      </c>
      <c r="G82" s="6" t="s">
        <v>115</v>
      </c>
      <c r="H82" s="16" t="s">
        <v>51</v>
      </c>
      <c r="I82" s="6" t="str">
        <f aca="false">CONCATENATE(E82, "_",H82)</f>
        <v>NLA_2023_012_012</v>
      </c>
      <c r="J82" s="4" t="s">
        <v>38</v>
      </c>
      <c r="K82" s="4" t="s">
        <v>135</v>
      </c>
      <c r="L82" s="4" t="s">
        <v>69</v>
      </c>
      <c r="M82" s="17" t="s">
        <v>110</v>
      </c>
      <c r="N82" s="4" t="s">
        <v>41</v>
      </c>
      <c r="O82" s="4" t="s">
        <v>42</v>
      </c>
      <c r="P82" s="4" t="s">
        <v>43</v>
      </c>
      <c r="Q82" s="4" t="s">
        <v>43</v>
      </c>
      <c r="R82" s="6" t="s">
        <v>44</v>
      </c>
      <c r="S82" s="4" t="s">
        <v>45</v>
      </c>
      <c r="T82" s="4" t="s">
        <v>46</v>
      </c>
      <c r="U82" s="4" t="n">
        <v>650</v>
      </c>
      <c r="V82" s="4" t="n">
        <v>3</v>
      </c>
      <c r="W82" s="4" t="s">
        <v>136</v>
      </c>
      <c r="X82" s="6" t="s">
        <v>47</v>
      </c>
      <c r="Y82" s="14" t="n">
        <v>5500</v>
      </c>
      <c r="Z82" s="6" t="s">
        <v>112</v>
      </c>
      <c r="AA82" s="6" t="s">
        <v>113</v>
      </c>
      <c r="AB82" s="15" t="str">
        <f aca="true" t="array" ref="AB82:AB82">LEFT(AA82,LOOKUP(2^15,FIND(".",AA82,ROW(INDIRECT("1:"&amp;LEN(AA82)))))-1)</f>
        <v>NB_2023_020 - 20230929 - 1</v>
      </c>
      <c r="AC82" s="6" t="s">
        <v>114</v>
      </c>
      <c r="AD82" s="15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4" t="s">
        <v>137</v>
      </c>
      <c r="B83" s="5"/>
      <c r="C83" s="4" t="s">
        <v>138</v>
      </c>
      <c r="D83" s="6" t="s">
        <v>14</v>
      </c>
      <c r="E83" s="6" t="s">
        <v>105</v>
      </c>
      <c r="F83" s="7" t="s">
        <v>106</v>
      </c>
      <c r="G83" s="6" t="s">
        <v>105</v>
      </c>
      <c r="H83" s="16" t="s">
        <v>64</v>
      </c>
      <c r="I83" s="6" t="str">
        <f aca="false">CONCATENATE(E83, "_",H83)</f>
        <v>NLA_2023_012_Blank_1</v>
      </c>
      <c r="J83" s="4" t="s">
        <v>52</v>
      </c>
      <c r="K83" s="18" t="s">
        <v>64</v>
      </c>
      <c r="L83" s="7" t="s">
        <v>46</v>
      </c>
      <c r="M83" s="17" t="s">
        <v>46</v>
      </c>
      <c r="N83" s="6" t="s">
        <v>65</v>
      </c>
      <c r="O83" s="6" t="s">
        <v>46</v>
      </c>
      <c r="P83" s="6" t="s">
        <v>46</v>
      </c>
      <c r="Q83" s="6" t="s">
        <v>46</v>
      </c>
      <c r="R83" s="6" t="s">
        <v>46</v>
      </c>
      <c r="S83" s="6" t="s">
        <v>46</v>
      </c>
      <c r="T83" s="6" t="s">
        <v>46</v>
      </c>
      <c r="U83" s="6" t="s">
        <v>46</v>
      </c>
      <c r="V83" s="1" t="n">
        <v>1</v>
      </c>
      <c r="W83" s="19" t="s">
        <v>126</v>
      </c>
      <c r="X83" s="6" t="s">
        <v>46</v>
      </c>
      <c r="Y83" s="14" t="n">
        <v>5500</v>
      </c>
      <c r="Z83" s="6" t="s">
        <v>112</v>
      </c>
      <c r="AA83" s="6" t="s">
        <v>113</v>
      </c>
      <c r="AB83" s="15" t="str">
        <f aca="true" t="array" ref="AB83:AB83">LEFT(AA83,LOOKUP(2^15,FIND(".",AA83,ROW(INDIRECT("1:"&amp;LEN(AA83)))))-1)</f>
        <v>NB_2023_020 - 20230929 - 1</v>
      </c>
      <c r="AC83" s="6" t="s">
        <v>114</v>
      </c>
      <c r="AD83" s="15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4" t="s">
        <v>137</v>
      </c>
      <c r="B84" s="5"/>
      <c r="C84" s="4" t="s">
        <v>138</v>
      </c>
      <c r="D84" s="6" t="s">
        <v>14</v>
      </c>
      <c r="E84" s="6" t="s">
        <v>105</v>
      </c>
      <c r="F84" s="7" t="s">
        <v>106</v>
      </c>
      <c r="G84" s="6" t="s">
        <v>105</v>
      </c>
      <c r="H84" s="16" t="s">
        <v>66</v>
      </c>
      <c r="I84" s="6" t="str">
        <f aca="false">CONCATENATE(E84, "_",H84)</f>
        <v>NLA_2023_012_Blank_2</v>
      </c>
      <c r="J84" s="4" t="s">
        <v>52</v>
      </c>
      <c r="K84" s="18" t="s">
        <v>66</v>
      </c>
      <c r="L84" s="7" t="s">
        <v>46</v>
      </c>
      <c r="M84" s="17" t="s">
        <v>46</v>
      </c>
      <c r="N84" s="6" t="s">
        <v>65</v>
      </c>
      <c r="O84" s="6" t="s">
        <v>46</v>
      </c>
      <c r="P84" s="6" t="s">
        <v>46</v>
      </c>
      <c r="Q84" s="6" t="s">
        <v>46</v>
      </c>
      <c r="R84" s="6" t="s">
        <v>46</v>
      </c>
      <c r="S84" s="6" t="s">
        <v>46</v>
      </c>
      <c r="T84" s="6" t="s">
        <v>46</v>
      </c>
      <c r="U84" s="6" t="s">
        <v>46</v>
      </c>
      <c r="V84" s="1" t="n">
        <v>2</v>
      </c>
      <c r="W84" s="19" t="s">
        <v>126</v>
      </c>
      <c r="X84" s="6" t="s">
        <v>46</v>
      </c>
      <c r="Y84" s="14" t="n">
        <v>5500</v>
      </c>
      <c r="Z84" s="6" t="s">
        <v>112</v>
      </c>
      <c r="AA84" s="6" t="s">
        <v>113</v>
      </c>
      <c r="AB84" s="15" t="str">
        <f aca="true" t="array" ref="AB84:AB84">LEFT(AA84,LOOKUP(2^15,FIND(".",AA84,ROW(INDIRECT("1:"&amp;LEN(AA84)))))-1)</f>
        <v>NB_2023_020 - 20230929 - 1</v>
      </c>
      <c r="AC84" s="6" t="s">
        <v>114</v>
      </c>
      <c r="AD84" s="15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4" t="s">
        <v>137</v>
      </c>
      <c r="B85" s="5"/>
      <c r="C85" s="4" t="s">
        <v>138</v>
      </c>
      <c r="D85" s="6" t="s">
        <v>14</v>
      </c>
      <c r="E85" s="6" t="s">
        <v>105</v>
      </c>
      <c r="F85" s="7" t="s">
        <v>106</v>
      </c>
      <c r="G85" s="6" t="s">
        <v>105</v>
      </c>
      <c r="H85" s="16" t="s">
        <v>67</v>
      </c>
      <c r="I85" s="6" t="str">
        <f aca="false">CONCATENATE(E85, "_",H85)</f>
        <v>NLA_2023_012_Blank_3</v>
      </c>
      <c r="J85" s="4" t="s">
        <v>52</v>
      </c>
      <c r="K85" s="18" t="s">
        <v>67</v>
      </c>
      <c r="L85" s="7" t="s">
        <v>46</v>
      </c>
      <c r="M85" s="17" t="s">
        <v>46</v>
      </c>
      <c r="N85" s="6" t="s">
        <v>65</v>
      </c>
      <c r="O85" s="6" t="s">
        <v>46</v>
      </c>
      <c r="P85" s="6" t="s">
        <v>46</v>
      </c>
      <c r="Q85" s="6" t="s">
        <v>46</v>
      </c>
      <c r="R85" s="6" t="s">
        <v>46</v>
      </c>
      <c r="S85" s="6" t="s">
        <v>46</v>
      </c>
      <c r="T85" s="6" t="s">
        <v>46</v>
      </c>
      <c r="U85" s="6" t="s">
        <v>46</v>
      </c>
      <c r="V85" s="1" t="n">
        <v>3</v>
      </c>
      <c r="W85" s="19" t="s">
        <v>126</v>
      </c>
      <c r="X85" s="6" t="s">
        <v>46</v>
      </c>
      <c r="Y85" s="14" t="n">
        <v>5500</v>
      </c>
      <c r="Z85" s="6" t="s">
        <v>112</v>
      </c>
      <c r="AA85" s="6" t="s">
        <v>113</v>
      </c>
      <c r="AB85" s="15" t="str">
        <f aca="true" t="array" ref="AB85:AB85">LEFT(AA85,LOOKUP(2^15,FIND(".",AA85,ROW(INDIRECT("1:"&amp;LEN(AA85)))))-1)</f>
        <v>NB_2023_020 - 20230929 - 1</v>
      </c>
      <c r="AC85" s="6" t="s">
        <v>114</v>
      </c>
      <c r="AD85" s="15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4" t="s">
        <v>137</v>
      </c>
      <c r="B86" s="5"/>
      <c r="C86" s="4" t="s">
        <v>138</v>
      </c>
      <c r="D86" s="6" t="s">
        <v>14</v>
      </c>
      <c r="E86" s="6" t="s">
        <v>105</v>
      </c>
      <c r="F86" s="7" t="s">
        <v>106</v>
      </c>
      <c r="G86" s="6" t="s">
        <v>105</v>
      </c>
      <c r="H86" s="16" t="s">
        <v>68</v>
      </c>
      <c r="I86" s="6" t="str">
        <f aca="false">CONCATENATE(E86, "_",H86)</f>
        <v>NLA_2023_012_QC_C_1</v>
      </c>
      <c r="J86" s="4" t="s">
        <v>52</v>
      </c>
      <c r="K86" s="18" t="s">
        <v>68</v>
      </c>
      <c r="L86" s="7" t="s">
        <v>69</v>
      </c>
      <c r="M86" s="17" t="s">
        <v>46</v>
      </c>
      <c r="N86" s="6" t="s">
        <v>70</v>
      </c>
      <c r="O86" s="6" t="s">
        <v>46</v>
      </c>
      <c r="P86" s="6" t="s">
        <v>71</v>
      </c>
      <c r="Q86" s="6" t="s">
        <v>71</v>
      </c>
      <c r="R86" s="6" t="s">
        <v>72</v>
      </c>
      <c r="S86" s="6" t="s">
        <v>73</v>
      </c>
      <c r="T86" s="6" t="s">
        <v>46</v>
      </c>
      <c r="U86" s="6" t="n">
        <v>1000</v>
      </c>
      <c r="V86" s="1" t="n">
        <v>1</v>
      </c>
      <c r="W86" s="19" t="s">
        <v>126</v>
      </c>
      <c r="X86" s="6" t="s">
        <v>74</v>
      </c>
      <c r="Y86" s="14" t="n">
        <v>5500</v>
      </c>
      <c r="Z86" s="6" t="s">
        <v>112</v>
      </c>
      <c r="AA86" s="6" t="s">
        <v>113</v>
      </c>
      <c r="AB86" s="15" t="str">
        <f aca="true" t="array" ref="AB86:AB86">LEFT(AA86,LOOKUP(2^15,FIND(".",AA86,ROW(INDIRECT("1:"&amp;LEN(AA86)))))-1)</f>
        <v>NB_2023_020 - 20230929 - 1</v>
      </c>
      <c r="AC86" s="6" t="s">
        <v>114</v>
      </c>
      <c r="AD86" s="15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4" t="s">
        <v>137</v>
      </c>
      <c r="B87" s="5"/>
      <c r="C87" s="4" t="s">
        <v>138</v>
      </c>
      <c r="D87" s="6" t="s">
        <v>14</v>
      </c>
      <c r="E87" s="6" t="s">
        <v>105</v>
      </c>
      <c r="F87" s="7" t="s">
        <v>106</v>
      </c>
      <c r="G87" s="6" t="s">
        <v>105</v>
      </c>
      <c r="H87" s="16" t="s">
        <v>75</v>
      </c>
      <c r="I87" s="6" t="str">
        <f aca="false">CONCATENATE(E87, "_",H87)</f>
        <v>NLA_2023_012_QC_C_2</v>
      </c>
      <c r="J87" s="4" t="s">
        <v>52</v>
      </c>
      <c r="K87" s="18" t="s">
        <v>75</v>
      </c>
      <c r="L87" s="7" t="s">
        <v>69</v>
      </c>
      <c r="M87" s="17" t="s">
        <v>46</v>
      </c>
      <c r="N87" s="6" t="s">
        <v>70</v>
      </c>
      <c r="O87" s="6" t="s">
        <v>46</v>
      </c>
      <c r="P87" s="6" t="s">
        <v>71</v>
      </c>
      <c r="Q87" s="6" t="s">
        <v>71</v>
      </c>
      <c r="R87" s="6" t="s">
        <v>72</v>
      </c>
      <c r="S87" s="6" t="s">
        <v>73</v>
      </c>
      <c r="T87" s="6" t="s">
        <v>46</v>
      </c>
      <c r="U87" s="6" t="n">
        <v>1000</v>
      </c>
      <c r="V87" s="1" t="n">
        <v>2</v>
      </c>
      <c r="W87" s="19" t="s">
        <v>126</v>
      </c>
      <c r="X87" s="6" t="s">
        <v>74</v>
      </c>
      <c r="Y87" s="14" t="n">
        <v>5500</v>
      </c>
      <c r="Z87" s="6" t="s">
        <v>112</v>
      </c>
      <c r="AA87" s="6" t="s">
        <v>113</v>
      </c>
      <c r="AB87" s="15" t="str">
        <f aca="true" t="array" ref="AB87:AB87">LEFT(AA87,LOOKUP(2^15,FIND(".",AA87,ROW(INDIRECT("1:"&amp;LEN(AA87)))))-1)</f>
        <v>NB_2023_020 - 20230929 - 1</v>
      </c>
      <c r="AC87" s="6" t="s">
        <v>114</v>
      </c>
      <c r="AD87" s="15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4" t="s">
        <v>137</v>
      </c>
      <c r="B88" s="5"/>
      <c r="C88" s="4" t="s">
        <v>138</v>
      </c>
      <c r="D88" s="6" t="s">
        <v>14</v>
      </c>
      <c r="E88" s="6" t="s">
        <v>105</v>
      </c>
      <c r="F88" s="7" t="s">
        <v>106</v>
      </c>
      <c r="G88" s="6" t="s">
        <v>105</v>
      </c>
      <c r="H88" s="16" t="s">
        <v>76</v>
      </c>
      <c r="I88" s="6" t="str">
        <f aca="false">CONCATENATE(E88, "_",H88)</f>
        <v>NLA_2023_012_QC_C_3</v>
      </c>
      <c r="J88" s="4" t="s">
        <v>52</v>
      </c>
      <c r="K88" s="18" t="s">
        <v>76</v>
      </c>
      <c r="L88" s="7" t="s">
        <v>69</v>
      </c>
      <c r="M88" s="17" t="s">
        <v>46</v>
      </c>
      <c r="N88" s="6" t="s">
        <v>70</v>
      </c>
      <c r="O88" s="6" t="s">
        <v>46</v>
      </c>
      <c r="P88" s="6" t="s">
        <v>71</v>
      </c>
      <c r="Q88" s="6" t="s">
        <v>71</v>
      </c>
      <c r="R88" s="6" t="s">
        <v>72</v>
      </c>
      <c r="S88" s="6" t="s">
        <v>73</v>
      </c>
      <c r="T88" s="6" t="s">
        <v>46</v>
      </c>
      <c r="U88" s="6" t="n">
        <v>1000</v>
      </c>
      <c r="V88" s="1" t="n">
        <v>3</v>
      </c>
      <c r="W88" s="19" t="s">
        <v>126</v>
      </c>
      <c r="X88" s="6" t="s">
        <v>74</v>
      </c>
      <c r="Y88" s="14" t="n">
        <v>5500</v>
      </c>
      <c r="Z88" s="6" t="s">
        <v>112</v>
      </c>
      <c r="AA88" s="6" t="s">
        <v>113</v>
      </c>
      <c r="AB88" s="15" t="str">
        <f aca="true" t="array" ref="AB88:AB88">LEFT(AA88,LOOKUP(2^15,FIND(".",AA88,ROW(INDIRECT("1:"&amp;LEN(AA88)))))-1)</f>
        <v>NB_2023_020 - 20230929 - 1</v>
      </c>
      <c r="AC88" s="6" t="s">
        <v>114</v>
      </c>
      <c r="AD88" s="15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4" t="s">
        <v>137</v>
      </c>
      <c r="B89" s="5"/>
      <c r="C89" s="4" t="s">
        <v>138</v>
      </c>
      <c r="D89" s="6" t="s">
        <v>14</v>
      </c>
      <c r="E89" s="6" t="s">
        <v>105</v>
      </c>
      <c r="F89" s="7" t="s">
        <v>106</v>
      </c>
      <c r="G89" s="6" t="s">
        <v>105</v>
      </c>
      <c r="H89" s="16" t="s">
        <v>77</v>
      </c>
      <c r="I89" s="6" t="str">
        <f aca="false">CONCATENATE(E89, "_",H89)</f>
        <v>NLA_2023_012_QC_P_1</v>
      </c>
      <c r="J89" s="4" t="s">
        <v>52</v>
      </c>
      <c r="K89" s="18" t="s">
        <v>77</v>
      </c>
      <c r="L89" s="7" t="s">
        <v>69</v>
      </c>
      <c r="M89" s="17" t="s">
        <v>46</v>
      </c>
      <c r="N89" s="6" t="s">
        <v>78</v>
      </c>
      <c r="O89" s="6" t="s">
        <v>46</v>
      </c>
      <c r="P89" s="6" t="s">
        <v>79</v>
      </c>
      <c r="Q89" s="6" t="s">
        <v>80</v>
      </c>
      <c r="R89" s="6" t="s">
        <v>81</v>
      </c>
      <c r="S89" s="6" t="s">
        <v>46</v>
      </c>
      <c r="T89" s="6" t="s">
        <v>46</v>
      </c>
      <c r="U89" s="6" t="s">
        <v>82</v>
      </c>
      <c r="V89" s="1" t="n">
        <v>1</v>
      </c>
      <c r="W89" s="19" t="s">
        <v>126</v>
      </c>
      <c r="X89" s="6" t="s">
        <v>83</v>
      </c>
      <c r="Y89" s="14" t="n">
        <v>5500</v>
      </c>
      <c r="Z89" s="6" t="s">
        <v>112</v>
      </c>
      <c r="AA89" s="6" t="s">
        <v>113</v>
      </c>
      <c r="AB89" s="15" t="str">
        <f aca="true" t="array" ref="AB89:AB89">LEFT(AA89,LOOKUP(2^15,FIND(".",AA89,ROW(INDIRECT("1:"&amp;LEN(AA89)))))-1)</f>
        <v>NB_2023_020 - 20230929 - 1</v>
      </c>
      <c r="AC89" s="6" t="s">
        <v>114</v>
      </c>
      <c r="AD89" s="15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4" t="s">
        <v>137</v>
      </c>
      <c r="B90" s="5"/>
      <c r="C90" s="4" t="s">
        <v>138</v>
      </c>
      <c r="D90" s="6" t="s">
        <v>14</v>
      </c>
      <c r="E90" s="6" t="s">
        <v>105</v>
      </c>
      <c r="F90" s="7" t="s">
        <v>106</v>
      </c>
      <c r="G90" s="6" t="s">
        <v>105</v>
      </c>
      <c r="H90" s="16" t="s">
        <v>84</v>
      </c>
      <c r="I90" s="6" t="str">
        <f aca="false">CONCATENATE(E90, "_",H90)</f>
        <v>NLA_2023_012_QC_P_2</v>
      </c>
      <c r="J90" s="4" t="s">
        <v>52</v>
      </c>
      <c r="K90" s="18" t="s">
        <v>84</v>
      </c>
      <c r="L90" s="7" t="s">
        <v>69</v>
      </c>
      <c r="M90" s="17" t="s">
        <v>46</v>
      </c>
      <c r="N90" s="6" t="s">
        <v>78</v>
      </c>
      <c r="O90" s="6" t="s">
        <v>46</v>
      </c>
      <c r="P90" s="6" t="s">
        <v>79</v>
      </c>
      <c r="Q90" s="6" t="s">
        <v>80</v>
      </c>
      <c r="R90" s="6" t="s">
        <v>81</v>
      </c>
      <c r="S90" s="6" t="s">
        <v>46</v>
      </c>
      <c r="T90" s="6" t="s">
        <v>46</v>
      </c>
      <c r="U90" s="6" t="s">
        <v>82</v>
      </c>
      <c r="V90" s="1" t="n">
        <v>2</v>
      </c>
      <c r="W90" s="19" t="s">
        <v>126</v>
      </c>
      <c r="X90" s="6" t="s">
        <v>83</v>
      </c>
      <c r="Y90" s="14" t="n">
        <v>5500</v>
      </c>
      <c r="Z90" s="6" t="s">
        <v>112</v>
      </c>
      <c r="AA90" s="6" t="s">
        <v>113</v>
      </c>
      <c r="AB90" s="15" t="str">
        <f aca="true" t="array" ref="AB90:AB90">LEFT(AA90,LOOKUP(2^15,FIND(".",AA90,ROW(INDIRECT("1:"&amp;LEN(AA90)))))-1)</f>
        <v>NB_2023_020 - 20230929 - 1</v>
      </c>
      <c r="AC90" s="6" t="s">
        <v>114</v>
      </c>
      <c r="AD90" s="15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4" t="s">
        <v>137</v>
      </c>
      <c r="B91" s="5"/>
      <c r="C91" s="4" t="s">
        <v>138</v>
      </c>
      <c r="D91" s="6" t="s">
        <v>14</v>
      </c>
      <c r="E91" s="6" t="s">
        <v>105</v>
      </c>
      <c r="F91" s="7" t="s">
        <v>106</v>
      </c>
      <c r="G91" s="6" t="s">
        <v>105</v>
      </c>
      <c r="H91" s="16" t="s">
        <v>85</v>
      </c>
      <c r="I91" s="6" t="str">
        <f aca="false">CONCATENATE(E91, "_",H91)</f>
        <v>NLA_2023_012_QC_P_3</v>
      </c>
      <c r="J91" s="4" t="s">
        <v>52</v>
      </c>
      <c r="K91" s="18" t="s">
        <v>85</v>
      </c>
      <c r="L91" s="7" t="s">
        <v>69</v>
      </c>
      <c r="M91" s="17" t="s">
        <v>46</v>
      </c>
      <c r="N91" s="6" t="s">
        <v>78</v>
      </c>
      <c r="O91" s="6" t="s">
        <v>46</v>
      </c>
      <c r="P91" s="6" t="s">
        <v>79</v>
      </c>
      <c r="Q91" s="6" t="s">
        <v>80</v>
      </c>
      <c r="R91" s="6" t="s">
        <v>81</v>
      </c>
      <c r="S91" s="6" t="s">
        <v>46</v>
      </c>
      <c r="T91" s="6" t="s">
        <v>46</v>
      </c>
      <c r="U91" s="6" t="s">
        <v>82</v>
      </c>
      <c r="V91" s="1" t="n">
        <v>3</v>
      </c>
      <c r="W91" s="19" t="s">
        <v>126</v>
      </c>
      <c r="X91" s="6" t="s">
        <v>83</v>
      </c>
      <c r="Y91" s="14" t="n">
        <v>5500</v>
      </c>
      <c r="Z91" s="6" t="s">
        <v>112</v>
      </c>
      <c r="AA91" s="6" t="s">
        <v>113</v>
      </c>
      <c r="AB91" s="15" t="str">
        <f aca="true" t="array" ref="AB91:AB91">LEFT(AA91,LOOKUP(2^15,FIND(".",AA91,ROW(INDIRECT("1:"&amp;LEN(AA91)))))-1)</f>
        <v>NB_2023_020 - 20230929 - 1</v>
      </c>
      <c r="AC91" s="6" t="s">
        <v>114</v>
      </c>
      <c r="AD91" s="15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4" t="s">
        <v>147</v>
      </c>
      <c r="B92" s="5"/>
      <c r="C92" s="4" t="s">
        <v>148</v>
      </c>
      <c r="D92" s="6" t="s">
        <v>19</v>
      </c>
      <c r="E92" s="6" t="s">
        <v>149</v>
      </c>
      <c r="F92" s="7" t="s">
        <v>150</v>
      </c>
      <c r="G92" s="6" t="s">
        <v>151</v>
      </c>
      <c r="H92" s="7" t="s">
        <v>108</v>
      </c>
      <c r="I92" s="6" t="str">
        <f aca="false">CONCATENATE(E92, "_",H92)</f>
        <v>NLA_2023_016_001</v>
      </c>
      <c r="J92" s="6" t="s">
        <v>52</v>
      </c>
      <c r="K92" s="6" t="s">
        <v>152</v>
      </c>
      <c r="L92" s="9" t="s">
        <v>69</v>
      </c>
      <c r="M92" s="13" t="s">
        <v>46</v>
      </c>
      <c r="N92" s="6" t="s">
        <v>70</v>
      </c>
      <c r="O92" s="6" t="s">
        <v>46</v>
      </c>
      <c r="P92" s="6" t="s">
        <v>71</v>
      </c>
      <c r="Q92" s="6" t="s">
        <v>71</v>
      </c>
      <c r="R92" s="6" t="s">
        <v>72</v>
      </c>
      <c r="S92" s="6" t="s">
        <v>73</v>
      </c>
      <c r="T92" s="6" t="s">
        <v>46</v>
      </c>
      <c r="U92" s="6" t="n">
        <v>1000</v>
      </c>
      <c r="V92" s="1" t="n">
        <v>1</v>
      </c>
      <c r="W92" s="6"/>
      <c r="X92" s="6" t="s">
        <v>74</v>
      </c>
      <c r="Y92" s="14" t="s">
        <v>153</v>
      </c>
      <c r="Z92" s="6" t="s">
        <v>154</v>
      </c>
      <c r="AA92" s="6" t="s">
        <v>155</v>
      </c>
      <c r="AB92" s="15" t="str">
        <f aca="true" t="array" ref="AB92:AB92">LEFT(AA92,LOOKUP(2^15,FIND(".",AA92,ROW(INDIRECT("1:"&amp;LEN(AA92)))))-1)</f>
        <v>LW_2023_003 - 20231031 - 1</v>
      </c>
      <c r="AC92" s="6" t="s">
        <v>156</v>
      </c>
      <c r="AD92" s="15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4" t="s">
        <v>147</v>
      </c>
      <c r="B93" s="5"/>
      <c r="C93" s="4" t="s">
        <v>148</v>
      </c>
      <c r="D93" s="6" t="s">
        <v>19</v>
      </c>
      <c r="E93" s="6" t="s">
        <v>149</v>
      </c>
      <c r="F93" s="7" t="s">
        <v>150</v>
      </c>
      <c r="G93" s="6" t="s">
        <v>151</v>
      </c>
      <c r="H93" s="7" t="s">
        <v>88</v>
      </c>
      <c r="I93" s="6" t="str">
        <f aca="false">CONCATENATE(E93, "_",H93)</f>
        <v>NLA_2023_016_002</v>
      </c>
      <c r="J93" s="6" t="s">
        <v>52</v>
      </c>
      <c r="K93" s="6" t="s">
        <v>157</v>
      </c>
      <c r="L93" s="7" t="s">
        <v>46</v>
      </c>
      <c r="M93" s="17" t="s">
        <v>46</v>
      </c>
      <c r="N93" s="6" t="s">
        <v>65</v>
      </c>
      <c r="O93" s="6" t="s">
        <v>46</v>
      </c>
      <c r="P93" s="6" t="s">
        <v>46</v>
      </c>
      <c r="Q93" s="6" t="s">
        <v>46</v>
      </c>
      <c r="R93" s="6" t="s">
        <v>46</v>
      </c>
      <c r="S93" s="6" t="s">
        <v>46</v>
      </c>
      <c r="T93" s="6" t="s">
        <v>46</v>
      </c>
      <c r="U93" s="6" t="s">
        <v>46</v>
      </c>
      <c r="V93" s="1" t="n">
        <v>1</v>
      </c>
      <c r="W93" s="6"/>
      <c r="X93" s="6" t="s">
        <v>46</v>
      </c>
      <c r="Y93" s="14" t="s">
        <v>153</v>
      </c>
      <c r="Z93" s="6" t="s">
        <v>154</v>
      </c>
      <c r="AA93" s="6" t="s">
        <v>155</v>
      </c>
      <c r="AB93" s="15" t="str">
        <f aca="true" t="array" ref="AB93:AB93">LEFT(AA93,LOOKUP(2^15,FIND(".",AA93,ROW(INDIRECT("1:"&amp;LEN(AA93)))))-1)</f>
        <v>LW_2023_003 - 20231031 - 1</v>
      </c>
      <c r="AC93" s="6" t="s">
        <v>156</v>
      </c>
      <c r="AD93" s="15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4" t="s">
        <v>147</v>
      </c>
      <c r="B94" s="5"/>
      <c r="C94" s="4" t="s">
        <v>148</v>
      </c>
      <c r="D94" s="6" t="s">
        <v>19</v>
      </c>
      <c r="E94" s="6" t="s">
        <v>149</v>
      </c>
      <c r="F94" s="7" t="s">
        <v>150</v>
      </c>
      <c r="G94" s="6" t="s">
        <v>151</v>
      </c>
      <c r="H94" s="7" t="s">
        <v>99</v>
      </c>
      <c r="I94" s="6" t="str">
        <f aca="false">CONCATENATE(E94, "_",H94)</f>
        <v>NLA_2023_016_004</v>
      </c>
      <c r="J94" s="14" t="s">
        <v>158</v>
      </c>
      <c r="K94" s="14" t="s">
        <v>159</v>
      </c>
      <c r="L94" s="14" t="s">
        <v>69</v>
      </c>
      <c r="M94" s="20" t="s">
        <v>160</v>
      </c>
      <c r="N94" s="6" t="s">
        <v>41</v>
      </c>
      <c r="O94" s="14" t="s">
        <v>161</v>
      </c>
      <c r="P94" s="14" t="s">
        <v>162</v>
      </c>
      <c r="Q94" s="14" t="s">
        <v>162</v>
      </c>
      <c r="R94" s="6" t="s">
        <v>72</v>
      </c>
      <c r="S94" s="14" t="s">
        <v>90</v>
      </c>
      <c r="T94" s="14" t="s">
        <v>163</v>
      </c>
      <c r="U94" s="14" t="n">
        <v>500</v>
      </c>
      <c r="V94" s="14" t="n">
        <v>1</v>
      </c>
      <c r="W94" s="6"/>
      <c r="X94" s="6" t="s">
        <v>47</v>
      </c>
      <c r="Y94" s="14" t="s">
        <v>153</v>
      </c>
      <c r="Z94" s="6" t="s">
        <v>154</v>
      </c>
      <c r="AA94" s="6" t="s">
        <v>155</v>
      </c>
      <c r="AB94" s="15" t="str">
        <f aca="true" t="array" ref="AB94:AB94">LEFT(AA94,LOOKUP(2^15,FIND(".",AA94,ROW(INDIRECT("1:"&amp;LEN(AA94)))))-1)</f>
        <v>LW_2023_003 - 20231031 - 1</v>
      </c>
      <c r="AC94" s="6" t="s">
        <v>156</v>
      </c>
      <c r="AD94" s="15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4" t="s">
        <v>147</v>
      </c>
      <c r="B95" s="5"/>
      <c r="C95" s="4" t="s">
        <v>148</v>
      </c>
      <c r="D95" s="6" t="s">
        <v>19</v>
      </c>
      <c r="E95" s="6" t="s">
        <v>149</v>
      </c>
      <c r="F95" s="7" t="s">
        <v>150</v>
      </c>
      <c r="G95" s="6" t="s">
        <v>151</v>
      </c>
      <c r="H95" s="7" t="s">
        <v>139</v>
      </c>
      <c r="I95" s="6" t="str">
        <f aca="false">CONCATENATE(E95, "_",H95)</f>
        <v>NLA_2023_016_007</v>
      </c>
      <c r="J95" s="6" t="s">
        <v>52</v>
      </c>
      <c r="K95" s="6" t="s">
        <v>164</v>
      </c>
      <c r="L95" s="9" t="s">
        <v>69</v>
      </c>
      <c r="M95" s="13" t="s">
        <v>46</v>
      </c>
      <c r="N95" s="6" t="s">
        <v>70</v>
      </c>
      <c r="O95" s="6" t="s">
        <v>46</v>
      </c>
      <c r="P95" s="6" t="s">
        <v>71</v>
      </c>
      <c r="Q95" s="6" t="s">
        <v>71</v>
      </c>
      <c r="R95" s="6" t="s">
        <v>72</v>
      </c>
      <c r="S95" s="6" t="s">
        <v>73</v>
      </c>
      <c r="T95" s="6" t="s">
        <v>46</v>
      </c>
      <c r="U95" s="6" t="n">
        <v>1000</v>
      </c>
      <c r="V95" s="1" t="n">
        <v>2</v>
      </c>
      <c r="W95" s="6"/>
      <c r="X95" s="6" t="s">
        <v>74</v>
      </c>
      <c r="Y95" s="14" t="s">
        <v>153</v>
      </c>
      <c r="Z95" s="6" t="s">
        <v>154</v>
      </c>
      <c r="AA95" s="6" t="s">
        <v>155</v>
      </c>
      <c r="AB95" s="15" t="str">
        <f aca="true" t="array" ref="AB95:AB95">LEFT(AA95,LOOKUP(2^15,FIND(".",AA95,ROW(INDIRECT("1:"&amp;LEN(AA95)))))-1)</f>
        <v>LW_2023_003 - 20231031 - 1</v>
      </c>
      <c r="AC95" s="6" t="s">
        <v>156</v>
      </c>
      <c r="AD95" s="15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4" t="s">
        <v>147</v>
      </c>
      <c r="B96" s="5"/>
      <c r="C96" s="4" t="s">
        <v>148</v>
      </c>
      <c r="D96" s="6" t="s">
        <v>19</v>
      </c>
      <c r="E96" s="6" t="s">
        <v>149</v>
      </c>
      <c r="F96" s="7" t="s">
        <v>150</v>
      </c>
      <c r="G96" s="6" t="s">
        <v>151</v>
      </c>
      <c r="H96" s="7" t="s">
        <v>142</v>
      </c>
      <c r="I96" s="6" t="str">
        <f aca="false">CONCATENATE(E96, "_",H96)</f>
        <v>NLA_2023_016_008</v>
      </c>
      <c r="J96" s="6" t="s">
        <v>52</v>
      </c>
      <c r="K96" s="6" t="s">
        <v>165</v>
      </c>
      <c r="L96" s="7" t="s">
        <v>46</v>
      </c>
      <c r="M96" s="17" t="s">
        <v>46</v>
      </c>
      <c r="N96" s="6" t="s">
        <v>65</v>
      </c>
      <c r="O96" s="6" t="s">
        <v>46</v>
      </c>
      <c r="P96" s="6" t="s">
        <v>46</v>
      </c>
      <c r="Q96" s="6" t="s">
        <v>46</v>
      </c>
      <c r="R96" s="6" t="s">
        <v>46</v>
      </c>
      <c r="S96" s="6" t="s">
        <v>46</v>
      </c>
      <c r="T96" s="6" t="s">
        <v>46</v>
      </c>
      <c r="U96" s="6" t="s">
        <v>46</v>
      </c>
      <c r="V96" s="1" t="n">
        <v>2</v>
      </c>
      <c r="W96" s="6"/>
      <c r="X96" s="6" t="s">
        <v>46</v>
      </c>
      <c r="Y96" s="14" t="s">
        <v>153</v>
      </c>
      <c r="Z96" s="6" t="s">
        <v>154</v>
      </c>
      <c r="AA96" s="6" t="s">
        <v>155</v>
      </c>
      <c r="AB96" s="15" t="str">
        <f aca="true" t="array" ref="AB96:AB96">LEFT(AA96,LOOKUP(2^15,FIND(".",AA96,ROW(INDIRECT("1:"&amp;LEN(AA96)))))-1)</f>
        <v>LW_2023_003 - 20231031 - 1</v>
      </c>
      <c r="AC96" s="6" t="s">
        <v>156</v>
      </c>
      <c r="AD96" s="15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4" t="s">
        <v>147</v>
      </c>
      <c r="B97" s="5"/>
      <c r="C97" s="4" t="s">
        <v>148</v>
      </c>
      <c r="D97" s="6" t="s">
        <v>19</v>
      </c>
      <c r="E97" s="6" t="s">
        <v>149</v>
      </c>
      <c r="F97" s="7" t="s">
        <v>150</v>
      </c>
      <c r="G97" s="6" t="s">
        <v>151</v>
      </c>
      <c r="H97" s="7" t="s">
        <v>37</v>
      </c>
      <c r="I97" s="6" t="str">
        <f aca="false">CONCATENATE(E97, "_",H97)</f>
        <v>NLA_2023_016_009</v>
      </c>
      <c r="J97" s="14" t="s">
        <v>166</v>
      </c>
      <c r="K97" s="14" t="s">
        <v>167</v>
      </c>
      <c r="L97" s="14" t="s">
        <v>69</v>
      </c>
      <c r="M97" s="20" t="s">
        <v>160</v>
      </c>
      <c r="N97" s="6" t="s">
        <v>41</v>
      </c>
      <c r="O97" s="14" t="s">
        <v>161</v>
      </c>
      <c r="P97" s="14" t="s">
        <v>162</v>
      </c>
      <c r="Q97" s="14" t="s">
        <v>162</v>
      </c>
      <c r="R97" s="6" t="s">
        <v>72</v>
      </c>
      <c r="S97" s="14" t="s">
        <v>90</v>
      </c>
      <c r="T97" s="6" t="s">
        <v>168</v>
      </c>
      <c r="U97" s="14" t="n">
        <v>500</v>
      </c>
      <c r="V97" s="14" t="n">
        <v>2</v>
      </c>
      <c r="W97" s="6"/>
      <c r="X97" s="6" t="s">
        <v>47</v>
      </c>
      <c r="Y97" s="14" t="s">
        <v>153</v>
      </c>
      <c r="Z97" s="6" t="s">
        <v>154</v>
      </c>
      <c r="AA97" s="6" t="s">
        <v>155</v>
      </c>
      <c r="AB97" s="15" t="str">
        <f aca="true" t="array" ref="AB97:AB97">LEFT(AA97,LOOKUP(2^15,FIND(".",AA97,ROW(INDIRECT("1:"&amp;LEN(AA97)))))-1)</f>
        <v>LW_2023_003 - 20231031 - 1</v>
      </c>
      <c r="AC97" s="6" t="s">
        <v>156</v>
      </c>
      <c r="AD97" s="15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4" t="s">
        <v>147</v>
      </c>
      <c r="B98" s="5"/>
      <c r="C98" s="4" t="s">
        <v>148</v>
      </c>
      <c r="D98" s="6" t="s">
        <v>19</v>
      </c>
      <c r="E98" s="6" t="s">
        <v>149</v>
      </c>
      <c r="F98" s="7" t="s">
        <v>150</v>
      </c>
      <c r="G98" s="6" t="s">
        <v>151</v>
      </c>
      <c r="H98" s="7" t="s">
        <v>129</v>
      </c>
      <c r="I98" s="6" t="str">
        <f aca="false">CONCATENATE(E98, "_",H98)</f>
        <v>NLA_2023_016_010</v>
      </c>
      <c r="J98" s="14" t="s">
        <v>158</v>
      </c>
      <c r="K98" s="14" t="s">
        <v>169</v>
      </c>
      <c r="L98" s="14" t="s">
        <v>69</v>
      </c>
      <c r="M98" s="20" t="s">
        <v>160</v>
      </c>
      <c r="N98" s="6" t="s">
        <v>41</v>
      </c>
      <c r="O98" s="14" t="s">
        <v>161</v>
      </c>
      <c r="P98" s="14" t="s">
        <v>162</v>
      </c>
      <c r="Q98" s="14" t="s">
        <v>162</v>
      </c>
      <c r="R98" s="6" t="s">
        <v>72</v>
      </c>
      <c r="S98" s="14" t="s">
        <v>90</v>
      </c>
      <c r="T98" s="14" t="s">
        <v>163</v>
      </c>
      <c r="U98" s="14" t="n">
        <v>500</v>
      </c>
      <c r="V98" s="14" t="n">
        <v>2</v>
      </c>
      <c r="W98" s="6"/>
      <c r="X98" s="6" t="s">
        <v>47</v>
      </c>
      <c r="Y98" s="14" t="s">
        <v>153</v>
      </c>
      <c r="Z98" s="6" t="s">
        <v>154</v>
      </c>
      <c r="AA98" s="6" t="s">
        <v>155</v>
      </c>
      <c r="AB98" s="15" t="str">
        <f aca="true" t="array" ref="AB98:AB98">LEFT(AA98,LOOKUP(2^15,FIND(".",AA98,ROW(INDIRECT("1:"&amp;LEN(AA98)))))-1)</f>
        <v>LW_2023_003 - 20231031 - 1</v>
      </c>
      <c r="AC98" s="6" t="s">
        <v>156</v>
      </c>
      <c r="AD98" s="15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4" t="s">
        <v>147</v>
      </c>
      <c r="B99" s="5"/>
      <c r="C99" s="4" t="s">
        <v>148</v>
      </c>
      <c r="D99" s="6" t="s">
        <v>19</v>
      </c>
      <c r="E99" s="6" t="s">
        <v>149</v>
      </c>
      <c r="F99" s="7" t="s">
        <v>150</v>
      </c>
      <c r="G99" s="6" t="s">
        <v>151</v>
      </c>
      <c r="H99" s="7" t="s">
        <v>56</v>
      </c>
      <c r="I99" s="6" t="str">
        <f aca="false">CONCATENATE(E99, "_",H99)</f>
        <v>NLA_2023_016_013</v>
      </c>
      <c r="J99" s="6" t="s">
        <v>52</v>
      </c>
      <c r="K99" s="6" t="s">
        <v>170</v>
      </c>
      <c r="L99" s="9" t="s">
        <v>69</v>
      </c>
      <c r="M99" s="13" t="s">
        <v>46</v>
      </c>
      <c r="N99" s="6" t="s">
        <v>70</v>
      </c>
      <c r="O99" s="6" t="s">
        <v>46</v>
      </c>
      <c r="P99" s="6" t="s">
        <v>71</v>
      </c>
      <c r="Q99" s="6" t="s">
        <v>71</v>
      </c>
      <c r="R99" s="6" t="s">
        <v>72</v>
      </c>
      <c r="S99" s="6" t="s">
        <v>73</v>
      </c>
      <c r="T99" s="6" t="s">
        <v>46</v>
      </c>
      <c r="U99" s="6" t="n">
        <v>1000</v>
      </c>
      <c r="V99" s="1" t="n">
        <v>3</v>
      </c>
      <c r="W99" s="6"/>
      <c r="X99" s="6" t="s">
        <v>74</v>
      </c>
      <c r="Y99" s="14" t="s">
        <v>153</v>
      </c>
      <c r="Z99" s="6" t="s">
        <v>154</v>
      </c>
      <c r="AA99" s="6" t="s">
        <v>155</v>
      </c>
      <c r="AB99" s="15" t="str">
        <f aca="true" t="array" ref="AB99:AB99">LEFT(AA99,LOOKUP(2^15,FIND(".",AA99,ROW(INDIRECT("1:"&amp;LEN(AA99)))))-1)</f>
        <v>LW_2023_003 - 20231031 - 1</v>
      </c>
      <c r="AC99" s="6" t="s">
        <v>156</v>
      </c>
      <c r="AD99" s="15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4" t="s">
        <v>147</v>
      </c>
      <c r="B100" s="5"/>
      <c r="C100" s="4" t="s">
        <v>148</v>
      </c>
      <c r="D100" s="6" t="s">
        <v>19</v>
      </c>
      <c r="E100" s="6" t="s">
        <v>149</v>
      </c>
      <c r="F100" s="7" t="s">
        <v>150</v>
      </c>
      <c r="G100" s="6" t="s">
        <v>151</v>
      </c>
      <c r="H100" s="7" t="s">
        <v>58</v>
      </c>
      <c r="I100" s="6" t="str">
        <f aca="false">CONCATENATE(E100, "_",H100)</f>
        <v>NLA_2023_016_014</v>
      </c>
      <c r="J100" s="6" t="s">
        <v>52</v>
      </c>
      <c r="K100" s="6" t="s">
        <v>171</v>
      </c>
      <c r="L100" s="7" t="s">
        <v>46</v>
      </c>
      <c r="M100" s="17" t="s">
        <v>46</v>
      </c>
      <c r="N100" s="6" t="s">
        <v>65</v>
      </c>
      <c r="O100" s="6" t="s">
        <v>46</v>
      </c>
      <c r="P100" s="6" t="s">
        <v>46</v>
      </c>
      <c r="Q100" s="6" t="s">
        <v>46</v>
      </c>
      <c r="R100" s="6" t="s">
        <v>46</v>
      </c>
      <c r="S100" s="6" t="s">
        <v>46</v>
      </c>
      <c r="T100" s="6" t="s">
        <v>46</v>
      </c>
      <c r="U100" s="6" t="s">
        <v>46</v>
      </c>
      <c r="V100" s="1" t="n">
        <v>3</v>
      </c>
      <c r="W100" s="6"/>
      <c r="X100" s="6" t="s">
        <v>46</v>
      </c>
      <c r="Y100" s="14" t="s">
        <v>153</v>
      </c>
      <c r="Z100" s="6" t="s">
        <v>154</v>
      </c>
      <c r="AA100" s="6" t="s">
        <v>155</v>
      </c>
      <c r="AB100" s="15" t="str">
        <f aca="true" t="array" ref="AB100:AB100">LEFT(AA100,LOOKUP(2^15,FIND(".",AA100,ROW(INDIRECT("1:"&amp;LEN(AA100)))))-1)</f>
        <v>LW_2023_003 - 20231031 - 1</v>
      </c>
      <c r="AC100" s="6" t="s">
        <v>156</v>
      </c>
      <c r="AD100" s="15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4" t="s">
        <v>147</v>
      </c>
      <c r="B101" s="5"/>
      <c r="C101" s="4" t="s">
        <v>148</v>
      </c>
      <c r="D101" s="6" t="s">
        <v>19</v>
      </c>
      <c r="E101" s="6" t="s">
        <v>149</v>
      </c>
      <c r="F101" s="7" t="s">
        <v>150</v>
      </c>
      <c r="G101" s="6" t="s">
        <v>151</v>
      </c>
      <c r="H101" s="7" t="s">
        <v>172</v>
      </c>
      <c r="I101" s="6" t="str">
        <f aca="false">CONCATENATE(E101, "_",H101)</f>
        <v>NLA_2023_016_015</v>
      </c>
      <c r="J101" s="14" t="s">
        <v>166</v>
      </c>
      <c r="K101" s="14" t="s">
        <v>173</v>
      </c>
      <c r="L101" s="14" t="s">
        <v>69</v>
      </c>
      <c r="M101" s="20" t="s">
        <v>160</v>
      </c>
      <c r="N101" s="6" t="s">
        <v>41</v>
      </c>
      <c r="O101" s="14" t="s">
        <v>161</v>
      </c>
      <c r="P101" s="14" t="s">
        <v>162</v>
      </c>
      <c r="Q101" s="14" t="s">
        <v>162</v>
      </c>
      <c r="R101" s="6" t="s">
        <v>72</v>
      </c>
      <c r="S101" s="14" t="s">
        <v>90</v>
      </c>
      <c r="T101" s="6" t="s">
        <v>168</v>
      </c>
      <c r="U101" s="14" t="n">
        <v>500</v>
      </c>
      <c r="V101" s="14" t="n">
        <v>3</v>
      </c>
      <c r="W101" s="6"/>
      <c r="X101" s="6" t="s">
        <v>47</v>
      </c>
      <c r="Y101" s="14" t="s">
        <v>153</v>
      </c>
      <c r="Z101" s="6" t="s">
        <v>154</v>
      </c>
      <c r="AA101" s="6" t="s">
        <v>155</v>
      </c>
      <c r="AB101" s="15" t="str">
        <f aca="true" t="array" ref="AB101:AB101">LEFT(AA101,LOOKUP(2^15,FIND(".",AA101,ROW(INDIRECT("1:"&amp;LEN(AA101)))))-1)</f>
        <v>LW_2023_003 - 20231031 - 1</v>
      </c>
      <c r="AC101" s="6" t="s">
        <v>156</v>
      </c>
      <c r="AD101" s="15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4" t="s">
        <v>147</v>
      </c>
      <c r="B102" s="5"/>
      <c r="C102" s="4" t="s">
        <v>148</v>
      </c>
      <c r="D102" s="6" t="s">
        <v>19</v>
      </c>
      <c r="E102" s="6" t="s">
        <v>149</v>
      </c>
      <c r="F102" s="7" t="s">
        <v>150</v>
      </c>
      <c r="G102" s="6" t="s">
        <v>151</v>
      </c>
      <c r="H102" s="7" t="s">
        <v>60</v>
      </c>
      <c r="I102" s="6" t="str">
        <f aca="false">CONCATENATE(E102, "_",H102)</f>
        <v>NLA_2023_016_016</v>
      </c>
      <c r="J102" s="14" t="s">
        <v>158</v>
      </c>
      <c r="K102" s="14" t="s">
        <v>174</v>
      </c>
      <c r="L102" s="14" t="s">
        <v>69</v>
      </c>
      <c r="M102" s="20" t="s">
        <v>160</v>
      </c>
      <c r="N102" s="6" t="s">
        <v>41</v>
      </c>
      <c r="O102" s="14" t="s">
        <v>161</v>
      </c>
      <c r="P102" s="14" t="s">
        <v>162</v>
      </c>
      <c r="Q102" s="14" t="s">
        <v>162</v>
      </c>
      <c r="R102" s="6" t="s">
        <v>72</v>
      </c>
      <c r="S102" s="14" t="s">
        <v>90</v>
      </c>
      <c r="T102" s="14" t="s">
        <v>163</v>
      </c>
      <c r="U102" s="14" t="n">
        <v>500</v>
      </c>
      <c r="V102" s="14" t="n">
        <v>3</v>
      </c>
      <c r="W102" s="6"/>
      <c r="X102" s="6" t="s">
        <v>47</v>
      </c>
      <c r="Y102" s="14" t="s">
        <v>153</v>
      </c>
      <c r="Z102" s="6" t="s">
        <v>154</v>
      </c>
      <c r="AA102" s="6" t="s">
        <v>155</v>
      </c>
      <c r="AB102" s="15" t="str">
        <f aca="true" t="array" ref="AB102:AB102">LEFT(AA102,LOOKUP(2^15,FIND(".",AA102,ROW(INDIRECT("1:"&amp;LEN(AA102)))))-1)</f>
        <v>LW_2023_003 - 20231031 - 1</v>
      </c>
      <c r="AC102" s="6" t="s">
        <v>156</v>
      </c>
      <c r="AD102" s="15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4" t="s">
        <v>175</v>
      </c>
      <c r="B103" s="5"/>
      <c r="C103" s="4" t="s">
        <v>176</v>
      </c>
      <c r="D103" s="6" t="s">
        <v>19</v>
      </c>
      <c r="E103" s="6" t="s">
        <v>149</v>
      </c>
      <c r="F103" s="7" t="s">
        <v>150</v>
      </c>
      <c r="G103" s="6" t="s">
        <v>151</v>
      </c>
      <c r="H103" s="7" t="s">
        <v>108</v>
      </c>
      <c r="I103" s="6" t="str">
        <f aca="false">CONCATENATE(E103, "_",H103)</f>
        <v>NLA_2023_016_001</v>
      </c>
      <c r="J103" s="6" t="s">
        <v>52</v>
      </c>
      <c r="K103" s="6" t="s">
        <v>152</v>
      </c>
      <c r="L103" s="9" t="s">
        <v>69</v>
      </c>
      <c r="M103" s="13" t="s">
        <v>46</v>
      </c>
      <c r="N103" s="6" t="s">
        <v>70</v>
      </c>
      <c r="O103" s="6" t="s">
        <v>46</v>
      </c>
      <c r="P103" s="6" t="s">
        <v>71</v>
      </c>
      <c r="Q103" s="6" t="s">
        <v>71</v>
      </c>
      <c r="R103" s="6" t="s">
        <v>72</v>
      </c>
      <c r="S103" s="6" t="s">
        <v>73</v>
      </c>
      <c r="T103" s="6" t="s">
        <v>46</v>
      </c>
      <c r="U103" s="6" t="n">
        <v>1000</v>
      </c>
      <c r="V103" s="1" t="n">
        <v>1</v>
      </c>
      <c r="W103" s="6"/>
      <c r="X103" s="6" t="s">
        <v>74</v>
      </c>
      <c r="Y103" s="14" t="s">
        <v>153</v>
      </c>
      <c r="Z103" s="6" t="s">
        <v>154</v>
      </c>
      <c r="AA103" s="6" t="s">
        <v>155</v>
      </c>
      <c r="AB103" s="15" t="str">
        <f aca="true" t="array" ref="AB103:AB103">LEFT(AA103,LOOKUP(2^15,FIND(".",AA103,ROW(INDIRECT("1:"&amp;LEN(AA103)))))-1)</f>
        <v>LW_2023_003 - 20231031 - 1</v>
      </c>
      <c r="AC103" s="6" t="s">
        <v>156</v>
      </c>
      <c r="AD103" s="15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4" t="s">
        <v>175</v>
      </c>
      <c r="B104" s="5"/>
      <c r="C104" s="4" t="s">
        <v>176</v>
      </c>
      <c r="D104" s="6" t="s">
        <v>19</v>
      </c>
      <c r="E104" s="6" t="s">
        <v>149</v>
      </c>
      <c r="F104" s="7" t="s">
        <v>150</v>
      </c>
      <c r="G104" s="6" t="s">
        <v>151</v>
      </c>
      <c r="H104" s="7" t="s">
        <v>88</v>
      </c>
      <c r="I104" s="6" t="str">
        <f aca="false">CONCATENATE(E104, "_",H104)</f>
        <v>NLA_2023_016_002</v>
      </c>
      <c r="J104" s="6" t="s">
        <v>52</v>
      </c>
      <c r="K104" s="6" t="s">
        <v>157</v>
      </c>
      <c r="L104" s="7" t="s">
        <v>46</v>
      </c>
      <c r="M104" s="17" t="s">
        <v>46</v>
      </c>
      <c r="N104" s="6" t="s">
        <v>65</v>
      </c>
      <c r="O104" s="6" t="s">
        <v>46</v>
      </c>
      <c r="P104" s="6" t="s">
        <v>46</v>
      </c>
      <c r="Q104" s="6" t="s">
        <v>46</v>
      </c>
      <c r="R104" s="6" t="s">
        <v>46</v>
      </c>
      <c r="S104" s="6" t="s">
        <v>46</v>
      </c>
      <c r="T104" s="6" t="s">
        <v>46</v>
      </c>
      <c r="U104" s="6" t="s">
        <v>46</v>
      </c>
      <c r="V104" s="1" t="n">
        <v>1</v>
      </c>
      <c r="W104" s="6"/>
      <c r="X104" s="6" t="s">
        <v>46</v>
      </c>
      <c r="Y104" s="14" t="s">
        <v>153</v>
      </c>
      <c r="Z104" s="6" t="s">
        <v>154</v>
      </c>
      <c r="AA104" s="6" t="s">
        <v>155</v>
      </c>
      <c r="AB104" s="15" t="str">
        <f aca="true" t="array" ref="AB104:AB104">LEFT(AA104,LOOKUP(2^15,FIND(".",AA104,ROW(INDIRECT("1:"&amp;LEN(AA104)))))-1)</f>
        <v>LW_2023_003 - 20231031 - 1</v>
      </c>
      <c r="AC104" s="6" t="s">
        <v>156</v>
      </c>
      <c r="AD104" s="15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4" t="s">
        <v>175</v>
      </c>
      <c r="B105" s="5"/>
      <c r="C105" s="4" t="s">
        <v>176</v>
      </c>
      <c r="D105" s="6" t="s">
        <v>19</v>
      </c>
      <c r="E105" s="6" t="s">
        <v>149</v>
      </c>
      <c r="F105" s="7" t="s">
        <v>150</v>
      </c>
      <c r="G105" s="6" t="s">
        <v>151</v>
      </c>
      <c r="H105" s="7" t="s">
        <v>91</v>
      </c>
      <c r="I105" s="6" t="str">
        <f aca="false">CONCATENATE(E105, "_",H105)</f>
        <v>NLA_2023_016_005</v>
      </c>
      <c r="J105" s="14" t="s">
        <v>166</v>
      </c>
      <c r="K105" s="14" t="s">
        <v>177</v>
      </c>
      <c r="L105" s="14" t="s">
        <v>69</v>
      </c>
      <c r="M105" s="20" t="s">
        <v>160</v>
      </c>
      <c r="N105" s="6" t="s">
        <v>41</v>
      </c>
      <c r="O105" s="14" t="s">
        <v>161</v>
      </c>
      <c r="P105" s="14" t="s">
        <v>43</v>
      </c>
      <c r="Q105" s="14" t="s">
        <v>43</v>
      </c>
      <c r="R105" s="6" t="s">
        <v>44</v>
      </c>
      <c r="S105" s="14" t="s">
        <v>90</v>
      </c>
      <c r="T105" s="6" t="s">
        <v>168</v>
      </c>
      <c r="U105" s="14" t="n">
        <v>1000</v>
      </c>
      <c r="V105" s="14" t="n">
        <v>1</v>
      </c>
      <c r="W105" s="6"/>
      <c r="X105" s="6" t="s">
        <v>47</v>
      </c>
      <c r="Y105" s="14" t="s">
        <v>153</v>
      </c>
      <c r="Z105" s="6" t="s">
        <v>154</v>
      </c>
      <c r="AA105" s="6" t="s">
        <v>155</v>
      </c>
      <c r="AB105" s="15" t="str">
        <f aca="true" t="array" ref="AB105:AB105">LEFT(AA105,LOOKUP(2^15,FIND(".",AA105,ROW(INDIRECT("1:"&amp;LEN(AA105)))))-1)</f>
        <v>LW_2023_003 - 20231031 - 1</v>
      </c>
      <c r="AC105" s="6" t="s">
        <v>156</v>
      </c>
      <c r="AD105" s="15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4" t="s">
        <v>175</v>
      </c>
      <c r="B106" s="5"/>
      <c r="C106" s="4" t="s">
        <v>176</v>
      </c>
      <c r="D106" s="6" t="s">
        <v>19</v>
      </c>
      <c r="E106" s="6" t="s">
        <v>149</v>
      </c>
      <c r="F106" s="7" t="s">
        <v>150</v>
      </c>
      <c r="G106" s="6" t="s">
        <v>151</v>
      </c>
      <c r="H106" s="7" t="s">
        <v>101</v>
      </c>
      <c r="I106" s="6" t="str">
        <f aca="false">CONCATENATE(E106, "_",H106)</f>
        <v>NLA_2023_016_006</v>
      </c>
      <c r="J106" s="14" t="s">
        <v>158</v>
      </c>
      <c r="K106" s="14" t="s">
        <v>178</v>
      </c>
      <c r="L106" s="14" t="s">
        <v>69</v>
      </c>
      <c r="M106" s="20" t="s">
        <v>160</v>
      </c>
      <c r="N106" s="6" t="s">
        <v>41</v>
      </c>
      <c r="O106" s="14" t="s">
        <v>161</v>
      </c>
      <c r="P106" s="14" t="s">
        <v>43</v>
      </c>
      <c r="Q106" s="14" t="s">
        <v>43</v>
      </c>
      <c r="R106" s="6" t="s">
        <v>44</v>
      </c>
      <c r="S106" s="14" t="s">
        <v>90</v>
      </c>
      <c r="T106" s="14" t="s">
        <v>163</v>
      </c>
      <c r="U106" s="14" t="n">
        <v>1000</v>
      </c>
      <c r="V106" s="14" t="n">
        <v>1</v>
      </c>
      <c r="W106" s="6"/>
      <c r="X106" s="6" t="s">
        <v>47</v>
      </c>
      <c r="Y106" s="14" t="s">
        <v>153</v>
      </c>
      <c r="Z106" s="6" t="s">
        <v>154</v>
      </c>
      <c r="AA106" s="6" t="s">
        <v>155</v>
      </c>
      <c r="AB106" s="15" t="str">
        <f aca="true" t="array" ref="AB106:AB106">LEFT(AA106,LOOKUP(2^15,FIND(".",AA106,ROW(INDIRECT("1:"&amp;LEN(AA106)))))-1)</f>
        <v>LW_2023_003 - 20231031 - 1</v>
      </c>
      <c r="AC106" s="6" t="s">
        <v>156</v>
      </c>
      <c r="AD106" s="15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4" t="s">
        <v>175</v>
      </c>
      <c r="B107" s="5"/>
      <c r="C107" s="4" t="s">
        <v>176</v>
      </c>
      <c r="D107" s="6" t="s">
        <v>19</v>
      </c>
      <c r="E107" s="6" t="s">
        <v>149</v>
      </c>
      <c r="F107" s="7" t="s">
        <v>150</v>
      </c>
      <c r="G107" s="6" t="s">
        <v>151</v>
      </c>
      <c r="H107" s="7" t="s">
        <v>139</v>
      </c>
      <c r="I107" s="6" t="str">
        <f aca="false">CONCATENATE(E107, "_",H107)</f>
        <v>NLA_2023_016_007</v>
      </c>
      <c r="J107" s="6" t="s">
        <v>52</v>
      </c>
      <c r="K107" s="6" t="s">
        <v>164</v>
      </c>
      <c r="L107" s="9" t="s">
        <v>69</v>
      </c>
      <c r="M107" s="13" t="s">
        <v>46</v>
      </c>
      <c r="N107" s="6" t="s">
        <v>70</v>
      </c>
      <c r="O107" s="6" t="s">
        <v>46</v>
      </c>
      <c r="P107" s="6" t="s">
        <v>71</v>
      </c>
      <c r="Q107" s="6" t="s">
        <v>71</v>
      </c>
      <c r="R107" s="6" t="s">
        <v>72</v>
      </c>
      <c r="S107" s="6" t="s">
        <v>73</v>
      </c>
      <c r="T107" s="6" t="s">
        <v>46</v>
      </c>
      <c r="U107" s="6" t="n">
        <v>1000</v>
      </c>
      <c r="V107" s="1" t="n">
        <v>2</v>
      </c>
      <c r="W107" s="6"/>
      <c r="X107" s="6" t="s">
        <v>74</v>
      </c>
      <c r="Y107" s="14" t="s">
        <v>153</v>
      </c>
      <c r="Z107" s="6" t="s">
        <v>154</v>
      </c>
      <c r="AA107" s="6" t="s">
        <v>155</v>
      </c>
      <c r="AB107" s="15" t="str">
        <f aca="true" t="array" ref="AB107:AB107">LEFT(AA107,LOOKUP(2^15,FIND(".",AA107,ROW(INDIRECT("1:"&amp;LEN(AA107)))))-1)</f>
        <v>LW_2023_003 - 20231031 - 1</v>
      </c>
      <c r="AC107" s="6" t="s">
        <v>156</v>
      </c>
      <c r="AD107" s="15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4" t="s">
        <v>175</v>
      </c>
      <c r="B108" s="5"/>
      <c r="C108" s="4" t="s">
        <v>176</v>
      </c>
      <c r="D108" s="6" t="s">
        <v>19</v>
      </c>
      <c r="E108" s="6" t="s">
        <v>149</v>
      </c>
      <c r="F108" s="7" t="s">
        <v>150</v>
      </c>
      <c r="G108" s="6" t="s">
        <v>151</v>
      </c>
      <c r="H108" s="7" t="s">
        <v>142</v>
      </c>
      <c r="I108" s="6" t="str">
        <f aca="false">CONCATENATE(E108, "_",H108)</f>
        <v>NLA_2023_016_008</v>
      </c>
      <c r="J108" s="6" t="s">
        <v>52</v>
      </c>
      <c r="K108" s="6" t="s">
        <v>165</v>
      </c>
      <c r="L108" s="7" t="s">
        <v>46</v>
      </c>
      <c r="M108" s="17" t="s">
        <v>46</v>
      </c>
      <c r="N108" s="6" t="s">
        <v>65</v>
      </c>
      <c r="O108" s="6" t="s">
        <v>46</v>
      </c>
      <c r="P108" s="6" t="s">
        <v>46</v>
      </c>
      <c r="Q108" s="6" t="s">
        <v>46</v>
      </c>
      <c r="R108" s="6" t="s">
        <v>46</v>
      </c>
      <c r="S108" s="6" t="s">
        <v>46</v>
      </c>
      <c r="T108" s="6" t="s">
        <v>46</v>
      </c>
      <c r="U108" s="6" t="s">
        <v>46</v>
      </c>
      <c r="V108" s="1" t="n">
        <v>2</v>
      </c>
      <c r="W108" s="6"/>
      <c r="X108" s="6" t="s">
        <v>46</v>
      </c>
      <c r="Y108" s="14" t="s">
        <v>153</v>
      </c>
      <c r="Z108" s="6" t="s">
        <v>154</v>
      </c>
      <c r="AA108" s="6" t="s">
        <v>155</v>
      </c>
      <c r="AB108" s="15" t="str">
        <f aca="true" t="array" ref="AB108:AB108">LEFT(AA108,LOOKUP(2^15,FIND(".",AA108,ROW(INDIRECT("1:"&amp;LEN(AA108)))))-1)</f>
        <v>LW_2023_003 - 20231031 - 1</v>
      </c>
      <c r="AC108" s="6" t="s">
        <v>156</v>
      </c>
      <c r="AD108" s="15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4" t="s">
        <v>175</v>
      </c>
      <c r="B109" s="5"/>
      <c r="C109" s="4" t="s">
        <v>176</v>
      </c>
      <c r="D109" s="6" t="s">
        <v>19</v>
      </c>
      <c r="E109" s="6" t="s">
        <v>149</v>
      </c>
      <c r="F109" s="7" t="s">
        <v>150</v>
      </c>
      <c r="G109" s="6" t="s">
        <v>151</v>
      </c>
      <c r="H109" s="7" t="s">
        <v>132</v>
      </c>
      <c r="I109" s="6" t="str">
        <f aca="false">CONCATENATE(E109, "_",H109)</f>
        <v>NLA_2023_016_011</v>
      </c>
      <c r="J109" s="14" t="s">
        <v>166</v>
      </c>
      <c r="K109" s="14" t="s">
        <v>179</v>
      </c>
      <c r="L109" s="14" t="s">
        <v>69</v>
      </c>
      <c r="M109" s="20" t="s">
        <v>160</v>
      </c>
      <c r="N109" s="6" t="s">
        <v>41</v>
      </c>
      <c r="O109" s="14" t="s">
        <v>161</v>
      </c>
      <c r="P109" s="14" t="s">
        <v>43</v>
      </c>
      <c r="Q109" s="14" t="s">
        <v>43</v>
      </c>
      <c r="R109" s="6" t="s">
        <v>44</v>
      </c>
      <c r="S109" s="14" t="s">
        <v>90</v>
      </c>
      <c r="T109" s="6" t="s">
        <v>168</v>
      </c>
      <c r="U109" s="14" t="n">
        <v>1000</v>
      </c>
      <c r="V109" s="14" t="n">
        <v>2</v>
      </c>
      <c r="W109" s="6"/>
      <c r="X109" s="6" t="s">
        <v>47</v>
      </c>
      <c r="Y109" s="14" t="s">
        <v>153</v>
      </c>
      <c r="Z109" s="6" t="s">
        <v>154</v>
      </c>
      <c r="AA109" s="6" t="s">
        <v>155</v>
      </c>
      <c r="AB109" s="15" t="str">
        <f aca="true" t="array" ref="AB109:AB109">LEFT(AA109,LOOKUP(2^15,FIND(".",AA109,ROW(INDIRECT("1:"&amp;LEN(AA109)))))-1)</f>
        <v>LW_2023_003 - 20231031 - 1</v>
      </c>
      <c r="AC109" s="6" t="s">
        <v>156</v>
      </c>
      <c r="AD109" s="15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4" t="s">
        <v>175</v>
      </c>
      <c r="B110" s="5"/>
      <c r="C110" s="4" t="s">
        <v>176</v>
      </c>
      <c r="D110" s="6" t="s">
        <v>19</v>
      </c>
      <c r="E110" s="6" t="s">
        <v>149</v>
      </c>
      <c r="F110" s="7" t="s">
        <v>150</v>
      </c>
      <c r="G110" s="6" t="s">
        <v>151</v>
      </c>
      <c r="H110" s="7" t="s">
        <v>51</v>
      </c>
      <c r="I110" s="6" t="str">
        <f aca="false">CONCATENATE(E110, "_",H110)</f>
        <v>NLA_2023_016_012</v>
      </c>
      <c r="J110" s="14" t="s">
        <v>158</v>
      </c>
      <c r="K110" s="14" t="s">
        <v>180</v>
      </c>
      <c r="L110" s="14" t="s">
        <v>69</v>
      </c>
      <c r="M110" s="20" t="s">
        <v>160</v>
      </c>
      <c r="N110" s="6" t="s">
        <v>41</v>
      </c>
      <c r="O110" s="14" t="s">
        <v>161</v>
      </c>
      <c r="P110" s="14" t="s">
        <v>43</v>
      </c>
      <c r="Q110" s="14" t="s">
        <v>43</v>
      </c>
      <c r="R110" s="6" t="s">
        <v>44</v>
      </c>
      <c r="S110" s="14" t="s">
        <v>90</v>
      </c>
      <c r="T110" s="14" t="s">
        <v>163</v>
      </c>
      <c r="U110" s="14" t="n">
        <v>1000</v>
      </c>
      <c r="V110" s="14" t="n">
        <v>2</v>
      </c>
      <c r="W110" s="6"/>
      <c r="X110" s="6" t="s">
        <v>47</v>
      </c>
      <c r="Y110" s="14" t="s">
        <v>153</v>
      </c>
      <c r="Z110" s="6" t="s">
        <v>154</v>
      </c>
      <c r="AA110" s="6" t="s">
        <v>155</v>
      </c>
      <c r="AB110" s="15" t="str">
        <f aca="true" t="array" ref="AB110:AB110">LEFT(AA110,LOOKUP(2^15,FIND(".",AA110,ROW(INDIRECT("1:"&amp;LEN(AA110)))))-1)</f>
        <v>LW_2023_003 - 20231031 - 1</v>
      </c>
      <c r="AC110" s="6" t="s">
        <v>156</v>
      </c>
      <c r="AD110" s="15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4" t="s">
        <v>175</v>
      </c>
      <c r="B111" s="5"/>
      <c r="C111" s="4" t="s">
        <v>176</v>
      </c>
      <c r="D111" s="6" t="s">
        <v>19</v>
      </c>
      <c r="E111" s="6" t="s">
        <v>149</v>
      </c>
      <c r="F111" s="7" t="s">
        <v>150</v>
      </c>
      <c r="G111" s="6" t="s">
        <v>151</v>
      </c>
      <c r="H111" s="7" t="s">
        <v>56</v>
      </c>
      <c r="I111" s="6" t="str">
        <f aca="false">CONCATENATE(E111, "_",H111)</f>
        <v>NLA_2023_016_013</v>
      </c>
      <c r="J111" s="6" t="s">
        <v>52</v>
      </c>
      <c r="K111" s="6" t="s">
        <v>170</v>
      </c>
      <c r="L111" s="9" t="s">
        <v>69</v>
      </c>
      <c r="M111" s="13" t="s">
        <v>46</v>
      </c>
      <c r="N111" s="6" t="s">
        <v>70</v>
      </c>
      <c r="O111" s="6" t="s">
        <v>46</v>
      </c>
      <c r="P111" s="6" t="s">
        <v>71</v>
      </c>
      <c r="Q111" s="6" t="s">
        <v>71</v>
      </c>
      <c r="R111" s="6" t="s">
        <v>72</v>
      </c>
      <c r="S111" s="6" t="s">
        <v>73</v>
      </c>
      <c r="T111" s="6" t="s">
        <v>46</v>
      </c>
      <c r="U111" s="6" t="n">
        <v>1000</v>
      </c>
      <c r="V111" s="1" t="n">
        <v>3</v>
      </c>
      <c r="W111" s="6"/>
      <c r="X111" s="6" t="s">
        <v>74</v>
      </c>
      <c r="Y111" s="14" t="s">
        <v>153</v>
      </c>
      <c r="Z111" s="6" t="s">
        <v>154</v>
      </c>
      <c r="AA111" s="6" t="s">
        <v>155</v>
      </c>
      <c r="AB111" s="15" t="str">
        <f aca="true" t="array" ref="AB111:AB111">LEFT(AA111,LOOKUP(2^15,FIND(".",AA111,ROW(INDIRECT("1:"&amp;LEN(AA111)))))-1)</f>
        <v>LW_2023_003 - 20231031 - 1</v>
      </c>
      <c r="AC111" s="6" t="s">
        <v>156</v>
      </c>
      <c r="AD111" s="15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4" t="s">
        <v>175</v>
      </c>
      <c r="B112" s="5"/>
      <c r="C112" s="4" t="s">
        <v>176</v>
      </c>
      <c r="D112" s="6" t="s">
        <v>19</v>
      </c>
      <c r="E112" s="6" t="s">
        <v>149</v>
      </c>
      <c r="F112" s="7" t="s">
        <v>150</v>
      </c>
      <c r="G112" s="6" t="s">
        <v>151</v>
      </c>
      <c r="H112" s="7" t="s">
        <v>58</v>
      </c>
      <c r="I112" s="6" t="str">
        <f aca="false">CONCATENATE(E112, "_",H112)</f>
        <v>NLA_2023_016_014</v>
      </c>
      <c r="J112" s="6" t="s">
        <v>52</v>
      </c>
      <c r="K112" s="6" t="s">
        <v>171</v>
      </c>
      <c r="L112" s="7" t="s">
        <v>46</v>
      </c>
      <c r="M112" s="17" t="s">
        <v>46</v>
      </c>
      <c r="N112" s="6" t="s">
        <v>65</v>
      </c>
      <c r="O112" s="6" t="s">
        <v>46</v>
      </c>
      <c r="P112" s="6" t="s">
        <v>46</v>
      </c>
      <c r="Q112" s="6" t="s">
        <v>46</v>
      </c>
      <c r="R112" s="6" t="s">
        <v>46</v>
      </c>
      <c r="S112" s="6" t="s">
        <v>46</v>
      </c>
      <c r="T112" s="6" t="s">
        <v>46</v>
      </c>
      <c r="U112" s="6" t="s">
        <v>46</v>
      </c>
      <c r="V112" s="1" t="n">
        <v>3</v>
      </c>
      <c r="W112" s="6"/>
      <c r="X112" s="6" t="s">
        <v>46</v>
      </c>
      <c r="Y112" s="14" t="s">
        <v>153</v>
      </c>
      <c r="Z112" s="6" t="s">
        <v>154</v>
      </c>
      <c r="AA112" s="6" t="s">
        <v>155</v>
      </c>
      <c r="AB112" s="15" t="str">
        <f aca="true" t="array" ref="AB112:AB112">LEFT(AA112,LOOKUP(2^15,FIND(".",AA112,ROW(INDIRECT("1:"&amp;LEN(AA112)))))-1)</f>
        <v>LW_2023_003 - 20231031 - 1</v>
      </c>
      <c r="AC112" s="6" t="s">
        <v>156</v>
      </c>
      <c r="AD112" s="15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4" t="s">
        <v>175</v>
      </c>
      <c r="B113" s="5"/>
      <c r="C113" s="4" t="s">
        <v>176</v>
      </c>
      <c r="D113" s="6" t="s">
        <v>19</v>
      </c>
      <c r="E113" s="6" t="s">
        <v>149</v>
      </c>
      <c r="F113" s="7" t="s">
        <v>150</v>
      </c>
      <c r="G113" s="6" t="s">
        <v>151</v>
      </c>
      <c r="H113" s="7" t="s">
        <v>181</v>
      </c>
      <c r="I113" s="6" t="str">
        <f aca="false">CONCATENATE(E113, "_",H113)</f>
        <v>NLA_2023_016_017</v>
      </c>
      <c r="J113" s="14" t="s">
        <v>166</v>
      </c>
      <c r="K113" s="14" t="s">
        <v>182</v>
      </c>
      <c r="L113" s="14" t="s">
        <v>69</v>
      </c>
      <c r="M113" s="20" t="s">
        <v>160</v>
      </c>
      <c r="N113" s="6" t="s">
        <v>41</v>
      </c>
      <c r="O113" s="14" t="s">
        <v>161</v>
      </c>
      <c r="P113" s="14" t="s">
        <v>43</v>
      </c>
      <c r="Q113" s="14" t="s">
        <v>43</v>
      </c>
      <c r="R113" s="6" t="s">
        <v>44</v>
      </c>
      <c r="S113" s="14" t="s">
        <v>90</v>
      </c>
      <c r="T113" s="6" t="s">
        <v>168</v>
      </c>
      <c r="U113" s="14" t="n">
        <v>1000</v>
      </c>
      <c r="V113" s="14" t="n">
        <v>3</v>
      </c>
      <c r="W113" s="6"/>
      <c r="X113" s="6" t="s">
        <v>47</v>
      </c>
      <c r="Y113" s="14" t="s">
        <v>153</v>
      </c>
      <c r="Z113" s="6" t="s">
        <v>154</v>
      </c>
      <c r="AA113" s="6" t="s">
        <v>155</v>
      </c>
      <c r="AB113" s="15" t="str">
        <f aca="true" t="array" ref="AB113:AB113">LEFT(AA113,LOOKUP(2^15,FIND(".",AA113,ROW(INDIRECT("1:"&amp;LEN(AA113)))))-1)</f>
        <v>LW_2023_003 - 20231031 - 1</v>
      </c>
      <c r="AC113" s="6" t="s">
        <v>156</v>
      </c>
      <c r="AD113" s="15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4" t="s">
        <v>175</v>
      </c>
      <c r="B114" s="5"/>
      <c r="C114" s="4" t="s">
        <v>176</v>
      </c>
      <c r="D114" s="6" t="s">
        <v>19</v>
      </c>
      <c r="E114" s="6" t="s">
        <v>149</v>
      </c>
      <c r="F114" s="7" t="s">
        <v>150</v>
      </c>
      <c r="G114" s="6" t="s">
        <v>151</v>
      </c>
      <c r="H114" s="7" t="s">
        <v>93</v>
      </c>
      <c r="I114" s="6" t="str">
        <f aca="false">CONCATENATE(E114, "_",H114)</f>
        <v>NLA_2023_016_018</v>
      </c>
      <c r="J114" s="14" t="s">
        <v>158</v>
      </c>
      <c r="K114" s="14" t="s">
        <v>183</v>
      </c>
      <c r="L114" s="14" t="s">
        <v>69</v>
      </c>
      <c r="M114" s="20" t="s">
        <v>160</v>
      </c>
      <c r="N114" s="6" t="s">
        <v>41</v>
      </c>
      <c r="O114" s="14" t="s">
        <v>161</v>
      </c>
      <c r="P114" s="14" t="s">
        <v>43</v>
      </c>
      <c r="Q114" s="14" t="s">
        <v>43</v>
      </c>
      <c r="R114" s="6" t="s">
        <v>44</v>
      </c>
      <c r="S114" s="14" t="s">
        <v>90</v>
      </c>
      <c r="T114" s="14" t="s">
        <v>163</v>
      </c>
      <c r="U114" s="14" t="n">
        <v>1000</v>
      </c>
      <c r="V114" s="14" t="n">
        <v>3</v>
      </c>
      <c r="W114" s="6"/>
      <c r="X114" s="6" t="s">
        <v>47</v>
      </c>
      <c r="Y114" s="14" t="s">
        <v>153</v>
      </c>
      <c r="Z114" s="6" t="s">
        <v>154</v>
      </c>
      <c r="AA114" s="6" t="s">
        <v>155</v>
      </c>
      <c r="AB114" s="15" t="str">
        <f aca="true" t="array" ref="AB114:AB114">LEFT(AA114,LOOKUP(2^15,FIND(".",AA114,ROW(INDIRECT("1:"&amp;LEN(AA114)))))-1)</f>
        <v>LW_2023_003 - 20231031 - 1</v>
      </c>
      <c r="AC114" s="6" t="s">
        <v>156</v>
      </c>
      <c r="AD114" s="15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4" t="s">
        <v>184</v>
      </c>
      <c r="B115" s="5"/>
      <c r="C115" s="4" t="s">
        <v>185</v>
      </c>
      <c r="D115" s="6" t="s">
        <v>19</v>
      </c>
      <c r="E115" s="6" t="s">
        <v>186</v>
      </c>
      <c r="F115" s="7" t="s">
        <v>187</v>
      </c>
      <c r="G115" s="6" t="s">
        <v>188</v>
      </c>
      <c r="H115" s="8" t="s">
        <v>189</v>
      </c>
      <c r="I115" s="6" t="str">
        <f aca="false">CONCATENATE(E115, "_",H115)</f>
        <v>NLA_2022_001_007-1</v>
      </c>
      <c r="J115" s="6" t="s">
        <v>38</v>
      </c>
      <c r="K115" s="6" t="s">
        <v>190</v>
      </c>
      <c r="L115" s="9" t="s">
        <v>69</v>
      </c>
      <c r="M115" s="13" t="s">
        <v>191</v>
      </c>
      <c r="N115" s="6" t="s">
        <v>41</v>
      </c>
      <c r="O115" s="6" t="s">
        <v>161</v>
      </c>
      <c r="P115" s="6" t="s">
        <v>192</v>
      </c>
      <c r="Q115" s="6" t="s">
        <v>192</v>
      </c>
      <c r="R115" s="6" t="s">
        <v>44</v>
      </c>
      <c r="S115" s="6" t="s">
        <v>73</v>
      </c>
      <c r="T115" s="6" t="s">
        <v>168</v>
      </c>
      <c r="U115" s="6" t="n">
        <v>1000</v>
      </c>
      <c r="V115" s="1" t="n">
        <v>1</v>
      </c>
      <c r="W115" s="6"/>
      <c r="X115" s="9" t="s">
        <v>193</v>
      </c>
      <c r="Y115" s="1" t="n">
        <v>5500</v>
      </c>
      <c r="Z115" s="6" t="s">
        <v>194</v>
      </c>
      <c r="AA115" s="6" t="s">
        <v>195</v>
      </c>
      <c r="AB115" s="15" t="str">
        <f aca="true" t="array" ref="AB115:AB115">LEFT(AA115,LOOKUP(2^15,FIND(".",AA115,ROW(INDIRECT("1:"&amp;LEN(AA115)))))-1)</f>
        <v>NB_2022_006+007+010 - 25022022 - 1</v>
      </c>
      <c r="AC115" s="6" t="s">
        <v>196</v>
      </c>
      <c r="AD115" s="15" t="str">
        <f aca="true" t="array" ref="AD115:AD115">LEFT(AC115,LOOKUP(2^15,FIND(".",AC115,ROW(INDIRECT("1:"&amp;LEN(AC115)))))-1)</f>
        <v>NB_2022_006+007+010 - 25022022 - 2</v>
      </c>
      <c r="AE115" s="6" t="str">
        <f aca="false">CONCATENATE(AB115, "-",H115, ".mzML")</f>
        <v>NB_2022_006+007+010 - 25022022 - 1-007-1.mzML</v>
      </c>
      <c r="AF115" s="6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4" t="s">
        <v>184</v>
      </c>
      <c r="B116" s="5"/>
      <c r="C116" s="4" t="s">
        <v>185</v>
      </c>
      <c r="D116" s="6" t="s">
        <v>19</v>
      </c>
      <c r="E116" s="6" t="s">
        <v>186</v>
      </c>
      <c r="F116" s="7" t="s">
        <v>187</v>
      </c>
      <c r="G116" s="6" t="s">
        <v>188</v>
      </c>
      <c r="H116" s="8" t="s">
        <v>197</v>
      </c>
      <c r="I116" s="6" t="str">
        <f aca="false">CONCATENATE(E116, "_",H116)</f>
        <v>NLA_2022_001_007-2</v>
      </c>
      <c r="J116" s="6" t="s">
        <v>38</v>
      </c>
      <c r="K116" s="6" t="s">
        <v>190</v>
      </c>
      <c r="L116" s="9" t="s">
        <v>69</v>
      </c>
      <c r="M116" s="13" t="s">
        <v>191</v>
      </c>
      <c r="N116" s="6" t="s">
        <v>41</v>
      </c>
      <c r="O116" s="6" t="s">
        <v>161</v>
      </c>
      <c r="P116" s="6" t="s">
        <v>192</v>
      </c>
      <c r="Q116" s="6" t="s">
        <v>192</v>
      </c>
      <c r="R116" s="6" t="s">
        <v>44</v>
      </c>
      <c r="S116" s="6" t="s">
        <v>73</v>
      </c>
      <c r="T116" s="6" t="s">
        <v>168</v>
      </c>
      <c r="U116" s="6" t="n">
        <v>1000</v>
      </c>
      <c r="V116" s="1" t="n">
        <v>2</v>
      </c>
      <c r="W116" s="6"/>
      <c r="X116" s="9" t="s">
        <v>193</v>
      </c>
      <c r="Y116" s="1" t="n">
        <v>5500</v>
      </c>
      <c r="Z116" s="6" t="s">
        <v>194</v>
      </c>
      <c r="AA116" s="6" t="s">
        <v>195</v>
      </c>
      <c r="AB116" s="15" t="str">
        <f aca="true" t="array" ref="AB116:AB116">LEFT(AA116,LOOKUP(2^15,FIND(".",AA116,ROW(INDIRECT("1:"&amp;LEN(AA116)))))-1)</f>
        <v>NB_2022_006+007+010 - 25022022 - 1</v>
      </c>
      <c r="AC116" s="6" t="s">
        <v>196</v>
      </c>
      <c r="AD116" s="15" t="str">
        <f aca="true" t="array" ref="AD116:AD116">LEFT(AC116,LOOKUP(2^15,FIND(".",AC116,ROW(INDIRECT("1:"&amp;LEN(AC116)))))-1)</f>
        <v>NB_2022_006+007+010 - 25022022 - 2</v>
      </c>
      <c r="AE116" s="6" t="str">
        <f aca="false">CONCATENATE(AB116, "-",H116, ".mzML")</f>
        <v>NB_2022_006+007+010 - 25022022 - 1-007-2.mzML</v>
      </c>
      <c r="AF116" s="6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4" t="s">
        <v>184</v>
      </c>
      <c r="B117" s="5"/>
      <c r="C117" s="4" t="s">
        <v>185</v>
      </c>
      <c r="D117" s="6" t="s">
        <v>19</v>
      </c>
      <c r="E117" s="6" t="s">
        <v>186</v>
      </c>
      <c r="F117" s="7" t="s">
        <v>187</v>
      </c>
      <c r="G117" s="6" t="s">
        <v>188</v>
      </c>
      <c r="H117" s="8" t="s">
        <v>198</v>
      </c>
      <c r="I117" s="6" t="str">
        <f aca="false">CONCATENATE(E117, "_",H117)</f>
        <v>NLA_2022_001_007-3</v>
      </c>
      <c r="J117" s="6" t="s">
        <v>38</v>
      </c>
      <c r="K117" s="6" t="s">
        <v>190</v>
      </c>
      <c r="L117" s="9" t="s">
        <v>69</v>
      </c>
      <c r="M117" s="13" t="s">
        <v>191</v>
      </c>
      <c r="N117" s="6" t="s">
        <v>41</v>
      </c>
      <c r="O117" s="6" t="s">
        <v>161</v>
      </c>
      <c r="P117" s="6" t="s">
        <v>192</v>
      </c>
      <c r="Q117" s="6" t="s">
        <v>192</v>
      </c>
      <c r="R117" s="6" t="s">
        <v>44</v>
      </c>
      <c r="S117" s="6" t="s">
        <v>73</v>
      </c>
      <c r="T117" s="6" t="s">
        <v>168</v>
      </c>
      <c r="U117" s="6" t="n">
        <v>1000</v>
      </c>
      <c r="V117" s="1" t="n">
        <v>3</v>
      </c>
      <c r="W117" s="6"/>
      <c r="X117" s="9" t="s">
        <v>193</v>
      </c>
      <c r="Y117" s="1" t="n">
        <v>5500</v>
      </c>
      <c r="Z117" s="6" t="s">
        <v>194</v>
      </c>
      <c r="AA117" s="6" t="s">
        <v>195</v>
      </c>
      <c r="AB117" s="15" t="str">
        <f aca="true" t="array" ref="AB117:AB117">LEFT(AA117,LOOKUP(2^15,FIND(".",AA117,ROW(INDIRECT("1:"&amp;LEN(AA117)))))-1)</f>
        <v>NB_2022_006+007+010 - 25022022 - 1</v>
      </c>
      <c r="AC117" s="6" t="s">
        <v>196</v>
      </c>
      <c r="AD117" s="15" t="str">
        <f aca="true" t="array" ref="AD117:AD117">LEFT(AC117,LOOKUP(2^15,FIND(".",AC117,ROW(INDIRECT("1:"&amp;LEN(AC117)))))-1)</f>
        <v>NB_2022_006+007+010 - 25022022 - 2</v>
      </c>
      <c r="AE117" s="6" t="str">
        <f aca="false">CONCATENATE(AB117, "-",H117, ".mzML")</f>
        <v>NB_2022_006+007+010 - 25022022 - 1-007-3.mzML</v>
      </c>
      <c r="AF117" s="6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4" t="s">
        <v>184</v>
      </c>
      <c r="B118" s="5"/>
      <c r="C118" s="4" t="s">
        <v>185</v>
      </c>
      <c r="D118" s="6" t="s">
        <v>19</v>
      </c>
      <c r="E118" s="6" t="s">
        <v>186</v>
      </c>
      <c r="F118" s="7" t="s">
        <v>187</v>
      </c>
      <c r="G118" s="6" t="s">
        <v>188</v>
      </c>
      <c r="H118" s="8" t="s">
        <v>199</v>
      </c>
      <c r="I118" s="6" t="str">
        <f aca="false">CONCATENATE(E118, "_",H118)</f>
        <v>NLA_2022_001_007-4</v>
      </c>
      <c r="J118" s="6" t="s">
        <v>52</v>
      </c>
      <c r="K118" s="6" t="s">
        <v>200</v>
      </c>
      <c r="L118" s="9" t="s">
        <v>69</v>
      </c>
      <c r="M118" s="13" t="s">
        <v>191</v>
      </c>
      <c r="N118" s="6" t="s">
        <v>41</v>
      </c>
      <c r="O118" s="6" t="s">
        <v>161</v>
      </c>
      <c r="P118" s="6" t="s">
        <v>192</v>
      </c>
      <c r="Q118" s="6" t="s">
        <v>192</v>
      </c>
      <c r="R118" s="6" t="s">
        <v>44</v>
      </c>
      <c r="S118" s="6" t="s">
        <v>73</v>
      </c>
      <c r="T118" s="21" t="s">
        <v>163</v>
      </c>
      <c r="U118" s="1" t="n">
        <v>1000</v>
      </c>
      <c r="V118" s="1" t="n">
        <v>1</v>
      </c>
      <c r="X118" s="9" t="s">
        <v>193</v>
      </c>
      <c r="Y118" s="1" t="n">
        <v>5500</v>
      </c>
      <c r="Z118" s="6" t="s">
        <v>194</v>
      </c>
      <c r="AA118" s="6" t="s">
        <v>195</v>
      </c>
      <c r="AB118" s="15" t="str">
        <f aca="true" t="array" ref="AB118:AB118">LEFT(AA118,LOOKUP(2^15,FIND(".",AA118,ROW(INDIRECT("1:"&amp;LEN(AA118)))))-1)</f>
        <v>NB_2022_006+007+010 - 25022022 - 1</v>
      </c>
      <c r="AC118" s="6" t="s">
        <v>196</v>
      </c>
      <c r="AD118" s="15" t="str">
        <f aca="true" t="array" ref="AD118:AD118">LEFT(AC118,LOOKUP(2^15,FIND(".",AC118,ROW(INDIRECT("1:"&amp;LEN(AC118)))))-1)</f>
        <v>NB_2022_006+007+010 - 25022022 - 2</v>
      </c>
      <c r="AE118" s="6" t="str">
        <f aca="false">CONCATENATE(AB118, "-",H118, ".mzML")</f>
        <v>NB_2022_006+007+010 - 25022022 - 1-007-4.mzML</v>
      </c>
      <c r="AF118" s="6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4" t="s">
        <v>184</v>
      </c>
      <c r="B119" s="5"/>
      <c r="C119" s="4" t="s">
        <v>185</v>
      </c>
      <c r="D119" s="6" t="s">
        <v>19</v>
      </c>
      <c r="E119" s="6" t="s">
        <v>186</v>
      </c>
      <c r="F119" s="7" t="s">
        <v>187</v>
      </c>
      <c r="G119" s="6" t="s">
        <v>188</v>
      </c>
      <c r="H119" s="8" t="s">
        <v>201</v>
      </c>
      <c r="I119" s="6" t="str">
        <f aca="false">CONCATENATE(E119, "_",H119)</f>
        <v>NLA_2022_001_007-5</v>
      </c>
      <c r="J119" s="6" t="s">
        <v>52</v>
      </c>
      <c r="K119" s="6" t="s">
        <v>200</v>
      </c>
      <c r="L119" s="9" t="s">
        <v>69</v>
      </c>
      <c r="M119" s="13" t="s">
        <v>191</v>
      </c>
      <c r="N119" s="6" t="s">
        <v>41</v>
      </c>
      <c r="O119" s="6" t="s">
        <v>161</v>
      </c>
      <c r="P119" s="6" t="s">
        <v>192</v>
      </c>
      <c r="Q119" s="6" t="s">
        <v>192</v>
      </c>
      <c r="R119" s="6" t="s">
        <v>44</v>
      </c>
      <c r="S119" s="6" t="s">
        <v>73</v>
      </c>
      <c r="T119" s="21" t="s">
        <v>163</v>
      </c>
      <c r="U119" s="1" t="n">
        <v>1000</v>
      </c>
      <c r="V119" s="1" t="n">
        <v>2</v>
      </c>
      <c r="X119" s="9" t="s">
        <v>193</v>
      </c>
      <c r="Y119" s="1" t="n">
        <v>5500</v>
      </c>
      <c r="Z119" s="6" t="s">
        <v>194</v>
      </c>
      <c r="AA119" s="6" t="s">
        <v>195</v>
      </c>
      <c r="AB119" s="15" t="str">
        <f aca="true" t="array" ref="AB119:AB119">LEFT(AA119,LOOKUP(2^15,FIND(".",AA119,ROW(INDIRECT("1:"&amp;LEN(AA119)))))-1)</f>
        <v>NB_2022_006+007+010 - 25022022 - 1</v>
      </c>
      <c r="AC119" s="6" t="s">
        <v>196</v>
      </c>
      <c r="AD119" s="15" t="str">
        <f aca="true" t="array" ref="AD119:AD119">LEFT(AC119,LOOKUP(2^15,FIND(".",AC119,ROW(INDIRECT("1:"&amp;LEN(AC119)))))-1)</f>
        <v>NB_2022_006+007+010 - 25022022 - 2</v>
      </c>
      <c r="AE119" s="6" t="str">
        <f aca="false">CONCATENATE(AB119, "-",H119, ".mzML")</f>
        <v>NB_2022_006+007+010 - 25022022 - 1-007-5.mzML</v>
      </c>
      <c r="AF119" s="6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4" t="s">
        <v>184</v>
      </c>
      <c r="B120" s="5"/>
      <c r="C120" s="4" t="s">
        <v>185</v>
      </c>
      <c r="D120" s="6" t="s">
        <v>19</v>
      </c>
      <c r="E120" s="6" t="s">
        <v>186</v>
      </c>
      <c r="F120" s="7" t="s">
        <v>187</v>
      </c>
      <c r="G120" s="6" t="s">
        <v>188</v>
      </c>
      <c r="H120" s="8" t="s">
        <v>202</v>
      </c>
      <c r="I120" s="6" t="str">
        <f aca="false">CONCATENATE(E120, "_",H120)</f>
        <v>NLA_2022_001_007-6</v>
      </c>
      <c r="J120" s="6" t="s">
        <v>52</v>
      </c>
      <c r="K120" s="6" t="s">
        <v>200</v>
      </c>
      <c r="L120" s="9" t="s">
        <v>69</v>
      </c>
      <c r="M120" s="13" t="s">
        <v>191</v>
      </c>
      <c r="N120" s="6" t="s">
        <v>41</v>
      </c>
      <c r="O120" s="6" t="s">
        <v>161</v>
      </c>
      <c r="P120" s="6" t="s">
        <v>192</v>
      </c>
      <c r="Q120" s="6" t="s">
        <v>192</v>
      </c>
      <c r="R120" s="6" t="s">
        <v>44</v>
      </c>
      <c r="S120" s="6" t="s">
        <v>73</v>
      </c>
      <c r="T120" s="21" t="s">
        <v>163</v>
      </c>
      <c r="U120" s="1" t="n">
        <v>1000</v>
      </c>
      <c r="V120" s="1" t="n">
        <v>3</v>
      </c>
      <c r="X120" s="9" t="s">
        <v>193</v>
      </c>
      <c r="Y120" s="1" t="n">
        <v>5500</v>
      </c>
      <c r="Z120" s="6" t="s">
        <v>194</v>
      </c>
      <c r="AA120" s="6" t="s">
        <v>195</v>
      </c>
      <c r="AB120" s="15" t="str">
        <f aca="true" t="array" ref="AB120:AB120">LEFT(AA120,LOOKUP(2^15,FIND(".",AA120,ROW(INDIRECT("1:"&amp;LEN(AA120)))))-1)</f>
        <v>NB_2022_006+007+010 - 25022022 - 1</v>
      </c>
      <c r="AC120" s="6" t="s">
        <v>196</v>
      </c>
      <c r="AD120" s="15" t="str">
        <f aca="true" t="array" ref="AD120:AD120">LEFT(AC120,LOOKUP(2^15,FIND(".",AC120,ROW(INDIRECT("1:"&amp;LEN(AC120)))))-1)</f>
        <v>NB_2022_006+007+010 - 25022022 - 2</v>
      </c>
      <c r="AE120" s="6" t="str">
        <f aca="false">CONCATENATE(AB120, "-",H120, ".mzML")</f>
        <v>NB_2022_006+007+010 - 25022022 - 1-007-6.mzML</v>
      </c>
      <c r="AF120" s="6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4" t="s">
        <v>184</v>
      </c>
      <c r="B121" s="5"/>
      <c r="C121" s="4" t="s">
        <v>185</v>
      </c>
      <c r="D121" s="6" t="s">
        <v>19</v>
      </c>
      <c r="E121" s="6" t="s">
        <v>186</v>
      </c>
      <c r="F121" s="7" t="s">
        <v>187</v>
      </c>
      <c r="G121" s="6" t="s">
        <v>203</v>
      </c>
      <c r="H121" s="22" t="s">
        <v>64</v>
      </c>
      <c r="I121" s="6" t="str">
        <f aca="false">CONCATENATE(E121, "_",H121)</f>
        <v>NLA_2022_001_Blank_1</v>
      </c>
      <c r="J121" s="6" t="s">
        <v>52</v>
      </c>
      <c r="K121" s="6" t="s">
        <v>64</v>
      </c>
      <c r="L121" s="9" t="s">
        <v>46</v>
      </c>
      <c r="M121" s="13" t="s">
        <v>46</v>
      </c>
      <c r="N121" s="6" t="s">
        <v>65</v>
      </c>
      <c r="O121" s="6" t="s">
        <v>46</v>
      </c>
      <c r="P121" s="6" t="s">
        <v>46</v>
      </c>
      <c r="Q121" s="6" t="s">
        <v>46</v>
      </c>
      <c r="R121" s="6" t="s">
        <v>46</v>
      </c>
      <c r="S121" s="6" t="s">
        <v>46</v>
      </c>
      <c r="T121" s="6" t="s">
        <v>46</v>
      </c>
      <c r="U121" s="6" t="s">
        <v>46</v>
      </c>
      <c r="V121" s="1" t="n">
        <v>1</v>
      </c>
      <c r="W121" s="6"/>
      <c r="X121" s="6" t="s">
        <v>46</v>
      </c>
      <c r="Y121" s="1" t="n">
        <v>5500</v>
      </c>
      <c r="Z121" s="6" t="s">
        <v>194</v>
      </c>
      <c r="AA121" s="6" t="s">
        <v>195</v>
      </c>
      <c r="AB121" s="15" t="str">
        <f aca="true" t="array" ref="AB121:AB121">LEFT(AA121,LOOKUP(2^15,FIND(".",AA121,ROW(INDIRECT("1:"&amp;LEN(AA121)))))-1)</f>
        <v>NB_2022_006+007+010 - 25022022 - 1</v>
      </c>
      <c r="AC121" s="6" t="s">
        <v>196</v>
      </c>
      <c r="AD121" s="15" t="str">
        <f aca="true" t="array" ref="AD121:AD121">LEFT(AC121,LOOKUP(2^15,FIND(".",AC121,ROW(INDIRECT("1:"&amp;LEN(AC121)))))-1)</f>
        <v>NB_2022_006+007+010 - 25022022 - 2</v>
      </c>
      <c r="AE121" s="6" t="str">
        <f aca="false">CONCATENATE(AB121, "-",H121, ".mzML")</f>
        <v>NB_2022_006+007+010 - 25022022 - 1-Blank_1.mzML</v>
      </c>
      <c r="AF121" s="6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4" t="s">
        <v>184</v>
      </c>
      <c r="B122" s="5"/>
      <c r="C122" s="4" t="s">
        <v>185</v>
      </c>
      <c r="D122" s="6" t="s">
        <v>19</v>
      </c>
      <c r="E122" s="6" t="s">
        <v>186</v>
      </c>
      <c r="F122" s="7" t="s">
        <v>187</v>
      </c>
      <c r="G122" s="6" t="s">
        <v>203</v>
      </c>
      <c r="H122" s="22" t="s">
        <v>66</v>
      </c>
      <c r="I122" s="6" t="str">
        <f aca="false">CONCATENATE(E122, "_",H122)</f>
        <v>NLA_2022_001_Blank_2</v>
      </c>
      <c r="J122" s="6" t="s">
        <v>52</v>
      </c>
      <c r="K122" s="6" t="s">
        <v>66</v>
      </c>
      <c r="L122" s="9" t="s">
        <v>46</v>
      </c>
      <c r="M122" s="13" t="s">
        <v>46</v>
      </c>
      <c r="N122" s="6" t="s">
        <v>65</v>
      </c>
      <c r="O122" s="6" t="s">
        <v>46</v>
      </c>
      <c r="P122" s="6" t="s">
        <v>46</v>
      </c>
      <c r="Q122" s="6" t="s">
        <v>46</v>
      </c>
      <c r="R122" s="6" t="s">
        <v>46</v>
      </c>
      <c r="S122" s="6" t="s">
        <v>46</v>
      </c>
      <c r="T122" s="6" t="s">
        <v>46</v>
      </c>
      <c r="U122" s="6" t="s">
        <v>46</v>
      </c>
      <c r="V122" s="1" t="n">
        <v>2</v>
      </c>
      <c r="W122" s="6"/>
      <c r="X122" s="6" t="s">
        <v>46</v>
      </c>
      <c r="Y122" s="1" t="n">
        <v>5500</v>
      </c>
      <c r="Z122" s="6" t="s">
        <v>194</v>
      </c>
      <c r="AA122" s="6" t="s">
        <v>195</v>
      </c>
      <c r="AB122" s="15" t="str">
        <f aca="true" t="array" ref="AB122:AB122">LEFT(AA122,LOOKUP(2^15,FIND(".",AA122,ROW(INDIRECT("1:"&amp;LEN(AA122)))))-1)</f>
        <v>NB_2022_006+007+010 - 25022022 - 1</v>
      </c>
      <c r="AC122" s="6" t="s">
        <v>196</v>
      </c>
      <c r="AD122" s="15" t="str">
        <f aca="true" t="array" ref="AD122:AD122">LEFT(AC122,LOOKUP(2^15,FIND(".",AC122,ROW(INDIRECT("1:"&amp;LEN(AC122)))))-1)</f>
        <v>NB_2022_006+007+010 - 25022022 - 2</v>
      </c>
      <c r="AE122" s="6" t="str">
        <f aca="false">CONCATENATE(AB122, "-",H122, ".mzML")</f>
        <v>NB_2022_006+007+010 - 25022022 - 1-Blank_2.mzML</v>
      </c>
      <c r="AF122" s="6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4" t="s">
        <v>184</v>
      </c>
      <c r="B123" s="5"/>
      <c r="C123" s="4" t="s">
        <v>185</v>
      </c>
      <c r="D123" s="6" t="s">
        <v>19</v>
      </c>
      <c r="E123" s="6" t="s">
        <v>186</v>
      </c>
      <c r="F123" s="7" t="s">
        <v>187</v>
      </c>
      <c r="G123" s="6" t="s">
        <v>203</v>
      </c>
      <c r="H123" s="22" t="s">
        <v>67</v>
      </c>
      <c r="I123" s="6" t="str">
        <f aca="false">CONCATENATE(E123, "_",H123)</f>
        <v>NLA_2022_001_Blank_3</v>
      </c>
      <c r="J123" s="6" t="s">
        <v>52</v>
      </c>
      <c r="K123" s="6" t="s">
        <v>67</v>
      </c>
      <c r="L123" s="9" t="s">
        <v>46</v>
      </c>
      <c r="M123" s="13" t="s">
        <v>46</v>
      </c>
      <c r="N123" s="6" t="s">
        <v>65</v>
      </c>
      <c r="O123" s="6" t="s">
        <v>46</v>
      </c>
      <c r="P123" s="6" t="s">
        <v>46</v>
      </c>
      <c r="Q123" s="6" t="s">
        <v>46</v>
      </c>
      <c r="R123" s="6" t="s">
        <v>46</v>
      </c>
      <c r="S123" s="6" t="s">
        <v>46</v>
      </c>
      <c r="T123" s="6" t="s">
        <v>46</v>
      </c>
      <c r="U123" s="6" t="s">
        <v>46</v>
      </c>
      <c r="V123" s="1" t="n">
        <v>3</v>
      </c>
      <c r="W123" s="6"/>
      <c r="X123" s="6" t="s">
        <v>46</v>
      </c>
      <c r="Y123" s="1" t="n">
        <v>5500</v>
      </c>
      <c r="Z123" s="6" t="s">
        <v>194</v>
      </c>
      <c r="AA123" s="6" t="s">
        <v>195</v>
      </c>
      <c r="AB123" s="15" t="str">
        <f aca="true" t="array" ref="AB123:AB123">LEFT(AA123,LOOKUP(2^15,FIND(".",AA123,ROW(INDIRECT("1:"&amp;LEN(AA123)))))-1)</f>
        <v>NB_2022_006+007+010 - 25022022 - 1</v>
      </c>
      <c r="AC123" s="6" t="s">
        <v>196</v>
      </c>
      <c r="AD123" s="15" t="str">
        <f aca="true" t="array" ref="AD123:AD123">LEFT(AC123,LOOKUP(2^15,FIND(".",AC123,ROW(INDIRECT("1:"&amp;LEN(AC123)))))-1)</f>
        <v>NB_2022_006+007+010 - 25022022 - 2</v>
      </c>
      <c r="AE123" s="6" t="str">
        <f aca="false">CONCATENATE(AB123, "-",H123, ".mzML")</f>
        <v>NB_2022_006+007+010 - 25022022 - 1-Blank_3.mzML</v>
      </c>
      <c r="AF123" s="6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4" t="s">
        <v>184</v>
      </c>
      <c r="B124" s="5"/>
      <c r="C124" s="4" t="s">
        <v>185</v>
      </c>
      <c r="D124" s="6" t="s">
        <v>19</v>
      </c>
      <c r="E124" s="6" t="s">
        <v>186</v>
      </c>
      <c r="F124" s="7" t="s">
        <v>187</v>
      </c>
      <c r="G124" s="6" t="s">
        <v>203</v>
      </c>
      <c r="H124" s="22" t="s">
        <v>68</v>
      </c>
      <c r="I124" s="6" t="str">
        <f aca="false">CONCATENATE(E124, "_",H124)</f>
        <v>NLA_2022_001_QC_C_1</v>
      </c>
      <c r="J124" s="6" t="s">
        <v>52</v>
      </c>
      <c r="K124" s="6" t="s">
        <v>68</v>
      </c>
      <c r="L124" s="9" t="s">
        <v>69</v>
      </c>
      <c r="M124" s="13" t="s">
        <v>46</v>
      </c>
      <c r="N124" s="6" t="s">
        <v>70</v>
      </c>
      <c r="O124" s="6" t="s">
        <v>46</v>
      </c>
      <c r="P124" s="6" t="s">
        <v>71</v>
      </c>
      <c r="Q124" s="6" t="s">
        <v>71</v>
      </c>
      <c r="R124" s="6" t="s">
        <v>72</v>
      </c>
      <c r="S124" s="6" t="s">
        <v>73</v>
      </c>
      <c r="T124" s="6" t="s">
        <v>46</v>
      </c>
      <c r="U124" s="6" t="n">
        <v>1000</v>
      </c>
      <c r="V124" s="1" t="n">
        <v>1</v>
      </c>
      <c r="W124" s="6"/>
      <c r="X124" s="6" t="s">
        <v>74</v>
      </c>
      <c r="Y124" s="1" t="n">
        <v>5500</v>
      </c>
      <c r="Z124" s="6" t="s">
        <v>194</v>
      </c>
      <c r="AA124" s="6" t="s">
        <v>195</v>
      </c>
      <c r="AB124" s="15" t="str">
        <f aca="true" t="array" ref="AB124:AB124">LEFT(AA124,LOOKUP(2^15,FIND(".",AA124,ROW(INDIRECT("1:"&amp;LEN(AA124)))))-1)</f>
        <v>NB_2022_006+007+010 - 25022022 - 1</v>
      </c>
      <c r="AC124" s="6" t="s">
        <v>196</v>
      </c>
      <c r="AD124" s="15" t="str">
        <f aca="true" t="array" ref="AD124:AD124">LEFT(AC124,LOOKUP(2^15,FIND(".",AC124,ROW(INDIRECT("1:"&amp;LEN(AC124)))))-1)</f>
        <v>NB_2022_006+007+010 - 25022022 - 2</v>
      </c>
      <c r="AE124" s="6" t="str">
        <f aca="false">CONCATENATE(AB124, "-",H124, ".mzML")</f>
        <v>NB_2022_006+007+010 - 25022022 - 1-QC_C_1.mzML</v>
      </c>
      <c r="AF124" s="6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4" t="s">
        <v>184</v>
      </c>
      <c r="B125" s="5"/>
      <c r="C125" s="4" t="s">
        <v>185</v>
      </c>
      <c r="D125" s="6" t="s">
        <v>19</v>
      </c>
      <c r="E125" s="6" t="s">
        <v>186</v>
      </c>
      <c r="F125" s="7" t="s">
        <v>187</v>
      </c>
      <c r="G125" s="6" t="s">
        <v>203</v>
      </c>
      <c r="H125" s="22" t="s">
        <v>75</v>
      </c>
      <c r="I125" s="6" t="str">
        <f aca="false">CONCATENATE(E125, "_",H125)</f>
        <v>NLA_2022_001_QC_C_2</v>
      </c>
      <c r="J125" s="6" t="s">
        <v>52</v>
      </c>
      <c r="K125" s="6" t="s">
        <v>75</v>
      </c>
      <c r="L125" s="9" t="s">
        <v>69</v>
      </c>
      <c r="M125" s="13" t="s">
        <v>46</v>
      </c>
      <c r="N125" s="6" t="s">
        <v>70</v>
      </c>
      <c r="O125" s="6" t="s">
        <v>46</v>
      </c>
      <c r="P125" s="6" t="s">
        <v>71</v>
      </c>
      <c r="Q125" s="6" t="s">
        <v>71</v>
      </c>
      <c r="R125" s="6" t="s">
        <v>72</v>
      </c>
      <c r="S125" s="6" t="s">
        <v>73</v>
      </c>
      <c r="T125" s="6" t="s">
        <v>46</v>
      </c>
      <c r="U125" s="6" t="n">
        <v>1000</v>
      </c>
      <c r="V125" s="1" t="n">
        <v>2</v>
      </c>
      <c r="W125" s="6"/>
      <c r="X125" s="6" t="s">
        <v>74</v>
      </c>
      <c r="Y125" s="1" t="n">
        <v>5500</v>
      </c>
      <c r="Z125" s="6" t="s">
        <v>194</v>
      </c>
      <c r="AA125" s="6" t="s">
        <v>195</v>
      </c>
      <c r="AB125" s="15" t="str">
        <f aca="true" t="array" ref="AB125:AB125">LEFT(AA125,LOOKUP(2^15,FIND(".",AA125,ROW(INDIRECT("1:"&amp;LEN(AA125)))))-1)</f>
        <v>NB_2022_006+007+010 - 25022022 - 1</v>
      </c>
      <c r="AC125" s="6" t="s">
        <v>196</v>
      </c>
      <c r="AD125" s="15" t="str">
        <f aca="true" t="array" ref="AD125:AD125">LEFT(AC125,LOOKUP(2^15,FIND(".",AC125,ROW(INDIRECT("1:"&amp;LEN(AC125)))))-1)</f>
        <v>NB_2022_006+007+010 - 25022022 - 2</v>
      </c>
      <c r="AE125" s="6" t="str">
        <f aca="false">CONCATENATE(AB125, "-",H125, ".mzML")</f>
        <v>NB_2022_006+007+010 - 25022022 - 1-QC_C_2.mzML</v>
      </c>
      <c r="AF125" s="6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4" t="s">
        <v>184</v>
      </c>
      <c r="B126" s="5"/>
      <c r="C126" s="4" t="s">
        <v>185</v>
      </c>
      <c r="D126" s="6" t="s">
        <v>19</v>
      </c>
      <c r="E126" s="6" t="s">
        <v>186</v>
      </c>
      <c r="F126" s="7" t="s">
        <v>187</v>
      </c>
      <c r="G126" s="6" t="s">
        <v>203</v>
      </c>
      <c r="H126" s="22" t="s">
        <v>76</v>
      </c>
      <c r="I126" s="6" t="str">
        <f aca="false">CONCATENATE(E126, "_",H126)</f>
        <v>NLA_2022_001_QC_C_3</v>
      </c>
      <c r="J126" s="6" t="s">
        <v>52</v>
      </c>
      <c r="K126" s="6" t="s">
        <v>76</v>
      </c>
      <c r="L126" s="9" t="s">
        <v>69</v>
      </c>
      <c r="M126" s="13" t="s">
        <v>46</v>
      </c>
      <c r="N126" s="6" t="s">
        <v>70</v>
      </c>
      <c r="O126" s="6" t="s">
        <v>46</v>
      </c>
      <c r="P126" s="6" t="s">
        <v>71</v>
      </c>
      <c r="Q126" s="6" t="s">
        <v>71</v>
      </c>
      <c r="R126" s="6" t="s">
        <v>72</v>
      </c>
      <c r="S126" s="6" t="s">
        <v>73</v>
      </c>
      <c r="T126" s="6" t="s">
        <v>46</v>
      </c>
      <c r="U126" s="6" t="n">
        <v>1000</v>
      </c>
      <c r="V126" s="1" t="n">
        <v>3</v>
      </c>
      <c r="W126" s="6"/>
      <c r="X126" s="6" t="s">
        <v>74</v>
      </c>
      <c r="Y126" s="1" t="n">
        <v>5500</v>
      </c>
      <c r="Z126" s="6" t="s">
        <v>194</v>
      </c>
      <c r="AA126" s="6" t="s">
        <v>195</v>
      </c>
      <c r="AB126" s="15" t="str">
        <f aca="true" t="array" ref="AB126:AB126">LEFT(AA126,LOOKUP(2^15,FIND(".",AA126,ROW(INDIRECT("1:"&amp;LEN(AA126)))))-1)</f>
        <v>NB_2022_006+007+010 - 25022022 - 1</v>
      </c>
      <c r="AC126" s="6" t="s">
        <v>196</v>
      </c>
      <c r="AD126" s="15" t="str">
        <f aca="true" t="array" ref="AD126:AD126">LEFT(AC126,LOOKUP(2^15,FIND(".",AC126,ROW(INDIRECT("1:"&amp;LEN(AC126)))))-1)</f>
        <v>NB_2022_006+007+010 - 25022022 - 2</v>
      </c>
      <c r="AE126" s="6" t="str">
        <f aca="false">CONCATENATE(AB126, "-",H126, ".mzML")</f>
        <v>NB_2022_006+007+010 - 25022022 - 1-QC_C_3.mzML</v>
      </c>
      <c r="AF126" s="6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4" t="s">
        <v>184</v>
      </c>
      <c r="B127" s="5"/>
      <c r="C127" s="4" t="s">
        <v>185</v>
      </c>
      <c r="D127" s="6" t="s">
        <v>19</v>
      </c>
      <c r="E127" s="6" t="s">
        <v>186</v>
      </c>
      <c r="F127" s="7" t="s">
        <v>187</v>
      </c>
      <c r="G127" s="6" t="s">
        <v>203</v>
      </c>
      <c r="H127" s="22" t="s">
        <v>77</v>
      </c>
      <c r="I127" s="6" t="str">
        <f aca="false">CONCATENATE(E127, "_",H127)</f>
        <v>NLA_2022_001_QC_P_1</v>
      </c>
      <c r="J127" s="6" t="s">
        <v>52</v>
      </c>
      <c r="K127" s="6" t="s">
        <v>77</v>
      </c>
      <c r="L127" s="9" t="s">
        <v>69</v>
      </c>
      <c r="M127" s="13" t="s">
        <v>46</v>
      </c>
      <c r="N127" s="6" t="s">
        <v>78</v>
      </c>
      <c r="O127" s="6" t="s">
        <v>46</v>
      </c>
      <c r="P127" s="6" t="s">
        <v>79</v>
      </c>
      <c r="Q127" s="6" t="s">
        <v>80</v>
      </c>
      <c r="R127" s="6" t="s">
        <v>81</v>
      </c>
      <c r="S127" s="6" t="s">
        <v>46</v>
      </c>
      <c r="T127" s="6" t="s">
        <v>46</v>
      </c>
      <c r="U127" s="6" t="s">
        <v>82</v>
      </c>
      <c r="V127" s="1" t="n">
        <v>1</v>
      </c>
      <c r="W127" s="6"/>
      <c r="X127" s="6" t="s">
        <v>83</v>
      </c>
      <c r="Y127" s="1" t="n">
        <v>5500</v>
      </c>
      <c r="Z127" s="6" t="s">
        <v>194</v>
      </c>
      <c r="AA127" s="6" t="s">
        <v>195</v>
      </c>
      <c r="AB127" s="15" t="str">
        <f aca="true" t="array" ref="AB127:AB127">LEFT(AA127,LOOKUP(2^15,FIND(".",AA127,ROW(INDIRECT("1:"&amp;LEN(AA127)))))-1)</f>
        <v>NB_2022_006+007+010 - 25022022 - 1</v>
      </c>
      <c r="AC127" s="6" t="s">
        <v>196</v>
      </c>
      <c r="AD127" s="15" t="str">
        <f aca="true" t="array" ref="AD127:AD127">LEFT(AC127,LOOKUP(2^15,FIND(".",AC127,ROW(INDIRECT("1:"&amp;LEN(AC127)))))-1)</f>
        <v>NB_2022_006+007+010 - 25022022 - 2</v>
      </c>
      <c r="AE127" s="6" t="str">
        <f aca="false">CONCATENATE(AB127, "-",H127, ".mzML")</f>
        <v>NB_2022_006+007+010 - 25022022 - 1-QC_P_1.mzML</v>
      </c>
      <c r="AF127" s="6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4" t="s">
        <v>184</v>
      </c>
      <c r="B128" s="5"/>
      <c r="C128" s="4" t="s">
        <v>185</v>
      </c>
      <c r="D128" s="6" t="s">
        <v>19</v>
      </c>
      <c r="E128" s="6" t="s">
        <v>186</v>
      </c>
      <c r="F128" s="7" t="s">
        <v>187</v>
      </c>
      <c r="G128" s="6" t="s">
        <v>203</v>
      </c>
      <c r="H128" s="22" t="s">
        <v>84</v>
      </c>
      <c r="I128" s="6" t="str">
        <f aca="false">CONCATENATE(E128, "_",H128)</f>
        <v>NLA_2022_001_QC_P_2</v>
      </c>
      <c r="J128" s="6" t="s">
        <v>52</v>
      </c>
      <c r="K128" s="6" t="s">
        <v>84</v>
      </c>
      <c r="L128" s="9" t="s">
        <v>69</v>
      </c>
      <c r="M128" s="13" t="s">
        <v>46</v>
      </c>
      <c r="N128" s="6" t="s">
        <v>78</v>
      </c>
      <c r="O128" s="6" t="s">
        <v>46</v>
      </c>
      <c r="P128" s="6" t="s">
        <v>79</v>
      </c>
      <c r="Q128" s="6" t="s">
        <v>80</v>
      </c>
      <c r="R128" s="6" t="s">
        <v>81</v>
      </c>
      <c r="S128" s="6" t="s">
        <v>46</v>
      </c>
      <c r="T128" s="6" t="s">
        <v>46</v>
      </c>
      <c r="U128" s="6" t="s">
        <v>82</v>
      </c>
      <c r="V128" s="1" t="n">
        <v>2</v>
      </c>
      <c r="W128" s="6"/>
      <c r="X128" s="6" t="s">
        <v>83</v>
      </c>
      <c r="Y128" s="1" t="n">
        <v>5500</v>
      </c>
      <c r="Z128" s="6" t="s">
        <v>194</v>
      </c>
      <c r="AA128" s="6" t="s">
        <v>195</v>
      </c>
      <c r="AB128" s="15" t="str">
        <f aca="true" t="array" ref="AB128:AB128">LEFT(AA128,LOOKUP(2^15,FIND(".",AA128,ROW(INDIRECT("1:"&amp;LEN(AA128)))))-1)</f>
        <v>NB_2022_006+007+010 - 25022022 - 1</v>
      </c>
      <c r="AC128" s="6" t="s">
        <v>196</v>
      </c>
      <c r="AD128" s="15" t="str">
        <f aca="true" t="array" ref="AD128:AD128">LEFT(AC128,LOOKUP(2^15,FIND(".",AC128,ROW(INDIRECT("1:"&amp;LEN(AC128)))))-1)</f>
        <v>NB_2022_006+007+010 - 25022022 - 2</v>
      </c>
      <c r="AE128" s="6" t="str">
        <f aca="false">CONCATENATE(AB128, "-",H128, ".mzML")</f>
        <v>NB_2022_006+007+010 - 25022022 - 1-QC_P_2.mzML</v>
      </c>
      <c r="AF128" s="6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4" t="s">
        <v>184</v>
      </c>
      <c r="B129" s="5"/>
      <c r="C129" s="4" t="s">
        <v>185</v>
      </c>
      <c r="D129" s="6" t="s">
        <v>19</v>
      </c>
      <c r="E129" s="6" t="s">
        <v>186</v>
      </c>
      <c r="F129" s="7" t="s">
        <v>187</v>
      </c>
      <c r="G129" s="6" t="s">
        <v>203</v>
      </c>
      <c r="H129" s="22" t="s">
        <v>85</v>
      </c>
      <c r="I129" s="6" t="str">
        <f aca="false">CONCATENATE(E129, "_",H129)</f>
        <v>NLA_2022_001_QC_P_3</v>
      </c>
      <c r="J129" s="6" t="s">
        <v>52</v>
      </c>
      <c r="K129" s="6" t="s">
        <v>85</v>
      </c>
      <c r="L129" s="9" t="s">
        <v>69</v>
      </c>
      <c r="M129" s="13" t="s">
        <v>46</v>
      </c>
      <c r="N129" s="6" t="s">
        <v>78</v>
      </c>
      <c r="O129" s="6" t="s">
        <v>46</v>
      </c>
      <c r="P129" s="6" t="s">
        <v>79</v>
      </c>
      <c r="Q129" s="6" t="s">
        <v>80</v>
      </c>
      <c r="R129" s="6" t="s">
        <v>81</v>
      </c>
      <c r="S129" s="6" t="s">
        <v>46</v>
      </c>
      <c r="T129" s="6" t="s">
        <v>46</v>
      </c>
      <c r="U129" s="6" t="s">
        <v>82</v>
      </c>
      <c r="V129" s="1" t="n">
        <v>3</v>
      </c>
      <c r="W129" s="6"/>
      <c r="X129" s="6" t="s">
        <v>83</v>
      </c>
      <c r="Y129" s="1" t="n">
        <v>5500</v>
      </c>
      <c r="Z129" s="6" t="s">
        <v>194</v>
      </c>
      <c r="AA129" s="6" t="s">
        <v>195</v>
      </c>
      <c r="AB129" s="15" t="str">
        <f aca="true" t="array" ref="AB129:AB129">LEFT(AA129,LOOKUP(2^15,FIND(".",AA129,ROW(INDIRECT("1:"&amp;LEN(AA129)))))-1)</f>
        <v>NB_2022_006+007+010 - 25022022 - 1</v>
      </c>
      <c r="AC129" s="6" t="s">
        <v>196</v>
      </c>
      <c r="AD129" s="15" t="str">
        <f aca="true" t="array" ref="AD129:AD129">LEFT(AC129,LOOKUP(2^15,FIND(".",AC129,ROW(INDIRECT("1:"&amp;LEN(AC129)))))-1)</f>
        <v>NB_2022_006+007+010 - 25022022 - 2</v>
      </c>
      <c r="AE129" s="6" t="str">
        <f aca="false">CONCATENATE(AB129, "-",H129, ".mzML")</f>
        <v>NB_2022_006+007+010 - 25022022 - 1-QC_P_3.mzML</v>
      </c>
      <c r="AF129" s="6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4" t="s">
        <v>204</v>
      </c>
      <c r="B130" s="5"/>
      <c r="C130" s="4" t="s">
        <v>205</v>
      </c>
      <c r="D130" s="6" t="s">
        <v>18</v>
      </c>
      <c r="E130" s="6" t="s">
        <v>206</v>
      </c>
      <c r="F130" s="7" t="s">
        <v>207</v>
      </c>
      <c r="G130" s="6" t="s">
        <v>208</v>
      </c>
      <c r="H130" s="8" t="s">
        <v>108</v>
      </c>
      <c r="I130" s="6" t="str">
        <f aca="false">CONCATENATE(E130, "_",H130)</f>
        <v>NLA_2022_102_001</v>
      </c>
      <c r="J130" s="6" t="s">
        <v>38</v>
      </c>
      <c r="K130" s="6" t="s">
        <v>209</v>
      </c>
      <c r="L130" s="9" t="s">
        <v>69</v>
      </c>
      <c r="M130" s="13" t="s">
        <v>210</v>
      </c>
      <c r="N130" s="6" t="s">
        <v>41</v>
      </c>
      <c r="O130" s="6" t="s">
        <v>42</v>
      </c>
      <c r="P130" s="6" t="s">
        <v>162</v>
      </c>
      <c r="Q130" s="6" t="s">
        <v>162</v>
      </c>
      <c r="R130" s="6" t="s">
        <v>72</v>
      </c>
      <c r="S130" s="6" t="s">
        <v>45</v>
      </c>
      <c r="T130" s="6" t="s">
        <v>46</v>
      </c>
      <c r="U130" s="6" t="n">
        <v>1000</v>
      </c>
      <c r="V130" s="1" t="n">
        <v>1</v>
      </c>
      <c r="W130" s="6"/>
      <c r="X130" s="6" t="s">
        <v>47</v>
      </c>
      <c r="Y130" s="1" t="n">
        <v>5500</v>
      </c>
      <c r="Z130" s="6" t="s">
        <v>211</v>
      </c>
      <c r="AA130" s="6" t="s">
        <v>212</v>
      </c>
      <c r="AB130" s="15" t="str">
        <f aca="true" t="array" ref="AB130:AB130">LEFT(AA130,LOOKUP(2^15,FIND(".",AA130,ROW(INDIRECT("1:"&amp;LEN(AA130)))))-1)</f>
        <v>NB_2022_015 - 23022022 - 1</v>
      </c>
      <c r="AC130" s="6" t="s">
        <v>213</v>
      </c>
      <c r="AD130" s="15" t="str">
        <f aca="true" t="array" ref="AD130:AD130">LEFT(AC130,LOOKUP(2^15,FIND(".",AC130,ROW(INDIRECT("1:"&amp;LEN(AC130)))))-1)</f>
        <v>NB_2022_015 - 23022022 - 2</v>
      </c>
      <c r="AE130" s="6" t="str">
        <f aca="false">CONCATENATE(AB130, "-",H130, ".mzML")</f>
        <v>NB_2022_015 - 23022022 - 1-001.mzML</v>
      </c>
      <c r="AF130" s="6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4" t="s">
        <v>204</v>
      </c>
      <c r="B131" s="5"/>
      <c r="C131" s="4" t="s">
        <v>205</v>
      </c>
      <c r="D131" s="6" t="s">
        <v>18</v>
      </c>
      <c r="E131" s="6" t="s">
        <v>206</v>
      </c>
      <c r="F131" s="7" t="s">
        <v>207</v>
      </c>
      <c r="G131" s="6" t="s">
        <v>208</v>
      </c>
      <c r="H131" s="8" t="s">
        <v>88</v>
      </c>
      <c r="I131" s="6" t="str">
        <f aca="false">CONCATENATE(E131, "_",H131)</f>
        <v>NLA_2022_102_002</v>
      </c>
      <c r="J131" s="6" t="s">
        <v>38</v>
      </c>
      <c r="K131" s="6" t="s">
        <v>214</v>
      </c>
      <c r="L131" s="9" t="s">
        <v>69</v>
      </c>
      <c r="M131" s="13" t="s">
        <v>210</v>
      </c>
      <c r="N131" s="6" t="s">
        <v>41</v>
      </c>
      <c r="O131" s="6" t="s">
        <v>42</v>
      </c>
      <c r="P131" s="6" t="s">
        <v>162</v>
      </c>
      <c r="Q131" s="6" t="s">
        <v>162</v>
      </c>
      <c r="R131" s="6" t="s">
        <v>72</v>
      </c>
      <c r="S131" s="6" t="s">
        <v>45</v>
      </c>
      <c r="T131" s="6" t="s">
        <v>46</v>
      </c>
      <c r="U131" s="6" t="n">
        <v>1000</v>
      </c>
      <c r="V131" s="1" t="n">
        <v>2</v>
      </c>
      <c r="W131" s="6"/>
      <c r="X131" s="6" t="s">
        <v>47</v>
      </c>
      <c r="Y131" s="1" t="n">
        <v>5500</v>
      </c>
      <c r="Z131" s="6" t="s">
        <v>211</v>
      </c>
      <c r="AA131" s="6" t="s">
        <v>212</v>
      </c>
      <c r="AB131" s="15" t="str">
        <f aca="true" t="array" ref="AB131:AB131">LEFT(AA131,LOOKUP(2^15,FIND(".",AA131,ROW(INDIRECT("1:"&amp;LEN(AA131)))))-1)</f>
        <v>NB_2022_015 - 23022022 - 1</v>
      </c>
      <c r="AC131" s="6" t="s">
        <v>213</v>
      </c>
      <c r="AD131" s="15" t="str">
        <f aca="true" t="array" ref="AD131:AD131">LEFT(AC131,LOOKUP(2^15,FIND(".",AC131,ROW(INDIRECT("1:"&amp;LEN(AC131)))))-1)</f>
        <v>NB_2022_015 - 23022022 - 2</v>
      </c>
      <c r="AE131" s="6" t="str">
        <f aca="false">CONCATENATE(AB131, "-",H131, ".mzML")</f>
        <v>NB_2022_015 - 23022022 - 1-002.mzML</v>
      </c>
      <c r="AF131" s="6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4" t="s">
        <v>204</v>
      </c>
      <c r="B132" s="5"/>
      <c r="C132" s="4" t="s">
        <v>205</v>
      </c>
      <c r="D132" s="6" t="s">
        <v>18</v>
      </c>
      <c r="E132" s="6" t="s">
        <v>206</v>
      </c>
      <c r="F132" s="7" t="s">
        <v>207</v>
      </c>
      <c r="G132" s="6" t="s">
        <v>208</v>
      </c>
      <c r="H132" s="8" t="s">
        <v>97</v>
      </c>
      <c r="I132" s="6" t="str">
        <f aca="false">CONCATENATE(E132, "_",H132)</f>
        <v>NLA_2022_102_003</v>
      </c>
      <c r="J132" s="6" t="s">
        <v>38</v>
      </c>
      <c r="K132" s="6" t="s">
        <v>215</v>
      </c>
      <c r="L132" s="9" t="s">
        <v>69</v>
      </c>
      <c r="M132" s="13" t="s">
        <v>210</v>
      </c>
      <c r="N132" s="6" t="s">
        <v>41</v>
      </c>
      <c r="O132" s="6" t="s">
        <v>42</v>
      </c>
      <c r="P132" s="6" t="s">
        <v>162</v>
      </c>
      <c r="Q132" s="6" t="s">
        <v>162</v>
      </c>
      <c r="R132" s="6" t="s">
        <v>72</v>
      </c>
      <c r="S132" s="6" t="s">
        <v>45</v>
      </c>
      <c r="T132" s="6" t="s">
        <v>46</v>
      </c>
      <c r="U132" s="6" t="n">
        <v>1000</v>
      </c>
      <c r="V132" s="1" t="n">
        <v>3</v>
      </c>
      <c r="W132" s="6"/>
      <c r="X132" s="6" t="s">
        <v>47</v>
      </c>
      <c r="Y132" s="1" t="n">
        <v>5500</v>
      </c>
      <c r="Z132" s="6" t="s">
        <v>211</v>
      </c>
      <c r="AA132" s="6" t="s">
        <v>212</v>
      </c>
      <c r="AB132" s="15" t="str">
        <f aca="true" t="array" ref="AB132:AB132">LEFT(AA132,LOOKUP(2^15,FIND(".",AA132,ROW(INDIRECT("1:"&amp;LEN(AA132)))))-1)</f>
        <v>NB_2022_015 - 23022022 - 1</v>
      </c>
      <c r="AC132" s="6" t="s">
        <v>213</v>
      </c>
      <c r="AD132" s="15" t="str">
        <f aca="true" t="array" ref="AD132:AD132">LEFT(AC132,LOOKUP(2^15,FIND(".",AC132,ROW(INDIRECT("1:"&amp;LEN(AC132)))))-1)</f>
        <v>NB_2022_015 - 23022022 - 2</v>
      </c>
      <c r="AE132" s="6" t="str">
        <f aca="false">CONCATENATE(AB132, "-",H132, ".mzML")</f>
        <v>NB_2022_015 - 23022022 - 1-003.mzML</v>
      </c>
      <c r="AF132" s="6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4" t="s">
        <v>204</v>
      </c>
      <c r="B133" s="5"/>
      <c r="C133" s="4" t="s">
        <v>205</v>
      </c>
      <c r="D133" s="6" t="s">
        <v>18</v>
      </c>
      <c r="E133" s="6" t="s">
        <v>206</v>
      </c>
      <c r="F133" s="7" t="s">
        <v>207</v>
      </c>
      <c r="G133" s="6" t="s">
        <v>216</v>
      </c>
      <c r="H133" s="8" t="s">
        <v>99</v>
      </c>
      <c r="I133" s="6" t="str">
        <f aca="false">CONCATENATE(E133, "_",H133)</f>
        <v>NLA_2022_102_004</v>
      </c>
      <c r="J133" s="6" t="s">
        <v>38</v>
      </c>
      <c r="K133" s="6" t="s">
        <v>217</v>
      </c>
      <c r="L133" s="9" t="s">
        <v>69</v>
      </c>
      <c r="M133" s="13" t="s">
        <v>210</v>
      </c>
      <c r="N133" s="6" t="s">
        <v>41</v>
      </c>
      <c r="O133" s="6" t="s">
        <v>42</v>
      </c>
      <c r="P133" s="6" t="s">
        <v>162</v>
      </c>
      <c r="Q133" s="6" t="s">
        <v>162</v>
      </c>
      <c r="R133" s="6" t="s">
        <v>72</v>
      </c>
      <c r="S133" s="6" t="s">
        <v>90</v>
      </c>
      <c r="T133" s="6" t="s">
        <v>46</v>
      </c>
      <c r="U133" s="6" t="n">
        <v>1000</v>
      </c>
      <c r="V133" s="1" t="n">
        <v>1</v>
      </c>
      <c r="W133" s="6"/>
      <c r="X133" s="6" t="s">
        <v>47</v>
      </c>
      <c r="Y133" s="1" t="n">
        <v>5500</v>
      </c>
      <c r="Z133" s="6" t="s">
        <v>211</v>
      </c>
      <c r="AA133" s="6" t="s">
        <v>212</v>
      </c>
      <c r="AB133" s="15" t="str">
        <f aca="true" t="array" ref="AB133:AB133">LEFT(AA133,LOOKUP(2^15,FIND(".",AA133,ROW(INDIRECT("1:"&amp;LEN(AA133)))))-1)</f>
        <v>NB_2022_015 - 23022022 - 1</v>
      </c>
      <c r="AC133" s="6" t="s">
        <v>213</v>
      </c>
      <c r="AD133" s="15" t="str">
        <f aca="true" t="array" ref="AD133:AD133">LEFT(AC133,LOOKUP(2^15,FIND(".",AC133,ROW(INDIRECT("1:"&amp;LEN(AC133)))))-1)</f>
        <v>NB_2022_015 - 23022022 - 2</v>
      </c>
      <c r="AE133" s="6" t="str">
        <f aca="false">CONCATENATE(AB133, "-",H133, ".mzML")</f>
        <v>NB_2022_015 - 23022022 - 1-004.mzML</v>
      </c>
      <c r="AF133" s="6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4" t="s">
        <v>204</v>
      </c>
      <c r="B134" s="5"/>
      <c r="C134" s="4" t="s">
        <v>205</v>
      </c>
      <c r="D134" s="6" t="s">
        <v>18</v>
      </c>
      <c r="E134" s="6" t="s">
        <v>206</v>
      </c>
      <c r="F134" s="7" t="s">
        <v>207</v>
      </c>
      <c r="G134" s="6" t="s">
        <v>216</v>
      </c>
      <c r="H134" s="8" t="s">
        <v>91</v>
      </c>
      <c r="I134" s="6" t="str">
        <f aca="false">CONCATENATE(E134, "_",H134)</f>
        <v>NLA_2022_102_005</v>
      </c>
      <c r="J134" s="6" t="s">
        <v>38</v>
      </c>
      <c r="K134" s="6" t="s">
        <v>218</v>
      </c>
      <c r="L134" s="9" t="s">
        <v>69</v>
      </c>
      <c r="M134" s="13" t="s">
        <v>210</v>
      </c>
      <c r="N134" s="6" t="s">
        <v>41</v>
      </c>
      <c r="O134" s="6" t="s">
        <v>42</v>
      </c>
      <c r="P134" s="6" t="s">
        <v>162</v>
      </c>
      <c r="Q134" s="6" t="s">
        <v>162</v>
      </c>
      <c r="R134" s="6" t="s">
        <v>72</v>
      </c>
      <c r="S134" s="6" t="s">
        <v>90</v>
      </c>
      <c r="T134" s="6" t="s">
        <v>46</v>
      </c>
      <c r="U134" s="6" t="n">
        <v>1000</v>
      </c>
      <c r="V134" s="1" t="n">
        <v>2</v>
      </c>
      <c r="W134" s="6"/>
      <c r="X134" s="6" t="s">
        <v>47</v>
      </c>
      <c r="Y134" s="1" t="n">
        <v>5500</v>
      </c>
      <c r="Z134" s="6" t="s">
        <v>211</v>
      </c>
      <c r="AA134" s="6" t="s">
        <v>212</v>
      </c>
      <c r="AB134" s="15" t="str">
        <f aca="true" t="array" ref="AB134:AB134">LEFT(AA134,LOOKUP(2^15,FIND(".",AA134,ROW(INDIRECT("1:"&amp;LEN(AA134)))))-1)</f>
        <v>NB_2022_015 - 23022022 - 1</v>
      </c>
      <c r="AC134" s="6" t="s">
        <v>213</v>
      </c>
      <c r="AD134" s="15" t="str">
        <f aca="true" t="array" ref="AD134:AD134">LEFT(AC134,LOOKUP(2^15,FIND(".",AC134,ROW(INDIRECT("1:"&amp;LEN(AC134)))))-1)</f>
        <v>NB_2022_015 - 23022022 - 2</v>
      </c>
      <c r="AE134" s="6" t="str">
        <f aca="false">CONCATENATE(AB134, "-",H134, ".mzML")</f>
        <v>NB_2022_015 - 23022022 - 1-005.mzML</v>
      </c>
      <c r="AF134" s="6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4" t="s">
        <v>204</v>
      </c>
      <c r="B135" s="5"/>
      <c r="C135" s="4" t="s">
        <v>205</v>
      </c>
      <c r="D135" s="6" t="s">
        <v>18</v>
      </c>
      <c r="E135" s="6" t="s">
        <v>206</v>
      </c>
      <c r="F135" s="7" t="s">
        <v>207</v>
      </c>
      <c r="G135" s="6" t="s">
        <v>216</v>
      </c>
      <c r="H135" s="8" t="s">
        <v>101</v>
      </c>
      <c r="I135" s="6" t="str">
        <f aca="false">CONCATENATE(E135, "_",H135)</f>
        <v>NLA_2022_102_006</v>
      </c>
      <c r="J135" s="6" t="s">
        <v>38</v>
      </c>
      <c r="K135" s="6" t="s">
        <v>219</v>
      </c>
      <c r="L135" s="9" t="s">
        <v>69</v>
      </c>
      <c r="M135" s="13" t="s">
        <v>210</v>
      </c>
      <c r="N135" s="6" t="s">
        <v>41</v>
      </c>
      <c r="O135" s="6" t="s">
        <v>42</v>
      </c>
      <c r="P135" s="6" t="s">
        <v>162</v>
      </c>
      <c r="Q135" s="6" t="s">
        <v>162</v>
      </c>
      <c r="R135" s="6" t="s">
        <v>72</v>
      </c>
      <c r="S135" s="6" t="s">
        <v>90</v>
      </c>
      <c r="T135" s="6" t="s">
        <v>46</v>
      </c>
      <c r="U135" s="6" t="n">
        <v>1000</v>
      </c>
      <c r="V135" s="1" t="n">
        <v>3</v>
      </c>
      <c r="W135" s="6"/>
      <c r="X135" s="6" t="s">
        <v>47</v>
      </c>
      <c r="Y135" s="1" t="n">
        <v>5500</v>
      </c>
      <c r="Z135" s="6" t="s">
        <v>211</v>
      </c>
      <c r="AA135" s="6" t="s">
        <v>212</v>
      </c>
      <c r="AB135" s="15" t="str">
        <f aca="true" t="array" ref="AB135:AB135">LEFT(AA135,LOOKUP(2^15,FIND(".",AA135,ROW(INDIRECT("1:"&amp;LEN(AA135)))))-1)</f>
        <v>NB_2022_015 - 23022022 - 1</v>
      </c>
      <c r="AC135" s="6" t="s">
        <v>213</v>
      </c>
      <c r="AD135" s="15" t="str">
        <f aca="true" t="array" ref="AD135:AD135">LEFT(AC135,LOOKUP(2^15,FIND(".",AC135,ROW(INDIRECT("1:"&amp;LEN(AC135)))))-1)</f>
        <v>NB_2022_015 - 23022022 - 2</v>
      </c>
      <c r="AE135" s="6" t="str">
        <f aca="false">CONCATENATE(AB135, "-",H135, ".mzML")</f>
        <v>NB_2022_015 - 23022022 - 1-006.mzML</v>
      </c>
      <c r="AF135" s="6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4" t="s">
        <v>204</v>
      </c>
      <c r="B136" s="5"/>
      <c r="C136" s="4" t="s">
        <v>205</v>
      </c>
      <c r="D136" s="6" t="s">
        <v>18</v>
      </c>
      <c r="E136" s="6" t="s">
        <v>206</v>
      </c>
      <c r="F136" s="7" t="s">
        <v>207</v>
      </c>
      <c r="G136" s="6" t="s">
        <v>220</v>
      </c>
      <c r="H136" s="22" t="s">
        <v>64</v>
      </c>
      <c r="I136" s="6" t="str">
        <f aca="false">CONCATENATE(E136, "_",H136)</f>
        <v>NLA_2022_102_Blank_1</v>
      </c>
      <c r="J136" s="6" t="s">
        <v>52</v>
      </c>
      <c r="K136" s="6" t="s">
        <v>64</v>
      </c>
      <c r="L136" s="9" t="s">
        <v>46</v>
      </c>
      <c r="M136" s="13" t="s">
        <v>46</v>
      </c>
      <c r="N136" s="6" t="s">
        <v>65</v>
      </c>
      <c r="O136" s="6" t="s">
        <v>46</v>
      </c>
      <c r="P136" s="6" t="s">
        <v>46</v>
      </c>
      <c r="Q136" s="6" t="s">
        <v>46</v>
      </c>
      <c r="R136" s="6" t="s">
        <v>46</v>
      </c>
      <c r="S136" s="6" t="s">
        <v>46</v>
      </c>
      <c r="T136" s="6" t="s">
        <v>46</v>
      </c>
      <c r="U136" s="6" t="s">
        <v>46</v>
      </c>
      <c r="V136" s="1" t="n">
        <v>1</v>
      </c>
      <c r="W136" s="6"/>
      <c r="X136" s="6" t="s">
        <v>46</v>
      </c>
      <c r="Y136" s="1" t="n">
        <v>5500</v>
      </c>
      <c r="Z136" s="6" t="s">
        <v>211</v>
      </c>
      <c r="AA136" s="6" t="s">
        <v>212</v>
      </c>
      <c r="AB136" s="15" t="str">
        <f aca="true" t="array" ref="AB136:AB136">LEFT(AA136,LOOKUP(2^15,FIND(".",AA136,ROW(INDIRECT("1:"&amp;LEN(AA136)))))-1)</f>
        <v>NB_2022_015 - 23022022 - 1</v>
      </c>
      <c r="AC136" s="6" t="s">
        <v>213</v>
      </c>
      <c r="AD136" s="15" t="str">
        <f aca="true" t="array" ref="AD136:AD136">LEFT(AC136,LOOKUP(2^15,FIND(".",AC136,ROW(INDIRECT("1:"&amp;LEN(AC136)))))-1)</f>
        <v>NB_2022_015 - 23022022 - 2</v>
      </c>
      <c r="AE136" s="6" t="str">
        <f aca="false">CONCATENATE(AB136, "-",H136, ".mzML")</f>
        <v>NB_2022_015 - 23022022 - 1-Blank_1.mzML</v>
      </c>
      <c r="AF136" s="6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4" t="s">
        <v>204</v>
      </c>
      <c r="B137" s="5"/>
      <c r="C137" s="4" t="s">
        <v>205</v>
      </c>
      <c r="D137" s="6" t="s">
        <v>18</v>
      </c>
      <c r="E137" s="6" t="s">
        <v>206</v>
      </c>
      <c r="F137" s="7" t="s">
        <v>207</v>
      </c>
      <c r="G137" s="6" t="s">
        <v>220</v>
      </c>
      <c r="H137" s="22" t="s">
        <v>66</v>
      </c>
      <c r="I137" s="6" t="str">
        <f aca="false">CONCATENATE(E137, "_",H137)</f>
        <v>NLA_2022_102_Blank_2</v>
      </c>
      <c r="J137" s="6" t="s">
        <v>52</v>
      </c>
      <c r="K137" s="6" t="s">
        <v>66</v>
      </c>
      <c r="L137" s="9" t="s">
        <v>46</v>
      </c>
      <c r="M137" s="13" t="s">
        <v>46</v>
      </c>
      <c r="N137" s="6" t="s">
        <v>65</v>
      </c>
      <c r="O137" s="6" t="s">
        <v>46</v>
      </c>
      <c r="P137" s="6" t="s">
        <v>46</v>
      </c>
      <c r="Q137" s="6" t="s">
        <v>46</v>
      </c>
      <c r="R137" s="6" t="s">
        <v>46</v>
      </c>
      <c r="S137" s="6" t="s">
        <v>46</v>
      </c>
      <c r="T137" s="6" t="s">
        <v>46</v>
      </c>
      <c r="U137" s="6" t="s">
        <v>46</v>
      </c>
      <c r="V137" s="1" t="n">
        <v>2</v>
      </c>
      <c r="W137" s="6"/>
      <c r="X137" s="6" t="s">
        <v>46</v>
      </c>
      <c r="Y137" s="1" t="n">
        <v>5500</v>
      </c>
      <c r="Z137" s="6" t="s">
        <v>211</v>
      </c>
      <c r="AA137" s="6" t="s">
        <v>212</v>
      </c>
      <c r="AB137" s="15" t="str">
        <f aca="true" t="array" ref="AB137:AB137">LEFT(AA137,LOOKUP(2^15,FIND(".",AA137,ROW(INDIRECT("1:"&amp;LEN(AA137)))))-1)</f>
        <v>NB_2022_015 - 23022022 - 1</v>
      </c>
      <c r="AC137" s="6" t="s">
        <v>213</v>
      </c>
      <c r="AD137" s="15" t="str">
        <f aca="true" t="array" ref="AD137:AD137">LEFT(AC137,LOOKUP(2^15,FIND(".",AC137,ROW(INDIRECT("1:"&amp;LEN(AC137)))))-1)</f>
        <v>NB_2022_015 - 23022022 - 2</v>
      </c>
      <c r="AE137" s="6" t="str">
        <f aca="false">CONCATENATE(AB137, "-",H137, ".mzML")</f>
        <v>NB_2022_015 - 23022022 - 1-Blank_2.mzML</v>
      </c>
      <c r="AF137" s="6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4" t="s">
        <v>204</v>
      </c>
      <c r="B138" s="5"/>
      <c r="C138" s="4" t="s">
        <v>205</v>
      </c>
      <c r="D138" s="6" t="s">
        <v>18</v>
      </c>
      <c r="E138" s="6" t="s">
        <v>206</v>
      </c>
      <c r="F138" s="7" t="s">
        <v>207</v>
      </c>
      <c r="G138" s="6" t="s">
        <v>220</v>
      </c>
      <c r="H138" s="22" t="s">
        <v>67</v>
      </c>
      <c r="I138" s="6" t="str">
        <f aca="false">CONCATENATE(E138, "_",H138)</f>
        <v>NLA_2022_102_Blank_3</v>
      </c>
      <c r="J138" s="6" t="s">
        <v>52</v>
      </c>
      <c r="K138" s="6" t="s">
        <v>67</v>
      </c>
      <c r="L138" s="9" t="s">
        <v>46</v>
      </c>
      <c r="M138" s="13" t="s">
        <v>46</v>
      </c>
      <c r="N138" s="6" t="s">
        <v>65</v>
      </c>
      <c r="O138" s="6" t="s">
        <v>46</v>
      </c>
      <c r="P138" s="6" t="s">
        <v>46</v>
      </c>
      <c r="Q138" s="6" t="s">
        <v>46</v>
      </c>
      <c r="R138" s="6" t="s">
        <v>46</v>
      </c>
      <c r="S138" s="6" t="s">
        <v>46</v>
      </c>
      <c r="T138" s="6" t="s">
        <v>46</v>
      </c>
      <c r="U138" s="6" t="s">
        <v>46</v>
      </c>
      <c r="V138" s="1" t="n">
        <v>3</v>
      </c>
      <c r="W138" s="6"/>
      <c r="X138" s="6" t="s">
        <v>46</v>
      </c>
      <c r="Y138" s="1" t="n">
        <v>5500</v>
      </c>
      <c r="Z138" s="6" t="s">
        <v>211</v>
      </c>
      <c r="AA138" s="6" t="s">
        <v>212</v>
      </c>
      <c r="AB138" s="15" t="str">
        <f aca="true" t="array" ref="AB138:AB138">LEFT(AA138,LOOKUP(2^15,FIND(".",AA138,ROW(INDIRECT("1:"&amp;LEN(AA138)))))-1)</f>
        <v>NB_2022_015 - 23022022 - 1</v>
      </c>
      <c r="AC138" s="6" t="s">
        <v>213</v>
      </c>
      <c r="AD138" s="15" t="str">
        <f aca="true" t="array" ref="AD138:AD138">LEFT(AC138,LOOKUP(2^15,FIND(".",AC138,ROW(INDIRECT("1:"&amp;LEN(AC138)))))-1)</f>
        <v>NB_2022_015 - 23022022 - 2</v>
      </c>
      <c r="AE138" s="6" t="str">
        <f aca="false">CONCATENATE(AB138, "-",H138, ".mzML")</f>
        <v>NB_2022_015 - 23022022 - 1-Blank_3.mzML</v>
      </c>
      <c r="AF138" s="6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4" t="s">
        <v>204</v>
      </c>
      <c r="B139" s="5"/>
      <c r="C139" s="4" t="s">
        <v>205</v>
      </c>
      <c r="D139" s="6" t="s">
        <v>18</v>
      </c>
      <c r="E139" s="6" t="s">
        <v>206</v>
      </c>
      <c r="F139" s="7" t="s">
        <v>207</v>
      </c>
      <c r="G139" s="6" t="s">
        <v>220</v>
      </c>
      <c r="H139" s="22" t="s">
        <v>221</v>
      </c>
      <c r="I139" s="6" t="str">
        <f aca="false">CONCATENATE(E139, "_",H139)</f>
        <v>NLA_2022_102_Blank_4</v>
      </c>
      <c r="J139" s="6" t="s">
        <v>52</v>
      </c>
      <c r="K139" s="6" t="s">
        <v>221</v>
      </c>
      <c r="L139" s="9" t="s">
        <v>46</v>
      </c>
      <c r="M139" s="13" t="s">
        <v>46</v>
      </c>
      <c r="N139" s="6" t="s">
        <v>65</v>
      </c>
      <c r="O139" s="6" t="s">
        <v>46</v>
      </c>
      <c r="P139" s="6" t="s">
        <v>46</v>
      </c>
      <c r="Q139" s="6" t="s">
        <v>46</v>
      </c>
      <c r="R139" s="6" t="s">
        <v>46</v>
      </c>
      <c r="S139" s="6" t="s">
        <v>46</v>
      </c>
      <c r="T139" s="6" t="s">
        <v>46</v>
      </c>
      <c r="U139" s="6" t="s">
        <v>46</v>
      </c>
      <c r="V139" s="1" t="n">
        <v>4</v>
      </c>
      <c r="W139" s="6"/>
      <c r="X139" s="6" t="s">
        <v>46</v>
      </c>
      <c r="Y139" s="1" t="n">
        <v>5500</v>
      </c>
      <c r="Z139" s="6" t="s">
        <v>211</v>
      </c>
      <c r="AA139" s="6" t="s">
        <v>212</v>
      </c>
      <c r="AB139" s="15" t="str">
        <f aca="true" t="array" ref="AB139:AB139">LEFT(AA139,LOOKUP(2^15,FIND(".",AA139,ROW(INDIRECT("1:"&amp;LEN(AA139)))))-1)</f>
        <v>NB_2022_015 - 23022022 - 1</v>
      </c>
      <c r="AC139" s="6" t="s">
        <v>213</v>
      </c>
      <c r="AD139" s="15" t="str">
        <f aca="true" t="array" ref="AD139:AD139">LEFT(AC139,LOOKUP(2^15,FIND(".",AC139,ROW(INDIRECT("1:"&amp;LEN(AC139)))))-1)</f>
        <v>NB_2022_015 - 23022022 - 2</v>
      </c>
      <c r="AE139" s="6" t="str">
        <f aca="false">CONCATENATE(AB139, "-",H139, ".mzML")</f>
        <v>NB_2022_015 - 23022022 - 1-Blank_4.mzML</v>
      </c>
      <c r="AF139" s="6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4" t="s">
        <v>204</v>
      </c>
      <c r="B140" s="5"/>
      <c r="C140" s="4" t="s">
        <v>205</v>
      </c>
      <c r="D140" s="6" t="s">
        <v>18</v>
      </c>
      <c r="E140" s="6" t="s">
        <v>206</v>
      </c>
      <c r="F140" s="7" t="s">
        <v>207</v>
      </c>
      <c r="G140" s="6" t="s">
        <v>220</v>
      </c>
      <c r="H140" s="22" t="s">
        <v>68</v>
      </c>
      <c r="I140" s="6" t="str">
        <f aca="false">CONCATENATE(E140, "_",H140)</f>
        <v>NLA_2022_102_QC_C_1</v>
      </c>
      <c r="J140" s="6" t="s">
        <v>52</v>
      </c>
      <c r="K140" s="6" t="s">
        <v>68</v>
      </c>
      <c r="L140" s="9" t="s">
        <v>69</v>
      </c>
      <c r="M140" s="13" t="s">
        <v>46</v>
      </c>
      <c r="N140" s="6" t="s">
        <v>70</v>
      </c>
      <c r="O140" s="6" t="s">
        <v>46</v>
      </c>
      <c r="P140" s="6" t="s">
        <v>71</v>
      </c>
      <c r="Q140" s="6" t="s">
        <v>71</v>
      </c>
      <c r="R140" s="6" t="s">
        <v>72</v>
      </c>
      <c r="S140" s="6" t="s">
        <v>73</v>
      </c>
      <c r="T140" s="6" t="s">
        <v>46</v>
      </c>
      <c r="U140" s="6" t="n">
        <v>1000</v>
      </c>
      <c r="V140" s="1" t="n">
        <v>1</v>
      </c>
      <c r="W140" s="6"/>
      <c r="X140" s="6" t="s">
        <v>74</v>
      </c>
      <c r="Y140" s="1" t="n">
        <v>5500</v>
      </c>
      <c r="Z140" s="6" t="s">
        <v>211</v>
      </c>
      <c r="AA140" s="6" t="s">
        <v>212</v>
      </c>
      <c r="AB140" s="15" t="str">
        <f aca="true" t="array" ref="AB140:AB140">LEFT(AA140,LOOKUP(2^15,FIND(".",AA140,ROW(INDIRECT("1:"&amp;LEN(AA140)))))-1)</f>
        <v>NB_2022_015 - 23022022 - 1</v>
      </c>
      <c r="AC140" s="6" t="s">
        <v>213</v>
      </c>
      <c r="AD140" s="15" t="str">
        <f aca="true" t="array" ref="AD140:AD140">LEFT(AC140,LOOKUP(2^15,FIND(".",AC140,ROW(INDIRECT("1:"&amp;LEN(AC140)))))-1)</f>
        <v>NB_2022_015 - 23022022 - 2</v>
      </c>
      <c r="AE140" s="6" t="str">
        <f aca="false">CONCATENATE(AB140, "-",H140, ".mzML")</f>
        <v>NB_2022_015 - 23022022 - 1-QC_C_1.mzML</v>
      </c>
      <c r="AF140" s="6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4" t="s">
        <v>204</v>
      </c>
      <c r="B141" s="5"/>
      <c r="C141" s="4" t="s">
        <v>205</v>
      </c>
      <c r="D141" s="6" t="s">
        <v>18</v>
      </c>
      <c r="E141" s="6" t="s">
        <v>206</v>
      </c>
      <c r="F141" s="7" t="s">
        <v>207</v>
      </c>
      <c r="G141" s="6" t="s">
        <v>220</v>
      </c>
      <c r="H141" s="22" t="s">
        <v>75</v>
      </c>
      <c r="I141" s="6" t="str">
        <f aca="false">CONCATENATE(E141, "_",H141)</f>
        <v>NLA_2022_102_QC_C_2</v>
      </c>
      <c r="J141" s="6" t="s">
        <v>52</v>
      </c>
      <c r="K141" s="6" t="s">
        <v>75</v>
      </c>
      <c r="L141" s="9" t="s">
        <v>69</v>
      </c>
      <c r="M141" s="13" t="s">
        <v>46</v>
      </c>
      <c r="N141" s="6" t="s">
        <v>70</v>
      </c>
      <c r="O141" s="6" t="s">
        <v>46</v>
      </c>
      <c r="P141" s="6" t="s">
        <v>71</v>
      </c>
      <c r="Q141" s="6" t="s">
        <v>71</v>
      </c>
      <c r="R141" s="6" t="s">
        <v>72</v>
      </c>
      <c r="S141" s="6" t="s">
        <v>73</v>
      </c>
      <c r="T141" s="6" t="s">
        <v>46</v>
      </c>
      <c r="U141" s="6" t="n">
        <v>1000</v>
      </c>
      <c r="V141" s="1" t="n">
        <v>2</v>
      </c>
      <c r="W141" s="6"/>
      <c r="X141" s="6" t="s">
        <v>74</v>
      </c>
      <c r="Y141" s="1" t="n">
        <v>5500</v>
      </c>
      <c r="Z141" s="6" t="s">
        <v>211</v>
      </c>
      <c r="AA141" s="6" t="s">
        <v>212</v>
      </c>
      <c r="AB141" s="15" t="str">
        <f aca="true" t="array" ref="AB141:AB141">LEFT(AA141,LOOKUP(2^15,FIND(".",AA141,ROW(INDIRECT("1:"&amp;LEN(AA141)))))-1)</f>
        <v>NB_2022_015 - 23022022 - 1</v>
      </c>
      <c r="AC141" s="6" t="s">
        <v>213</v>
      </c>
      <c r="AD141" s="15" t="str">
        <f aca="true" t="array" ref="AD141:AD141">LEFT(AC141,LOOKUP(2^15,FIND(".",AC141,ROW(INDIRECT("1:"&amp;LEN(AC141)))))-1)</f>
        <v>NB_2022_015 - 23022022 - 2</v>
      </c>
      <c r="AE141" s="6" t="str">
        <f aca="false">CONCATENATE(AB141, "-",H141, ".mzML")</f>
        <v>NB_2022_015 - 23022022 - 1-QC_C_2.mzML</v>
      </c>
      <c r="AF141" s="6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4" t="s">
        <v>204</v>
      </c>
      <c r="B142" s="5"/>
      <c r="C142" s="4" t="s">
        <v>205</v>
      </c>
      <c r="D142" s="6" t="s">
        <v>18</v>
      </c>
      <c r="E142" s="6" t="s">
        <v>206</v>
      </c>
      <c r="F142" s="7" t="s">
        <v>207</v>
      </c>
      <c r="G142" s="6" t="s">
        <v>220</v>
      </c>
      <c r="H142" s="22" t="s">
        <v>76</v>
      </c>
      <c r="I142" s="6" t="str">
        <f aca="false">CONCATENATE(E142, "_",H142)</f>
        <v>NLA_2022_102_QC_C_3</v>
      </c>
      <c r="J142" s="6" t="s">
        <v>52</v>
      </c>
      <c r="K142" s="6" t="s">
        <v>76</v>
      </c>
      <c r="L142" s="9" t="s">
        <v>69</v>
      </c>
      <c r="M142" s="13" t="s">
        <v>46</v>
      </c>
      <c r="N142" s="6" t="s">
        <v>70</v>
      </c>
      <c r="O142" s="6" t="s">
        <v>46</v>
      </c>
      <c r="P142" s="6" t="s">
        <v>71</v>
      </c>
      <c r="Q142" s="6" t="s">
        <v>71</v>
      </c>
      <c r="R142" s="6" t="s">
        <v>72</v>
      </c>
      <c r="S142" s="6" t="s">
        <v>73</v>
      </c>
      <c r="T142" s="6" t="s">
        <v>46</v>
      </c>
      <c r="U142" s="6" t="n">
        <v>1000</v>
      </c>
      <c r="V142" s="1" t="n">
        <v>3</v>
      </c>
      <c r="W142" s="6"/>
      <c r="X142" s="6" t="s">
        <v>74</v>
      </c>
      <c r="Y142" s="1" t="n">
        <v>5500</v>
      </c>
      <c r="Z142" s="6" t="s">
        <v>211</v>
      </c>
      <c r="AA142" s="6" t="s">
        <v>212</v>
      </c>
      <c r="AB142" s="15" t="str">
        <f aca="true" t="array" ref="AB142:AB142">LEFT(AA142,LOOKUP(2^15,FIND(".",AA142,ROW(INDIRECT("1:"&amp;LEN(AA142)))))-1)</f>
        <v>NB_2022_015 - 23022022 - 1</v>
      </c>
      <c r="AC142" s="6" t="s">
        <v>213</v>
      </c>
      <c r="AD142" s="15" t="str">
        <f aca="true" t="array" ref="AD142:AD142">LEFT(AC142,LOOKUP(2^15,FIND(".",AC142,ROW(INDIRECT("1:"&amp;LEN(AC142)))))-1)</f>
        <v>NB_2022_015 - 23022022 - 2</v>
      </c>
      <c r="AE142" s="6" t="str">
        <f aca="false">CONCATENATE(AB142, "-",H142, ".mzML")</f>
        <v>NB_2022_015 - 23022022 - 1-QC_C_3.mzML</v>
      </c>
      <c r="AF142" s="6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4" t="s">
        <v>204</v>
      </c>
      <c r="B143" s="5"/>
      <c r="C143" s="4" t="s">
        <v>205</v>
      </c>
      <c r="D143" s="6" t="s">
        <v>18</v>
      </c>
      <c r="E143" s="6" t="s">
        <v>206</v>
      </c>
      <c r="F143" s="7" t="s">
        <v>207</v>
      </c>
      <c r="G143" s="6" t="s">
        <v>220</v>
      </c>
      <c r="H143" s="22" t="s">
        <v>222</v>
      </c>
      <c r="I143" s="6" t="str">
        <f aca="false">CONCATENATE(E143, "_",H143)</f>
        <v>NLA_2022_102_QC_C_4</v>
      </c>
      <c r="J143" s="6" t="s">
        <v>52</v>
      </c>
      <c r="K143" s="6" t="s">
        <v>222</v>
      </c>
      <c r="L143" s="9" t="s">
        <v>69</v>
      </c>
      <c r="M143" s="13" t="s">
        <v>46</v>
      </c>
      <c r="N143" s="6" t="s">
        <v>223</v>
      </c>
      <c r="O143" s="6" t="s">
        <v>46</v>
      </c>
      <c r="P143" s="6" t="s">
        <v>71</v>
      </c>
      <c r="Q143" s="6" t="s">
        <v>71</v>
      </c>
      <c r="R143" s="6" t="s">
        <v>72</v>
      </c>
      <c r="S143" s="6" t="s">
        <v>73</v>
      </c>
      <c r="T143" s="6" t="s">
        <v>46</v>
      </c>
      <c r="U143" s="6" t="n">
        <v>1000</v>
      </c>
      <c r="V143" s="1" t="n">
        <v>4</v>
      </c>
      <c r="W143" s="6"/>
      <c r="X143" s="6" t="s">
        <v>74</v>
      </c>
      <c r="Y143" s="1" t="n">
        <v>5500</v>
      </c>
      <c r="Z143" s="6" t="s">
        <v>211</v>
      </c>
      <c r="AA143" s="6" t="s">
        <v>212</v>
      </c>
      <c r="AB143" s="15" t="str">
        <f aca="true" t="array" ref="AB143:AB143">LEFT(AA143,LOOKUP(2^15,FIND(".",AA143,ROW(INDIRECT("1:"&amp;LEN(AA143)))))-1)</f>
        <v>NB_2022_015 - 23022022 - 1</v>
      </c>
      <c r="AC143" s="6" t="s">
        <v>213</v>
      </c>
      <c r="AD143" s="15" t="str">
        <f aca="true" t="array" ref="AD143:AD143">LEFT(AC143,LOOKUP(2^15,FIND(".",AC143,ROW(INDIRECT("1:"&amp;LEN(AC143)))))-1)</f>
        <v>NB_2022_015 - 23022022 - 2</v>
      </c>
      <c r="AE143" s="6" t="str">
        <f aca="false">CONCATENATE(AB143, "-",H143, ".mzML")</f>
        <v>NB_2022_015 - 23022022 - 1-QC_C_4.mzML</v>
      </c>
      <c r="AF143" s="6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4" t="s">
        <v>204</v>
      </c>
      <c r="B144" s="5"/>
      <c r="C144" s="4" t="s">
        <v>205</v>
      </c>
      <c r="D144" s="6" t="s">
        <v>18</v>
      </c>
      <c r="E144" s="6" t="s">
        <v>206</v>
      </c>
      <c r="F144" s="7" t="s">
        <v>207</v>
      </c>
      <c r="G144" s="6" t="s">
        <v>220</v>
      </c>
      <c r="H144" s="22" t="s">
        <v>77</v>
      </c>
      <c r="I144" s="6" t="str">
        <f aca="false">CONCATENATE(E144, "_",H144)</f>
        <v>NLA_2022_102_QC_P_1</v>
      </c>
      <c r="J144" s="6" t="s">
        <v>52</v>
      </c>
      <c r="K144" s="6" t="s">
        <v>77</v>
      </c>
      <c r="L144" s="9" t="s">
        <v>69</v>
      </c>
      <c r="M144" s="13" t="s">
        <v>46</v>
      </c>
      <c r="N144" s="6" t="s">
        <v>78</v>
      </c>
      <c r="O144" s="6" t="s">
        <v>46</v>
      </c>
      <c r="P144" s="6" t="s">
        <v>79</v>
      </c>
      <c r="Q144" s="6" t="s">
        <v>80</v>
      </c>
      <c r="R144" s="6" t="s">
        <v>81</v>
      </c>
      <c r="S144" s="6" t="s">
        <v>46</v>
      </c>
      <c r="T144" s="6" t="s">
        <v>46</v>
      </c>
      <c r="U144" s="6" t="s">
        <v>82</v>
      </c>
      <c r="V144" s="1" t="n">
        <v>1</v>
      </c>
      <c r="W144" s="6"/>
      <c r="X144" s="6" t="s">
        <v>83</v>
      </c>
      <c r="Y144" s="1" t="n">
        <v>5500</v>
      </c>
      <c r="Z144" s="6" t="s">
        <v>211</v>
      </c>
      <c r="AA144" s="6" t="s">
        <v>212</v>
      </c>
      <c r="AB144" s="15" t="str">
        <f aca="true" t="array" ref="AB144:AB144">LEFT(AA144,LOOKUP(2^15,FIND(".",AA144,ROW(INDIRECT("1:"&amp;LEN(AA144)))))-1)</f>
        <v>NB_2022_015 - 23022022 - 1</v>
      </c>
      <c r="AC144" s="6" t="s">
        <v>213</v>
      </c>
      <c r="AD144" s="15" t="str">
        <f aca="true" t="array" ref="AD144:AD144">LEFT(AC144,LOOKUP(2^15,FIND(".",AC144,ROW(INDIRECT("1:"&amp;LEN(AC144)))))-1)</f>
        <v>NB_2022_015 - 23022022 - 2</v>
      </c>
      <c r="AE144" s="6" t="str">
        <f aca="false">CONCATENATE(AB144, "-",H144, ".mzML")</f>
        <v>NB_2022_015 - 23022022 - 1-QC_P_1.mzML</v>
      </c>
      <c r="AF144" s="6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4" t="s">
        <v>204</v>
      </c>
      <c r="B145" s="5"/>
      <c r="C145" s="4" t="s">
        <v>205</v>
      </c>
      <c r="D145" s="6" t="s">
        <v>18</v>
      </c>
      <c r="E145" s="6" t="s">
        <v>206</v>
      </c>
      <c r="F145" s="7" t="s">
        <v>207</v>
      </c>
      <c r="G145" s="6" t="s">
        <v>220</v>
      </c>
      <c r="H145" s="22" t="s">
        <v>84</v>
      </c>
      <c r="I145" s="6" t="str">
        <f aca="false">CONCATENATE(E145, "_",H145)</f>
        <v>NLA_2022_102_QC_P_2</v>
      </c>
      <c r="J145" s="6" t="s">
        <v>52</v>
      </c>
      <c r="K145" s="6" t="s">
        <v>84</v>
      </c>
      <c r="L145" s="9" t="s">
        <v>69</v>
      </c>
      <c r="M145" s="13" t="s">
        <v>46</v>
      </c>
      <c r="N145" s="6" t="s">
        <v>78</v>
      </c>
      <c r="O145" s="6" t="s">
        <v>46</v>
      </c>
      <c r="P145" s="6" t="s">
        <v>79</v>
      </c>
      <c r="Q145" s="6" t="s">
        <v>80</v>
      </c>
      <c r="R145" s="6" t="s">
        <v>81</v>
      </c>
      <c r="S145" s="6" t="s">
        <v>46</v>
      </c>
      <c r="T145" s="6" t="s">
        <v>46</v>
      </c>
      <c r="U145" s="6" t="s">
        <v>82</v>
      </c>
      <c r="V145" s="1" t="n">
        <v>2</v>
      </c>
      <c r="W145" s="6"/>
      <c r="X145" s="6" t="s">
        <v>83</v>
      </c>
      <c r="Y145" s="1" t="n">
        <v>5500</v>
      </c>
      <c r="Z145" s="6" t="s">
        <v>211</v>
      </c>
      <c r="AA145" s="6" t="s">
        <v>212</v>
      </c>
      <c r="AB145" s="15" t="str">
        <f aca="true" t="array" ref="AB145:AB145">LEFT(AA145,LOOKUP(2^15,FIND(".",AA145,ROW(INDIRECT("1:"&amp;LEN(AA145)))))-1)</f>
        <v>NB_2022_015 - 23022022 - 1</v>
      </c>
      <c r="AC145" s="6" t="s">
        <v>213</v>
      </c>
      <c r="AD145" s="15" t="str">
        <f aca="true" t="array" ref="AD145:AD145">LEFT(AC145,LOOKUP(2^15,FIND(".",AC145,ROW(INDIRECT("1:"&amp;LEN(AC145)))))-1)</f>
        <v>NB_2022_015 - 23022022 - 2</v>
      </c>
      <c r="AE145" s="6" t="str">
        <f aca="false">CONCATENATE(AB145, "-",H145, ".mzML")</f>
        <v>NB_2022_015 - 23022022 - 1-QC_P_2.mzML</v>
      </c>
      <c r="AF145" s="6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4" t="s">
        <v>204</v>
      </c>
      <c r="B146" s="5"/>
      <c r="C146" s="4" t="s">
        <v>205</v>
      </c>
      <c r="D146" s="6" t="s">
        <v>18</v>
      </c>
      <c r="E146" s="6" t="s">
        <v>206</v>
      </c>
      <c r="F146" s="7" t="s">
        <v>207</v>
      </c>
      <c r="G146" s="6" t="s">
        <v>220</v>
      </c>
      <c r="H146" s="22" t="s">
        <v>85</v>
      </c>
      <c r="I146" s="6" t="str">
        <f aca="false">CONCATENATE(E146, "_",H146)</f>
        <v>NLA_2022_102_QC_P_3</v>
      </c>
      <c r="J146" s="6" t="s">
        <v>52</v>
      </c>
      <c r="K146" s="6" t="s">
        <v>85</v>
      </c>
      <c r="L146" s="9" t="s">
        <v>69</v>
      </c>
      <c r="M146" s="13" t="s">
        <v>46</v>
      </c>
      <c r="N146" s="6" t="s">
        <v>78</v>
      </c>
      <c r="O146" s="6" t="s">
        <v>46</v>
      </c>
      <c r="P146" s="6" t="s">
        <v>79</v>
      </c>
      <c r="Q146" s="6" t="s">
        <v>80</v>
      </c>
      <c r="R146" s="6" t="s">
        <v>81</v>
      </c>
      <c r="S146" s="6" t="s">
        <v>46</v>
      </c>
      <c r="T146" s="6" t="s">
        <v>46</v>
      </c>
      <c r="U146" s="6" t="s">
        <v>82</v>
      </c>
      <c r="V146" s="1" t="n">
        <v>3</v>
      </c>
      <c r="W146" s="6"/>
      <c r="X146" s="6" t="s">
        <v>83</v>
      </c>
      <c r="Y146" s="1" t="n">
        <v>5500</v>
      </c>
      <c r="Z146" s="6" t="s">
        <v>211</v>
      </c>
      <c r="AA146" s="6" t="s">
        <v>212</v>
      </c>
      <c r="AB146" s="15" t="str">
        <f aca="true" t="array" ref="AB146:AB146">LEFT(AA146,LOOKUP(2^15,FIND(".",AA146,ROW(INDIRECT("1:"&amp;LEN(AA146)))))-1)</f>
        <v>NB_2022_015 - 23022022 - 1</v>
      </c>
      <c r="AC146" s="6" t="s">
        <v>213</v>
      </c>
      <c r="AD146" s="15" t="str">
        <f aca="true" t="array" ref="AD146:AD146">LEFT(AC146,LOOKUP(2^15,FIND(".",AC146,ROW(INDIRECT("1:"&amp;LEN(AC146)))))-1)</f>
        <v>NB_2022_015 - 23022022 - 2</v>
      </c>
      <c r="AE146" s="6" t="str">
        <f aca="false">CONCATENATE(AB146, "-",H146, ".mzML")</f>
        <v>NB_2022_015 - 23022022 - 1-QC_P_3.mzML</v>
      </c>
      <c r="AF146" s="6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4" t="s">
        <v>204</v>
      </c>
      <c r="B147" s="5"/>
      <c r="C147" s="4" t="s">
        <v>205</v>
      </c>
      <c r="D147" s="6" t="s">
        <v>18</v>
      </c>
      <c r="E147" s="6" t="s">
        <v>206</v>
      </c>
      <c r="F147" s="7" t="s">
        <v>207</v>
      </c>
      <c r="G147" s="6" t="s">
        <v>220</v>
      </c>
      <c r="H147" s="22" t="s">
        <v>224</v>
      </c>
      <c r="I147" s="6" t="str">
        <f aca="false">CONCATENATE(E147, "_",H147)</f>
        <v>NLA_2022_102_QC_P_4</v>
      </c>
      <c r="J147" s="6" t="s">
        <v>52</v>
      </c>
      <c r="K147" s="6" t="s">
        <v>224</v>
      </c>
      <c r="L147" s="9" t="s">
        <v>69</v>
      </c>
      <c r="M147" s="13" t="s">
        <v>46</v>
      </c>
      <c r="N147" s="6" t="s">
        <v>78</v>
      </c>
      <c r="O147" s="6" t="s">
        <v>46</v>
      </c>
      <c r="P147" s="6" t="s">
        <v>79</v>
      </c>
      <c r="Q147" s="6" t="s">
        <v>80</v>
      </c>
      <c r="R147" s="6" t="s">
        <v>81</v>
      </c>
      <c r="S147" s="6" t="s">
        <v>46</v>
      </c>
      <c r="T147" s="6" t="s">
        <v>46</v>
      </c>
      <c r="U147" s="6" t="s">
        <v>82</v>
      </c>
      <c r="V147" s="1" t="n">
        <v>4</v>
      </c>
      <c r="W147" s="6"/>
      <c r="X147" s="6" t="s">
        <v>83</v>
      </c>
      <c r="Y147" s="1" t="n">
        <v>5500</v>
      </c>
      <c r="Z147" s="6" t="s">
        <v>211</v>
      </c>
      <c r="AA147" s="6" t="s">
        <v>212</v>
      </c>
      <c r="AB147" s="15" t="str">
        <f aca="true" t="array" ref="AB147:AB147">LEFT(AA147,LOOKUP(2^15,FIND(".",AA147,ROW(INDIRECT("1:"&amp;LEN(AA147)))))-1)</f>
        <v>NB_2022_015 - 23022022 - 1</v>
      </c>
      <c r="AC147" s="6" t="s">
        <v>213</v>
      </c>
      <c r="AD147" s="15" t="str">
        <f aca="true" t="array" ref="AD147:AD147">LEFT(AC147,LOOKUP(2^15,FIND(".",AC147,ROW(INDIRECT("1:"&amp;LEN(AC147)))))-1)</f>
        <v>NB_2022_015 - 23022022 - 2</v>
      </c>
      <c r="AE147" s="6" t="str">
        <f aca="false">CONCATENATE(AB147, "-",H147, ".mzML")</f>
        <v>NB_2022_015 - 23022022 - 1-QC_P_4.mzML</v>
      </c>
      <c r="AF147" s="6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4" t="s">
        <v>225</v>
      </c>
      <c r="B148" s="5"/>
      <c r="C148" s="4" t="s">
        <v>226</v>
      </c>
      <c r="D148" s="6" t="s">
        <v>14</v>
      </c>
      <c r="E148" s="6" t="s">
        <v>206</v>
      </c>
      <c r="F148" s="7" t="s">
        <v>207</v>
      </c>
      <c r="G148" s="6" t="s">
        <v>208</v>
      </c>
      <c r="H148" s="8" t="s">
        <v>108</v>
      </c>
      <c r="I148" s="6" t="str">
        <f aca="false">CONCATENATE(E148, "_",H148)</f>
        <v>NLA_2022_102_001</v>
      </c>
      <c r="J148" s="6" t="s">
        <v>38</v>
      </c>
      <c r="K148" s="6" t="s">
        <v>209</v>
      </c>
      <c r="L148" s="9" t="s">
        <v>69</v>
      </c>
      <c r="M148" s="13" t="s">
        <v>210</v>
      </c>
      <c r="N148" s="6" t="s">
        <v>41</v>
      </c>
      <c r="O148" s="6" t="s">
        <v>42</v>
      </c>
      <c r="P148" s="6" t="s">
        <v>162</v>
      </c>
      <c r="Q148" s="6" t="s">
        <v>162</v>
      </c>
      <c r="R148" s="6" t="s">
        <v>72</v>
      </c>
      <c r="S148" s="6" t="s">
        <v>45</v>
      </c>
      <c r="T148" s="6" t="s">
        <v>46</v>
      </c>
      <c r="U148" s="6" t="n">
        <v>1000</v>
      </c>
      <c r="V148" s="1" t="n">
        <v>1</v>
      </c>
      <c r="W148" s="6"/>
      <c r="X148" s="6" t="s">
        <v>47</v>
      </c>
      <c r="Y148" s="1" t="n">
        <v>5500</v>
      </c>
      <c r="Z148" s="6" t="s">
        <v>211</v>
      </c>
      <c r="AA148" s="6" t="s">
        <v>212</v>
      </c>
      <c r="AB148" s="15" t="str">
        <f aca="true" t="array" ref="AB148:AB148">LEFT(AA148,LOOKUP(2^15,FIND(".",AA148,ROW(INDIRECT("1:"&amp;LEN(AA148)))))-1)</f>
        <v>NB_2022_015 - 23022022 - 1</v>
      </c>
      <c r="AC148" s="6" t="s">
        <v>213</v>
      </c>
      <c r="AD148" s="15" t="str">
        <f aca="true" t="array" ref="AD148:AD148">LEFT(AC148,LOOKUP(2^15,FIND(".",AC148,ROW(INDIRECT("1:"&amp;LEN(AC148)))))-1)</f>
        <v>NB_2022_015 - 23022022 - 2</v>
      </c>
      <c r="AE148" s="6" t="str">
        <f aca="false">CONCATENATE(AB148, "-",H148, ".mzML")</f>
        <v>NB_2022_015 - 23022022 - 1-001.mzML</v>
      </c>
      <c r="AF148" s="6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4" t="s">
        <v>225</v>
      </c>
      <c r="B149" s="5"/>
      <c r="C149" s="4" t="s">
        <v>226</v>
      </c>
      <c r="D149" s="6" t="s">
        <v>14</v>
      </c>
      <c r="E149" s="6" t="s">
        <v>206</v>
      </c>
      <c r="F149" s="7" t="s">
        <v>207</v>
      </c>
      <c r="G149" s="6" t="s">
        <v>208</v>
      </c>
      <c r="H149" s="8" t="s">
        <v>88</v>
      </c>
      <c r="I149" s="6" t="str">
        <f aca="false">CONCATENATE(E149, "_",H149)</f>
        <v>NLA_2022_102_002</v>
      </c>
      <c r="J149" s="6" t="s">
        <v>38</v>
      </c>
      <c r="K149" s="6" t="s">
        <v>214</v>
      </c>
      <c r="L149" s="9" t="s">
        <v>69</v>
      </c>
      <c r="M149" s="13" t="s">
        <v>210</v>
      </c>
      <c r="N149" s="6" t="s">
        <v>41</v>
      </c>
      <c r="O149" s="6" t="s">
        <v>42</v>
      </c>
      <c r="P149" s="6" t="s">
        <v>162</v>
      </c>
      <c r="Q149" s="6" t="s">
        <v>162</v>
      </c>
      <c r="R149" s="6" t="s">
        <v>72</v>
      </c>
      <c r="S149" s="6" t="s">
        <v>45</v>
      </c>
      <c r="T149" s="6" t="s">
        <v>46</v>
      </c>
      <c r="U149" s="6" t="n">
        <v>1000</v>
      </c>
      <c r="V149" s="1" t="n">
        <v>2</v>
      </c>
      <c r="W149" s="6"/>
      <c r="X149" s="6" t="s">
        <v>47</v>
      </c>
      <c r="Y149" s="1" t="n">
        <v>5500</v>
      </c>
      <c r="Z149" s="6" t="s">
        <v>211</v>
      </c>
      <c r="AA149" s="6" t="s">
        <v>212</v>
      </c>
      <c r="AB149" s="15" t="str">
        <f aca="true" t="array" ref="AB149:AB149">LEFT(AA149,LOOKUP(2^15,FIND(".",AA149,ROW(INDIRECT("1:"&amp;LEN(AA149)))))-1)</f>
        <v>NB_2022_015 - 23022022 - 1</v>
      </c>
      <c r="AC149" s="6" t="s">
        <v>213</v>
      </c>
      <c r="AD149" s="15" t="str">
        <f aca="true" t="array" ref="AD149:AD149">LEFT(AC149,LOOKUP(2^15,FIND(".",AC149,ROW(INDIRECT("1:"&amp;LEN(AC149)))))-1)</f>
        <v>NB_2022_015 - 23022022 - 2</v>
      </c>
      <c r="AE149" s="6" t="str">
        <f aca="false">CONCATENATE(AB149, "-",H149, ".mzML")</f>
        <v>NB_2022_015 - 23022022 - 1-002.mzML</v>
      </c>
      <c r="AF149" s="6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4" t="s">
        <v>225</v>
      </c>
      <c r="B150" s="5"/>
      <c r="C150" s="4" t="s">
        <v>226</v>
      </c>
      <c r="D150" s="6" t="s">
        <v>14</v>
      </c>
      <c r="E150" s="6" t="s">
        <v>206</v>
      </c>
      <c r="F150" s="7" t="s">
        <v>207</v>
      </c>
      <c r="G150" s="6" t="s">
        <v>208</v>
      </c>
      <c r="H150" s="8" t="s">
        <v>97</v>
      </c>
      <c r="I150" s="6" t="str">
        <f aca="false">CONCATENATE(E150, "_",H150)</f>
        <v>NLA_2022_102_003</v>
      </c>
      <c r="J150" s="6" t="s">
        <v>38</v>
      </c>
      <c r="K150" s="6" t="s">
        <v>215</v>
      </c>
      <c r="L150" s="9" t="s">
        <v>69</v>
      </c>
      <c r="M150" s="13" t="s">
        <v>210</v>
      </c>
      <c r="N150" s="6" t="s">
        <v>41</v>
      </c>
      <c r="O150" s="6" t="s">
        <v>42</v>
      </c>
      <c r="P150" s="6" t="s">
        <v>162</v>
      </c>
      <c r="Q150" s="6" t="s">
        <v>162</v>
      </c>
      <c r="R150" s="6" t="s">
        <v>72</v>
      </c>
      <c r="S150" s="6" t="s">
        <v>45</v>
      </c>
      <c r="T150" s="6" t="s">
        <v>46</v>
      </c>
      <c r="U150" s="6" t="n">
        <v>1000</v>
      </c>
      <c r="V150" s="1" t="n">
        <v>3</v>
      </c>
      <c r="W150" s="6"/>
      <c r="X150" s="6" t="s">
        <v>47</v>
      </c>
      <c r="Y150" s="1" t="n">
        <v>5500</v>
      </c>
      <c r="Z150" s="6" t="s">
        <v>211</v>
      </c>
      <c r="AA150" s="6" t="s">
        <v>212</v>
      </c>
      <c r="AB150" s="15" t="str">
        <f aca="true" t="array" ref="AB150:AB150">LEFT(AA150,LOOKUP(2^15,FIND(".",AA150,ROW(INDIRECT("1:"&amp;LEN(AA150)))))-1)</f>
        <v>NB_2022_015 - 23022022 - 1</v>
      </c>
      <c r="AC150" s="6" t="s">
        <v>213</v>
      </c>
      <c r="AD150" s="15" t="str">
        <f aca="true" t="array" ref="AD150:AD150">LEFT(AC150,LOOKUP(2^15,FIND(".",AC150,ROW(INDIRECT("1:"&amp;LEN(AC150)))))-1)</f>
        <v>NB_2022_015 - 23022022 - 2</v>
      </c>
      <c r="AE150" s="6" t="str">
        <f aca="false">CONCATENATE(AB150, "-",H150, ".mzML")</f>
        <v>NB_2022_015 - 23022022 - 1-003.mzML</v>
      </c>
      <c r="AF150" s="6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4" t="s">
        <v>225</v>
      </c>
      <c r="B151" s="5"/>
      <c r="C151" s="4" t="s">
        <v>226</v>
      </c>
      <c r="D151" s="6" t="s">
        <v>14</v>
      </c>
      <c r="E151" s="6" t="s">
        <v>206</v>
      </c>
      <c r="F151" s="7" t="s">
        <v>207</v>
      </c>
      <c r="G151" s="6" t="s">
        <v>208</v>
      </c>
      <c r="H151" s="8" t="s">
        <v>227</v>
      </c>
      <c r="I151" s="6" t="str">
        <f aca="false">CONCATENATE(E151, "_",H151)</f>
        <v>NLA_2022_102_019</v>
      </c>
      <c r="J151" s="6" t="s">
        <v>52</v>
      </c>
      <c r="K151" s="6" t="s">
        <v>228</v>
      </c>
      <c r="L151" s="9" t="s">
        <v>69</v>
      </c>
      <c r="M151" s="13" t="s">
        <v>210</v>
      </c>
      <c r="N151" s="6" t="s">
        <v>41</v>
      </c>
      <c r="O151" s="6" t="s">
        <v>54</v>
      </c>
      <c r="P151" s="6" t="s">
        <v>162</v>
      </c>
      <c r="Q151" s="6" t="s">
        <v>229</v>
      </c>
      <c r="R151" s="6" t="s">
        <v>72</v>
      </c>
      <c r="S151" s="6" t="s">
        <v>45</v>
      </c>
      <c r="T151" s="6" t="s">
        <v>46</v>
      </c>
      <c r="U151" s="6" t="n">
        <v>1000</v>
      </c>
      <c r="V151" s="1" t="n">
        <v>1</v>
      </c>
      <c r="W151" s="6"/>
      <c r="X151" s="6" t="s">
        <v>47</v>
      </c>
      <c r="Y151" s="1" t="n">
        <v>5500</v>
      </c>
      <c r="Z151" s="6" t="s">
        <v>211</v>
      </c>
      <c r="AA151" s="6" t="s">
        <v>212</v>
      </c>
      <c r="AB151" s="15" t="str">
        <f aca="true" t="array" ref="AB151:AB151">LEFT(AA151,LOOKUP(2^15,FIND(".",AA151,ROW(INDIRECT("1:"&amp;LEN(AA151)))))-1)</f>
        <v>NB_2022_015 - 23022022 - 1</v>
      </c>
      <c r="AC151" s="6" t="s">
        <v>213</v>
      </c>
      <c r="AD151" s="15" t="str">
        <f aca="true" t="array" ref="AD151:AD151">LEFT(AC151,LOOKUP(2^15,FIND(".",AC151,ROW(INDIRECT("1:"&amp;LEN(AC151)))))-1)</f>
        <v>NB_2022_015 - 23022022 - 2</v>
      </c>
      <c r="AE151" s="6" t="str">
        <f aca="false">CONCATENATE(AB151, "-",H151, ".mzML")</f>
        <v>NB_2022_015 - 23022022 - 1-019.mzML</v>
      </c>
      <c r="AF151" s="6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4" t="s">
        <v>225</v>
      </c>
      <c r="B152" s="5"/>
      <c r="C152" s="4" t="s">
        <v>226</v>
      </c>
      <c r="D152" s="6" t="s">
        <v>14</v>
      </c>
      <c r="E152" s="6" t="s">
        <v>206</v>
      </c>
      <c r="F152" s="7" t="s">
        <v>207</v>
      </c>
      <c r="G152" s="6" t="s">
        <v>208</v>
      </c>
      <c r="H152" s="8" t="s">
        <v>230</v>
      </c>
      <c r="I152" s="6" t="str">
        <f aca="false">CONCATENATE(E152, "_",H152)</f>
        <v>NLA_2022_102_020</v>
      </c>
      <c r="J152" s="6" t="s">
        <v>52</v>
      </c>
      <c r="K152" s="6" t="s">
        <v>231</v>
      </c>
      <c r="L152" s="9" t="s">
        <v>69</v>
      </c>
      <c r="M152" s="13" t="s">
        <v>210</v>
      </c>
      <c r="N152" s="6" t="s">
        <v>41</v>
      </c>
      <c r="O152" s="6" t="s">
        <v>54</v>
      </c>
      <c r="P152" s="6" t="s">
        <v>162</v>
      </c>
      <c r="Q152" s="6" t="s">
        <v>229</v>
      </c>
      <c r="R152" s="6" t="s">
        <v>72</v>
      </c>
      <c r="S152" s="6" t="s">
        <v>45</v>
      </c>
      <c r="T152" s="6" t="s">
        <v>46</v>
      </c>
      <c r="U152" s="6" t="n">
        <v>1000</v>
      </c>
      <c r="V152" s="1" t="n">
        <v>2</v>
      </c>
      <c r="W152" s="6"/>
      <c r="X152" s="6" t="s">
        <v>47</v>
      </c>
      <c r="Y152" s="1" t="n">
        <v>5500</v>
      </c>
      <c r="Z152" s="6" t="s">
        <v>211</v>
      </c>
      <c r="AA152" s="6" t="s">
        <v>212</v>
      </c>
      <c r="AB152" s="15" t="str">
        <f aca="true" t="array" ref="AB152:AB152">LEFT(AA152,LOOKUP(2^15,FIND(".",AA152,ROW(INDIRECT("1:"&amp;LEN(AA152)))))-1)</f>
        <v>NB_2022_015 - 23022022 - 1</v>
      </c>
      <c r="AC152" s="6" t="s">
        <v>213</v>
      </c>
      <c r="AD152" s="15" t="str">
        <f aca="true" t="array" ref="AD152:AD152">LEFT(AC152,LOOKUP(2^15,FIND(".",AC152,ROW(INDIRECT("1:"&amp;LEN(AC152)))))-1)</f>
        <v>NB_2022_015 - 23022022 - 2</v>
      </c>
      <c r="AE152" s="6" t="str">
        <f aca="false">CONCATENATE(AB152, "-",H152, ".mzML")</f>
        <v>NB_2022_015 - 23022022 - 1-020.mzML</v>
      </c>
      <c r="AF152" s="6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4" t="s">
        <v>225</v>
      </c>
      <c r="B153" s="5"/>
      <c r="C153" s="4" t="s">
        <v>226</v>
      </c>
      <c r="D153" s="6" t="s">
        <v>14</v>
      </c>
      <c r="E153" s="6" t="s">
        <v>206</v>
      </c>
      <c r="F153" s="7" t="s">
        <v>207</v>
      </c>
      <c r="G153" s="6" t="s">
        <v>208</v>
      </c>
      <c r="H153" s="8" t="s">
        <v>62</v>
      </c>
      <c r="I153" s="6" t="str">
        <f aca="false">CONCATENATE(E153, "_",H153)</f>
        <v>NLA_2022_102_021</v>
      </c>
      <c r="J153" s="6" t="s">
        <v>52</v>
      </c>
      <c r="K153" s="6" t="s">
        <v>232</v>
      </c>
      <c r="L153" s="9" t="s">
        <v>69</v>
      </c>
      <c r="M153" s="13" t="s">
        <v>210</v>
      </c>
      <c r="N153" s="6" t="s">
        <v>41</v>
      </c>
      <c r="O153" s="6" t="s">
        <v>54</v>
      </c>
      <c r="P153" s="6" t="s">
        <v>162</v>
      </c>
      <c r="Q153" s="6" t="s">
        <v>229</v>
      </c>
      <c r="R153" s="6" t="s">
        <v>72</v>
      </c>
      <c r="S153" s="6" t="s">
        <v>45</v>
      </c>
      <c r="T153" s="6" t="s">
        <v>46</v>
      </c>
      <c r="U153" s="6" t="n">
        <v>1000</v>
      </c>
      <c r="V153" s="1" t="n">
        <v>3</v>
      </c>
      <c r="W153" s="6"/>
      <c r="X153" s="6" t="s">
        <v>47</v>
      </c>
      <c r="Y153" s="1" t="n">
        <v>5500</v>
      </c>
      <c r="Z153" s="6" t="s">
        <v>211</v>
      </c>
      <c r="AA153" s="6" t="s">
        <v>212</v>
      </c>
      <c r="AB153" s="15" t="str">
        <f aca="true" t="array" ref="AB153:AB153">LEFT(AA153,LOOKUP(2^15,FIND(".",AA153,ROW(INDIRECT("1:"&amp;LEN(AA153)))))-1)</f>
        <v>NB_2022_015 - 23022022 - 1</v>
      </c>
      <c r="AC153" s="6" t="s">
        <v>213</v>
      </c>
      <c r="AD153" s="15" t="str">
        <f aca="true" t="array" ref="AD153:AD153">LEFT(AC153,LOOKUP(2^15,FIND(".",AC153,ROW(INDIRECT("1:"&amp;LEN(AC153)))))-1)</f>
        <v>NB_2022_015 - 23022022 - 2</v>
      </c>
      <c r="AE153" s="6" t="str">
        <f aca="false">CONCATENATE(AB153, "-",H153, ".mzML")</f>
        <v>NB_2022_015 - 23022022 - 1-021.mzML</v>
      </c>
      <c r="AF153" s="6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4" t="s">
        <v>225</v>
      </c>
      <c r="B154" s="5"/>
      <c r="C154" s="4" t="s">
        <v>226</v>
      </c>
      <c r="D154" s="6" t="s">
        <v>14</v>
      </c>
      <c r="E154" s="6" t="s">
        <v>206</v>
      </c>
      <c r="F154" s="7" t="s">
        <v>207</v>
      </c>
      <c r="G154" s="6" t="s">
        <v>220</v>
      </c>
      <c r="H154" s="22" t="s">
        <v>64</v>
      </c>
      <c r="I154" s="6" t="str">
        <f aca="false">CONCATENATE(E154, "_",H154)</f>
        <v>NLA_2022_102_Blank_1</v>
      </c>
      <c r="J154" s="6" t="s">
        <v>52</v>
      </c>
      <c r="K154" s="6" t="s">
        <v>64</v>
      </c>
      <c r="L154" s="9" t="s">
        <v>46</v>
      </c>
      <c r="M154" s="13" t="s">
        <v>46</v>
      </c>
      <c r="N154" s="6" t="s">
        <v>65</v>
      </c>
      <c r="O154" s="6" t="s">
        <v>46</v>
      </c>
      <c r="P154" s="6" t="s">
        <v>46</v>
      </c>
      <c r="Q154" s="6" t="s">
        <v>46</v>
      </c>
      <c r="R154" s="6" t="s">
        <v>46</v>
      </c>
      <c r="S154" s="6" t="s">
        <v>46</v>
      </c>
      <c r="T154" s="6" t="s">
        <v>46</v>
      </c>
      <c r="U154" s="6" t="s">
        <v>46</v>
      </c>
      <c r="V154" s="1" t="n">
        <v>1</v>
      </c>
      <c r="W154" s="6"/>
      <c r="X154" s="6" t="s">
        <v>46</v>
      </c>
      <c r="Y154" s="1" t="n">
        <v>5500</v>
      </c>
      <c r="Z154" s="6" t="s">
        <v>211</v>
      </c>
      <c r="AA154" s="6" t="s">
        <v>212</v>
      </c>
      <c r="AB154" s="15" t="str">
        <f aca="true" t="array" ref="AB154:AB154">LEFT(AA154,LOOKUP(2^15,FIND(".",AA154,ROW(INDIRECT("1:"&amp;LEN(AA154)))))-1)</f>
        <v>NB_2022_015 - 23022022 - 1</v>
      </c>
      <c r="AC154" s="6" t="s">
        <v>213</v>
      </c>
      <c r="AD154" s="15" t="str">
        <f aca="true" t="array" ref="AD154:AD154">LEFT(AC154,LOOKUP(2^15,FIND(".",AC154,ROW(INDIRECT("1:"&amp;LEN(AC154)))))-1)</f>
        <v>NB_2022_015 - 23022022 - 2</v>
      </c>
      <c r="AE154" s="6" t="str">
        <f aca="false">CONCATENATE(AB154, "-",H154, ".mzML")</f>
        <v>NB_2022_015 - 23022022 - 1-Blank_1.mzML</v>
      </c>
      <c r="AF154" s="6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4" t="s">
        <v>225</v>
      </c>
      <c r="B155" s="5"/>
      <c r="C155" s="4" t="s">
        <v>226</v>
      </c>
      <c r="D155" s="6" t="s">
        <v>14</v>
      </c>
      <c r="E155" s="6" t="s">
        <v>206</v>
      </c>
      <c r="F155" s="7" t="s">
        <v>207</v>
      </c>
      <c r="G155" s="6" t="s">
        <v>220</v>
      </c>
      <c r="H155" s="22" t="s">
        <v>66</v>
      </c>
      <c r="I155" s="6" t="str">
        <f aca="false">CONCATENATE(E155, "_",H155)</f>
        <v>NLA_2022_102_Blank_2</v>
      </c>
      <c r="J155" s="6" t="s">
        <v>52</v>
      </c>
      <c r="K155" s="6" t="s">
        <v>66</v>
      </c>
      <c r="L155" s="9" t="s">
        <v>46</v>
      </c>
      <c r="M155" s="13" t="s">
        <v>46</v>
      </c>
      <c r="N155" s="6" t="s">
        <v>65</v>
      </c>
      <c r="O155" s="6" t="s">
        <v>46</v>
      </c>
      <c r="P155" s="6" t="s">
        <v>46</v>
      </c>
      <c r="Q155" s="6" t="s">
        <v>46</v>
      </c>
      <c r="R155" s="6" t="s">
        <v>46</v>
      </c>
      <c r="S155" s="6" t="s">
        <v>46</v>
      </c>
      <c r="T155" s="6" t="s">
        <v>46</v>
      </c>
      <c r="U155" s="6" t="s">
        <v>46</v>
      </c>
      <c r="V155" s="1" t="n">
        <v>2</v>
      </c>
      <c r="W155" s="6"/>
      <c r="X155" s="6" t="s">
        <v>46</v>
      </c>
      <c r="Y155" s="1" t="n">
        <v>5500</v>
      </c>
      <c r="Z155" s="6" t="s">
        <v>211</v>
      </c>
      <c r="AA155" s="6" t="s">
        <v>212</v>
      </c>
      <c r="AB155" s="15" t="str">
        <f aca="true" t="array" ref="AB155:AB155">LEFT(AA155,LOOKUP(2^15,FIND(".",AA155,ROW(INDIRECT("1:"&amp;LEN(AA155)))))-1)</f>
        <v>NB_2022_015 - 23022022 - 1</v>
      </c>
      <c r="AC155" s="6" t="s">
        <v>213</v>
      </c>
      <c r="AD155" s="15" t="str">
        <f aca="true" t="array" ref="AD155:AD155">LEFT(AC155,LOOKUP(2^15,FIND(".",AC155,ROW(INDIRECT("1:"&amp;LEN(AC155)))))-1)</f>
        <v>NB_2022_015 - 23022022 - 2</v>
      </c>
      <c r="AE155" s="6" t="str">
        <f aca="false">CONCATENATE(AB155, "-",H155, ".mzML")</f>
        <v>NB_2022_015 - 23022022 - 1-Blank_2.mzML</v>
      </c>
      <c r="AF155" s="6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4" t="s">
        <v>225</v>
      </c>
      <c r="B156" s="5"/>
      <c r="C156" s="4" t="s">
        <v>226</v>
      </c>
      <c r="D156" s="6" t="s">
        <v>14</v>
      </c>
      <c r="E156" s="6" t="s">
        <v>206</v>
      </c>
      <c r="F156" s="7" t="s">
        <v>207</v>
      </c>
      <c r="G156" s="6" t="s">
        <v>220</v>
      </c>
      <c r="H156" s="22" t="s">
        <v>67</v>
      </c>
      <c r="I156" s="6" t="str">
        <f aca="false">CONCATENATE(E156, "_",H156)</f>
        <v>NLA_2022_102_Blank_3</v>
      </c>
      <c r="J156" s="6" t="s">
        <v>52</v>
      </c>
      <c r="K156" s="6" t="s">
        <v>67</v>
      </c>
      <c r="L156" s="9" t="s">
        <v>46</v>
      </c>
      <c r="M156" s="13" t="s">
        <v>46</v>
      </c>
      <c r="N156" s="6" t="s">
        <v>65</v>
      </c>
      <c r="O156" s="6" t="s">
        <v>46</v>
      </c>
      <c r="P156" s="6" t="s">
        <v>46</v>
      </c>
      <c r="Q156" s="6" t="s">
        <v>46</v>
      </c>
      <c r="R156" s="6" t="s">
        <v>46</v>
      </c>
      <c r="S156" s="6" t="s">
        <v>46</v>
      </c>
      <c r="T156" s="6" t="s">
        <v>46</v>
      </c>
      <c r="U156" s="6" t="s">
        <v>46</v>
      </c>
      <c r="V156" s="1" t="n">
        <v>3</v>
      </c>
      <c r="W156" s="6"/>
      <c r="X156" s="6" t="s">
        <v>46</v>
      </c>
      <c r="Y156" s="1" t="n">
        <v>5500</v>
      </c>
      <c r="Z156" s="6" t="s">
        <v>211</v>
      </c>
      <c r="AA156" s="6" t="s">
        <v>212</v>
      </c>
      <c r="AB156" s="15" t="str">
        <f aca="true" t="array" ref="AB156:AB156">LEFT(AA156,LOOKUP(2^15,FIND(".",AA156,ROW(INDIRECT("1:"&amp;LEN(AA156)))))-1)</f>
        <v>NB_2022_015 - 23022022 - 1</v>
      </c>
      <c r="AC156" s="6" t="s">
        <v>213</v>
      </c>
      <c r="AD156" s="15" t="str">
        <f aca="true" t="array" ref="AD156:AD156">LEFT(AC156,LOOKUP(2^15,FIND(".",AC156,ROW(INDIRECT("1:"&amp;LEN(AC156)))))-1)</f>
        <v>NB_2022_015 - 23022022 - 2</v>
      </c>
      <c r="AE156" s="6" t="str">
        <f aca="false">CONCATENATE(AB156, "-",H156, ".mzML")</f>
        <v>NB_2022_015 - 23022022 - 1-Blank_3.mzML</v>
      </c>
      <c r="AF156" s="6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4" t="s">
        <v>225</v>
      </c>
      <c r="B157" s="5"/>
      <c r="C157" s="4" t="s">
        <v>226</v>
      </c>
      <c r="D157" s="6" t="s">
        <v>14</v>
      </c>
      <c r="E157" s="6" t="s">
        <v>206</v>
      </c>
      <c r="F157" s="7" t="s">
        <v>207</v>
      </c>
      <c r="G157" s="6" t="s">
        <v>220</v>
      </c>
      <c r="H157" s="22" t="s">
        <v>221</v>
      </c>
      <c r="I157" s="6" t="str">
        <f aca="false">CONCATENATE(E157, "_",H157)</f>
        <v>NLA_2022_102_Blank_4</v>
      </c>
      <c r="J157" s="6" t="s">
        <v>52</v>
      </c>
      <c r="K157" s="6" t="s">
        <v>221</v>
      </c>
      <c r="L157" s="9" t="s">
        <v>46</v>
      </c>
      <c r="M157" s="13" t="s">
        <v>46</v>
      </c>
      <c r="N157" s="6" t="s">
        <v>65</v>
      </c>
      <c r="O157" s="6" t="s">
        <v>46</v>
      </c>
      <c r="P157" s="6" t="s">
        <v>46</v>
      </c>
      <c r="Q157" s="6" t="s">
        <v>46</v>
      </c>
      <c r="R157" s="6" t="s">
        <v>46</v>
      </c>
      <c r="S157" s="6" t="s">
        <v>46</v>
      </c>
      <c r="T157" s="6" t="s">
        <v>46</v>
      </c>
      <c r="U157" s="6" t="s">
        <v>46</v>
      </c>
      <c r="V157" s="1" t="n">
        <v>4</v>
      </c>
      <c r="W157" s="6"/>
      <c r="X157" s="6" t="s">
        <v>46</v>
      </c>
      <c r="Y157" s="1" t="n">
        <v>5500</v>
      </c>
      <c r="Z157" s="6" t="s">
        <v>211</v>
      </c>
      <c r="AA157" s="6" t="s">
        <v>212</v>
      </c>
      <c r="AB157" s="15" t="str">
        <f aca="true" t="array" ref="AB157:AB157">LEFT(AA157,LOOKUP(2^15,FIND(".",AA157,ROW(INDIRECT("1:"&amp;LEN(AA157)))))-1)</f>
        <v>NB_2022_015 - 23022022 - 1</v>
      </c>
      <c r="AC157" s="6" t="s">
        <v>213</v>
      </c>
      <c r="AD157" s="15" t="str">
        <f aca="true" t="array" ref="AD157:AD157">LEFT(AC157,LOOKUP(2^15,FIND(".",AC157,ROW(INDIRECT("1:"&amp;LEN(AC157)))))-1)</f>
        <v>NB_2022_015 - 23022022 - 2</v>
      </c>
      <c r="AE157" s="6" t="str">
        <f aca="false">CONCATENATE(AB157, "-",H157, ".mzML")</f>
        <v>NB_2022_015 - 23022022 - 1-Blank_4.mzML</v>
      </c>
      <c r="AF157" s="6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4" t="s">
        <v>225</v>
      </c>
      <c r="B158" s="5"/>
      <c r="C158" s="4" t="s">
        <v>226</v>
      </c>
      <c r="D158" s="6" t="s">
        <v>14</v>
      </c>
      <c r="E158" s="6" t="s">
        <v>206</v>
      </c>
      <c r="F158" s="7" t="s">
        <v>207</v>
      </c>
      <c r="G158" s="6" t="s">
        <v>220</v>
      </c>
      <c r="H158" s="22" t="s">
        <v>68</v>
      </c>
      <c r="I158" s="6" t="str">
        <f aca="false">CONCATENATE(E158, "_",H158)</f>
        <v>NLA_2022_102_QC_C_1</v>
      </c>
      <c r="J158" s="6" t="s">
        <v>52</v>
      </c>
      <c r="K158" s="6" t="s">
        <v>68</v>
      </c>
      <c r="L158" s="9" t="s">
        <v>69</v>
      </c>
      <c r="M158" s="13" t="s">
        <v>46</v>
      </c>
      <c r="N158" s="6" t="s">
        <v>70</v>
      </c>
      <c r="O158" s="6" t="s">
        <v>46</v>
      </c>
      <c r="P158" s="6" t="s">
        <v>71</v>
      </c>
      <c r="Q158" s="6" t="s">
        <v>71</v>
      </c>
      <c r="R158" s="6" t="s">
        <v>72</v>
      </c>
      <c r="S158" s="6" t="s">
        <v>73</v>
      </c>
      <c r="T158" s="6" t="s">
        <v>46</v>
      </c>
      <c r="U158" s="6" t="n">
        <v>1000</v>
      </c>
      <c r="V158" s="1" t="n">
        <v>1</v>
      </c>
      <c r="W158" s="6"/>
      <c r="X158" s="6" t="s">
        <v>74</v>
      </c>
      <c r="Y158" s="1" t="n">
        <v>5500</v>
      </c>
      <c r="Z158" s="6" t="s">
        <v>211</v>
      </c>
      <c r="AA158" s="6" t="s">
        <v>212</v>
      </c>
      <c r="AB158" s="15" t="str">
        <f aca="true" t="array" ref="AB158:AB158">LEFT(AA158,LOOKUP(2^15,FIND(".",AA158,ROW(INDIRECT("1:"&amp;LEN(AA158)))))-1)</f>
        <v>NB_2022_015 - 23022022 - 1</v>
      </c>
      <c r="AC158" s="6" t="s">
        <v>213</v>
      </c>
      <c r="AD158" s="15" t="str">
        <f aca="true" t="array" ref="AD158:AD158">LEFT(AC158,LOOKUP(2^15,FIND(".",AC158,ROW(INDIRECT("1:"&amp;LEN(AC158)))))-1)</f>
        <v>NB_2022_015 - 23022022 - 2</v>
      </c>
      <c r="AE158" s="6" t="str">
        <f aca="false">CONCATENATE(AB158, "-",H158, ".mzML")</f>
        <v>NB_2022_015 - 23022022 - 1-QC_C_1.mzML</v>
      </c>
      <c r="AF158" s="6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4" t="s">
        <v>225</v>
      </c>
      <c r="B159" s="5"/>
      <c r="C159" s="4" t="s">
        <v>226</v>
      </c>
      <c r="D159" s="6" t="s">
        <v>14</v>
      </c>
      <c r="E159" s="6" t="s">
        <v>206</v>
      </c>
      <c r="F159" s="7" t="s">
        <v>207</v>
      </c>
      <c r="G159" s="6" t="s">
        <v>220</v>
      </c>
      <c r="H159" s="22" t="s">
        <v>75</v>
      </c>
      <c r="I159" s="6" t="str">
        <f aca="false">CONCATENATE(E159, "_",H159)</f>
        <v>NLA_2022_102_QC_C_2</v>
      </c>
      <c r="J159" s="6" t="s">
        <v>52</v>
      </c>
      <c r="K159" s="6" t="s">
        <v>75</v>
      </c>
      <c r="L159" s="9" t="s">
        <v>69</v>
      </c>
      <c r="M159" s="13" t="s">
        <v>46</v>
      </c>
      <c r="N159" s="6" t="s">
        <v>70</v>
      </c>
      <c r="O159" s="6" t="s">
        <v>46</v>
      </c>
      <c r="P159" s="6" t="s">
        <v>71</v>
      </c>
      <c r="Q159" s="6" t="s">
        <v>71</v>
      </c>
      <c r="R159" s="6" t="s">
        <v>72</v>
      </c>
      <c r="S159" s="6" t="s">
        <v>73</v>
      </c>
      <c r="T159" s="6" t="s">
        <v>46</v>
      </c>
      <c r="U159" s="6" t="n">
        <v>1000</v>
      </c>
      <c r="V159" s="1" t="n">
        <v>2</v>
      </c>
      <c r="W159" s="6"/>
      <c r="X159" s="6" t="s">
        <v>74</v>
      </c>
      <c r="Y159" s="1" t="n">
        <v>5500</v>
      </c>
      <c r="Z159" s="6" t="s">
        <v>211</v>
      </c>
      <c r="AA159" s="6" t="s">
        <v>212</v>
      </c>
      <c r="AB159" s="15" t="str">
        <f aca="true" t="array" ref="AB159:AB159">LEFT(AA159,LOOKUP(2^15,FIND(".",AA159,ROW(INDIRECT("1:"&amp;LEN(AA159)))))-1)</f>
        <v>NB_2022_015 - 23022022 - 1</v>
      </c>
      <c r="AC159" s="6" t="s">
        <v>213</v>
      </c>
      <c r="AD159" s="15" t="str">
        <f aca="true" t="array" ref="AD159:AD159">LEFT(AC159,LOOKUP(2^15,FIND(".",AC159,ROW(INDIRECT("1:"&amp;LEN(AC159)))))-1)</f>
        <v>NB_2022_015 - 23022022 - 2</v>
      </c>
      <c r="AE159" s="6" t="str">
        <f aca="false">CONCATENATE(AB159, "-",H159, ".mzML")</f>
        <v>NB_2022_015 - 23022022 - 1-QC_C_2.mzML</v>
      </c>
      <c r="AF159" s="6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4" t="s">
        <v>225</v>
      </c>
      <c r="B160" s="5"/>
      <c r="C160" s="4" t="s">
        <v>226</v>
      </c>
      <c r="D160" s="6" t="s">
        <v>14</v>
      </c>
      <c r="E160" s="6" t="s">
        <v>206</v>
      </c>
      <c r="F160" s="7" t="s">
        <v>207</v>
      </c>
      <c r="G160" s="6" t="s">
        <v>220</v>
      </c>
      <c r="H160" s="22" t="s">
        <v>76</v>
      </c>
      <c r="I160" s="6" t="str">
        <f aca="false">CONCATENATE(E160, "_",H160)</f>
        <v>NLA_2022_102_QC_C_3</v>
      </c>
      <c r="J160" s="6" t="s">
        <v>52</v>
      </c>
      <c r="K160" s="6" t="s">
        <v>76</v>
      </c>
      <c r="L160" s="9" t="s">
        <v>69</v>
      </c>
      <c r="M160" s="13" t="s">
        <v>46</v>
      </c>
      <c r="N160" s="6" t="s">
        <v>70</v>
      </c>
      <c r="O160" s="6" t="s">
        <v>46</v>
      </c>
      <c r="P160" s="6" t="s">
        <v>71</v>
      </c>
      <c r="Q160" s="6" t="s">
        <v>71</v>
      </c>
      <c r="R160" s="6" t="s">
        <v>72</v>
      </c>
      <c r="S160" s="6" t="s">
        <v>73</v>
      </c>
      <c r="T160" s="6" t="s">
        <v>46</v>
      </c>
      <c r="U160" s="6" t="n">
        <v>1000</v>
      </c>
      <c r="V160" s="1" t="n">
        <v>3</v>
      </c>
      <c r="W160" s="6"/>
      <c r="X160" s="6" t="s">
        <v>74</v>
      </c>
      <c r="Y160" s="1" t="n">
        <v>5500</v>
      </c>
      <c r="Z160" s="6" t="s">
        <v>211</v>
      </c>
      <c r="AA160" s="6" t="s">
        <v>212</v>
      </c>
      <c r="AB160" s="15" t="str">
        <f aca="true" t="array" ref="AB160:AB160">LEFT(AA160,LOOKUP(2^15,FIND(".",AA160,ROW(INDIRECT("1:"&amp;LEN(AA160)))))-1)</f>
        <v>NB_2022_015 - 23022022 - 1</v>
      </c>
      <c r="AC160" s="6" t="s">
        <v>213</v>
      </c>
      <c r="AD160" s="15" t="str">
        <f aca="true" t="array" ref="AD160:AD160">LEFT(AC160,LOOKUP(2^15,FIND(".",AC160,ROW(INDIRECT("1:"&amp;LEN(AC160)))))-1)</f>
        <v>NB_2022_015 - 23022022 - 2</v>
      </c>
      <c r="AE160" s="6" t="str">
        <f aca="false">CONCATENATE(AB160, "-",H160, ".mzML")</f>
        <v>NB_2022_015 - 23022022 - 1-QC_C_3.mzML</v>
      </c>
      <c r="AF160" s="6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4" t="s">
        <v>225</v>
      </c>
      <c r="B161" s="5"/>
      <c r="C161" s="4" t="s">
        <v>226</v>
      </c>
      <c r="D161" s="6" t="s">
        <v>14</v>
      </c>
      <c r="E161" s="6" t="s">
        <v>206</v>
      </c>
      <c r="F161" s="7" t="s">
        <v>207</v>
      </c>
      <c r="G161" s="6" t="s">
        <v>220</v>
      </c>
      <c r="H161" s="22" t="s">
        <v>222</v>
      </c>
      <c r="I161" s="6" t="str">
        <f aca="false">CONCATENATE(E161, "_",H161)</f>
        <v>NLA_2022_102_QC_C_4</v>
      </c>
      <c r="J161" s="6" t="s">
        <v>52</v>
      </c>
      <c r="K161" s="6" t="s">
        <v>222</v>
      </c>
      <c r="L161" s="9" t="s">
        <v>69</v>
      </c>
      <c r="M161" s="13" t="s">
        <v>46</v>
      </c>
      <c r="N161" s="6" t="s">
        <v>223</v>
      </c>
      <c r="O161" s="6" t="s">
        <v>46</v>
      </c>
      <c r="P161" s="6" t="s">
        <v>71</v>
      </c>
      <c r="Q161" s="6" t="s">
        <v>71</v>
      </c>
      <c r="R161" s="6" t="s">
        <v>72</v>
      </c>
      <c r="S161" s="6" t="s">
        <v>73</v>
      </c>
      <c r="T161" s="6" t="s">
        <v>46</v>
      </c>
      <c r="U161" s="6" t="n">
        <v>1000</v>
      </c>
      <c r="V161" s="1" t="n">
        <v>4</v>
      </c>
      <c r="W161" s="6"/>
      <c r="X161" s="6" t="s">
        <v>74</v>
      </c>
      <c r="Y161" s="1" t="n">
        <v>5500</v>
      </c>
      <c r="Z161" s="6" t="s">
        <v>211</v>
      </c>
      <c r="AA161" s="6" t="s">
        <v>212</v>
      </c>
      <c r="AB161" s="15" t="str">
        <f aca="true" t="array" ref="AB161:AB161">LEFT(AA161,LOOKUP(2^15,FIND(".",AA161,ROW(INDIRECT("1:"&amp;LEN(AA161)))))-1)</f>
        <v>NB_2022_015 - 23022022 - 1</v>
      </c>
      <c r="AC161" s="6" t="s">
        <v>213</v>
      </c>
      <c r="AD161" s="15" t="str">
        <f aca="true" t="array" ref="AD161:AD161">LEFT(AC161,LOOKUP(2^15,FIND(".",AC161,ROW(INDIRECT("1:"&amp;LEN(AC161)))))-1)</f>
        <v>NB_2022_015 - 23022022 - 2</v>
      </c>
      <c r="AE161" s="6" t="str">
        <f aca="false">CONCATENATE(AB161, "-",H161, ".mzML")</f>
        <v>NB_2022_015 - 23022022 - 1-QC_C_4.mzML</v>
      </c>
      <c r="AF161" s="6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4" t="s">
        <v>225</v>
      </c>
      <c r="B162" s="5"/>
      <c r="C162" s="4" t="s">
        <v>226</v>
      </c>
      <c r="D162" s="6" t="s">
        <v>14</v>
      </c>
      <c r="E162" s="6" t="s">
        <v>206</v>
      </c>
      <c r="F162" s="7" t="s">
        <v>207</v>
      </c>
      <c r="G162" s="6" t="s">
        <v>220</v>
      </c>
      <c r="H162" s="22" t="s">
        <v>77</v>
      </c>
      <c r="I162" s="6" t="str">
        <f aca="false">CONCATENATE(E162, "_",H162)</f>
        <v>NLA_2022_102_QC_P_1</v>
      </c>
      <c r="J162" s="6" t="s">
        <v>52</v>
      </c>
      <c r="K162" s="6" t="s">
        <v>77</v>
      </c>
      <c r="L162" s="9" t="s">
        <v>69</v>
      </c>
      <c r="M162" s="13" t="s">
        <v>46</v>
      </c>
      <c r="N162" s="6" t="s">
        <v>78</v>
      </c>
      <c r="O162" s="6" t="s">
        <v>46</v>
      </c>
      <c r="P162" s="6" t="s">
        <v>79</v>
      </c>
      <c r="Q162" s="6" t="s">
        <v>80</v>
      </c>
      <c r="R162" s="6" t="s">
        <v>81</v>
      </c>
      <c r="S162" s="6" t="s">
        <v>46</v>
      </c>
      <c r="T162" s="6" t="s">
        <v>46</v>
      </c>
      <c r="U162" s="6" t="s">
        <v>82</v>
      </c>
      <c r="V162" s="1" t="n">
        <v>1</v>
      </c>
      <c r="W162" s="6"/>
      <c r="X162" s="6" t="s">
        <v>83</v>
      </c>
      <c r="Y162" s="1" t="n">
        <v>5500</v>
      </c>
      <c r="Z162" s="6" t="s">
        <v>211</v>
      </c>
      <c r="AA162" s="6" t="s">
        <v>212</v>
      </c>
      <c r="AB162" s="15" t="str">
        <f aca="true" t="array" ref="AB162:AB162">LEFT(AA162,LOOKUP(2^15,FIND(".",AA162,ROW(INDIRECT("1:"&amp;LEN(AA162)))))-1)</f>
        <v>NB_2022_015 - 23022022 - 1</v>
      </c>
      <c r="AC162" s="6" t="s">
        <v>213</v>
      </c>
      <c r="AD162" s="15" t="str">
        <f aca="true" t="array" ref="AD162:AD162">LEFT(AC162,LOOKUP(2^15,FIND(".",AC162,ROW(INDIRECT("1:"&amp;LEN(AC162)))))-1)</f>
        <v>NB_2022_015 - 23022022 - 2</v>
      </c>
      <c r="AE162" s="6" t="str">
        <f aca="false">CONCATENATE(AB162, "-",H162, ".mzML")</f>
        <v>NB_2022_015 - 23022022 - 1-QC_P_1.mzML</v>
      </c>
      <c r="AF162" s="6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4" t="s">
        <v>225</v>
      </c>
      <c r="B163" s="5"/>
      <c r="C163" s="4" t="s">
        <v>226</v>
      </c>
      <c r="D163" s="6" t="s">
        <v>14</v>
      </c>
      <c r="E163" s="6" t="s">
        <v>206</v>
      </c>
      <c r="F163" s="7" t="s">
        <v>207</v>
      </c>
      <c r="G163" s="6" t="s">
        <v>220</v>
      </c>
      <c r="H163" s="22" t="s">
        <v>84</v>
      </c>
      <c r="I163" s="6" t="str">
        <f aca="false">CONCATENATE(E163, "_",H163)</f>
        <v>NLA_2022_102_QC_P_2</v>
      </c>
      <c r="J163" s="6" t="s">
        <v>52</v>
      </c>
      <c r="K163" s="6" t="s">
        <v>84</v>
      </c>
      <c r="L163" s="9" t="s">
        <v>69</v>
      </c>
      <c r="M163" s="13" t="s">
        <v>46</v>
      </c>
      <c r="N163" s="6" t="s">
        <v>78</v>
      </c>
      <c r="O163" s="6" t="s">
        <v>46</v>
      </c>
      <c r="P163" s="6" t="s">
        <v>79</v>
      </c>
      <c r="Q163" s="6" t="s">
        <v>80</v>
      </c>
      <c r="R163" s="6" t="s">
        <v>81</v>
      </c>
      <c r="S163" s="6" t="s">
        <v>46</v>
      </c>
      <c r="T163" s="6" t="s">
        <v>46</v>
      </c>
      <c r="U163" s="6" t="s">
        <v>82</v>
      </c>
      <c r="V163" s="1" t="n">
        <v>2</v>
      </c>
      <c r="W163" s="6"/>
      <c r="X163" s="6" t="s">
        <v>83</v>
      </c>
      <c r="Y163" s="1" t="n">
        <v>5500</v>
      </c>
      <c r="Z163" s="6" t="s">
        <v>211</v>
      </c>
      <c r="AA163" s="6" t="s">
        <v>212</v>
      </c>
      <c r="AB163" s="15" t="str">
        <f aca="true" t="array" ref="AB163:AB163">LEFT(AA163,LOOKUP(2^15,FIND(".",AA163,ROW(INDIRECT("1:"&amp;LEN(AA163)))))-1)</f>
        <v>NB_2022_015 - 23022022 - 1</v>
      </c>
      <c r="AC163" s="6" t="s">
        <v>213</v>
      </c>
      <c r="AD163" s="15" t="str">
        <f aca="true" t="array" ref="AD163:AD163">LEFT(AC163,LOOKUP(2^15,FIND(".",AC163,ROW(INDIRECT("1:"&amp;LEN(AC163)))))-1)</f>
        <v>NB_2022_015 - 23022022 - 2</v>
      </c>
      <c r="AE163" s="6" t="str">
        <f aca="false">CONCATENATE(AB163, "-",H163, ".mzML")</f>
        <v>NB_2022_015 - 23022022 - 1-QC_P_2.mzML</v>
      </c>
      <c r="AF163" s="6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4" t="s">
        <v>225</v>
      </c>
      <c r="B164" s="5"/>
      <c r="C164" s="4" t="s">
        <v>226</v>
      </c>
      <c r="D164" s="6" t="s">
        <v>14</v>
      </c>
      <c r="E164" s="6" t="s">
        <v>206</v>
      </c>
      <c r="F164" s="7" t="s">
        <v>207</v>
      </c>
      <c r="G164" s="6" t="s">
        <v>220</v>
      </c>
      <c r="H164" s="22" t="s">
        <v>85</v>
      </c>
      <c r="I164" s="6" t="str">
        <f aca="false">CONCATENATE(E164, "_",H164)</f>
        <v>NLA_2022_102_QC_P_3</v>
      </c>
      <c r="J164" s="6" t="s">
        <v>52</v>
      </c>
      <c r="K164" s="6" t="s">
        <v>85</v>
      </c>
      <c r="L164" s="9" t="s">
        <v>69</v>
      </c>
      <c r="M164" s="13" t="s">
        <v>46</v>
      </c>
      <c r="N164" s="6" t="s">
        <v>78</v>
      </c>
      <c r="O164" s="6" t="s">
        <v>46</v>
      </c>
      <c r="P164" s="6" t="s">
        <v>79</v>
      </c>
      <c r="Q164" s="6" t="s">
        <v>80</v>
      </c>
      <c r="R164" s="6" t="s">
        <v>81</v>
      </c>
      <c r="S164" s="6" t="s">
        <v>46</v>
      </c>
      <c r="T164" s="6" t="s">
        <v>46</v>
      </c>
      <c r="U164" s="6" t="s">
        <v>82</v>
      </c>
      <c r="V164" s="1" t="n">
        <v>3</v>
      </c>
      <c r="W164" s="6"/>
      <c r="X164" s="6" t="s">
        <v>83</v>
      </c>
      <c r="Y164" s="1" t="n">
        <v>5500</v>
      </c>
      <c r="Z164" s="6" t="s">
        <v>211</v>
      </c>
      <c r="AA164" s="6" t="s">
        <v>212</v>
      </c>
      <c r="AB164" s="15" t="str">
        <f aca="true" t="array" ref="AB164:AB164">LEFT(AA164,LOOKUP(2^15,FIND(".",AA164,ROW(INDIRECT("1:"&amp;LEN(AA164)))))-1)</f>
        <v>NB_2022_015 - 23022022 - 1</v>
      </c>
      <c r="AC164" s="6" t="s">
        <v>213</v>
      </c>
      <c r="AD164" s="15" t="str">
        <f aca="true" t="array" ref="AD164:AD164">LEFT(AC164,LOOKUP(2^15,FIND(".",AC164,ROW(INDIRECT("1:"&amp;LEN(AC164)))))-1)</f>
        <v>NB_2022_015 - 23022022 - 2</v>
      </c>
      <c r="AE164" s="6" t="str">
        <f aca="false">CONCATENATE(AB164, "-",H164, ".mzML")</f>
        <v>NB_2022_015 - 23022022 - 1-QC_P_3.mzML</v>
      </c>
      <c r="AF164" s="6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4" t="s">
        <v>225</v>
      </c>
      <c r="B165" s="5"/>
      <c r="C165" s="4" t="s">
        <v>226</v>
      </c>
      <c r="D165" s="6" t="s">
        <v>14</v>
      </c>
      <c r="E165" s="6" t="s">
        <v>206</v>
      </c>
      <c r="F165" s="7" t="s">
        <v>207</v>
      </c>
      <c r="G165" s="6" t="s">
        <v>220</v>
      </c>
      <c r="H165" s="22" t="s">
        <v>224</v>
      </c>
      <c r="I165" s="6" t="str">
        <f aca="false">CONCATENATE(E165, "_",H165)</f>
        <v>NLA_2022_102_QC_P_4</v>
      </c>
      <c r="J165" s="6" t="s">
        <v>52</v>
      </c>
      <c r="K165" s="6" t="s">
        <v>224</v>
      </c>
      <c r="L165" s="9" t="s">
        <v>69</v>
      </c>
      <c r="M165" s="13" t="s">
        <v>46</v>
      </c>
      <c r="N165" s="6" t="s">
        <v>78</v>
      </c>
      <c r="O165" s="6" t="s">
        <v>46</v>
      </c>
      <c r="P165" s="6" t="s">
        <v>79</v>
      </c>
      <c r="Q165" s="6" t="s">
        <v>80</v>
      </c>
      <c r="R165" s="6" t="s">
        <v>81</v>
      </c>
      <c r="S165" s="6" t="s">
        <v>46</v>
      </c>
      <c r="T165" s="6" t="s">
        <v>46</v>
      </c>
      <c r="U165" s="6" t="s">
        <v>82</v>
      </c>
      <c r="V165" s="1" t="n">
        <v>4</v>
      </c>
      <c r="W165" s="6"/>
      <c r="X165" s="6" t="s">
        <v>83</v>
      </c>
      <c r="Y165" s="1" t="n">
        <v>5500</v>
      </c>
      <c r="Z165" s="6" t="s">
        <v>211</v>
      </c>
      <c r="AA165" s="6" t="s">
        <v>212</v>
      </c>
      <c r="AB165" s="15" t="str">
        <f aca="true" t="array" ref="AB165:AB165">LEFT(AA165,LOOKUP(2^15,FIND(".",AA165,ROW(INDIRECT("1:"&amp;LEN(AA165)))))-1)</f>
        <v>NB_2022_015 - 23022022 - 1</v>
      </c>
      <c r="AC165" s="6" t="s">
        <v>213</v>
      </c>
      <c r="AD165" s="15" t="str">
        <f aca="true" t="array" ref="AD165:AD165">LEFT(AC165,LOOKUP(2^15,FIND(".",AC165,ROW(INDIRECT("1:"&amp;LEN(AC165)))))-1)</f>
        <v>NB_2022_015 - 23022022 - 2</v>
      </c>
      <c r="AE165" s="6" t="str">
        <f aca="false">CONCATENATE(AB165, "-",H165, ".mzML")</f>
        <v>NB_2022_015 - 23022022 - 1-QC_P_4.mzML</v>
      </c>
      <c r="AF165" s="6" t="str">
        <f aca="false">CONCATENATE(AD165, "-",H165, ".mzML")</f>
        <v>NB_2022_015 - 23022022 - 2-QC_P_4.mzML</v>
      </c>
    </row>
    <row r="166" s="23" customFormat="true" ht="15" hidden="false" customHeight="false" outlineLevel="0" collapsed="false">
      <c r="A166" s="4" t="s">
        <v>233</v>
      </c>
      <c r="B166" s="5"/>
      <c r="C166" s="4" t="s">
        <v>234</v>
      </c>
      <c r="D166" s="6" t="s">
        <v>14</v>
      </c>
      <c r="E166" s="6" t="s">
        <v>206</v>
      </c>
      <c r="F166" s="7" t="s">
        <v>207</v>
      </c>
      <c r="G166" s="6" t="s">
        <v>216</v>
      </c>
      <c r="H166" s="8" t="s">
        <v>99</v>
      </c>
      <c r="I166" s="6" t="str">
        <f aca="false">CONCATENATE(E166, "_",H166)</f>
        <v>NLA_2022_102_004</v>
      </c>
      <c r="J166" s="6" t="s">
        <v>38</v>
      </c>
      <c r="K166" s="6" t="s">
        <v>217</v>
      </c>
      <c r="L166" s="9" t="s">
        <v>69</v>
      </c>
      <c r="M166" s="13" t="s">
        <v>210</v>
      </c>
      <c r="N166" s="6" t="s">
        <v>41</v>
      </c>
      <c r="O166" s="6" t="s">
        <v>42</v>
      </c>
      <c r="P166" s="6" t="s">
        <v>162</v>
      </c>
      <c r="Q166" s="6" t="s">
        <v>162</v>
      </c>
      <c r="R166" s="6" t="s">
        <v>72</v>
      </c>
      <c r="S166" s="6" t="s">
        <v>90</v>
      </c>
      <c r="T166" s="6" t="s">
        <v>46</v>
      </c>
      <c r="U166" s="6" t="n">
        <v>1000</v>
      </c>
      <c r="V166" s="1" t="n">
        <v>1</v>
      </c>
      <c r="W166" s="6"/>
      <c r="X166" s="6" t="s">
        <v>47</v>
      </c>
      <c r="Y166" s="1" t="n">
        <v>5500</v>
      </c>
      <c r="Z166" s="6" t="s">
        <v>211</v>
      </c>
      <c r="AA166" s="6" t="s">
        <v>212</v>
      </c>
      <c r="AB166" s="15" t="str">
        <f aca="true" t="array" ref="AB166:AB166">LEFT(AA166,LOOKUP(2^15,FIND(".",AA166,ROW(INDIRECT("1:"&amp;LEN(AA166)))))-1)</f>
        <v>NB_2022_015 - 23022022 - 1</v>
      </c>
      <c r="AC166" s="6" t="s">
        <v>213</v>
      </c>
      <c r="AD166" s="15" t="str">
        <f aca="true" t="array" ref="AD166:AD166">LEFT(AC166,LOOKUP(2^15,FIND(".",AC166,ROW(INDIRECT("1:"&amp;LEN(AC166)))))-1)</f>
        <v>NB_2022_015 - 23022022 - 2</v>
      </c>
      <c r="AE166" s="6" t="str">
        <f aca="false">CONCATENATE(AB166, "-",H166, ".mzML")</f>
        <v>NB_2022_015 - 23022022 - 1-004.mzML</v>
      </c>
      <c r="AF166" s="6" t="str">
        <f aca="false">CONCATENATE(AD166, "-",H166, ".mzML")</f>
        <v>NB_2022_015 - 23022022 - 2-004.mzML</v>
      </c>
    </row>
    <row r="167" s="23" customFormat="true" ht="15" hidden="false" customHeight="false" outlineLevel="0" collapsed="false">
      <c r="A167" s="4" t="s">
        <v>233</v>
      </c>
      <c r="B167" s="5"/>
      <c r="C167" s="4" t="s">
        <v>234</v>
      </c>
      <c r="D167" s="6" t="s">
        <v>14</v>
      </c>
      <c r="E167" s="6" t="s">
        <v>206</v>
      </c>
      <c r="F167" s="7" t="s">
        <v>207</v>
      </c>
      <c r="G167" s="6" t="s">
        <v>216</v>
      </c>
      <c r="H167" s="8" t="s">
        <v>91</v>
      </c>
      <c r="I167" s="6" t="str">
        <f aca="false">CONCATENATE(E167, "_",H167)</f>
        <v>NLA_2022_102_005</v>
      </c>
      <c r="J167" s="6" t="s">
        <v>38</v>
      </c>
      <c r="K167" s="6" t="s">
        <v>218</v>
      </c>
      <c r="L167" s="9" t="s">
        <v>69</v>
      </c>
      <c r="M167" s="13" t="s">
        <v>210</v>
      </c>
      <c r="N167" s="6" t="s">
        <v>41</v>
      </c>
      <c r="O167" s="6" t="s">
        <v>42</v>
      </c>
      <c r="P167" s="6" t="s">
        <v>162</v>
      </c>
      <c r="Q167" s="6" t="s">
        <v>162</v>
      </c>
      <c r="R167" s="6" t="s">
        <v>72</v>
      </c>
      <c r="S167" s="6" t="s">
        <v>90</v>
      </c>
      <c r="T167" s="6" t="s">
        <v>46</v>
      </c>
      <c r="U167" s="6" t="n">
        <v>1000</v>
      </c>
      <c r="V167" s="1" t="n">
        <v>2</v>
      </c>
      <c r="W167" s="6"/>
      <c r="X167" s="6" t="s">
        <v>47</v>
      </c>
      <c r="Y167" s="1" t="n">
        <v>5500</v>
      </c>
      <c r="Z167" s="6" t="s">
        <v>211</v>
      </c>
      <c r="AA167" s="6" t="s">
        <v>212</v>
      </c>
      <c r="AB167" s="15" t="str">
        <f aca="true" t="array" ref="AB167:AB167">LEFT(AA167,LOOKUP(2^15,FIND(".",AA167,ROW(INDIRECT("1:"&amp;LEN(AA167)))))-1)</f>
        <v>NB_2022_015 - 23022022 - 1</v>
      </c>
      <c r="AC167" s="6" t="s">
        <v>213</v>
      </c>
      <c r="AD167" s="15" t="str">
        <f aca="true" t="array" ref="AD167:AD167">LEFT(AC167,LOOKUP(2^15,FIND(".",AC167,ROW(INDIRECT("1:"&amp;LEN(AC167)))))-1)</f>
        <v>NB_2022_015 - 23022022 - 2</v>
      </c>
      <c r="AE167" s="6" t="str">
        <f aca="false">CONCATENATE(AB167, "-",H167, ".mzML")</f>
        <v>NB_2022_015 - 23022022 - 1-005.mzML</v>
      </c>
      <c r="AF167" s="6" t="str">
        <f aca="false">CONCATENATE(AD167, "-",H167, ".mzML")</f>
        <v>NB_2022_015 - 23022022 - 2-005.mzML</v>
      </c>
    </row>
    <row r="168" s="23" customFormat="true" ht="15" hidden="false" customHeight="false" outlineLevel="0" collapsed="false">
      <c r="A168" s="4" t="s">
        <v>233</v>
      </c>
      <c r="B168" s="5"/>
      <c r="C168" s="4" t="s">
        <v>234</v>
      </c>
      <c r="D168" s="6" t="s">
        <v>14</v>
      </c>
      <c r="E168" s="6" t="s">
        <v>206</v>
      </c>
      <c r="F168" s="7" t="s">
        <v>207</v>
      </c>
      <c r="G168" s="6" t="s">
        <v>216</v>
      </c>
      <c r="H168" s="8" t="s">
        <v>101</v>
      </c>
      <c r="I168" s="6" t="str">
        <f aca="false">CONCATENATE(E168, "_",H168)</f>
        <v>NLA_2022_102_006</v>
      </c>
      <c r="J168" s="6" t="s">
        <v>38</v>
      </c>
      <c r="K168" s="6" t="s">
        <v>219</v>
      </c>
      <c r="L168" s="9" t="s">
        <v>69</v>
      </c>
      <c r="M168" s="13" t="s">
        <v>210</v>
      </c>
      <c r="N168" s="6" t="s">
        <v>41</v>
      </c>
      <c r="O168" s="6" t="s">
        <v>42</v>
      </c>
      <c r="P168" s="6" t="s">
        <v>162</v>
      </c>
      <c r="Q168" s="6" t="s">
        <v>162</v>
      </c>
      <c r="R168" s="6" t="s">
        <v>72</v>
      </c>
      <c r="S168" s="6" t="s">
        <v>90</v>
      </c>
      <c r="T168" s="6" t="s">
        <v>46</v>
      </c>
      <c r="U168" s="6" t="n">
        <v>1000</v>
      </c>
      <c r="V168" s="1" t="n">
        <v>3</v>
      </c>
      <c r="W168" s="6"/>
      <c r="X168" s="6" t="s">
        <v>47</v>
      </c>
      <c r="Y168" s="1" t="n">
        <v>5500</v>
      </c>
      <c r="Z168" s="6" t="s">
        <v>211</v>
      </c>
      <c r="AA168" s="6" t="s">
        <v>212</v>
      </c>
      <c r="AB168" s="15" t="str">
        <f aca="true" t="array" ref="AB168:AB168">LEFT(AA168,LOOKUP(2^15,FIND(".",AA168,ROW(INDIRECT("1:"&amp;LEN(AA168)))))-1)</f>
        <v>NB_2022_015 - 23022022 - 1</v>
      </c>
      <c r="AC168" s="6" t="s">
        <v>213</v>
      </c>
      <c r="AD168" s="15" t="str">
        <f aca="true" t="array" ref="AD168:AD168">LEFT(AC168,LOOKUP(2^15,FIND(".",AC168,ROW(INDIRECT("1:"&amp;LEN(AC168)))))-1)</f>
        <v>NB_2022_015 - 23022022 - 2</v>
      </c>
      <c r="AE168" s="6" t="str">
        <f aca="false">CONCATENATE(AB168, "-",H168, ".mzML")</f>
        <v>NB_2022_015 - 23022022 - 1-006.mzML</v>
      </c>
      <c r="AF168" s="6" t="str">
        <f aca="false">CONCATENATE(AD168, "-",H168, ".mzML")</f>
        <v>NB_2022_015 - 23022022 - 2-006.mzML</v>
      </c>
    </row>
    <row r="169" s="23" customFormat="true" ht="15" hidden="false" customHeight="false" outlineLevel="0" collapsed="false">
      <c r="A169" s="4" t="s">
        <v>233</v>
      </c>
      <c r="B169" s="5"/>
      <c r="C169" s="4" t="s">
        <v>234</v>
      </c>
      <c r="D169" s="6" t="s">
        <v>14</v>
      </c>
      <c r="E169" s="6" t="s">
        <v>206</v>
      </c>
      <c r="F169" s="7" t="s">
        <v>207</v>
      </c>
      <c r="G169" s="6" t="s">
        <v>216</v>
      </c>
      <c r="H169" s="8" t="s">
        <v>235</v>
      </c>
      <c r="I169" s="6" t="str">
        <f aca="false">CONCATENATE(E169, "_",H169)</f>
        <v>NLA_2022_102_023</v>
      </c>
      <c r="J169" s="6" t="s">
        <v>52</v>
      </c>
      <c r="K169" s="6" t="s">
        <v>236</v>
      </c>
      <c r="L169" s="9" t="s">
        <v>69</v>
      </c>
      <c r="M169" s="13" t="s">
        <v>210</v>
      </c>
      <c r="N169" s="6" t="s">
        <v>41</v>
      </c>
      <c r="O169" s="6" t="s">
        <v>54</v>
      </c>
      <c r="P169" s="6" t="s">
        <v>162</v>
      </c>
      <c r="Q169" s="6" t="s">
        <v>229</v>
      </c>
      <c r="R169" s="6" t="s">
        <v>72</v>
      </c>
      <c r="S169" s="6" t="s">
        <v>90</v>
      </c>
      <c r="T169" s="6" t="s">
        <v>46</v>
      </c>
      <c r="U169" s="6" t="n">
        <v>1000</v>
      </c>
      <c r="V169" s="1" t="n">
        <v>2</v>
      </c>
      <c r="W169" s="6"/>
      <c r="X169" s="6" t="s">
        <v>47</v>
      </c>
      <c r="Y169" s="1" t="n">
        <v>5500</v>
      </c>
      <c r="Z169" s="6" t="s">
        <v>211</v>
      </c>
      <c r="AA169" s="6" t="s">
        <v>212</v>
      </c>
      <c r="AB169" s="15" t="str">
        <f aca="true" t="array" ref="AB169:AB169">LEFT(AA169,LOOKUP(2^15,FIND(".",AA169,ROW(INDIRECT("1:"&amp;LEN(AA169)))))-1)</f>
        <v>NB_2022_015 - 23022022 - 1</v>
      </c>
      <c r="AC169" s="6" t="s">
        <v>213</v>
      </c>
      <c r="AD169" s="15" t="str">
        <f aca="true" t="array" ref="AD169:AD169">LEFT(AC169,LOOKUP(2^15,FIND(".",AC169,ROW(INDIRECT("1:"&amp;LEN(AC169)))))-1)</f>
        <v>NB_2022_015 - 23022022 - 2</v>
      </c>
      <c r="AE169" s="6" t="str">
        <f aca="false">CONCATENATE(AB169, "-",H169, ".mzML")</f>
        <v>NB_2022_015 - 23022022 - 1-023.mzML</v>
      </c>
      <c r="AF169" s="6" t="str">
        <f aca="false">CONCATENATE(AD169, "-",H169, ".mzML")</f>
        <v>NB_2022_015 - 23022022 - 2-023.mzML</v>
      </c>
    </row>
    <row r="170" s="23" customFormat="true" ht="15" hidden="false" customHeight="false" outlineLevel="0" collapsed="false">
      <c r="A170" s="4" t="s">
        <v>233</v>
      </c>
      <c r="B170" s="5"/>
      <c r="C170" s="4" t="s">
        <v>234</v>
      </c>
      <c r="D170" s="6" t="s">
        <v>14</v>
      </c>
      <c r="E170" s="6" t="s">
        <v>206</v>
      </c>
      <c r="F170" s="7" t="s">
        <v>207</v>
      </c>
      <c r="G170" s="6" t="s">
        <v>216</v>
      </c>
      <c r="H170" s="8" t="s">
        <v>237</v>
      </c>
      <c r="I170" s="6" t="str">
        <f aca="false">CONCATENATE(E170, "_",H170)</f>
        <v>NLA_2022_102_024</v>
      </c>
      <c r="J170" s="6" t="s">
        <v>52</v>
      </c>
      <c r="K170" s="6" t="s">
        <v>238</v>
      </c>
      <c r="L170" s="9" t="s">
        <v>69</v>
      </c>
      <c r="M170" s="13" t="s">
        <v>210</v>
      </c>
      <c r="N170" s="6" t="s">
        <v>41</v>
      </c>
      <c r="O170" s="6" t="s">
        <v>54</v>
      </c>
      <c r="P170" s="6" t="s">
        <v>162</v>
      </c>
      <c r="Q170" s="6" t="s">
        <v>229</v>
      </c>
      <c r="R170" s="6" t="s">
        <v>72</v>
      </c>
      <c r="S170" s="6" t="s">
        <v>90</v>
      </c>
      <c r="T170" s="6" t="s">
        <v>46</v>
      </c>
      <c r="U170" s="6" t="n">
        <v>1000</v>
      </c>
      <c r="V170" s="1" t="n">
        <v>3</v>
      </c>
      <c r="W170" s="6"/>
      <c r="X170" s="6" t="s">
        <v>47</v>
      </c>
      <c r="Y170" s="1" t="n">
        <v>5500</v>
      </c>
      <c r="Z170" s="6" t="s">
        <v>211</v>
      </c>
      <c r="AA170" s="6" t="s">
        <v>212</v>
      </c>
      <c r="AB170" s="15" t="str">
        <f aca="true" t="array" ref="AB170:AB170">LEFT(AA170,LOOKUP(2^15,FIND(".",AA170,ROW(INDIRECT("1:"&amp;LEN(AA170)))))-1)</f>
        <v>NB_2022_015 - 23022022 - 1</v>
      </c>
      <c r="AC170" s="6" t="s">
        <v>213</v>
      </c>
      <c r="AD170" s="15" t="str">
        <f aca="true" t="array" ref="AD170:AD170">LEFT(AC170,LOOKUP(2^15,FIND(".",AC170,ROW(INDIRECT("1:"&amp;LEN(AC170)))))-1)</f>
        <v>NB_2022_015 - 23022022 - 2</v>
      </c>
      <c r="AE170" s="6" t="str">
        <f aca="false">CONCATENATE(AB170, "-",H170, ".mzML")</f>
        <v>NB_2022_015 - 23022022 - 1-024.mzML</v>
      </c>
      <c r="AF170" s="6" t="str">
        <f aca="false">CONCATENATE(AD170, "-",H170, ".mzML")</f>
        <v>NB_2022_015 - 23022022 - 2-024.mzML</v>
      </c>
    </row>
    <row r="171" s="23" customFormat="true" ht="15" hidden="false" customHeight="false" outlineLevel="0" collapsed="false">
      <c r="A171" s="4" t="s">
        <v>233</v>
      </c>
      <c r="B171" s="5"/>
      <c r="C171" s="4" t="s">
        <v>234</v>
      </c>
      <c r="D171" s="6" t="s">
        <v>14</v>
      </c>
      <c r="E171" s="6" t="s">
        <v>206</v>
      </c>
      <c r="F171" s="7" t="s">
        <v>207</v>
      </c>
      <c r="G171" s="6" t="s">
        <v>220</v>
      </c>
      <c r="H171" s="22" t="s">
        <v>64</v>
      </c>
      <c r="I171" s="6" t="str">
        <f aca="false">CONCATENATE(E171, "_",H171)</f>
        <v>NLA_2022_102_Blank_1</v>
      </c>
      <c r="J171" s="6" t="s">
        <v>52</v>
      </c>
      <c r="K171" s="6" t="s">
        <v>64</v>
      </c>
      <c r="L171" s="9" t="s">
        <v>46</v>
      </c>
      <c r="M171" s="13" t="s">
        <v>46</v>
      </c>
      <c r="N171" s="6" t="s">
        <v>65</v>
      </c>
      <c r="O171" s="6" t="s">
        <v>46</v>
      </c>
      <c r="P171" s="6" t="s">
        <v>46</v>
      </c>
      <c r="Q171" s="6" t="s">
        <v>46</v>
      </c>
      <c r="R171" s="6" t="s">
        <v>46</v>
      </c>
      <c r="S171" s="6" t="s">
        <v>46</v>
      </c>
      <c r="T171" s="6" t="s">
        <v>46</v>
      </c>
      <c r="U171" s="6" t="s">
        <v>46</v>
      </c>
      <c r="V171" s="1" t="n">
        <v>1</v>
      </c>
      <c r="W171" s="6"/>
      <c r="X171" s="6" t="s">
        <v>46</v>
      </c>
      <c r="Y171" s="1" t="n">
        <v>5500</v>
      </c>
      <c r="Z171" s="6" t="s">
        <v>211</v>
      </c>
      <c r="AA171" s="6" t="s">
        <v>212</v>
      </c>
      <c r="AB171" s="15" t="str">
        <f aca="true" t="array" ref="AB171:AB171">LEFT(AA171,LOOKUP(2^15,FIND(".",AA171,ROW(INDIRECT("1:"&amp;LEN(AA171)))))-1)</f>
        <v>NB_2022_015 - 23022022 - 1</v>
      </c>
      <c r="AC171" s="6" t="s">
        <v>213</v>
      </c>
      <c r="AD171" s="15" t="str">
        <f aca="true" t="array" ref="AD171:AD171">LEFT(AC171,LOOKUP(2^15,FIND(".",AC171,ROW(INDIRECT("1:"&amp;LEN(AC171)))))-1)</f>
        <v>NB_2022_015 - 23022022 - 2</v>
      </c>
      <c r="AE171" s="6" t="str">
        <f aca="false">CONCATENATE(AB171, "-",H171, ".mzML")</f>
        <v>NB_2022_015 - 23022022 - 1-Blank_1.mzML</v>
      </c>
      <c r="AF171" s="6" t="str">
        <f aca="false">CONCATENATE(AD171, "-",H171, ".mzML")</f>
        <v>NB_2022_015 - 23022022 - 2-Blank_1.mzML</v>
      </c>
    </row>
    <row r="172" s="23" customFormat="true" ht="15" hidden="false" customHeight="false" outlineLevel="0" collapsed="false">
      <c r="A172" s="4" t="s">
        <v>233</v>
      </c>
      <c r="B172" s="5"/>
      <c r="C172" s="4" t="s">
        <v>234</v>
      </c>
      <c r="D172" s="6" t="s">
        <v>14</v>
      </c>
      <c r="E172" s="6" t="s">
        <v>206</v>
      </c>
      <c r="F172" s="7" t="s">
        <v>207</v>
      </c>
      <c r="G172" s="6" t="s">
        <v>220</v>
      </c>
      <c r="H172" s="22" t="s">
        <v>66</v>
      </c>
      <c r="I172" s="6" t="str">
        <f aca="false">CONCATENATE(E172, "_",H172)</f>
        <v>NLA_2022_102_Blank_2</v>
      </c>
      <c r="J172" s="6" t="s">
        <v>52</v>
      </c>
      <c r="K172" s="6" t="s">
        <v>66</v>
      </c>
      <c r="L172" s="9" t="s">
        <v>46</v>
      </c>
      <c r="M172" s="13" t="s">
        <v>46</v>
      </c>
      <c r="N172" s="6" t="s">
        <v>65</v>
      </c>
      <c r="O172" s="6" t="s">
        <v>46</v>
      </c>
      <c r="P172" s="6" t="s">
        <v>46</v>
      </c>
      <c r="Q172" s="6" t="s">
        <v>46</v>
      </c>
      <c r="R172" s="6" t="s">
        <v>46</v>
      </c>
      <c r="S172" s="6" t="s">
        <v>46</v>
      </c>
      <c r="T172" s="6" t="s">
        <v>46</v>
      </c>
      <c r="U172" s="6" t="s">
        <v>46</v>
      </c>
      <c r="V172" s="1" t="n">
        <v>2</v>
      </c>
      <c r="W172" s="6"/>
      <c r="X172" s="6" t="s">
        <v>46</v>
      </c>
      <c r="Y172" s="1" t="n">
        <v>5500</v>
      </c>
      <c r="Z172" s="6" t="s">
        <v>211</v>
      </c>
      <c r="AA172" s="6" t="s">
        <v>212</v>
      </c>
      <c r="AB172" s="15" t="str">
        <f aca="true" t="array" ref="AB172:AB172">LEFT(AA172,LOOKUP(2^15,FIND(".",AA172,ROW(INDIRECT("1:"&amp;LEN(AA172)))))-1)</f>
        <v>NB_2022_015 - 23022022 - 1</v>
      </c>
      <c r="AC172" s="6" t="s">
        <v>213</v>
      </c>
      <c r="AD172" s="15" t="str">
        <f aca="true" t="array" ref="AD172:AD172">LEFT(AC172,LOOKUP(2^15,FIND(".",AC172,ROW(INDIRECT("1:"&amp;LEN(AC172)))))-1)</f>
        <v>NB_2022_015 - 23022022 - 2</v>
      </c>
      <c r="AE172" s="6" t="str">
        <f aca="false">CONCATENATE(AB172, "-",H172, ".mzML")</f>
        <v>NB_2022_015 - 23022022 - 1-Blank_2.mzML</v>
      </c>
      <c r="AF172" s="6" t="str">
        <f aca="false">CONCATENATE(AD172, "-",H172, ".mzML")</f>
        <v>NB_2022_015 - 23022022 - 2-Blank_2.mzML</v>
      </c>
    </row>
    <row r="173" s="23" customFormat="true" ht="15" hidden="false" customHeight="false" outlineLevel="0" collapsed="false">
      <c r="A173" s="4" t="s">
        <v>233</v>
      </c>
      <c r="B173" s="5"/>
      <c r="C173" s="4" t="s">
        <v>234</v>
      </c>
      <c r="D173" s="6" t="s">
        <v>14</v>
      </c>
      <c r="E173" s="6" t="s">
        <v>206</v>
      </c>
      <c r="F173" s="7" t="s">
        <v>207</v>
      </c>
      <c r="G173" s="6" t="s">
        <v>220</v>
      </c>
      <c r="H173" s="22" t="s">
        <v>67</v>
      </c>
      <c r="I173" s="6" t="str">
        <f aca="false">CONCATENATE(E173, "_",H173)</f>
        <v>NLA_2022_102_Blank_3</v>
      </c>
      <c r="J173" s="6" t="s">
        <v>52</v>
      </c>
      <c r="K173" s="6" t="s">
        <v>67</v>
      </c>
      <c r="L173" s="9" t="s">
        <v>46</v>
      </c>
      <c r="M173" s="13" t="s">
        <v>46</v>
      </c>
      <c r="N173" s="6" t="s">
        <v>65</v>
      </c>
      <c r="O173" s="6" t="s">
        <v>46</v>
      </c>
      <c r="P173" s="6" t="s">
        <v>46</v>
      </c>
      <c r="Q173" s="6" t="s">
        <v>46</v>
      </c>
      <c r="R173" s="6" t="s">
        <v>46</v>
      </c>
      <c r="S173" s="6" t="s">
        <v>46</v>
      </c>
      <c r="T173" s="6" t="s">
        <v>46</v>
      </c>
      <c r="U173" s="6" t="s">
        <v>46</v>
      </c>
      <c r="V173" s="1" t="n">
        <v>3</v>
      </c>
      <c r="W173" s="6"/>
      <c r="X173" s="6" t="s">
        <v>46</v>
      </c>
      <c r="Y173" s="1" t="n">
        <v>5500</v>
      </c>
      <c r="Z173" s="6" t="s">
        <v>211</v>
      </c>
      <c r="AA173" s="6" t="s">
        <v>212</v>
      </c>
      <c r="AB173" s="15" t="str">
        <f aca="true" t="array" ref="AB173:AB173">LEFT(AA173,LOOKUP(2^15,FIND(".",AA173,ROW(INDIRECT("1:"&amp;LEN(AA173)))))-1)</f>
        <v>NB_2022_015 - 23022022 - 1</v>
      </c>
      <c r="AC173" s="6" t="s">
        <v>213</v>
      </c>
      <c r="AD173" s="15" t="str">
        <f aca="true" t="array" ref="AD173:AD173">LEFT(AC173,LOOKUP(2^15,FIND(".",AC173,ROW(INDIRECT("1:"&amp;LEN(AC173)))))-1)</f>
        <v>NB_2022_015 - 23022022 - 2</v>
      </c>
      <c r="AE173" s="6" t="str">
        <f aca="false">CONCATENATE(AB173, "-",H173, ".mzML")</f>
        <v>NB_2022_015 - 23022022 - 1-Blank_3.mzML</v>
      </c>
      <c r="AF173" s="6" t="str">
        <f aca="false">CONCATENATE(AD173, "-",H173, ".mzML")</f>
        <v>NB_2022_015 - 23022022 - 2-Blank_3.mzML</v>
      </c>
    </row>
    <row r="174" s="23" customFormat="true" ht="15" hidden="false" customHeight="false" outlineLevel="0" collapsed="false">
      <c r="A174" s="4" t="s">
        <v>233</v>
      </c>
      <c r="B174" s="5"/>
      <c r="C174" s="4" t="s">
        <v>234</v>
      </c>
      <c r="D174" s="6" t="s">
        <v>14</v>
      </c>
      <c r="E174" s="6" t="s">
        <v>206</v>
      </c>
      <c r="F174" s="7" t="s">
        <v>207</v>
      </c>
      <c r="G174" s="6" t="s">
        <v>220</v>
      </c>
      <c r="H174" s="22" t="s">
        <v>221</v>
      </c>
      <c r="I174" s="6" t="str">
        <f aca="false">CONCATENATE(E174, "_",H174)</f>
        <v>NLA_2022_102_Blank_4</v>
      </c>
      <c r="J174" s="6" t="s">
        <v>52</v>
      </c>
      <c r="K174" s="6" t="s">
        <v>221</v>
      </c>
      <c r="L174" s="9" t="s">
        <v>46</v>
      </c>
      <c r="M174" s="13" t="s">
        <v>46</v>
      </c>
      <c r="N174" s="6" t="s">
        <v>65</v>
      </c>
      <c r="O174" s="6" t="s">
        <v>46</v>
      </c>
      <c r="P174" s="6" t="s">
        <v>46</v>
      </c>
      <c r="Q174" s="6" t="s">
        <v>46</v>
      </c>
      <c r="R174" s="6" t="s">
        <v>46</v>
      </c>
      <c r="S174" s="6" t="s">
        <v>46</v>
      </c>
      <c r="T174" s="6" t="s">
        <v>46</v>
      </c>
      <c r="U174" s="6" t="s">
        <v>46</v>
      </c>
      <c r="V174" s="1" t="n">
        <v>4</v>
      </c>
      <c r="W174" s="6"/>
      <c r="X174" s="6" t="s">
        <v>46</v>
      </c>
      <c r="Y174" s="1" t="n">
        <v>5500</v>
      </c>
      <c r="Z174" s="6" t="s">
        <v>211</v>
      </c>
      <c r="AA174" s="6" t="s">
        <v>212</v>
      </c>
      <c r="AB174" s="15" t="str">
        <f aca="true" t="array" ref="AB174:AB174">LEFT(AA174,LOOKUP(2^15,FIND(".",AA174,ROW(INDIRECT("1:"&amp;LEN(AA174)))))-1)</f>
        <v>NB_2022_015 - 23022022 - 1</v>
      </c>
      <c r="AC174" s="6" t="s">
        <v>213</v>
      </c>
      <c r="AD174" s="15" t="str">
        <f aca="true" t="array" ref="AD174:AD174">LEFT(AC174,LOOKUP(2^15,FIND(".",AC174,ROW(INDIRECT("1:"&amp;LEN(AC174)))))-1)</f>
        <v>NB_2022_015 - 23022022 - 2</v>
      </c>
      <c r="AE174" s="6" t="str">
        <f aca="false">CONCATENATE(AB174, "-",H174, ".mzML")</f>
        <v>NB_2022_015 - 23022022 - 1-Blank_4.mzML</v>
      </c>
      <c r="AF174" s="6" t="str">
        <f aca="false">CONCATENATE(AD174, "-",H174, ".mzML")</f>
        <v>NB_2022_015 - 23022022 - 2-Blank_4.mzML</v>
      </c>
    </row>
    <row r="175" s="23" customFormat="true" ht="15" hidden="false" customHeight="false" outlineLevel="0" collapsed="false">
      <c r="A175" s="4" t="s">
        <v>233</v>
      </c>
      <c r="B175" s="5"/>
      <c r="C175" s="4" t="s">
        <v>234</v>
      </c>
      <c r="D175" s="6" t="s">
        <v>14</v>
      </c>
      <c r="E175" s="6" t="s">
        <v>206</v>
      </c>
      <c r="F175" s="7" t="s">
        <v>207</v>
      </c>
      <c r="G175" s="6" t="s">
        <v>220</v>
      </c>
      <c r="H175" s="22" t="s">
        <v>68</v>
      </c>
      <c r="I175" s="6" t="str">
        <f aca="false">CONCATENATE(E175, "_",H175)</f>
        <v>NLA_2022_102_QC_C_1</v>
      </c>
      <c r="J175" s="6" t="s">
        <v>52</v>
      </c>
      <c r="K175" s="6" t="s">
        <v>68</v>
      </c>
      <c r="L175" s="9" t="s">
        <v>69</v>
      </c>
      <c r="M175" s="13" t="s">
        <v>46</v>
      </c>
      <c r="N175" s="6" t="s">
        <v>70</v>
      </c>
      <c r="O175" s="6" t="s">
        <v>46</v>
      </c>
      <c r="P175" s="6" t="s">
        <v>71</v>
      </c>
      <c r="Q175" s="6" t="s">
        <v>71</v>
      </c>
      <c r="R175" s="6" t="s">
        <v>72</v>
      </c>
      <c r="S175" s="6" t="s">
        <v>73</v>
      </c>
      <c r="T175" s="6" t="s">
        <v>46</v>
      </c>
      <c r="U175" s="6" t="n">
        <v>1000</v>
      </c>
      <c r="V175" s="1" t="n">
        <v>1</v>
      </c>
      <c r="W175" s="6"/>
      <c r="X175" s="6" t="s">
        <v>74</v>
      </c>
      <c r="Y175" s="1" t="n">
        <v>5500</v>
      </c>
      <c r="Z175" s="6" t="s">
        <v>211</v>
      </c>
      <c r="AA175" s="6" t="s">
        <v>212</v>
      </c>
      <c r="AB175" s="15" t="str">
        <f aca="true" t="array" ref="AB175:AB175">LEFT(AA175,LOOKUP(2^15,FIND(".",AA175,ROW(INDIRECT("1:"&amp;LEN(AA175)))))-1)</f>
        <v>NB_2022_015 - 23022022 - 1</v>
      </c>
      <c r="AC175" s="6" t="s">
        <v>213</v>
      </c>
      <c r="AD175" s="15" t="str">
        <f aca="true" t="array" ref="AD175:AD175">LEFT(AC175,LOOKUP(2^15,FIND(".",AC175,ROW(INDIRECT("1:"&amp;LEN(AC175)))))-1)</f>
        <v>NB_2022_015 - 23022022 - 2</v>
      </c>
      <c r="AE175" s="6" t="str">
        <f aca="false">CONCATENATE(AB175, "-",H175, ".mzML")</f>
        <v>NB_2022_015 - 23022022 - 1-QC_C_1.mzML</v>
      </c>
      <c r="AF175" s="6" t="str">
        <f aca="false">CONCATENATE(AD175, "-",H175, ".mzML")</f>
        <v>NB_2022_015 - 23022022 - 2-QC_C_1.mzML</v>
      </c>
    </row>
    <row r="176" s="23" customFormat="true" ht="15" hidden="false" customHeight="false" outlineLevel="0" collapsed="false">
      <c r="A176" s="4" t="s">
        <v>233</v>
      </c>
      <c r="B176" s="5"/>
      <c r="C176" s="4" t="s">
        <v>234</v>
      </c>
      <c r="D176" s="6" t="s">
        <v>14</v>
      </c>
      <c r="E176" s="6" t="s">
        <v>206</v>
      </c>
      <c r="F176" s="7" t="s">
        <v>207</v>
      </c>
      <c r="G176" s="6" t="s">
        <v>220</v>
      </c>
      <c r="H176" s="22" t="s">
        <v>75</v>
      </c>
      <c r="I176" s="6" t="str">
        <f aca="false">CONCATENATE(E176, "_",H176)</f>
        <v>NLA_2022_102_QC_C_2</v>
      </c>
      <c r="J176" s="6" t="s">
        <v>52</v>
      </c>
      <c r="K176" s="6" t="s">
        <v>75</v>
      </c>
      <c r="L176" s="9" t="s">
        <v>69</v>
      </c>
      <c r="M176" s="13" t="s">
        <v>46</v>
      </c>
      <c r="N176" s="6" t="s">
        <v>70</v>
      </c>
      <c r="O176" s="6" t="s">
        <v>46</v>
      </c>
      <c r="P176" s="6" t="s">
        <v>71</v>
      </c>
      <c r="Q176" s="6" t="s">
        <v>71</v>
      </c>
      <c r="R176" s="6" t="s">
        <v>72</v>
      </c>
      <c r="S176" s="6" t="s">
        <v>73</v>
      </c>
      <c r="T176" s="6" t="s">
        <v>46</v>
      </c>
      <c r="U176" s="6" t="n">
        <v>1000</v>
      </c>
      <c r="V176" s="1" t="n">
        <v>2</v>
      </c>
      <c r="W176" s="6"/>
      <c r="X176" s="6" t="s">
        <v>74</v>
      </c>
      <c r="Y176" s="1" t="n">
        <v>5500</v>
      </c>
      <c r="Z176" s="6" t="s">
        <v>211</v>
      </c>
      <c r="AA176" s="6" t="s">
        <v>212</v>
      </c>
      <c r="AB176" s="15" t="str">
        <f aca="true" t="array" ref="AB176:AB176">LEFT(AA176,LOOKUP(2^15,FIND(".",AA176,ROW(INDIRECT("1:"&amp;LEN(AA176)))))-1)</f>
        <v>NB_2022_015 - 23022022 - 1</v>
      </c>
      <c r="AC176" s="6" t="s">
        <v>213</v>
      </c>
      <c r="AD176" s="15" t="str">
        <f aca="true" t="array" ref="AD176:AD176">LEFT(AC176,LOOKUP(2^15,FIND(".",AC176,ROW(INDIRECT("1:"&amp;LEN(AC176)))))-1)</f>
        <v>NB_2022_015 - 23022022 - 2</v>
      </c>
      <c r="AE176" s="6" t="str">
        <f aca="false">CONCATENATE(AB176, "-",H176, ".mzML")</f>
        <v>NB_2022_015 - 23022022 - 1-QC_C_2.mzML</v>
      </c>
      <c r="AF176" s="6" t="str">
        <f aca="false">CONCATENATE(AD176, "-",H176, ".mzML")</f>
        <v>NB_2022_015 - 23022022 - 2-QC_C_2.mzML</v>
      </c>
    </row>
    <row r="177" s="23" customFormat="true" ht="15" hidden="false" customHeight="false" outlineLevel="0" collapsed="false">
      <c r="A177" s="4" t="s">
        <v>233</v>
      </c>
      <c r="B177" s="5"/>
      <c r="C177" s="4" t="s">
        <v>234</v>
      </c>
      <c r="D177" s="6" t="s">
        <v>14</v>
      </c>
      <c r="E177" s="6" t="s">
        <v>206</v>
      </c>
      <c r="F177" s="7" t="s">
        <v>207</v>
      </c>
      <c r="G177" s="6" t="s">
        <v>220</v>
      </c>
      <c r="H177" s="22" t="s">
        <v>76</v>
      </c>
      <c r="I177" s="6" t="str">
        <f aca="false">CONCATENATE(E177, "_",H177)</f>
        <v>NLA_2022_102_QC_C_3</v>
      </c>
      <c r="J177" s="6" t="s">
        <v>52</v>
      </c>
      <c r="K177" s="6" t="s">
        <v>76</v>
      </c>
      <c r="L177" s="9" t="s">
        <v>69</v>
      </c>
      <c r="M177" s="13" t="s">
        <v>46</v>
      </c>
      <c r="N177" s="6" t="s">
        <v>70</v>
      </c>
      <c r="O177" s="6" t="s">
        <v>46</v>
      </c>
      <c r="P177" s="6" t="s">
        <v>71</v>
      </c>
      <c r="Q177" s="6" t="s">
        <v>71</v>
      </c>
      <c r="R177" s="6" t="s">
        <v>72</v>
      </c>
      <c r="S177" s="6" t="s">
        <v>73</v>
      </c>
      <c r="T177" s="6" t="s">
        <v>46</v>
      </c>
      <c r="U177" s="6" t="n">
        <v>1000</v>
      </c>
      <c r="V177" s="1" t="n">
        <v>3</v>
      </c>
      <c r="W177" s="6"/>
      <c r="X177" s="6" t="s">
        <v>74</v>
      </c>
      <c r="Y177" s="1" t="n">
        <v>5500</v>
      </c>
      <c r="Z177" s="6" t="s">
        <v>211</v>
      </c>
      <c r="AA177" s="6" t="s">
        <v>212</v>
      </c>
      <c r="AB177" s="15" t="str">
        <f aca="true" t="array" ref="AB177:AB177">LEFT(AA177,LOOKUP(2^15,FIND(".",AA177,ROW(INDIRECT("1:"&amp;LEN(AA177)))))-1)</f>
        <v>NB_2022_015 - 23022022 - 1</v>
      </c>
      <c r="AC177" s="6" t="s">
        <v>213</v>
      </c>
      <c r="AD177" s="15" t="str">
        <f aca="true" t="array" ref="AD177:AD177">LEFT(AC177,LOOKUP(2^15,FIND(".",AC177,ROW(INDIRECT("1:"&amp;LEN(AC177)))))-1)</f>
        <v>NB_2022_015 - 23022022 - 2</v>
      </c>
      <c r="AE177" s="6" t="str">
        <f aca="false">CONCATENATE(AB177, "-",H177, ".mzML")</f>
        <v>NB_2022_015 - 23022022 - 1-QC_C_3.mzML</v>
      </c>
      <c r="AF177" s="6" t="str">
        <f aca="false">CONCATENATE(AD177, "-",H177, ".mzML")</f>
        <v>NB_2022_015 - 23022022 - 2-QC_C_3.mzML</v>
      </c>
    </row>
    <row r="178" s="23" customFormat="true" ht="15" hidden="false" customHeight="false" outlineLevel="0" collapsed="false">
      <c r="A178" s="4" t="s">
        <v>233</v>
      </c>
      <c r="B178" s="5"/>
      <c r="C178" s="4" t="s">
        <v>234</v>
      </c>
      <c r="D178" s="6" t="s">
        <v>14</v>
      </c>
      <c r="E178" s="6" t="s">
        <v>206</v>
      </c>
      <c r="F178" s="7" t="s">
        <v>207</v>
      </c>
      <c r="G178" s="6" t="s">
        <v>220</v>
      </c>
      <c r="H178" s="22" t="s">
        <v>222</v>
      </c>
      <c r="I178" s="6" t="str">
        <f aca="false">CONCATENATE(E178, "_",H178)</f>
        <v>NLA_2022_102_QC_C_4</v>
      </c>
      <c r="J178" s="6" t="s">
        <v>52</v>
      </c>
      <c r="K178" s="6" t="s">
        <v>222</v>
      </c>
      <c r="L178" s="9" t="s">
        <v>69</v>
      </c>
      <c r="M178" s="13" t="s">
        <v>46</v>
      </c>
      <c r="N178" s="6" t="s">
        <v>223</v>
      </c>
      <c r="O178" s="6" t="s">
        <v>46</v>
      </c>
      <c r="P178" s="6" t="s">
        <v>71</v>
      </c>
      <c r="Q178" s="6" t="s">
        <v>71</v>
      </c>
      <c r="R178" s="6" t="s">
        <v>72</v>
      </c>
      <c r="S178" s="6" t="s">
        <v>73</v>
      </c>
      <c r="T178" s="6" t="s">
        <v>46</v>
      </c>
      <c r="U178" s="6" t="n">
        <v>1000</v>
      </c>
      <c r="V178" s="1" t="n">
        <v>4</v>
      </c>
      <c r="W178" s="6"/>
      <c r="X178" s="6" t="s">
        <v>74</v>
      </c>
      <c r="Y178" s="1" t="n">
        <v>5500</v>
      </c>
      <c r="Z178" s="6" t="s">
        <v>211</v>
      </c>
      <c r="AA178" s="6" t="s">
        <v>212</v>
      </c>
      <c r="AB178" s="15" t="str">
        <f aca="true" t="array" ref="AB178:AB178">LEFT(AA178,LOOKUP(2^15,FIND(".",AA178,ROW(INDIRECT("1:"&amp;LEN(AA178)))))-1)</f>
        <v>NB_2022_015 - 23022022 - 1</v>
      </c>
      <c r="AC178" s="6" t="s">
        <v>213</v>
      </c>
      <c r="AD178" s="15" t="str">
        <f aca="true" t="array" ref="AD178:AD178">LEFT(AC178,LOOKUP(2^15,FIND(".",AC178,ROW(INDIRECT("1:"&amp;LEN(AC178)))))-1)</f>
        <v>NB_2022_015 - 23022022 - 2</v>
      </c>
      <c r="AE178" s="6" t="str">
        <f aca="false">CONCATENATE(AB178, "-",H178, ".mzML")</f>
        <v>NB_2022_015 - 23022022 - 1-QC_C_4.mzML</v>
      </c>
      <c r="AF178" s="6" t="str">
        <f aca="false">CONCATENATE(AD178, "-",H178, ".mzML")</f>
        <v>NB_2022_015 - 23022022 - 2-QC_C_4.mzML</v>
      </c>
    </row>
    <row r="179" s="23" customFormat="true" ht="15" hidden="false" customHeight="false" outlineLevel="0" collapsed="false">
      <c r="A179" s="4" t="s">
        <v>233</v>
      </c>
      <c r="B179" s="5"/>
      <c r="C179" s="4" t="s">
        <v>234</v>
      </c>
      <c r="D179" s="6" t="s">
        <v>14</v>
      </c>
      <c r="E179" s="6" t="s">
        <v>206</v>
      </c>
      <c r="F179" s="7" t="s">
        <v>207</v>
      </c>
      <c r="G179" s="6" t="s">
        <v>220</v>
      </c>
      <c r="H179" s="22" t="s">
        <v>77</v>
      </c>
      <c r="I179" s="6" t="str">
        <f aca="false">CONCATENATE(E179, "_",H179)</f>
        <v>NLA_2022_102_QC_P_1</v>
      </c>
      <c r="J179" s="6" t="s">
        <v>52</v>
      </c>
      <c r="K179" s="6" t="s">
        <v>77</v>
      </c>
      <c r="L179" s="9" t="s">
        <v>69</v>
      </c>
      <c r="M179" s="13" t="s">
        <v>46</v>
      </c>
      <c r="N179" s="6" t="s">
        <v>78</v>
      </c>
      <c r="O179" s="6" t="s">
        <v>46</v>
      </c>
      <c r="P179" s="6" t="s">
        <v>79</v>
      </c>
      <c r="Q179" s="6" t="s">
        <v>80</v>
      </c>
      <c r="R179" s="6" t="s">
        <v>81</v>
      </c>
      <c r="S179" s="6" t="s">
        <v>46</v>
      </c>
      <c r="T179" s="6" t="s">
        <v>46</v>
      </c>
      <c r="U179" s="6" t="s">
        <v>82</v>
      </c>
      <c r="V179" s="1" t="n">
        <v>1</v>
      </c>
      <c r="W179" s="6"/>
      <c r="X179" s="6" t="s">
        <v>83</v>
      </c>
      <c r="Y179" s="1" t="n">
        <v>5500</v>
      </c>
      <c r="Z179" s="6" t="s">
        <v>211</v>
      </c>
      <c r="AA179" s="6" t="s">
        <v>212</v>
      </c>
      <c r="AB179" s="15" t="str">
        <f aca="true" t="array" ref="AB179:AB179">LEFT(AA179,LOOKUP(2^15,FIND(".",AA179,ROW(INDIRECT("1:"&amp;LEN(AA179)))))-1)</f>
        <v>NB_2022_015 - 23022022 - 1</v>
      </c>
      <c r="AC179" s="6" t="s">
        <v>213</v>
      </c>
      <c r="AD179" s="15" t="str">
        <f aca="true" t="array" ref="AD179:AD179">LEFT(AC179,LOOKUP(2^15,FIND(".",AC179,ROW(INDIRECT("1:"&amp;LEN(AC179)))))-1)</f>
        <v>NB_2022_015 - 23022022 - 2</v>
      </c>
      <c r="AE179" s="6" t="str">
        <f aca="false">CONCATENATE(AB179, "-",H179, ".mzML")</f>
        <v>NB_2022_015 - 23022022 - 1-QC_P_1.mzML</v>
      </c>
      <c r="AF179" s="6" t="str">
        <f aca="false">CONCATENATE(AD179, "-",H179, ".mzML")</f>
        <v>NB_2022_015 - 23022022 - 2-QC_P_1.mzML</v>
      </c>
    </row>
    <row r="180" s="23" customFormat="true" ht="15" hidden="false" customHeight="false" outlineLevel="0" collapsed="false">
      <c r="A180" s="4" t="s">
        <v>233</v>
      </c>
      <c r="B180" s="5"/>
      <c r="C180" s="4" t="s">
        <v>234</v>
      </c>
      <c r="D180" s="6" t="s">
        <v>14</v>
      </c>
      <c r="E180" s="6" t="s">
        <v>206</v>
      </c>
      <c r="F180" s="7" t="s">
        <v>207</v>
      </c>
      <c r="G180" s="6" t="s">
        <v>220</v>
      </c>
      <c r="H180" s="22" t="s">
        <v>84</v>
      </c>
      <c r="I180" s="6" t="str">
        <f aca="false">CONCATENATE(E180, "_",H180)</f>
        <v>NLA_2022_102_QC_P_2</v>
      </c>
      <c r="J180" s="6" t="s">
        <v>52</v>
      </c>
      <c r="K180" s="6" t="s">
        <v>84</v>
      </c>
      <c r="L180" s="9" t="s">
        <v>69</v>
      </c>
      <c r="M180" s="13" t="s">
        <v>46</v>
      </c>
      <c r="N180" s="6" t="s">
        <v>78</v>
      </c>
      <c r="O180" s="6" t="s">
        <v>46</v>
      </c>
      <c r="P180" s="6" t="s">
        <v>79</v>
      </c>
      <c r="Q180" s="6" t="s">
        <v>80</v>
      </c>
      <c r="R180" s="6" t="s">
        <v>81</v>
      </c>
      <c r="S180" s="6" t="s">
        <v>46</v>
      </c>
      <c r="T180" s="6" t="s">
        <v>46</v>
      </c>
      <c r="U180" s="6" t="s">
        <v>82</v>
      </c>
      <c r="V180" s="1" t="n">
        <v>2</v>
      </c>
      <c r="W180" s="6"/>
      <c r="X180" s="6" t="s">
        <v>83</v>
      </c>
      <c r="Y180" s="1" t="n">
        <v>5500</v>
      </c>
      <c r="Z180" s="6" t="s">
        <v>211</v>
      </c>
      <c r="AA180" s="6" t="s">
        <v>212</v>
      </c>
      <c r="AB180" s="15" t="str">
        <f aca="true" t="array" ref="AB180:AB180">LEFT(AA180,LOOKUP(2^15,FIND(".",AA180,ROW(INDIRECT("1:"&amp;LEN(AA180)))))-1)</f>
        <v>NB_2022_015 - 23022022 - 1</v>
      </c>
      <c r="AC180" s="6" t="s">
        <v>213</v>
      </c>
      <c r="AD180" s="15" t="str">
        <f aca="true" t="array" ref="AD180:AD180">LEFT(AC180,LOOKUP(2^15,FIND(".",AC180,ROW(INDIRECT("1:"&amp;LEN(AC180)))))-1)</f>
        <v>NB_2022_015 - 23022022 - 2</v>
      </c>
      <c r="AE180" s="6" t="str">
        <f aca="false">CONCATENATE(AB180, "-",H180, ".mzML")</f>
        <v>NB_2022_015 - 23022022 - 1-QC_P_2.mzML</v>
      </c>
      <c r="AF180" s="6" t="str">
        <f aca="false">CONCATENATE(AD180, "-",H180, ".mzML")</f>
        <v>NB_2022_015 - 23022022 - 2-QC_P_2.mzML</v>
      </c>
    </row>
    <row r="181" s="23" customFormat="true" ht="15" hidden="false" customHeight="false" outlineLevel="0" collapsed="false">
      <c r="A181" s="4" t="s">
        <v>233</v>
      </c>
      <c r="B181" s="5"/>
      <c r="C181" s="4" t="s">
        <v>234</v>
      </c>
      <c r="D181" s="6" t="s">
        <v>14</v>
      </c>
      <c r="E181" s="6" t="s">
        <v>206</v>
      </c>
      <c r="F181" s="7" t="s">
        <v>207</v>
      </c>
      <c r="G181" s="6" t="s">
        <v>220</v>
      </c>
      <c r="H181" s="22" t="s">
        <v>85</v>
      </c>
      <c r="I181" s="6" t="str">
        <f aca="false">CONCATENATE(E181, "_",H181)</f>
        <v>NLA_2022_102_QC_P_3</v>
      </c>
      <c r="J181" s="6" t="s">
        <v>52</v>
      </c>
      <c r="K181" s="6" t="s">
        <v>85</v>
      </c>
      <c r="L181" s="9" t="s">
        <v>69</v>
      </c>
      <c r="M181" s="13" t="s">
        <v>46</v>
      </c>
      <c r="N181" s="6" t="s">
        <v>78</v>
      </c>
      <c r="O181" s="6" t="s">
        <v>46</v>
      </c>
      <c r="P181" s="6" t="s">
        <v>79</v>
      </c>
      <c r="Q181" s="6" t="s">
        <v>80</v>
      </c>
      <c r="R181" s="6" t="s">
        <v>81</v>
      </c>
      <c r="S181" s="6" t="s">
        <v>46</v>
      </c>
      <c r="T181" s="6" t="s">
        <v>46</v>
      </c>
      <c r="U181" s="6" t="s">
        <v>82</v>
      </c>
      <c r="V181" s="1" t="n">
        <v>3</v>
      </c>
      <c r="W181" s="6"/>
      <c r="X181" s="6" t="s">
        <v>83</v>
      </c>
      <c r="Y181" s="1" t="n">
        <v>5500</v>
      </c>
      <c r="Z181" s="6" t="s">
        <v>211</v>
      </c>
      <c r="AA181" s="6" t="s">
        <v>212</v>
      </c>
      <c r="AB181" s="15" t="str">
        <f aca="true" t="array" ref="AB181:AB181">LEFT(AA181,LOOKUP(2^15,FIND(".",AA181,ROW(INDIRECT("1:"&amp;LEN(AA181)))))-1)</f>
        <v>NB_2022_015 - 23022022 - 1</v>
      </c>
      <c r="AC181" s="6" t="s">
        <v>213</v>
      </c>
      <c r="AD181" s="15" t="str">
        <f aca="true" t="array" ref="AD181:AD181">LEFT(AC181,LOOKUP(2^15,FIND(".",AC181,ROW(INDIRECT("1:"&amp;LEN(AC181)))))-1)</f>
        <v>NB_2022_015 - 23022022 - 2</v>
      </c>
      <c r="AE181" s="6" t="str">
        <f aca="false">CONCATENATE(AB181, "-",H181, ".mzML")</f>
        <v>NB_2022_015 - 23022022 - 1-QC_P_3.mzML</v>
      </c>
      <c r="AF181" s="6" t="str">
        <f aca="false">CONCATENATE(AD181, "-",H181, ".mzML")</f>
        <v>NB_2022_015 - 23022022 - 2-QC_P_3.mzML</v>
      </c>
    </row>
    <row r="182" s="23" customFormat="true" ht="15" hidden="false" customHeight="false" outlineLevel="0" collapsed="false">
      <c r="A182" s="4" t="s">
        <v>233</v>
      </c>
      <c r="B182" s="5"/>
      <c r="C182" s="4" t="s">
        <v>234</v>
      </c>
      <c r="D182" s="6" t="s">
        <v>14</v>
      </c>
      <c r="E182" s="6" t="s">
        <v>206</v>
      </c>
      <c r="F182" s="7" t="s">
        <v>207</v>
      </c>
      <c r="G182" s="6" t="s">
        <v>220</v>
      </c>
      <c r="H182" s="22" t="s">
        <v>224</v>
      </c>
      <c r="I182" s="6" t="str">
        <f aca="false">CONCATENATE(E182, "_",H182)</f>
        <v>NLA_2022_102_QC_P_4</v>
      </c>
      <c r="J182" s="6" t="s">
        <v>52</v>
      </c>
      <c r="K182" s="6" t="s">
        <v>224</v>
      </c>
      <c r="L182" s="9" t="s">
        <v>69</v>
      </c>
      <c r="M182" s="13" t="s">
        <v>46</v>
      </c>
      <c r="N182" s="6" t="s">
        <v>78</v>
      </c>
      <c r="O182" s="6" t="s">
        <v>46</v>
      </c>
      <c r="P182" s="6" t="s">
        <v>79</v>
      </c>
      <c r="Q182" s="6" t="s">
        <v>80</v>
      </c>
      <c r="R182" s="6" t="s">
        <v>81</v>
      </c>
      <c r="S182" s="6" t="s">
        <v>46</v>
      </c>
      <c r="T182" s="6" t="s">
        <v>46</v>
      </c>
      <c r="U182" s="6" t="s">
        <v>82</v>
      </c>
      <c r="V182" s="1" t="n">
        <v>4</v>
      </c>
      <c r="W182" s="6"/>
      <c r="X182" s="6" t="s">
        <v>83</v>
      </c>
      <c r="Y182" s="1" t="n">
        <v>5500</v>
      </c>
      <c r="Z182" s="6" t="s">
        <v>211</v>
      </c>
      <c r="AA182" s="6" t="s">
        <v>212</v>
      </c>
      <c r="AB182" s="15" t="str">
        <f aca="true" t="array" ref="AB182:AB182">LEFT(AA182,LOOKUP(2^15,FIND(".",AA182,ROW(INDIRECT("1:"&amp;LEN(AA182)))))-1)</f>
        <v>NB_2022_015 - 23022022 - 1</v>
      </c>
      <c r="AC182" s="6" t="s">
        <v>213</v>
      </c>
      <c r="AD182" s="15" t="str">
        <f aca="true" t="array" ref="AD182:AD182">LEFT(AC182,LOOKUP(2^15,FIND(".",AC182,ROW(INDIRECT("1:"&amp;LEN(AC182)))))-1)</f>
        <v>NB_2022_015 - 23022022 - 2</v>
      </c>
      <c r="AE182" s="6" t="str">
        <f aca="false">CONCATENATE(AB182, "-",H182, ".mzML")</f>
        <v>NB_2022_015 - 23022022 - 1-QC_P_4.mzML</v>
      </c>
      <c r="AF182" s="6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4" t="s">
        <v>239</v>
      </c>
      <c r="B183" s="5"/>
      <c r="C183" s="4" t="s">
        <v>240</v>
      </c>
      <c r="D183" s="6" t="s">
        <v>14</v>
      </c>
      <c r="E183" s="6" t="s">
        <v>241</v>
      </c>
      <c r="F183" s="7" t="s">
        <v>242</v>
      </c>
      <c r="G183" s="6" t="s">
        <v>243</v>
      </c>
      <c r="H183" s="8" t="s">
        <v>108</v>
      </c>
      <c r="I183" s="6" t="str">
        <f aca="false">CONCATENATE(E183, "_",H183)</f>
        <v>NLA_2021_009_001</v>
      </c>
      <c r="J183" s="6" t="s">
        <v>158</v>
      </c>
      <c r="K183" s="24" t="s">
        <v>244</v>
      </c>
      <c r="L183" s="9" t="s">
        <v>69</v>
      </c>
      <c r="M183" s="25" t="s">
        <v>245</v>
      </c>
      <c r="N183" s="6" t="s">
        <v>246</v>
      </c>
      <c r="O183" s="26" t="s">
        <v>247</v>
      </c>
      <c r="P183" s="6" t="s">
        <v>43</v>
      </c>
      <c r="Q183" s="26" t="s">
        <v>248</v>
      </c>
      <c r="R183" s="6" t="s">
        <v>44</v>
      </c>
      <c r="S183" s="26" t="s">
        <v>249</v>
      </c>
      <c r="T183" s="6" t="s">
        <v>46</v>
      </c>
      <c r="U183" s="26" t="n">
        <v>500</v>
      </c>
      <c r="V183" s="26" t="n">
        <v>1</v>
      </c>
      <c r="W183" s="6"/>
      <c r="X183" s="6" t="s">
        <v>47</v>
      </c>
      <c r="Y183" s="1" t="n">
        <v>5500</v>
      </c>
      <c r="Z183" s="1" t="s">
        <v>250</v>
      </c>
      <c r="AA183" s="6" t="s">
        <v>251</v>
      </c>
      <c r="AB183" s="15" t="str">
        <f aca="true" t="array" ref="AB183:AB183">LEFT(AA183,LOOKUP(2^15,FIND(".",AA183,ROW(INDIRECT("1:"&amp;LEN(AA183)))))-1)</f>
        <v>NB_2021_056 - 21122021 - 1</v>
      </c>
      <c r="AC183" s="6" t="s">
        <v>252</v>
      </c>
      <c r="AD183" s="15" t="str">
        <f aca="true" t="array" ref="AD183:AD183">LEFT(AC183,LOOKUP(2^15,FIND(".",AC183,ROW(INDIRECT("1:"&amp;LEN(AC183)))))-1)</f>
        <v>NB_2021_056 - 21122021 - 2</v>
      </c>
      <c r="AE183" s="6" t="str">
        <f aca="false">CONCATENATE(AB183, "-",H183, ".mzML")</f>
        <v>NB_2021_056 - 21122021 - 1-001.mzML</v>
      </c>
      <c r="AF183" s="6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4" t="s">
        <v>239</v>
      </c>
      <c r="B184" s="5"/>
      <c r="C184" s="4" t="s">
        <v>240</v>
      </c>
      <c r="D184" s="6" t="s">
        <v>14</v>
      </c>
      <c r="E184" s="6" t="s">
        <v>241</v>
      </c>
      <c r="F184" s="7" t="s">
        <v>242</v>
      </c>
      <c r="G184" s="6" t="s">
        <v>243</v>
      </c>
      <c r="H184" s="8" t="s">
        <v>88</v>
      </c>
      <c r="I184" s="6" t="str">
        <f aca="false">CONCATENATE(E184, "_",H184)</f>
        <v>NLA_2021_009_002</v>
      </c>
      <c r="J184" s="6" t="s">
        <v>166</v>
      </c>
      <c r="K184" s="24" t="s">
        <v>253</v>
      </c>
      <c r="L184" s="9" t="s">
        <v>69</v>
      </c>
      <c r="M184" s="25" t="s">
        <v>245</v>
      </c>
      <c r="N184" s="6" t="s">
        <v>246</v>
      </c>
      <c r="O184" s="26" t="s">
        <v>254</v>
      </c>
      <c r="P184" s="6" t="s">
        <v>43</v>
      </c>
      <c r="Q184" s="6" t="s">
        <v>43</v>
      </c>
      <c r="R184" s="6" t="s">
        <v>44</v>
      </c>
      <c r="S184" s="26" t="s">
        <v>249</v>
      </c>
      <c r="T184" s="6" t="s">
        <v>46</v>
      </c>
      <c r="U184" s="26" t="n">
        <v>500</v>
      </c>
      <c r="V184" s="26" t="n">
        <v>1</v>
      </c>
      <c r="W184" s="6"/>
      <c r="X184" s="6" t="s">
        <v>47</v>
      </c>
      <c r="Y184" s="1" t="n">
        <v>5500</v>
      </c>
      <c r="Z184" s="1" t="s">
        <v>250</v>
      </c>
      <c r="AA184" s="6" t="s">
        <v>251</v>
      </c>
      <c r="AB184" s="15" t="str">
        <f aca="true" t="array" ref="AB184:AB184">LEFT(AA184,LOOKUP(2^15,FIND(".",AA184,ROW(INDIRECT("1:"&amp;LEN(AA184)))))-1)</f>
        <v>NB_2021_056 - 21122021 - 1</v>
      </c>
      <c r="AC184" s="6" t="s">
        <v>252</v>
      </c>
      <c r="AD184" s="15" t="str">
        <f aca="true" t="array" ref="AD184:AD184">LEFT(AC184,LOOKUP(2^15,FIND(".",AC184,ROW(INDIRECT("1:"&amp;LEN(AC184)))))-1)</f>
        <v>NB_2021_056 - 21122021 - 2</v>
      </c>
      <c r="AE184" s="6" t="str">
        <f aca="false">CONCATENATE(AB184, "-",H184, ".mzML")</f>
        <v>NB_2021_056 - 21122021 - 1-002.mzML</v>
      </c>
      <c r="AF184" s="6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4" t="s">
        <v>239</v>
      </c>
      <c r="B185" s="5"/>
      <c r="C185" s="4" t="s">
        <v>240</v>
      </c>
      <c r="D185" s="6" t="s">
        <v>14</v>
      </c>
      <c r="E185" s="6" t="s">
        <v>241</v>
      </c>
      <c r="F185" s="7" t="s">
        <v>242</v>
      </c>
      <c r="G185" s="6" t="s">
        <v>243</v>
      </c>
      <c r="H185" s="8" t="s">
        <v>97</v>
      </c>
      <c r="I185" s="6" t="str">
        <f aca="false">CONCATENATE(E185, "_",H185)</f>
        <v>NLA_2021_009_003</v>
      </c>
      <c r="J185" s="6" t="s">
        <v>158</v>
      </c>
      <c r="K185" s="24" t="s">
        <v>255</v>
      </c>
      <c r="L185" s="9" t="s">
        <v>69</v>
      </c>
      <c r="M185" s="25" t="s">
        <v>245</v>
      </c>
      <c r="N185" s="6" t="s">
        <v>246</v>
      </c>
      <c r="O185" s="26" t="s">
        <v>247</v>
      </c>
      <c r="P185" s="6" t="s">
        <v>43</v>
      </c>
      <c r="Q185" s="26" t="s">
        <v>248</v>
      </c>
      <c r="R185" s="6" t="s">
        <v>44</v>
      </c>
      <c r="S185" s="26" t="s">
        <v>249</v>
      </c>
      <c r="T185" s="6" t="s">
        <v>46</v>
      </c>
      <c r="U185" s="26" t="n">
        <v>500</v>
      </c>
      <c r="V185" s="26" t="n">
        <v>2</v>
      </c>
      <c r="W185" s="6"/>
      <c r="X185" s="6" t="s">
        <v>47</v>
      </c>
      <c r="Y185" s="1" t="n">
        <v>5500</v>
      </c>
      <c r="Z185" s="1" t="s">
        <v>250</v>
      </c>
      <c r="AA185" s="6" t="s">
        <v>251</v>
      </c>
      <c r="AB185" s="15" t="str">
        <f aca="true" t="array" ref="AB185:AB185">LEFT(AA185,LOOKUP(2^15,FIND(".",AA185,ROW(INDIRECT("1:"&amp;LEN(AA185)))))-1)</f>
        <v>NB_2021_056 - 21122021 - 1</v>
      </c>
      <c r="AC185" s="6" t="s">
        <v>252</v>
      </c>
      <c r="AD185" s="15" t="str">
        <f aca="true" t="array" ref="AD185:AD185">LEFT(AC185,LOOKUP(2^15,FIND(".",AC185,ROW(INDIRECT("1:"&amp;LEN(AC185)))))-1)</f>
        <v>NB_2021_056 - 21122021 - 2</v>
      </c>
      <c r="AE185" s="6" t="str">
        <f aca="false">CONCATENATE(AB185, "-",H185, ".mzML")</f>
        <v>NB_2021_056 - 21122021 - 1-003.mzML</v>
      </c>
      <c r="AF185" s="6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4" t="s">
        <v>239</v>
      </c>
      <c r="B186" s="5"/>
      <c r="C186" s="4" t="s">
        <v>240</v>
      </c>
      <c r="D186" s="6" t="s">
        <v>14</v>
      </c>
      <c r="E186" s="6" t="s">
        <v>241</v>
      </c>
      <c r="F186" s="7" t="s">
        <v>242</v>
      </c>
      <c r="G186" s="6" t="s">
        <v>243</v>
      </c>
      <c r="H186" s="8" t="s">
        <v>99</v>
      </c>
      <c r="I186" s="6" t="str">
        <f aca="false">CONCATENATE(E186, "_",H186)</f>
        <v>NLA_2021_009_004</v>
      </c>
      <c r="J186" s="6" t="s">
        <v>158</v>
      </c>
      <c r="K186" s="24" t="s">
        <v>256</v>
      </c>
      <c r="L186" s="9" t="s">
        <v>69</v>
      </c>
      <c r="M186" s="25" t="s">
        <v>245</v>
      </c>
      <c r="N186" s="6" t="s">
        <v>246</v>
      </c>
      <c r="O186" s="26" t="s">
        <v>247</v>
      </c>
      <c r="P186" s="6" t="s">
        <v>43</v>
      </c>
      <c r="Q186" s="26" t="s">
        <v>257</v>
      </c>
      <c r="R186" s="6" t="s">
        <v>44</v>
      </c>
      <c r="S186" s="26" t="s">
        <v>249</v>
      </c>
      <c r="T186" s="6" t="s">
        <v>46</v>
      </c>
      <c r="U186" s="26" t="n">
        <v>500</v>
      </c>
      <c r="V186" s="26" t="n">
        <v>1</v>
      </c>
      <c r="W186" s="6"/>
      <c r="X186" s="6" t="s">
        <v>47</v>
      </c>
      <c r="Y186" s="1" t="n">
        <v>5500</v>
      </c>
      <c r="Z186" s="1" t="s">
        <v>250</v>
      </c>
      <c r="AA186" s="6" t="s">
        <v>251</v>
      </c>
      <c r="AB186" s="15" t="str">
        <f aca="true" t="array" ref="AB186:AB186">LEFT(AA186,LOOKUP(2^15,FIND(".",AA186,ROW(INDIRECT("1:"&amp;LEN(AA186)))))-1)</f>
        <v>NB_2021_056 - 21122021 - 1</v>
      </c>
      <c r="AC186" s="6" t="s">
        <v>252</v>
      </c>
      <c r="AD186" s="15" t="str">
        <f aca="true" t="array" ref="AD186:AD186">LEFT(AC186,LOOKUP(2^15,FIND(".",AC186,ROW(INDIRECT("1:"&amp;LEN(AC186)))))-1)</f>
        <v>NB_2021_056 - 21122021 - 2</v>
      </c>
      <c r="AE186" s="6" t="str">
        <f aca="false">CONCATENATE(AB186, "-",H186, ".mzML")</f>
        <v>NB_2021_056 - 21122021 - 1-004.mzML</v>
      </c>
      <c r="AF186" s="6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4" t="s">
        <v>239</v>
      </c>
      <c r="B187" s="5"/>
      <c r="C187" s="4" t="s">
        <v>240</v>
      </c>
      <c r="D187" s="6" t="s">
        <v>14</v>
      </c>
      <c r="E187" s="6" t="s">
        <v>241</v>
      </c>
      <c r="F187" s="7" t="s">
        <v>242</v>
      </c>
      <c r="G187" s="6" t="s">
        <v>243</v>
      </c>
      <c r="H187" s="8" t="s">
        <v>91</v>
      </c>
      <c r="I187" s="6" t="str">
        <f aca="false">CONCATENATE(E187, "_",H187)</f>
        <v>NLA_2021_009_005</v>
      </c>
      <c r="J187" s="6" t="s">
        <v>158</v>
      </c>
      <c r="K187" s="24" t="s">
        <v>258</v>
      </c>
      <c r="L187" s="9" t="s">
        <v>69</v>
      </c>
      <c r="M187" s="25" t="s">
        <v>245</v>
      </c>
      <c r="N187" s="6" t="s">
        <v>246</v>
      </c>
      <c r="O187" s="26" t="s">
        <v>247</v>
      </c>
      <c r="P187" s="6" t="s">
        <v>43</v>
      </c>
      <c r="Q187" s="26" t="s">
        <v>257</v>
      </c>
      <c r="R187" s="6" t="s">
        <v>44</v>
      </c>
      <c r="S187" s="26" t="s">
        <v>249</v>
      </c>
      <c r="T187" s="6" t="s">
        <v>46</v>
      </c>
      <c r="U187" s="26" t="n">
        <v>500</v>
      </c>
      <c r="V187" s="26" t="n">
        <v>2</v>
      </c>
      <c r="W187" s="6"/>
      <c r="X187" s="6" t="s">
        <v>47</v>
      </c>
      <c r="Y187" s="1" t="n">
        <v>5500</v>
      </c>
      <c r="Z187" s="1" t="s">
        <v>250</v>
      </c>
      <c r="AA187" s="6" t="s">
        <v>251</v>
      </c>
      <c r="AB187" s="15" t="str">
        <f aca="true" t="array" ref="AB187:AB187">LEFT(AA187,LOOKUP(2^15,FIND(".",AA187,ROW(INDIRECT("1:"&amp;LEN(AA187)))))-1)</f>
        <v>NB_2021_056 - 21122021 - 1</v>
      </c>
      <c r="AC187" s="6" t="s">
        <v>252</v>
      </c>
      <c r="AD187" s="15" t="str">
        <f aca="true" t="array" ref="AD187:AD187">LEFT(AC187,LOOKUP(2^15,FIND(".",AC187,ROW(INDIRECT("1:"&amp;LEN(AC187)))))-1)</f>
        <v>NB_2021_056 - 21122021 - 2</v>
      </c>
      <c r="AE187" s="6" t="str">
        <f aca="false">CONCATENATE(AB187, "-",H187, ".mzML")</f>
        <v>NB_2021_056 - 21122021 - 1-005.mzML</v>
      </c>
      <c r="AF187" s="6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4" t="s">
        <v>239</v>
      </c>
      <c r="B188" s="5"/>
      <c r="C188" s="4" t="s">
        <v>240</v>
      </c>
      <c r="D188" s="6" t="s">
        <v>14</v>
      </c>
      <c r="E188" s="6" t="s">
        <v>241</v>
      </c>
      <c r="F188" s="7" t="s">
        <v>242</v>
      </c>
      <c r="G188" s="6" t="s">
        <v>243</v>
      </c>
      <c r="H188" s="8" t="s">
        <v>101</v>
      </c>
      <c r="I188" s="6" t="str">
        <f aca="false">CONCATENATE(E188, "_",H188)</f>
        <v>NLA_2021_009_006</v>
      </c>
      <c r="J188" s="6" t="s">
        <v>166</v>
      </c>
      <c r="K188" s="24" t="s">
        <v>259</v>
      </c>
      <c r="L188" s="9" t="s">
        <v>69</v>
      </c>
      <c r="M188" s="25" t="s">
        <v>245</v>
      </c>
      <c r="N188" s="6" t="s">
        <v>246</v>
      </c>
      <c r="O188" s="26" t="s">
        <v>254</v>
      </c>
      <c r="P188" s="6" t="s">
        <v>43</v>
      </c>
      <c r="Q188" s="6" t="s">
        <v>43</v>
      </c>
      <c r="R188" s="6" t="s">
        <v>44</v>
      </c>
      <c r="S188" s="26" t="s">
        <v>249</v>
      </c>
      <c r="T188" s="6" t="s">
        <v>46</v>
      </c>
      <c r="U188" s="26" t="n">
        <v>500</v>
      </c>
      <c r="V188" s="26" t="n">
        <v>2</v>
      </c>
      <c r="W188" s="6"/>
      <c r="X188" s="6" t="s">
        <v>47</v>
      </c>
      <c r="Y188" s="1" t="n">
        <v>5500</v>
      </c>
      <c r="Z188" s="1" t="s">
        <v>250</v>
      </c>
      <c r="AA188" s="6" t="s">
        <v>251</v>
      </c>
      <c r="AB188" s="15" t="str">
        <f aca="true" t="array" ref="AB188:AB188">LEFT(AA188,LOOKUP(2^15,FIND(".",AA188,ROW(INDIRECT("1:"&amp;LEN(AA188)))))-1)</f>
        <v>NB_2021_056 - 21122021 - 1</v>
      </c>
      <c r="AC188" s="6" t="s">
        <v>252</v>
      </c>
      <c r="AD188" s="15" t="str">
        <f aca="true" t="array" ref="AD188:AD188">LEFT(AC188,LOOKUP(2^15,FIND(".",AC188,ROW(INDIRECT("1:"&amp;LEN(AC188)))))-1)</f>
        <v>NB_2021_056 - 21122021 - 2</v>
      </c>
      <c r="AE188" s="6" t="str">
        <f aca="false">CONCATENATE(AB188, "-",H188, ".mzML")</f>
        <v>NB_2021_056 - 21122021 - 1-006.mzML</v>
      </c>
      <c r="AF188" s="6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4" t="s">
        <v>239</v>
      </c>
      <c r="B189" s="5"/>
      <c r="C189" s="4" t="s">
        <v>240</v>
      </c>
      <c r="D189" s="6" t="s">
        <v>14</v>
      </c>
      <c r="E189" s="6" t="s">
        <v>241</v>
      </c>
      <c r="F189" s="7" t="s">
        <v>242</v>
      </c>
      <c r="G189" s="6" t="s">
        <v>241</v>
      </c>
      <c r="H189" s="27" t="s">
        <v>64</v>
      </c>
      <c r="I189" s="6" t="str">
        <f aca="false">CONCATENATE(E189, "_",H189)</f>
        <v>NLA_2021_009_Blank_1</v>
      </c>
      <c r="J189" s="6" t="s">
        <v>46</v>
      </c>
      <c r="K189" s="24" t="s">
        <v>260</v>
      </c>
      <c r="L189" s="9" t="s">
        <v>69</v>
      </c>
      <c r="M189" s="25" t="s">
        <v>46</v>
      </c>
      <c r="N189" s="26" t="s">
        <v>65</v>
      </c>
      <c r="O189" s="26" t="s">
        <v>46</v>
      </c>
      <c r="P189" s="24" t="s">
        <v>46</v>
      </c>
      <c r="Q189" s="26" t="s">
        <v>46</v>
      </c>
      <c r="R189" s="6" t="s">
        <v>46</v>
      </c>
      <c r="S189" s="24" t="s">
        <v>46</v>
      </c>
      <c r="T189" s="24" t="s">
        <v>46</v>
      </c>
      <c r="U189" s="24" t="s">
        <v>46</v>
      </c>
      <c r="V189" s="26" t="n">
        <v>1</v>
      </c>
      <c r="W189" s="6"/>
      <c r="X189" s="6" t="s">
        <v>46</v>
      </c>
      <c r="Y189" s="1" t="n">
        <v>5500</v>
      </c>
      <c r="Z189" s="6" t="s">
        <v>250</v>
      </c>
      <c r="AA189" s="6" t="s">
        <v>251</v>
      </c>
      <c r="AB189" s="15" t="str">
        <f aca="true" t="array" ref="AB189:AB189">LEFT(AA189,LOOKUP(2^15,FIND(".",AA189,ROW(INDIRECT("1:"&amp;LEN(AA189)))))-1)</f>
        <v>NB_2021_056 - 21122021 - 1</v>
      </c>
      <c r="AC189" s="6" t="s">
        <v>252</v>
      </c>
      <c r="AD189" s="15" t="str">
        <f aca="true" t="array" ref="AD189:AD189">LEFT(AC189,LOOKUP(2^15,FIND(".",AC189,ROW(INDIRECT("1:"&amp;LEN(AC189)))))-1)</f>
        <v>NB_2021_056 - 21122021 - 2</v>
      </c>
      <c r="AE189" s="6" t="str">
        <f aca="false">CONCATENATE(AB189, "-",H189, ".mzML")</f>
        <v>NB_2021_056 - 21122021 - 1-Blank_1.mzML</v>
      </c>
      <c r="AF189" s="6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4" t="s">
        <v>239</v>
      </c>
      <c r="B190" s="5"/>
      <c r="C190" s="4" t="s">
        <v>240</v>
      </c>
      <c r="D190" s="6" t="s">
        <v>14</v>
      </c>
      <c r="E190" s="6" t="s">
        <v>241</v>
      </c>
      <c r="F190" s="7" t="s">
        <v>242</v>
      </c>
      <c r="G190" s="6" t="s">
        <v>241</v>
      </c>
      <c r="H190" s="27" t="s">
        <v>66</v>
      </c>
      <c r="I190" s="6" t="str">
        <f aca="false">CONCATENATE(E190, "_",H190)</f>
        <v>NLA_2021_009_Blank_2</v>
      </c>
      <c r="J190" s="6" t="s">
        <v>46</v>
      </c>
      <c r="K190" s="24" t="s">
        <v>261</v>
      </c>
      <c r="L190" s="9" t="s">
        <v>69</v>
      </c>
      <c r="M190" s="25" t="s">
        <v>46</v>
      </c>
      <c r="N190" s="26" t="s">
        <v>65</v>
      </c>
      <c r="O190" s="26" t="s">
        <v>46</v>
      </c>
      <c r="P190" s="24" t="s">
        <v>46</v>
      </c>
      <c r="Q190" s="26" t="s">
        <v>46</v>
      </c>
      <c r="R190" s="6" t="s">
        <v>46</v>
      </c>
      <c r="S190" s="24" t="s">
        <v>46</v>
      </c>
      <c r="T190" s="24" t="s">
        <v>46</v>
      </c>
      <c r="U190" s="24" t="s">
        <v>46</v>
      </c>
      <c r="V190" s="26" t="n">
        <v>2</v>
      </c>
      <c r="W190" s="6"/>
      <c r="X190" s="6" t="s">
        <v>46</v>
      </c>
      <c r="Y190" s="1" t="n">
        <v>5500</v>
      </c>
      <c r="Z190" s="6" t="s">
        <v>250</v>
      </c>
      <c r="AA190" s="6" t="s">
        <v>251</v>
      </c>
      <c r="AB190" s="15" t="str">
        <f aca="true" t="array" ref="AB190:AB190">LEFT(AA190,LOOKUP(2^15,FIND(".",AA190,ROW(INDIRECT("1:"&amp;LEN(AA190)))))-1)</f>
        <v>NB_2021_056 - 21122021 - 1</v>
      </c>
      <c r="AC190" s="6" t="s">
        <v>252</v>
      </c>
      <c r="AD190" s="15" t="str">
        <f aca="true" t="array" ref="AD190:AD190">LEFT(AC190,LOOKUP(2^15,FIND(".",AC190,ROW(INDIRECT("1:"&amp;LEN(AC190)))))-1)</f>
        <v>NB_2021_056 - 21122021 - 2</v>
      </c>
      <c r="AE190" s="6" t="str">
        <f aca="false">CONCATENATE(AB190, "-",H190, ".mzML")</f>
        <v>NB_2021_056 - 21122021 - 1-Blank_2.mzML</v>
      </c>
      <c r="AF190" s="6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4" t="s">
        <v>239</v>
      </c>
      <c r="B191" s="5"/>
      <c r="C191" s="4" t="s">
        <v>240</v>
      </c>
      <c r="D191" s="6" t="s">
        <v>14</v>
      </c>
      <c r="E191" s="6" t="s">
        <v>241</v>
      </c>
      <c r="F191" s="7" t="s">
        <v>242</v>
      </c>
      <c r="G191" s="6" t="s">
        <v>241</v>
      </c>
      <c r="H191" s="27" t="s">
        <v>67</v>
      </c>
      <c r="I191" s="6" t="str">
        <f aca="false">CONCATENATE(E191, "_",H191)</f>
        <v>NLA_2021_009_Blank_3</v>
      </c>
      <c r="J191" s="6" t="s">
        <v>46</v>
      </c>
      <c r="K191" s="24" t="s">
        <v>262</v>
      </c>
      <c r="L191" s="9" t="s">
        <v>69</v>
      </c>
      <c r="M191" s="25" t="s">
        <v>46</v>
      </c>
      <c r="N191" s="26" t="s">
        <v>65</v>
      </c>
      <c r="O191" s="26" t="s">
        <v>46</v>
      </c>
      <c r="P191" s="24" t="s">
        <v>46</v>
      </c>
      <c r="Q191" s="26" t="s">
        <v>46</v>
      </c>
      <c r="R191" s="6" t="s">
        <v>46</v>
      </c>
      <c r="S191" s="24" t="s">
        <v>46</v>
      </c>
      <c r="T191" s="24" t="s">
        <v>46</v>
      </c>
      <c r="U191" s="24" t="s">
        <v>46</v>
      </c>
      <c r="V191" s="26" t="n">
        <v>3</v>
      </c>
      <c r="W191" s="6"/>
      <c r="X191" s="6" t="s">
        <v>46</v>
      </c>
      <c r="Y191" s="1" t="n">
        <v>5500</v>
      </c>
      <c r="Z191" s="6" t="s">
        <v>250</v>
      </c>
      <c r="AA191" s="6" t="s">
        <v>251</v>
      </c>
      <c r="AB191" s="15" t="str">
        <f aca="true" t="array" ref="AB191:AB191">LEFT(AA191,LOOKUP(2^15,FIND(".",AA191,ROW(INDIRECT("1:"&amp;LEN(AA191)))))-1)</f>
        <v>NB_2021_056 - 21122021 - 1</v>
      </c>
      <c r="AC191" s="6" t="s">
        <v>252</v>
      </c>
      <c r="AD191" s="15" t="str">
        <f aca="true" t="array" ref="AD191:AD191">LEFT(AC191,LOOKUP(2^15,FIND(".",AC191,ROW(INDIRECT("1:"&amp;LEN(AC191)))))-1)</f>
        <v>NB_2021_056 - 21122021 - 2</v>
      </c>
      <c r="AE191" s="6" t="str">
        <f aca="false">CONCATENATE(AB191, "-",H191, ".mzML")</f>
        <v>NB_2021_056 - 21122021 - 1-Blank_3.mzML</v>
      </c>
      <c r="AF191" s="6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4" t="s">
        <v>239</v>
      </c>
      <c r="B192" s="5"/>
      <c r="C192" s="4" t="s">
        <v>240</v>
      </c>
      <c r="D192" s="6" t="s">
        <v>14</v>
      </c>
      <c r="E192" s="6" t="s">
        <v>241</v>
      </c>
      <c r="F192" s="7" t="s">
        <v>242</v>
      </c>
      <c r="G192" s="6" t="s">
        <v>241</v>
      </c>
      <c r="H192" s="27" t="s">
        <v>68</v>
      </c>
      <c r="I192" s="6" t="str">
        <f aca="false">CONCATENATE(E192, "_",H192)</f>
        <v>NLA_2021_009_QC_C_1</v>
      </c>
      <c r="J192" s="6" t="s">
        <v>46</v>
      </c>
      <c r="K192" s="24" t="s">
        <v>263</v>
      </c>
      <c r="L192" s="9" t="s">
        <v>69</v>
      </c>
      <c r="M192" s="13" t="s">
        <v>46</v>
      </c>
      <c r="N192" s="6" t="s">
        <v>70</v>
      </c>
      <c r="O192" s="6" t="s">
        <v>46</v>
      </c>
      <c r="P192" s="6" t="s">
        <v>71</v>
      </c>
      <c r="Q192" s="6" t="s">
        <v>71</v>
      </c>
      <c r="R192" s="6" t="s">
        <v>72</v>
      </c>
      <c r="S192" s="6" t="s">
        <v>73</v>
      </c>
      <c r="T192" s="6" t="s">
        <v>46</v>
      </c>
      <c r="U192" s="6" t="n">
        <v>1000</v>
      </c>
      <c r="V192" s="26" t="n">
        <v>1</v>
      </c>
      <c r="W192" s="6"/>
      <c r="X192" s="6" t="s">
        <v>74</v>
      </c>
      <c r="Y192" s="1" t="n">
        <v>5500</v>
      </c>
      <c r="Z192" s="6" t="s">
        <v>250</v>
      </c>
      <c r="AA192" s="6" t="s">
        <v>251</v>
      </c>
      <c r="AB192" s="15" t="str">
        <f aca="true" t="array" ref="AB192:AB192">LEFT(AA192,LOOKUP(2^15,FIND(".",AA192,ROW(INDIRECT("1:"&amp;LEN(AA192)))))-1)</f>
        <v>NB_2021_056 - 21122021 - 1</v>
      </c>
      <c r="AC192" s="6" t="s">
        <v>252</v>
      </c>
      <c r="AD192" s="15" t="str">
        <f aca="true" t="array" ref="AD192:AD192">LEFT(AC192,LOOKUP(2^15,FIND(".",AC192,ROW(INDIRECT("1:"&amp;LEN(AC192)))))-1)</f>
        <v>NB_2021_056 - 21122021 - 2</v>
      </c>
      <c r="AE192" s="6" t="str">
        <f aca="false">CONCATENATE(AB192, "-",H192, ".mzML")</f>
        <v>NB_2021_056 - 21122021 - 1-QC_C_1.mzML</v>
      </c>
      <c r="AF192" s="6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4" t="s">
        <v>239</v>
      </c>
      <c r="B193" s="5"/>
      <c r="C193" s="4" t="s">
        <v>240</v>
      </c>
      <c r="D193" s="6" t="s">
        <v>14</v>
      </c>
      <c r="E193" s="6" t="s">
        <v>241</v>
      </c>
      <c r="F193" s="7" t="s">
        <v>242</v>
      </c>
      <c r="G193" s="6" t="s">
        <v>241</v>
      </c>
      <c r="H193" s="27" t="s">
        <v>75</v>
      </c>
      <c r="I193" s="6" t="str">
        <f aca="false">CONCATENATE(E193, "_",H193)</f>
        <v>NLA_2021_009_QC_C_2</v>
      </c>
      <c r="J193" s="6" t="s">
        <v>46</v>
      </c>
      <c r="K193" s="24" t="s">
        <v>264</v>
      </c>
      <c r="L193" s="9" t="s">
        <v>69</v>
      </c>
      <c r="M193" s="13" t="s">
        <v>46</v>
      </c>
      <c r="N193" s="6" t="s">
        <v>70</v>
      </c>
      <c r="O193" s="6" t="s">
        <v>46</v>
      </c>
      <c r="P193" s="6" t="s">
        <v>71</v>
      </c>
      <c r="Q193" s="6" t="s">
        <v>71</v>
      </c>
      <c r="R193" s="6" t="s">
        <v>72</v>
      </c>
      <c r="S193" s="6" t="s">
        <v>73</v>
      </c>
      <c r="T193" s="6" t="s">
        <v>46</v>
      </c>
      <c r="U193" s="6" t="n">
        <v>1000</v>
      </c>
      <c r="V193" s="26" t="n">
        <v>2</v>
      </c>
      <c r="W193" s="6"/>
      <c r="X193" s="6" t="s">
        <v>74</v>
      </c>
      <c r="Y193" s="1" t="n">
        <v>5500</v>
      </c>
      <c r="Z193" s="6" t="s">
        <v>250</v>
      </c>
      <c r="AA193" s="6" t="s">
        <v>251</v>
      </c>
      <c r="AB193" s="15" t="str">
        <f aca="true" t="array" ref="AB193:AB193">LEFT(AA193,LOOKUP(2^15,FIND(".",AA193,ROW(INDIRECT("1:"&amp;LEN(AA193)))))-1)</f>
        <v>NB_2021_056 - 21122021 - 1</v>
      </c>
      <c r="AC193" s="6" t="s">
        <v>252</v>
      </c>
      <c r="AD193" s="15" t="str">
        <f aca="true" t="array" ref="AD193:AD193">LEFT(AC193,LOOKUP(2^15,FIND(".",AC193,ROW(INDIRECT("1:"&amp;LEN(AC193)))))-1)</f>
        <v>NB_2021_056 - 21122021 - 2</v>
      </c>
      <c r="AE193" s="6" t="str">
        <f aca="false">CONCATENATE(AB193, "-",H193, ".mzML")</f>
        <v>NB_2021_056 - 21122021 - 1-QC_C_2.mzML</v>
      </c>
      <c r="AF193" s="6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4" t="s">
        <v>239</v>
      </c>
      <c r="B194" s="5"/>
      <c r="C194" s="4" t="s">
        <v>240</v>
      </c>
      <c r="D194" s="6" t="s">
        <v>14</v>
      </c>
      <c r="E194" s="6" t="s">
        <v>241</v>
      </c>
      <c r="F194" s="7" t="s">
        <v>242</v>
      </c>
      <c r="G194" s="6" t="s">
        <v>241</v>
      </c>
      <c r="H194" s="27" t="s">
        <v>76</v>
      </c>
      <c r="I194" s="6" t="str">
        <f aca="false">CONCATENATE(E194, "_",H194)</f>
        <v>NLA_2021_009_QC_C_3</v>
      </c>
      <c r="J194" s="6" t="s">
        <v>46</v>
      </c>
      <c r="K194" s="24" t="s">
        <v>265</v>
      </c>
      <c r="L194" s="9" t="s">
        <v>69</v>
      </c>
      <c r="M194" s="13" t="s">
        <v>46</v>
      </c>
      <c r="N194" s="6" t="s">
        <v>70</v>
      </c>
      <c r="O194" s="6" t="s">
        <v>46</v>
      </c>
      <c r="P194" s="6" t="s">
        <v>71</v>
      </c>
      <c r="Q194" s="6" t="s">
        <v>71</v>
      </c>
      <c r="R194" s="6" t="s">
        <v>72</v>
      </c>
      <c r="S194" s="6" t="s">
        <v>73</v>
      </c>
      <c r="T194" s="6" t="s">
        <v>46</v>
      </c>
      <c r="U194" s="6" t="n">
        <v>1000</v>
      </c>
      <c r="V194" s="26" t="n">
        <v>3</v>
      </c>
      <c r="W194" s="6"/>
      <c r="X194" s="6" t="s">
        <v>74</v>
      </c>
      <c r="Y194" s="1" t="n">
        <v>5500</v>
      </c>
      <c r="Z194" s="6" t="s">
        <v>250</v>
      </c>
      <c r="AA194" s="6" t="s">
        <v>251</v>
      </c>
      <c r="AB194" s="15" t="str">
        <f aca="true" t="array" ref="AB194:AB194">LEFT(AA194,LOOKUP(2^15,FIND(".",AA194,ROW(INDIRECT("1:"&amp;LEN(AA194)))))-1)</f>
        <v>NB_2021_056 - 21122021 - 1</v>
      </c>
      <c r="AC194" s="6" t="s">
        <v>252</v>
      </c>
      <c r="AD194" s="15" t="str">
        <f aca="true" t="array" ref="AD194:AD194">LEFT(AC194,LOOKUP(2^15,FIND(".",AC194,ROW(INDIRECT("1:"&amp;LEN(AC194)))))-1)</f>
        <v>NB_2021_056 - 21122021 - 2</v>
      </c>
      <c r="AE194" s="6" t="str">
        <f aca="false">CONCATENATE(AB194, "-",H194, ".mzML")</f>
        <v>NB_2021_056 - 21122021 - 1-QC_C_3.mzML</v>
      </c>
      <c r="AF194" s="6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4" t="s">
        <v>239</v>
      </c>
      <c r="B195" s="5"/>
      <c r="C195" s="4" t="s">
        <v>240</v>
      </c>
      <c r="D195" s="6" t="s">
        <v>14</v>
      </c>
      <c r="E195" s="6" t="s">
        <v>241</v>
      </c>
      <c r="F195" s="7" t="s">
        <v>242</v>
      </c>
      <c r="G195" s="6" t="s">
        <v>241</v>
      </c>
      <c r="H195" s="27" t="s">
        <v>77</v>
      </c>
      <c r="I195" s="6" t="str">
        <f aca="false">CONCATENATE(E195, "_",H195)</f>
        <v>NLA_2021_009_QC_P_1</v>
      </c>
      <c r="J195" s="6" t="s">
        <v>46</v>
      </c>
      <c r="K195" s="24" t="s">
        <v>266</v>
      </c>
      <c r="L195" s="9" t="s">
        <v>69</v>
      </c>
      <c r="M195" s="13" t="s">
        <v>46</v>
      </c>
      <c r="N195" s="6" t="s">
        <v>78</v>
      </c>
      <c r="O195" s="6" t="s">
        <v>46</v>
      </c>
      <c r="P195" s="6" t="s">
        <v>79</v>
      </c>
      <c r="Q195" s="6" t="s">
        <v>80</v>
      </c>
      <c r="R195" s="6" t="s">
        <v>81</v>
      </c>
      <c r="S195" s="6" t="s">
        <v>46</v>
      </c>
      <c r="T195" s="6" t="s">
        <v>46</v>
      </c>
      <c r="U195" s="6" t="s">
        <v>82</v>
      </c>
      <c r="V195" s="26" t="n">
        <v>1</v>
      </c>
      <c r="W195" s="6"/>
      <c r="X195" s="6" t="s">
        <v>83</v>
      </c>
      <c r="Y195" s="1" t="n">
        <v>5500</v>
      </c>
      <c r="Z195" s="6" t="s">
        <v>250</v>
      </c>
      <c r="AA195" s="6" t="s">
        <v>251</v>
      </c>
      <c r="AB195" s="15" t="str">
        <f aca="true" t="array" ref="AB195:AB195">LEFT(AA195,LOOKUP(2^15,FIND(".",AA195,ROW(INDIRECT("1:"&amp;LEN(AA195)))))-1)</f>
        <v>NB_2021_056 - 21122021 - 1</v>
      </c>
      <c r="AC195" s="6" t="s">
        <v>252</v>
      </c>
      <c r="AD195" s="15" t="str">
        <f aca="true" t="array" ref="AD195:AD195">LEFT(AC195,LOOKUP(2^15,FIND(".",AC195,ROW(INDIRECT("1:"&amp;LEN(AC195)))))-1)</f>
        <v>NB_2021_056 - 21122021 - 2</v>
      </c>
      <c r="AE195" s="6" t="str">
        <f aca="false">CONCATENATE(AB195, "-",H195, ".mzML")</f>
        <v>NB_2021_056 - 21122021 - 1-QC_P_1.mzML</v>
      </c>
      <c r="AF195" s="6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4" t="s">
        <v>239</v>
      </c>
      <c r="B196" s="5"/>
      <c r="C196" s="4" t="s">
        <v>240</v>
      </c>
      <c r="D196" s="6" t="s">
        <v>14</v>
      </c>
      <c r="E196" s="6" t="s">
        <v>241</v>
      </c>
      <c r="F196" s="7" t="s">
        <v>242</v>
      </c>
      <c r="G196" s="6" t="s">
        <v>241</v>
      </c>
      <c r="H196" s="27" t="s">
        <v>84</v>
      </c>
      <c r="I196" s="6" t="str">
        <f aca="false">CONCATENATE(E196, "_",H196)</f>
        <v>NLA_2021_009_QC_P_2</v>
      </c>
      <c r="J196" s="6" t="s">
        <v>46</v>
      </c>
      <c r="K196" s="24" t="s">
        <v>267</v>
      </c>
      <c r="L196" s="9" t="s">
        <v>69</v>
      </c>
      <c r="M196" s="13" t="s">
        <v>46</v>
      </c>
      <c r="N196" s="6" t="s">
        <v>78</v>
      </c>
      <c r="O196" s="6" t="s">
        <v>46</v>
      </c>
      <c r="P196" s="6" t="s">
        <v>79</v>
      </c>
      <c r="Q196" s="6" t="s">
        <v>80</v>
      </c>
      <c r="R196" s="6" t="s">
        <v>81</v>
      </c>
      <c r="S196" s="6" t="s">
        <v>46</v>
      </c>
      <c r="T196" s="6" t="s">
        <v>46</v>
      </c>
      <c r="U196" s="6" t="s">
        <v>82</v>
      </c>
      <c r="V196" s="26" t="n">
        <v>2</v>
      </c>
      <c r="W196" s="6"/>
      <c r="X196" s="6" t="s">
        <v>83</v>
      </c>
      <c r="Y196" s="1" t="n">
        <v>5500</v>
      </c>
      <c r="Z196" s="6" t="s">
        <v>250</v>
      </c>
      <c r="AA196" s="6" t="s">
        <v>251</v>
      </c>
      <c r="AB196" s="15" t="str">
        <f aca="true" t="array" ref="AB196:AB196">LEFT(AA196,LOOKUP(2^15,FIND(".",AA196,ROW(INDIRECT("1:"&amp;LEN(AA196)))))-1)</f>
        <v>NB_2021_056 - 21122021 - 1</v>
      </c>
      <c r="AC196" s="6" t="s">
        <v>252</v>
      </c>
      <c r="AD196" s="15" t="str">
        <f aca="true" t="array" ref="AD196:AD196">LEFT(AC196,LOOKUP(2^15,FIND(".",AC196,ROW(INDIRECT("1:"&amp;LEN(AC196)))))-1)</f>
        <v>NB_2021_056 - 21122021 - 2</v>
      </c>
      <c r="AE196" s="6" t="str">
        <f aca="false">CONCATENATE(AB196, "-",H196, ".mzML")</f>
        <v>NB_2021_056 - 21122021 - 1-QC_P_2.mzML</v>
      </c>
      <c r="AF196" s="6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4" t="s">
        <v>239</v>
      </c>
      <c r="B197" s="5"/>
      <c r="C197" s="4" t="s">
        <v>240</v>
      </c>
      <c r="D197" s="6" t="s">
        <v>14</v>
      </c>
      <c r="E197" s="6" t="s">
        <v>241</v>
      </c>
      <c r="F197" s="7" t="s">
        <v>242</v>
      </c>
      <c r="G197" s="6" t="s">
        <v>241</v>
      </c>
      <c r="H197" s="27" t="s">
        <v>85</v>
      </c>
      <c r="I197" s="6" t="str">
        <f aca="false">CONCATENATE(E197, "_",H197)</f>
        <v>NLA_2021_009_QC_P_3</v>
      </c>
      <c r="J197" s="6" t="s">
        <v>46</v>
      </c>
      <c r="K197" s="24" t="s">
        <v>268</v>
      </c>
      <c r="L197" s="9" t="s">
        <v>69</v>
      </c>
      <c r="M197" s="13" t="s">
        <v>46</v>
      </c>
      <c r="N197" s="6" t="s">
        <v>78</v>
      </c>
      <c r="O197" s="6" t="s">
        <v>46</v>
      </c>
      <c r="P197" s="6" t="s">
        <v>79</v>
      </c>
      <c r="Q197" s="6" t="s">
        <v>80</v>
      </c>
      <c r="R197" s="6" t="s">
        <v>81</v>
      </c>
      <c r="S197" s="6" t="s">
        <v>46</v>
      </c>
      <c r="T197" s="6" t="s">
        <v>46</v>
      </c>
      <c r="U197" s="6" t="s">
        <v>82</v>
      </c>
      <c r="V197" s="26" t="n">
        <v>3</v>
      </c>
      <c r="W197" s="6"/>
      <c r="X197" s="6" t="s">
        <v>83</v>
      </c>
      <c r="Y197" s="1" t="n">
        <v>5500</v>
      </c>
      <c r="Z197" s="6" t="s">
        <v>250</v>
      </c>
      <c r="AA197" s="6" t="s">
        <v>251</v>
      </c>
      <c r="AB197" s="15" t="str">
        <f aca="true" t="array" ref="AB197:AB197">LEFT(AA197,LOOKUP(2^15,FIND(".",AA197,ROW(INDIRECT("1:"&amp;LEN(AA197)))))-1)</f>
        <v>NB_2021_056 - 21122021 - 1</v>
      </c>
      <c r="AC197" s="6" t="s">
        <v>252</v>
      </c>
      <c r="AD197" s="15" t="str">
        <f aca="true" t="array" ref="AD197:AD197">LEFT(AC197,LOOKUP(2^15,FIND(".",AC197,ROW(INDIRECT("1:"&amp;LEN(AC197)))))-1)</f>
        <v>NB_2021_056 - 21122021 - 2</v>
      </c>
      <c r="AE197" s="6" t="str">
        <f aca="false">CONCATENATE(AB197, "-",H197, ".mzML")</f>
        <v>NB_2021_056 - 21122021 - 1-QC_P_3.mzML</v>
      </c>
      <c r="AF197" s="6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4" t="s">
        <v>269</v>
      </c>
      <c r="B198" s="5"/>
      <c r="C198" s="4" t="s">
        <v>270</v>
      </c>
      <c r="D198" s="6" t="s">
        <v>14</v>
      </c>
      <c r="E198" s="6" t="s">
        <v>271</v>
      </c>
      <c r="F198" s="7" t="s">
        <v>272</v>
      </c>
      <c r="G198" s="6" t="s">
        <v>273</v>
      </c>
      <c r="H198" s="27" t="s">
        <v>108</v>
      </c>
      <c r="I198" s="6" t="str">
        <f aca="false">CONCATENATE(E198, "_",H198)</f>
        <v>NLA_2022_007_001</v>
      </c>
      <c r="J198" s="6" t="s">
        <v>38</v>
      </c>
      <c r="K198" s="6" t="s">
        <v>274</v>
      </c>
      <c r="L198" s="9" t="s">
        <v>69</v>
      </c>
      <c r="M198" s="13" t="s">
        <v>275</v>
      </c>
      <c r="N198" s="6" t="s">
        <v>41</v>
      </c>
      <c r="O198" s="6" t="s">
        <v>42</v>
      </c>
      <c r="P198" s="6" t="s">
        <v>162</v>
      </c>
      <c r="Q198" s="6" t="s">
        <v>162</v>
      </c>
      <c r="R198" s="6" t="s">
        <v>72</v>
      </c>
      <c r="S198" s="6" t="s">
        <v>45</v>
      </c>
      <c r="T198" s="6" t="s">
        <v>46</v>
      </c>
      <c r="U198" s="6" t="n">
        <v>1000</v>
      </c>
      <c r="V198" s="1" t="n">
        <v>1</v>
      </c>
      <c r="W198" s="6"/>
      <c r="X198" s="6" t="s">
        <v>47</v>
      </c>
      <c r="Y198" s="1" t="n">
        <v>5500</v>
      </c>
      <c r="Z198" s="6" t="s">
        <v>276</v>
      </c>
      <c r="AA198" s="6" t="s">
        <v>277</v>
      </c>
      <c r="AB198" s="15" t="str">
        <f aca="true" t="array" ref="AB198:AB198">LEFT(AA198,LOOKUP(2^15,FIND(".",AA198,ROW(INDIRECT("1:"&amp;LEN(AA198)))))-1)</f>
        <v>NB_2022_030 - 20062022 - 1</v>
      </c>
      <c r="AC198" s="6" t="s">
        <v>278</v>
      </c>
      <c r="AD198" s="15" t="str">
        <f aca="true" t="array" ref="AD198:AD198">LEFT(AC198,LOOKUP(2^15,FIND(".",AC198,ROW(INDIRECT("1:"&amp;LEN(AC198)))))-1)</f>
        <v>NB_2022_030 - 20062022 - 2</v>
      </c>
      <c r="AE198" s="6" t="str">
        <f aca="false">CONCATENATE(AB198, "-",H198, ".mzML")</f>
        <v>NB_2022_030 - 20062022 - 1-001.mzML</v>
      </c>
      <c r="AF198" s="6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4" t="s">
        <v>269</v>
      </c>
      <c r="B199" s="5"/>
      <c r="C199" s="4" t="s">
        <v>270</v>
      </c>
      <c r="D199" s="6" t="s">
        <v>14</v>
      </c>
      <c r="E199" s="6" t="s">
        <v>271</v>
      </c>
      <c r="F199" s="7" t="s">
        <v>272</v>
      </c>
      <c r="G199" s="6" t="s">
        <v>273</v>
      </c>
      <c r="H199" s="27" t="s">
        <v>88</v>
      </c>
      <c r="I199" s="6" t="str">
        <f aca="false">CONCATENATE(E199, "_",H199)</f>
        <v>NLA_2022_007_002</v>
      </c>
      <c r="J199" s="6" t="s">
        <v>38</v>
      </c>
      <c r="K199" s="6" t="s">
        <v>274</v>
      </c>
      <c r="L199" s="9" t="s">
        <v>69</v>
      </c>
      <c r="M199" s="13" t="s">
        <v>275</v>
      </c>
      <c r="N199" s="6" t="s">
        <v>41</v>
      </c>
      <c r="O199" s="6" t="s">
        <v>42</v>
      </c>
      <c r="P199" s="6" t="s">
        <v>162</v>
      </c>
      <c r="Q199" s="6" t="s">
        <v>162</v>
      </c>
      <c r="R199" s="6" t="s">
        <v>72</v>
      </c>
      <c r="S199" s="6" t="s">
        <v>45</v>
      </c>
      <c r="T199" s="6" t="s">
        <v>46</v>
      </c>
      <c r="U199" s="6" t="n">
        <v>1000</v>
      </c>
      <c r="V199" s="1" t="n">
        <v>2</v>
      </c>
      <c r="W199" s="6"/>
      <c r="X199" s="6" t="s">
        <v>47</v>
      </c>
      <c r="Y199" s="1" t="n">
        <v>5500</v>
      </c>
      <c r="Z199" s="6" t="s">
        <v>276</v>
      </c>
      <c r="AA199" s="6" t="s">
        <v>277</v>
      </c>
      <c r="AB199" s="15" t="str">
        <f aca="true" t="array" ref="AB199:AB199">LEFT(AA199,LOOKUP(2^15,FIND(".",AA199,ROW(INDIRECT("1:"&amp;LEN(AA199)))))-1)</f>
        <v>NB_2022_030 - 20062022 - 1</v>
      </c>
      <c r="AC199" s="6" t="s">
        <v>278</v>
      </c>
      <c r="AD199" s="15" t="str">
        <f aca="true" t="array" ref="AD199:AD199">LEFT(AC199,LOOKUP(2^15,FIND(".",AC199,ROW(INDIRECT("1:"&amp;LEN(AC199)))))-1)</f>
        <v>NB_2022_030 - 20062022 - 2</v>
      </c>
      <c r="AE199" s="6" t="str">
        <f aca="false">CONCATENATE(AB199, "-",H199, ".mzML")</f>
        <v>NB_2022_030 - 20062022 - 1-002.mzML</v>
      </c>
      <c r="AF199" s="6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4" t="s">
        <v>269</v>
      </c>
      <c r="B200" s="5"/>
      <c r="C200" s="4" t="s">
        <v>270</v>
      </c>
      <c r="D200" s="6" t="s">
        <v>14</v>
      </c>
      <c r="E200" s="6" t="s">
        <v>271</v>
      </c>
      <c r="F200" s="7" t="s">
        <v>272</v>
      </c>
      <c r="G200" s="6" t="s">
        <v>273</v>
      </c>
      <c r="H200" s="27" t="s">
        <v>97</v>
      </c>
      <c r="I200" s="6" t="str">
        <f aca="false">CONCATENATE(E200, "_",H200)</f>
        <v>NLA_2022_007_003</v>
      </c>
      <c r="J200" s="6" t="s">
        <v>38</v>
      </c>
      <c r="K200" s="6" t="s">
        <v>274</v>
      </c>
      <c r="L200" s="9" t="s">
        <v>69</v>
      </c>
      <c r="M200" s="13" t="s">
        <v>275</v>
      </c>
      <c r="N200" s="6" t="s">
        <v>41</v>
      </c>
      <c r="O200" s="6" t="s">
        <v>42</v>
      </c>
      <c r="P200" s="6" t="s">
        <v>162</v>
      </c>
      <c r="Q200" s="6" t="s">
        <v>162</v>
      </c>
      <c r="R200" s="6" t="s">
        <v>72</v>
      </c>
      <c r="S200" s="6" t="s">
        <v>45</v>
      </c>
      <c r="T200" s="6" t="s">
        <v>46</v>
      </c>
      <c r="U200" s="6" t="n">
        <v>1000</v>
      </c>
      <c r="V200" s="1" t="n">
        <v>3</v>
      </c>
      <c r="W200" s="6"/>
      <c r="X200" s="6" t="s">
        <v>47</v>
      </c>
      <c r="Y200" s="1" t="n">
        <v>5500</v>
      </c>
      <c r="Z200" s="6" t="s">
        <v>276</v>
      </c>
      <c r="AA200" s="6" t="s">
        <v>277</v>
      </c>
      <c r="AB200" s="15" t="str">
        <f aca="true" t="array" ref="AB200:AB200">LEFT(AA200,LOOKUP(2^15,FIND(".",AA200,ROW(INDIRECT("1:"&amp;LEN(AA200)))))-1)</f>
        <v>NB_2022_030 - 20062022 - 1</v>
      </c>
      <c r="AC200" s="6" t="s">
        <v>278</v>
      </c>
      <c r="AD200" s="15" t="str">
        <f aca="true" t="array" ref="AD200:AD200">LEFT(AC200,LOOKUP(2^15,FIND(".",AC200,ROW(INDIRECT("1:"&amp;LEN(AC200)))))-1)</f>
        <v>NB_2022_030 - 20062022 - 2</v>
      </c>
      <c r="AE200" s="6" t="str">
        <f aca="false">CONCATENATE(AB200, "-",H200, ".mzML")</f>
        <v>NB_2022_030 - 20062022 - 1-003.mzML</v>
      </c>
      <c r="AF200" s="6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4" t="s">
        <v>269</v>
      </c>
      <c r="B201" s="5"/>
      <c r="C201" s="4" t="s">
        <v>270</v>
      </c>
      <c r="D201" s="6" t="s">
        <v>14</v>
      </c>
      <c r="E201" s="6" t="s">
        <v>271</v>
      </c>
      <c r="F201" s="7" t="s">
        <v>272</v>
      </c>
      <c r="G201" s="6" t="s">
        <v>273</v>
      </c>
      <c r="H201" s="27" t="s">
        <v>227</v>
      </c>
      <c r="I201" s="6" t="str">
        <f aca="false">CONCATENATE(E201, "_",H201)</f>
        <v>NLA_2022_007_019</v>
      </c>
      <c r="J201" s="6" t="s">
        <v>52</v>
      </c>
      <c r="K201" s="6" t="s">
        <v>279</v>
      </c>
      <c r="L201" s="9" t="s">
        <v>69</v>
      </c>
      <c r="M201" s="13" t="s">
        <v>275</v>
      </c>
      <c r="N201" s="6" t="s">
        <v>41</v>
      </c>
      <c r="O201" s="6" t="s">
        <v>54</v>
      </c>
      <c r="P201" s="6" t="s">
        <v>162</v>
      </c>
      <c r="Q201" s="6" t="s">
        <v>229</v>
      </c>
      <c r="R201" s="6" t="s">
        <v>72</v>
      </c>
      <c r="S201" s="6" t="s">
        <v>45</v>
      </c>
      <c r="T201" s="6" t="s">
        <v>46</v>
      </c>
      <c r="U201" s="6" t="n">
        <v>1000</v>
      </c>
      <c r="V201" s="1" t="n">
        <v>1</v>
      </c>
      <c r="W201" s="6"/>
      <c r="X201" s="6" t="s">
        <v>47</v>
      </c>
      <c r="Y201" s="1" t="n">
        <v>5500</v>
      </c>
      <c r="Z201" s="6" t="s">
        <v>276</v>
      </c>
      <c r="AA201" s="6" t="s">
        <v>277</v>
      </c>
      <c r="AB201" s="15" t="str">
        <f aca="true" t="array" ref="AB201:AB201">LEFT(AA201,LOOKUP(2^15,FIND(".",AA201,ROW(INDIRECT("1:"&amp;LEN(AA201)))))-1)</f>
        <v>NB_2022_030 - 20062022 - 1</v>
      </c>
      <c r="AC201" s="6" t="s">
        <v>278</v>
      </c>
      <c r="AD201" s="15" t="str">
        <f aca="true" t="array" ref="AD201:AD201">LEFT(AC201,LOOKUP(2^15,FIND(".",AC201,ROW(INDIRECT("1:"&amp;LEN(AC201)))))-1)</f>
        <v>NB_2022_030 - 20062022 - 2</v>
      </c>
      <c r="AE201" s="6" t="str">
        <f aca="false">CONCATENATE(AB201, "-",H201, ".mzML")</f>
        <v>NB_2022_030 - 20062022 - 1-019.mzML</v>
      </c>
      <c r="AF201" s="6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4" t="s">
        <v>269</v>
      </c>
      <c r="B202" s="5"/>
      <c r="C202" s="4" t="s">
        <v>270</v>
      </c>
      <c r="D202" s="6" t="s">
        <v>14</v>
      </c>
      <c r="E202" s="6" t="s">
        <v>271</v>
      </c>
      <c r="F202" s="7" t="s">
        <v>272</v>
      </c>
      <c r="G202" s="6" t="s">
        <v>273</v>
      </c>
      <c r="H202" s="27" t="s">
        <v>230</v>
      </c>
      <c r="I202" s="6" t="str">
        <f aca="false">CONCATENATE(E202, "_",H202)</f>
        <v>NLA_2022_007_020</v>
      </c>
      <c r="J202" s="6" t="s">
        <v>52</v>
      </c>
      <c r="K202" s="6" t="s">
        <v>279</v>
      </c>
      <c r="L202" s="9" t="s">
        <v>69</v>
      </c>
      <c r="M202" s="13" t="s">
        <v>275</v>
      </c>
      <c r="N202" s="6" t="s">
        <v>41</v>
      </c>
      <c r="O202" s="6" t="s">
        <v>54</v>
      </c>
      <c r="P202" s="6" t="s">
        <v>162</v>
      </c>
      <c r="Q202" s="6" t="s">
        <v>229</v>
      </c>
      <c r="R202" s="6" t="s">
        <v>72</v>
      </c>
      <c r="S202" s="6" t="s">
        <v>45</v>
      </c>
      <c r="T202" s="6" t="s">
        <v>46</v>
      </c>
      <c r="U202" s="6" t="n">
        <v>1000</v>
      </c>
      <c r="V202" s="1" t="n">
        <v>2</v>
      </c>
      <c r="W202" s="6"/>
      <c r="X202" s="6" t="s">
        <v>47</v>
      </c>
      <c r="Y202" s="1" t="n">
        <v>5500</v>
      </c>
      <c r="Z202" s="6" t="s">
        <v>276</v>
      </c>
      <c r="AA202" s="6" t="s">
        <v>277</v>
      </c>
      <c r="AB202" s="15" t="str">
        <f aca="true" t="array" ref="AB202:AB202">LEFT(AA202,LOOKUP(2^15,FIND(".",AA202,ROW(INDIRECT("1:"&amp;LEN(AA202)))))-1)</f>
        <v>NB_2022_030 - 20062022 - 1</v>
      </c>
      <c r="AC202" s="6" t="s">
        <v>278</v>
      </c>
      <c r="AD202" s="15" t="str">
        <f aca="true" t="array" ref="AD202:AD202">LEFT(AC202,LOOKUP(2^15,FIND(".",AC202,ROW(INDIRECT("1:"&amp;LEN(AC202)))))-1)</f>
        <v>NB_2022_030 - 20062022 - 2</v>
      </c>
      <c r="AE202" s="6" t="str">
        <f aca="false">CONCATENATE(AB202, "-",H202, ".mzML")</f>
        <v>NB_2022_030 - 20062022 - 1-020.mzML</v>
      </c>
      <c r="AF202" s="6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4" t="s">
        <v>269</v>
      </c>
      <c r="B203" s="5"/>
      <c r="C203" s="4" t="s">
        <v>270</v>
      </c>
      <c r="D203" s="6" t="s">
        <v>14</v>
      </c>
      <c r="E203" s="6" t="s">
        <v>271</v>
      </c>
      <c r="F203" s="7" t="s">
        <v>272</v>
      </c>
      <c r="G203" s="6" t="s">
        <v>273</v>
      </c>
      <c r="H203" s="27" t="s">
        <v>62</v>
      </c>
      <c r="I203" s="6" t="str">
        <f aca="false">CONCATENATE(E203, "_",H203)</f>
        <v>NLA_2022_007_021</v>
      </c>
      <c r="J203" s="6" t="s">
        <v>52</v>
      </c>
      <c r="K203" s="6" t="s">
        <v>279</v>
      </c>
      <c r="L203" s="9" t="s">
        <v>69</v>
      </c>
      <c r="M203" s="13" t="s">
        <v>275</v>
      </c>
      <c r="N203" s="6" t="s">
        <v>41</v>
      </c>
      <c r="O203" s="6" t="s">
        <v>54</v>
      </c>
      <c r="P203" s="6" t="s">
        <v>162</v>
      </c>
      <c r="Q203" s="6" t="s">
        <v>229</v>
      </c>
      <c r="R203" s="6" t="s">
        <v>72</v>
      </c>
      <c r="S203" s="6" t="s">
        <v>45</v>
      </c>
      <c r="T203" s="6" t="s">
        <v>46</v>
      </c>
      <c r="U203" s="6" t="n">
        <v>1000</v>
      </c>
      <c r="V203" s="1" t="n">
        <v>3</v>
      </c>
      <c r="W203" s="6"/>
      <c r="X203" s="6" t="s">
        <v>47</v>
      </c>
      <c r="Y203" s="1" t="n">
        <v>5500</v>
      </c>
      <c r="Z203" s="6" t="s">
        <v>276</v>
      </c>
      <c r="AA203" s="6" t="s">
        <v>277</v>
      </c>
      <c r="AB203" s="15" t="str">
        <f aca="true" t="array" ref="AB203:AB203">LEFT(AA203,LOOKUP(2^15,FIND(".",AA203,ROW(INDIRECT("1:"&amp;LEN(AA203)))))-1)</f>
        <v>NB_2022_030 - 20062022 - 1</v>
      </c>
      <c r="AC203" s="6" t="s">
        <v>278</v>
      </c>
      <c r="AD203" s="15" t="str">
        <f aca="true" t="array" ref="AD203:AD203">LEFT(AC203,LOOKUP(2^15,FIND(".",AC203,ROW(INDIRECT("1:"&amp;LEN(AC203)))))-1)</f>
        <v>NB_2022_030 - 20062022 - 2</v>
      </c>
      <c r="AE203" s="6" t="str">
        <f aca="false">CONCATENATE(AB203, "-",H203, ".mzML")</f>
        <v>NB_2022_030 - 20062022 - 1-021.mzML</v>
      </c>
      <c r="AF203" s="6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4" t="s">
        <v>269</v>
      </c>
      <c r="B204" s="5"/>
      <c r="C204" s="4" t="s">
        <v>270</v>
      </c>
      <c r="D204" s="6" t="s">
        <v>14</v>
      </c>
      <c r="E204" s="6" t="s">
        <v>271</v>
      </c>
      <c r="F204" s="7" t="s">
        <v>272</v>
      </c>
      <c r="G204" s="6" t="s">
        <v>271</v>
      </c>
      <c r="H204" s="27" t="s">
        <v>64</v>
      </c>
      <c r="I204" s="6" t="str">
        <f aca="false">CONCATENATE(E204, "_",H204)</f>
        <v>NLA_2022_007_Blank_1</v>
      </c>
      <c r="J204" s="6" t="s">
        <v>52</v>
      </c>
      <c r="K204" s="6" t="s">
        <v>280</v>
      </c>
      <c r="L204" s="9" t="s">
        <v>46</v>
      </c>
      <c r="M204" s="13" t="s">
        <v>46</v>
      </c>
      <c r="N204" s="6" t="s">
        <v>65</v>
      </c>
      <c r="O204" s="6" t="s">
        <v>46</v>
      </c>
      <c r="P204" s="6" t="s">
        <v>46</v>
      </c>
      <c r="Q204" s="6" t="s">
        <v>46</v>
      </c>
      <c r="R204" s="6" t="s">
        <v>46</v>
      </c>
      <c r="S204" s="6" t="s">
        <v>46</v>
      </c>
      <c r="T204" s="6" t="s">
        <v>46</v>
      </c>
      <c r="U204" s="6" t="s">
        <v>46</v>
      </c>
      <c r="V204" s="1" t="n">
        <v>1</v>
      </c>
      <c r="W204" s="6"/>
      <c r="X204" s="6" t="s">
        <v>46</v>
      </c>
      <c r="Y204" s="1" t="n">
        <v>5500</v>
      </c>
      <c r="Z204" s="6" t="s">
        <v>276</v>
      </c>
      <c r="AA204" s="6" t="s">
        <v>277</v>
      </c>
      <c r="AB204" s="15" t="str">
        <f aca="true" t="array" ref="AB204:AB204">LEFT(AA204,LOOKUP(2^15,FIND(".",AA204,ROW(INDIRECT("1:"&amp;LEN(AA204)))))-1)</f>
        <v>NB_2022_030 - 20062022 - 1</v>
      </c>
      <c r="AC204" s="6" t="s">
        <v>278</v>
      </c>
      <c r="AD204" s="15" t="str">
        <f aca="true" t="array" ref="AD204:AD204">LEFT(AC204,LOOKUP(2^15,FIND(".",AC204,ROW(INDIRECT("1:"&amp;LEN(AC204)))))-1)</f>
        <v>NB_2022_030 - 20062022 - 2</v>
      </c>
      <c r="AE204" s="6" t="str">
        <f aca="false">CONCATENATE(AB204, "-",H204, ".mzML")</f>
        <v>NB_2022_030 - 20062022 - 1-Blank_1.mzML</v>
      </c>
      <c r="AF204" s="6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4" t="s">
        <v>269</v>
      </c>
      <c r="B205" s="5"/>
      <c r="C205" s="4" t="s">
        <v>270</v>
      </c>
      <c r="D205" s="6" t="s">
        <v>14</v>
      </c>
      <c r="E205" s="6" t="s">
        <v>271</v>
      </c>
      <c r="F205" s="7" t="s">
        <v>272</v>
      </c>
      <c r="G205" s="6" t="s">
        <v>271</v>
      </c>
      <c r="H205" s="27" t="s">
        <v>66</v>
      </c>
      <c r="I205" s="6" t="str">
        <f aca="false">CONCATENATE(E205, "_",H205)</f>
        <v>NLA_2022_007_Blank_2</v>
      </c>
      <c r="J205" s="6" t="s">
        <v>52</v>
      </c>
      <c r="K205" s="6" t="s">
        <v>280</v>
      </c>
      <c r="L205" s="9" t="s">
        <v>46</v>
      </c>
      <c r="M205" s="13" t="s">
        <v>46</v>
      </c>
      <c r="N205" s="6" t="s">
        <v>65</v>
      </c>
      <c r="O205" s="6" t="s">
        <v>46</v>
      </c>
      <c r="P205" s="6" t="s">
        <v>46</v>
      </c>
      <c r="Q205" s="6" t="s">
        <v>46</v>
      </c>
      <c r="R205" s="6" t="s">
        <v>46</v>
      </c>
      <c r="S205" s="6" t="s">
        <v>46</v>
      </c>
      <c r="T205" s="6" t="s">
        <v>46</v>
      </c>
      <c r="U205" s="6" t="s">
        <v>46</v>
      </c>
      <c r="V205" s="1" t="n">
        <v>2</v>
      </c>
      <c r="W205" s="6"/>
      <c r="X205" s="6" t="s">
        <v>46</v>
      </c>
      <c r="Y205" s="1" t="n">
        <v>5500</v>
      </c>
      <c r="Z205" s="6" t="s">
        <v>276</v>
      </c>
      <c r="AA205" s="6" t="s">
        <v>277</v>
      </c>
      <c r="AB205" s="15" t="str">
        <f aca="true" t="array" ref="AB205:AB205">LEFT(AA205,LOOKUP(2^15,FIND(".",AA205,ROW(INDIRECT("1:"&amp;LEN(AA205)))))-1)</f>
        <v>NB_2022_030 - 20062022 - 1</v>
      </c>
      <c r="AC205" s="6" t="s">
        <v>278</v>
      </c>
      <c r="AD205" s="15" t="str">
        <f aca="true" t="array" ref="AD205:AD205">LEFT(AC205,LOOKUP(2^15,FIND(".",AC205,ROW(INDIRECT("1:"&amp;LEN(AC205)))))-1)</f>
        <v>NB_2022_030 - 20062022 - 2</v>
      </c>
      <c r="AE205" s="6" t="str">
        <f aca="false">CONCATENATE(AB205, "-",H205, ".mzML")</f>
        <v>NB_2022_030 - 20062022 - 1-Blank_2.mzML</v>
      </c>
      <c r="AF205" s="6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4" t="s">
        <v>269</v>
      </c>
      <c r="B206" s="5"/>
      <c r="C206" s="4" t="s">
        <v>270</v>
      </c>
      <c r="D206" s="6" t="s">
        <v>14</v>
      </c>
      <c r="E206" s="6" t="s">
        <v>271</v>
      </c>
      <c r="F206" s="7" t="s">
        <v>272</v>
      </c>
      <c r="G206" s="6" t="s">
        <v>271</v>
      </c>
      <c r="H206" s="27" t="s">
        <v>67</v>
      </c>
      <c r="I206" s="6" t="str">
        <f aca="false">CONCATENATE(E206, "_",H206)</f>
        <v>NLA_2022_007_Blank_3</v>
      </c>
      <c r="J206" s="6" t="s">
        <v>52</v>
      </c>
      <c r="K206" s="6" t="s">
        <v>280</v>
      </c>
      <c r="L206" s="9" t="s">
        <v>46</v>
      </c>
      <c r="M206" s="13" t="s">
        <v>46</v>
      </c>
      <c r="N206" s="6" t="s">
        <v>65</v>
      </c>
      <c r="O206" s="6" t="s">
        <v>46</v>
      </c>
      <c r="P206" s="6" t="s">
        <v>46</v>
      </c>
      <c r="Q206" s="6" t="s">
        <v>46</v>
      </c>
      <c r="R206" s="6" t="s">
        <v>46</v>
      </c>
      <c r="S206" s="6" t="s">
        <v>46</v>
      </c>
      <c r="T206" s="6" t="s">
        <v>46</v>
      </c>
      <c r="U206" s="6" t="s">
        <v>46</v>
      </c>
      <c r="V206" s="1" t="n">
        <v>3</v>
      </c>
      <c r="W206" s="6"/>
      <c r="X206" s="6" t="s">
        <v>46</v>
      </c>
      <c r="Y206" s="1" t="n">
        <v>5500</v>
      </c>
      <c r="Z206" s="6" t="s">
        <v>276</v>
      </c>
      <c r="AA206" s="6" t="s">
        <v>277</v>
      </c>
      <c r="AB206" s="15" t="str">
        <f aca="true" t="array" ref="AB206:AB206">LEFT(AA206,LOOKUP(2^15,FIND(".",AA206,ROW(INDIRECT("1:"&amp;LEN(AA206)))))-1)</f>
        <v>NB_2022_030 - 20062022 - 1</v>
      </c>
      <c r="AC206" s="6" t="s">
        <v>278</v>
      </c>
      <c r="AD206" s="15" t="str">
        <f aca="true" t="array" ref="AD206:AD206">LEFT(AC206,LOOKUP(2^15,FIND(".",AC206,ROW(INDIRECT("1:"&amp;LEN(AC206)))))-1)</f>
        <v>NB_2022_030 - 20062022 - 2</v>
      </c>
      <c r="AE206" s="6" t="str">
        <f aca="false">CONCATENATE(AB206, "-",H206, ".mzML")</f>
        <v>NB_2022_030 - 20062022 - 1-Blank_3.mzML</v>
      </c>
      <c r="AF206" s="6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4" t="s">
        <v>269</v>
      </c>
      <c r="B207" s="5"/>
      <c r="C207" s="4" t="s">
        <v>270</v>
      </c>
      <c r="D207" s="6" t="s">
        <v>14</v>
      </c>
      <c r="E207" s="6" t="s">
        <v>271</v>
      </c>
      <c r="F207" s="7" t="s">
        <v>272</v>
      </c>
      <c r="G207" s="6" t="s">
        <v>271</v>
      </c>
      <c r="H207" s="27" t="s">
        <v>68</v>
      </c>
      <c r="I207" s="6" t="str">
        <f aca="false">CONCATENATE(E207, "_",H207)</f>
        <v>NLA_2022_007_QC_C_1</v>
      </c>
      <c r="J207" s="6" t="s">
        <v>52</v>
      </c>
      <c r="K207" s="6" t="s">
        <v>70</v>
      </c>
      <c r="L207" s="9" t="s">
        <v>69</v>
      </c>
      <c r="M207" s="13" t="s">
        <v>46</v>
      </c>
      <c r="N207" s="6" t="s">
        <v>70</v>
      </c>
      <c r="O207" s="6" t="s">
        <v>46</v>
      </c>
      <c r="P207" s="6" t="s">
        <v>71</v>
      </c>
      <c r="Q207" s="6" t="s">
        <v>71</v>
      </c>
      <c r="R207" s="6" t="s">
        <v>72</v>
      </c>
      <c r="S207" s="6" t="s">
        <v>73</v>
      </c>
      <c r="T207" s="6" t="s">
        <v>46</v>
      </c>
      <c r="U207" s="6" t="n">
        <v>1000</v>
      </c>
      <c r="V207" s="1" t="n">
        <v>1</v>
      </c>
      <c r="W207" s="6"/>
      <c r="X207" s="6" t="s">
        <v>74</v>
      </c>
      <c r="Y207" s="1" t="n">
        <v>5500</v>
      </c>
      <c r="Z207" s="6" t="s">
        <v>276</v>
      </c>
      <c r="AA207" s="6" t="s">
        <v>277</v>
      </c>
      <c r="AB207" s="15" t="str">
        <f aca="true" t="array" ref="AB207:AB207">LEFT(AA207,LOOKUP(2^15,FIND(".",AA207,ROW(INDIRECT("1:"&amp;LEN(AA207)))))-1)</f>
        <v>NB_2022_030 - 20062022 - 1</v>
      </c>
      <c r="AC207" s="6" t="s">
        <v>278</v>
      </c>
      <c r="AD207" s="15" t="str">
        <f aca="true" t="array" ref="AD207:AD207">LEFT(AC207,LOOKUP(2^15,FIND(".",AC207,ROW(INDIRECT("1:"&amp;LEN(AC207)))))-1)</f>
        <v>NB_2022_030 - 20062022 - 2</v>
      </c>
      <c r="AE207" s="6" t="str">
        <f aca="false">CONCATENATE(AB207, "-",H207, ".mzML")</f>
        <v>NB_2022_030 - 20062022 - 1-QC_C_1.mzML</v>
      </c>
      <c r="AF207" s="6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4" t="s">
        <v>269</v>
      </c>
      <c r="B208" s="5"/>
      <c r="C208" s="4" t="s">
        <v>270</v>
      </c>
      <c r="D208" s="6" t="s">
        <v>14</v>
      </c>
      <c r="E208" s="6" t="s">
        <v>271</v>
      </c>
      <c r="F208" s="7" t="s">
        <v>272</v>
      </c>
      <c r="G208" s="6" t="s">
        <v>271</v>
      </c>
      <c r="H208" s="27" t="s">
        <v>75</v>
      </c>
      <c r="I208" s="6" t="str">
        <f aca="false">CONCATENATE(E208, "_",H208)</f>
        <v>NLA_2022_007_QC_C_2</v>
      </c>
      <c r="J208" s="6" t="s">
        <v>52</v>
      </c>
      <c r="K208" s="6" t="s">
        <v>70</v>
      </c>
      <c r="L208" s="9" t="s">
        <v>69</v>
      </c>
      <c r="M208" s="13" t="s">
        <v>46</v>
      </c>
      <c r="N208" s="6" t="s">
        <v>70</v>
      </c>
      <c r="O208" s="6" t="s">
        <v>46</v>
      </c>
      <c r="P208" s="6" t="s">
        <v>71</v>
      </c>
      <c r="Q208" s="6" t="s">
        <v>71</v>
      </c>
      <c r="R208" s="6" t="s">
        <v>72</v>
      </c>
      <c r="S208" s="6" t="s">
        <v>73</v>
      </c>
      <c r="T208" s="6" t="s">
        <v>46</v>
      </c>
      <c r="U208" s="6" t="n">
        <v>1000</v>
      </c>
      <c r="V208" s="1" t="n">
        <v>2</v>
      </c>
      <c r="W208" s="6"/>
      <c r="X208" s="6" t="s">
        <v>74</v>
      </c>
      <c r="Y208" s="1" t="n">
        <v>5500</v>
      </c>
      <c r="Z208" s="6" t="s">
        <v>276</v>
      </c>
      <c r="AA208" s="6" t="s">
        <v>277</v>
      </c>
      <c r="AB208" s="15" t="str">
        <f aca="true" t="array" ref="AB208:AB208">LEFT(AA208,LOOKUP(2^15,FIND(".",AA208,ROW(INDIRECT("1:"&amp;LEN(AA208)))))-1)</f>
        <v>NB_2022_030 - 20062022 - 1</v>
      </c>
      <c r="AC208" s="6" t="s">
        <v>278</v>
      </c>
      <c r="AD208" s="15" t="str">
        <f aca="true" t="array" ref="AD208:AD208">LEFT(AC208,LOOKUP(2^15,FIND(".",AC208,ROW(INDIRECT("1:"&amp;LEN(AC208)))))-1)</f>
        <v>NB_2022_030 - 20062022 - 2</v>
      </c>
      <c r="AE208" s="6" t="str">
        <f aca="false">CONCATENATE(AB208, "-",H208, ".mzML")</f>
        <v>NB_2022_030 - 20062022 - 1-QC_C_2.mzML</v>
      </c>
      <c r="AF208" s="6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4" t="s">
        <v>269</v>
      </c>
      <c r="B209" s="5"/>
      <c r="C209" s="4" t="s">
        <v>270</v>
      </c>
      <c r="D209" s="6" t="s">
        <v>14</v>
      </c>
      <c r="E209" s="6" t="s">
        <v>271</v>
      </c>
      <c r="F209" s="7" t="s">
        <v>272</v>
      </c>
      <c r="G209" s="6" t="s">
        <v>271</v>
      </c>
      <c r="H209" s="27" t="s">
        <v>76</v>
      </c>
      <c r="I209" s="6" t="str">
        <f aca="false">CONCATENATE(E209, "_",H209)</f>
        <v>NLA_2022_007_QC_C_3</v>
      </c>
      <c r="J209" s="6" t="s">
        <v>52</v>
      </c>
      <c r="K209" s="6" t="s">
        <v>70</v>
      </c>
      <c r="L209" s="9" t="s">
        <v>69</v>
      </c>
      <c r="M209" s="13" t="s">
        <v>46</v>
      </c>
      <c r="N209" s="6" t="s">
        <v>70</v>
      </c>
      <c r="O209" s="6" t="s">
        <v>46</v>
      </c>
      <c r="P209" s="6" t="s">
        <v>71</v>
      </c>
      <c r="Q209" s="6" t="s">
        <v>71</v>
      </c>
      <c r="R209" s="6" t="s">
        <v>72</v>
      </c>
      <c r="S209" s="6" t="s">
        <v>73</v>
      </c>
      <c r="T209" s="6" t="s">
        <v>46</v>
      </c>
      <c r="U209" s="6" t="n">
        <v>1000</v>
      </c>
      <c r="V209" s="1" t="n">
        <v>3</v>
      </c>
      <c r="W209" s="6"/>
      <c r="X209" s="6" t="s">
        <v>74</v>
      </c>
      <c r="Y209" s="1" t="n">
        <v>5500</v>
      </c>
      <c r="Z209" s="6" t="s">
        <v>276</v>
      </c>
      <c r="AA209" s="6" t="s">
        <v>277</v>
      </c>
      <c r="AB209" s="15" t="str">
        <f aca="true" t="array" ref="AB209:AB209">LEFT(AA209,LOOKUP(2^15,FIND(".",AA209,ROW(INDIRECT("1:"&amp;LEN(AA209)))))-1)</f>
        <v>NB_2022_030 - 20062022 - 1</v>
      </c>
      <c r="AC209" s="6" t="s">
        <v>278</v>
      </c>
      <c r="AD209" s="15" t="str">
        <f aca="true" t="array" ref="AD209:AD209">LEFT(AC209,LOOKUP(2^15,FIND(".",AC209,ROW(INDIRECT("1:"&amp;LEN(AC209)))))-1)</f>
        <v>NB_2022_030 - 20062022 - 2</v>
      </c>
      <c r="AE209" s="6" t="str">
        <f aca="false">CONCATENATE(AB209, "-",H209, ".mzML")</f>
        <v>NB_2022_030 - 20062022 - 1-QC_C_3.mzML</v>
      </c>
      <c r="AF209" s="6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4" t="s">
        <v>269</v>
      </c>
      <c r="B210" s="5"/>
      <c r="C210" s="4" t="s">
        <v>270</v>
      </c>
      <c r="D210" s="6" t="s">
        <v>14</v>
      </c>
      <c r="E210" s="6" t="s">
        <v>271</v>
      </c>
      <c r="F210" s="7" t="s">
        <v>272</v>
      </c>
      <c r="G210" s="6" t="s">
        <v>271</v>
      </c>
      <c r="H210" s="27" t="s">
        <v>77</v>
      </c>
      <c r="I210" s="6" t="str">
        <f aca="false">CONCATENATE(E210, "_",H210)</f>
        <v>NLA_2022_007_QC_P_1</v>
      </c>
      <c r="J210" s="6" t="s">
        <v>52</v>
      </c>
      <c r="K210" s="6" t="s">
        <v>281</v>
      </c>
      <c r="L210" s="9" t="s">
        <v>69</v>
      </c>
      <c r="M210" s="13" t="s">
        <v>46</v>
      </c>
      <c r="N210" s="6" t="s">
        <v>78</v>
      </c>
      <c r="O210" s="6" t="s">
        <v>46</v>
      </c>
      <c r="P210" s="6" t="s">
        <v>79</v>
      </c>
      <c r="Q210" s="6" t="s">
        <v>80</v>
      </c>
      <c r="R210" s="6" t="s">
        <v>81</v>
      </c>
      <c r="S210" s="6" t="s">
        <v>46</v>
      </c>
      <c r="T210" s="6" t="s">
        <v>46</v>
      </c>
      <c r="U210" s="6" t="s">
        <v>82</v>
      </c>
      <c r="V210" s="1" t="n">
        <v>1</v>
      </c>
      <c r="W210" s="6"/>
      <c r="X210" s="6" t="s">
        <v>83</v>
      </c>
      <c r="Y210" s="1" t="n">
        <v>5500</v>
      </c>
      <c r="Z210" s="6" t="s">
        <v>276</v>
      </c>
      <c r="AA210" s="6" t="s">
        <v>277</v>
      </c>
      <c r="AB210" s="15" t="str">
        <f aca="true" t="array" ref="AB210:AB210">LEFT(AA210,LOOKUP(2^15,FIND(".",AA210,ROW(INDIRECT("1:"&amp;LEN(AA210)))))-1)</f>
        <v>NB_2022_030 - 20062022 - 1</v>
      </c>
      <c r="AC210" s="6" t="s">
        <v>278</v>
      </c>
      <c r="AD210" s="15" t="str">
        <f aca="true" t="array" ref="AD210:AD210">LEFT(AC210,LOOKUP(2^15,FIND(".",AC210,ROW(INDIRECT("1:"&amp;LEN(AC210)))))-1)</f>
        <v>NB_2022_030 - 20062022 - 2</v>
      </c>
      <c r="AE210" s="6" t="str">
        <f aca="false">CONCATENATE(AB210, "-",H210, ".mzML")</f>
        <v>NB_2022_030 - 20062022 - 1-QC_P_1.mzML</v>
      </c>
      <c r="AF210" s="6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4" t="s">
        <v>269</v>
      </c>
      <c r="B211" s="5"/>
      <c r="C211" s="4" t="s">
        <v>270</v>
      </c>
      <c r="D211" s="6" t="s">
        <v>14</v>
      </c>
      <c r="E211" s="6" t="s">
        <v>271</v>
      </c>
      <c r="F211" s="7" t="s">
        <v>272</v>
      </c>
      <c r="G211" s="6" t="s">
        <v>271</v>
      </c>
      <c r="H211" s="27" t="s">
        <v>84</v>
      </c>
      <c r="I211" s="6" t="str">
        <f aca="false">CONCATENATE(E211, "_",H211)</f>
        <v>NLA_2022_007_QC_P_2</v>
      </c>
      <c r="J211" s="6" t="s">
        <v>52</v>
      </c>
      <c r="K211" s="6" t="s">
        <v>281</v>
      </c>
      <c r="L211" s="9" t="s">
        <v>69</v>
      </c>
      <c r="M211" s="13" t="s">
        <v>46</v>
      </c>
      <c r="N211" s="6" t="s">
        <v>78</v>
      </c>
      <c r="O211" s="6" t="s">
        <v>46</v>
      </c>
      <c r="P211" s="6" t="s">
        <v>79</v>
      </c>
      <c r="Q211" s="6" t="s">
        <v>80</v>
      </c>
      <c r="R211" s="6" t="s">
        <v>81</v>
      </c>
      <c r="S211" s="6" t="s">
        <v>46</v>
      </c>
      <c r="T211" s="6" t="s">
        <v>46</v>
      </c>
      <c r="U211" s="6" t="s">
        <v>82</v>
      </c>
      <c r="V211" s="1" t="n">
        <v>2</v>
      </c>
      <c r="W211" s="6"/>
      <c r="X211" s="6" t="s">
        <v>83</v>
      </c>
      <c r="Y211" s="1" t="n">
        <v>5500</v>
      </c>
      <c r="Z211" s="6" t="s">
        <v>276</v>
      </c>
      <c r="AA211" s="6" t="s">
        <v>277</v>
      </c>
      <c r="AB211" s="15" t="str">
        <f aca="true" t="array" ref="AB211:AB211">LEFT(AA211,LOOKUP(2^15,FIND(".",AA211,ROW(INDIRECT("1:"&amp;LEN(AA211)))))-1)</f>
        <v>NB_2022_030 - 20062022 - 1</v>
      </c>
      <c r="AC211" s="6" t="s">
        <v>278</v>
      </c>
      <c r="AD211" s="15" t="str">
        <f aca="true" t="array" ref="AD211:AD211">LEFT(AC211,LOOKUP(2^15,FIND(".",AC211,ROW(INDIRECT("1:"&amp;LEN(AC211)))))-1)</f>
        <v>NB_2022_030 - 20062022 - 2</v>
      </c>
      <c r="AE211" s="6" t="str">
        <f aca="false">CONCATENATE(AB211, "-",H211, ".mzML")</f>
        <v>NB_2022_030 - 20062022 - 1-QC_P_2.mzML</v>
      </c>
      <c r="AF211" s="6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4" t="s">
        <v>269</v>
      </c>
      <c r="B212" s="5"/>
      <c r="C212" s="4" t="s">
        <v>270</v>
      </c>
      <c r="D212" s="6" t="s">
        <v>14</v>
      </c>
      <c r="E212" s="6" t="s">
        <v>271</v>
      </c>
      <c r="F212" s="7" t="s">
        <v>272</v>
      </c>
      <c r="G212" s="6" t="s">
        <v>271</v>
      </c>
      <c r="H212" s="27" t="s">
        <v>85</v>
      </c>
      <c r="I212" s="6" t="str">
        <f aca="false">CONCATENATE(E212, "_",H212)</f>
        <v>NLA_2022_007_QC_P_3</v>
      </c>
      <c r="J212" s="6" t="s">
        <v>52</v>
      </c>
      <c r="K212" s="6" t="s">
        <v>281</v>
      </c>
      <c r="L212" s="9" t="s">
        <v>69</v>
      </c>
      <c r="M212" s="13" t="s">
        <v>46</v>
      </c>
      <c r="N212" s="6" t="s">
        <v>78</v>
      </c>
      <c r="O212" s="6" t="s">
        <v>46</v>
      </c>
      <c r="P212" s="6" t="s">
        <v>79</v>
      </c>
      <c r="Q212" s="6" t="s">
        <v>80</v>
      </c>
      <c r="R212" s="6" t="s">
        <v>81</v>
      </c>
      <c r="S212" s="6" t="s">
        <v>46</v>
      </c>
      <c r="T212" s="6" t="s">
        <v>46</v>
      </c>
      <c r="U212" s="6" t="s">
        <v>82</v>
      </c>
      <c r="V212" s="1" t="n">
        <v>3</v>
      </c>
      <c r="W212" s="6"/>
      <c r="X212" s="6" t="s">
        <v>83</v>
      </c>
      <c r="Y212" s="1" t="n">
        <v>5500</v>
      </c>
      <c r="Z212" s="6" t="s">
        <v>276</v>
      </c>
      <c r="AA212" s="6" t="s">
        <v>277</v>
      </c>
      <c r="AB212" s="15" t="str">
        <f aca="true" t="array" ref="AB212:AB212">LEFT(AA212,LOOKUP(2^15,FIND(".",AA212,ROW(INDIRECT("1:"&amp;LEN(AA212)))))-1)</f>
        <v>NB_2022_030 - 20062022 - 1</v>
      </c>
      <c r="AC212" s="6" t="s">
        <v>278</v>
      </c>
      <c r="AD212" s="15" t="str">
        <f aca="true" t="array" ref="AD212:AD212">LEFT(AC212,LOOKUP(2^15,FIND(".",AC212,ROW(INDIRECT("1:"&amp;LEN(AC212)))))-1)</f>
        <v>NB_2022_030 - 20062022 - 2</v>
      </c>
      <c r="AE212" s="6" t="str">
        <f aca="false">CONCATENATE(AB212, "-",H212, ".mzML")</f>
        <v>NB_2022_030 - 20062022 - 1-QC_P_3.mzML</v>
      </c>
      <c r="AF212" s="6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4" t="s">
        <v>282</v>
      </c>
      <c r="B213" s="5"/>
      <c r="C213" s="4" t="s">
        <v>283</v>
      </c>
      <c r="D213" s="6" t="s">
        <v>284</v>
      </c>
      <c r="E213" s="6" t="s">
        <v>271</v>
      </c>
      <c r="F213" s="7" t="s">
        <v>272</v>
      </c>
      <c r="G213" s="6" t="s">
        <v>273</v>
      </c>
      <c r="H213" s="27" t="s">
        <v>108</v>
      </c>
      <c r="I213" s="6" t="str">
        <f aca="false">CONCATENATE(E213, "_",H213)</f>
        <v>NLA_2022_007_001</v>
      </c>
      <c r="J213" s="6" t="s">
        <v>38</v>
      </c>
      <c r="K213" s="6" t="s">
        <v>274</v>
      </c>
      <c r="L213" s="9" t="s">
        <v>69</v>
      </c>
      <c r="M213" s="13" t="s">
        <v>275</v>
      </c>
      <c r="N213" s="6" t="s">
        <v>41</v>
      </c>
      <c r="O213" s="6" t="s">
        <v>42</v>
      </c>
      <c r="P213" s="6" t="s">
        <v>162</v>
      </c>
      <c r="Q213" s="6" t="s">
        <v>162</v>
      </c>
      <c r="R213" s="6" t="s">
        <v>72</v>
      </c>
      <c r="S213" s="6" t="s">
        <v>45</v>
      </c>
      <c r="T213" s="6" t="s">
        <v>46</v>
      </c>
      <c r="U213" s="6" t="n">
        <v>1000</v>
      </c>
      <c r="V213" s="1" t="n">
        <v>1</v>
      </c>
      <c r="W213" s="6"/>
      <c r="X213" s="6" t="s">
        <v>47</v>
      </c>
      <c r="Y213" s="1" t="n">
        <v>5500</v>
      </c>
      <c r="Z213" s="6" t="s">
        <v>276</v>
      </c>
      <c r="AA213" s="6" t="s">
        <v>277</v>
      </c>
      <c r="AB213" s="15" t="str">
        <f aca="true" t="array" ref="AB213:AB213">LEFT(AA213,LOOKUP(2^15,FIND(".",AA213,ROW(INDIRECT("1:"&amp;LEN(AA213)))))-1)</f>
        <v>NB_2022_030 - 20062022 - 1</v>
      </c>
      <c r="AC213" s="6" t="s">
        <v>278</v>
      </c>
      <c r="AD213" s="15" t="str">
        <f aca="true" t="array" ref="AD213:AD213">LEFT(AC213,LOOKUP(2^15,FIND(".",AC213,ROW(INDIRECT("1:"&amp;LEN(AC213)))))-1)</f>
        <v>NB_2022_030 - 20062022 - 2</v>
      </c>
      <c r="AE213" s="6" t="str">
        <f aca="false">CONCATENATE(AB213, "-",H213, ".mzML")</f>
        <v>NB_2022_030 - 20062022 - 1-001.mzML</v>
      </c>
      <c r="AF213" s="6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4" t="s">
        <v>282</v>
      </c>
      <c r="B214" s="5"/>
      <c r="C214" s="4" t="s">
        <v>283</v>
      </c>
      <c r="D214" s="6" t="s">
        <v>284</v>
      </c>
      <c r="E214" s="6" t="s">
        <v>271</v>
      </c>
      <c r="F214" s="7" t="s">
        <v>272</v>
      </c>
      <c r="G214" s="6" t="s">
        <v>273</v>
      </c>
      <c r="H214" s="27" t="s">
        <v>88</v>
      </c>
      <c r="I214" s="6" t="str">
        <f aca="false">CONCATENATE(E214, "_",H214)</f>
        <v>NLA_2022_007_002</v>
      </c>
      <c r="J214" s="6" t="s">
        <v>38</v>
      </c>
      <c r="K214" s="6" t="s">
        <v>274</v>
      </c>
      <c r="L214" s="9" t="s">
        <v>69</v>
      </c>
      <c r="M214" s="13" t="s">
        <v>275</v>
      </c>
      <c r="N214" s="6" t="s">
        <v>41</v>
      </c>
      <c r="O214" s="6" t="s">
        <v>42</v>
      </c>
      <c r="P214" s="6" t="s">
        <v>162</v>
      </c>
      <c r="Q214" s="6" t="s">
        <v>162</v>
      </c>
      <c r="R214" s="6" t="s">
        <v>72</v>
      </c>
      <c r="S214" s="6" t="s">
        <v>45</v>
      </c>
      <c r="T214" s="6" t="s">
        <v>46</v>
      </c>
      <c r="U214" s="6" t="n">
        <v>1000</v>
      </c>
      <c r="V214" s="1" t="n">
        <v>2</v>
      </c>
      <c r="W214" s="6"/>
      <c r="X214" s="6" t="s">
        <v>47</v>
      </c>
      <c r="Y214" s="1" t="n">
        <v>5500</v>
      </c>
      <c r="Z214" s="6" t="s">
        <v>276</v>
      </c>
      <c r="AA214" s="6" t="s">
        <v>277</v>
      </c>
      <c r="AB214" s="15" t="str">
        <f aca="true" t="array" ref="AB214:AB214">LEFT(AA214,LOOKUP(2^15,FIND(".",AA214,ROW(INDIRECT("1:"&amp;LEN(AA214)))))-1)</f>
        <v>NB_2022_030 - 20062022 - 1</v>
      </c>
      <c r="AC214" s="6" t="s">
        <v>278</v>
      </c>
      <c r="AD214" s="15" t="str">
        <f aca="true" t="array" ref="AD214:AD214">LEFT(AC214,LOOKUP(2^15,FIND(".",AC214,ROW(INDIRECT("1:"&amp;LEN(AC214)))))-1)</f>
        <v>NB_2022_030 - 20062022 - 2</v>
      </c>
      <c r="AE214" s="6" t="str">
        <f aca="false">CONCATENATE(AB214, "-",H214, ".mzML")</f>
        <v>NB_2022_030 - 20062022 - 1-002.mzML</v>
      </c>
      <c r="AF214" s="6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4" t="s">
        <v>282</v>
      </c>
      <c r="B215" s="5"/>
      <c r="C215" s="4" t="s">
        <v>283</v>
      </c>
      <c r="D215" s="6" t="s">
        <v>284</v>
      </c>
      <c r="E215" s="6" t="s">
        <v>271</v>
      </c>
      <c r="F215" s="7" t="s">
        <v>272</v>
      </c>
      <c r="G215" s="6" t="s">
        <v>273</v>
      </c>
      <c r="H215" s="27" t="s">
        <v>97</v>
      </c>
      <c r="I215" s="6" t="str">
        <f aca="false">CONCATENATE(E215, "_",H215)</f>
        <v>NLA_2022_007_003</v>
      </c>
      <c r="J215" s="6" t="s">
        <v>38</v>
      </c>
      <c r="K215" s="6" t="s">
        <v>274</v>
      </c>
      <c r="L215" s="9" t="s">
        <v>69</v>
      </c>
      <c r="M215" s="13" t="s">
        <v>275</v>
      </c>
      <c r="N215" s="6" t="s">
        <v>41</v>
      </c>
      <c r="O215" s="6" t="s">
        <v>42</v>
      </c>
      <c r="P215" s="6" t="s">
        <v>162</v>
      </c>
      <c r="Q215" s="6" t="s">
        <v>162</v>
      </c>
      <c r="R215" s="6" t="s">
        <v>72</v>
      </c>
      <c r="S215" s="6" t="s">
        <v>45</v>
      </c>
      <c r="T215" s="6" t="s">
        <v>46</v>
      </c>
      <c r="U215" s="6" t="n">
        <v>1000</v>
      </c>
      <c r="V215" s="1" t="n">
        <v>3</v>
      </c>
      <c r="W215" s="6"/>
      <c r="X215" s="6" t="s">
        <v>47</v>
      </c>
      <c r="Y215" s="1" t="n">
        <v>5500</v>
      </c>
      <c r="Z215" s="6" t="s">
        <v>276</v>
      </c>
      <c r="AA215" s="6" t="s">
        <v>277</v>
      </c>
      <c r="AB215" s="15" t="str">
        <f aca="true" t="array" ref="AB215:AB215">LEFT(AA215,LOOKUP(2^15,FIND(".",AA215,ROW(INDIRECT("1:"&amp;LEN(AA215)))))-1)</f>
        <v>NB_2022_030 - 20062022 - 1</v>
      </c>
      <c r="AC215" s="6" t="s">
        <v>278</v>
      </c>
      <c r="AD215" s="15" t="str">
        <f aca="true" t="array" ref="AD215:AD215">LEFT(AC215,LOOKUP(2^15,FIND(".",AC215,ROW(INDIRECT("1:"&amp;LEN(AC215)))))-1)</f>
        <v>NB_2022_030 - 20062022 - 2</v>
      </c>
      <c r="AE215" s="6" t="str">
        <f aca="false">CONCATENATE(AB215, "-",H215, ".mzML")</f>
        <v>NB_2022_030 - 20062022 - 1-003.mzML</v>
      </c>
      <c r="AF215" s="6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4" t="s">
        <v>282</v>
      </c>
      <c r="B216" s="5"/>
      <c r="C216" s="4" t="s">
        <v>283</v>
      </c>
      <c r="D216" s="6" t="s">
        <v>284</v>
      </c>
      <c r="E216" s="6" t="s">
        <v>271</v>
      </c>
      <c r="F216" s="7" t="s">
        <v>272</v>
      </c>
      <c r="G216" s="6" t="s">
        <v>273</v>
      </c>
      <c r="H216" s="27" t="s">
        <v>99</v>
      </c>
      <c r="I216" s="6" t="str">
        <f aca="false">CONCATENATE(E216, "_",H216)</f>
        <v>NLA_2022_007_004</v>
      </c>
      <c r="J216" s="6" t="s">
        <v>38</v>
      </c>
      <c r="K216" s="6" t="s">
        <v>285</v>
      </c>
      <c r="L216" s="9" t="s">
        <v>69</v>
      </c>
      <c r="M216" s="13" t="s">
        <v>275</v>
      </c>
      <c r="N216" s="6" t="s">
        <v>41</v>
      </c>
      <c r="O216" s="6" t="s">
        <v>42</v>
      </c>
      <c r="P216" s="6" t="s">
        <v>162</v>
      </c>
      <c r="Q216" s="6" t="s">
        <v>162</v>
      </c>
      <c r="R216" s="6" t="s">
        <v>72</v>
      </c>
      <c r="S216" s="6" t="s">
        <v>90</v>
      </c>
      <c r="T216" s="6" t="s">
        <v>46</v>
      </c>
      <c r="U216" s="6" t="n">
        <v>1000</v>
      </c>
      <c r="V216" s="1" t="n">
        <v>1</v>
      </c>
      <c r="W216" s="6"/>
      <c r="X216" s="6" t="s">
        <v>47</v>
      </c>
      <c r="Y216" s="1" t="n">
        <v>5500</v>
      </c>
      <c r="Z216" s="6" t="s">
        <v>276</v>
      </c>
      <c r="AA216" s="6" t="s">
        <v>277</v>
      </c>
      <c r="AB216" s="15" t="str">
        <f aca="true" t="array" ref="AB216:AB216">LEFT(AA216,LOOKUP(2^15,FIND(".",AA216,ROW(INDIRECT("1:"&amp;LEN(AA216)))))-1)</f>
        <v>NB_2022_030 - 20062022 - 1</v>
      </c>
      <c r="AC216" s="6" t="s">
        <v>278</v>
      </c>
      <c r="AD216" s="15" t="str">
        <f aca="true" t="array" ref="AD216:AD216">LEFT(AC216,LOOKUP(2^15,FIND(".",AC216,ROW(INDIRECT("1:"&amp;LEN(AC216)))))-1)</f>
        <v>NB_2022_030 - 20062022 - 2</v>
      </c>
      <c r="AE216" s="6" t="str">
        <f aca="false">CONCATENATE(AB216, "-",H216, ".mzML")</f>
        <v>NB_2022_030 - 20062022 - 1-004.mzML</v>
      </c>
      <c r="AF216" s="6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4" t="s">
        <v>282</v>
      </c>
      <c r="B217" s="5"/>
      <c r="C217" s="4" t="s">
        <v>283</v>
      </c>
      <c r="D217" s="6" t="s">
        <v>284</v>
      </c>
      <c r="E217" s="6" t="s">
        <v>271</v>
      </c>
      <c r="F217" s="7" t="s">
        <v>272</v>
      </c>
      <c r="G217" s="6" t="s">
        <v>273</v>
      </c>
      <c r="H217" s="27" t="s">
        <v>91</v>
      </c>
      <c r="I217" s="6" t="str">
        <f aca="false">CONCATENATE(E217, "_",H217)</f>
        <v>NLA_2022_007_005</v>
      </c>
      <c r="J217" s="6" t="s">
        <v>38</v>
      </c>
      <c r="K217" s="6" t="s">
        <v>285</v>
      </c>
      <c r="L217" s="9" t="s">
        <v>69</v>
      </c>
      <c r="M217" s="13" t="s">
        <v>275</v>
      </c>
      <c r="N217" s="6" t="s">
        <v>41</v>
      </c>
      <c r="O217" s="6" t="s">
        <v>42</v>
      </c>
      <c r="P217" s="6" t="s">
        <v>162</v>
      </c>
      <c r="Q217" s="6" t="s">
        <v>162</v>
      </c>
      <c r="R217" s="6" t="s">
        <v>72</v>
      </c>
      <c r="S217" s="6" t="s">
        <v>90</v>
      </c>
      <c r="T217" s="6" t="s">
        <v>46</v>
      </c>
      <c r="U217" s="6" t="n">
        <v>1000</v>
      </c>
      <c r="V217" s="1" t="n">
        <v>2</v>
      </c>
      <c r="W217" s="6"/>
      <c r="X217" s="6" t="s">
        <v>47</v>
      </c>
      <c r="Y217" s="1" t="n">
        <v>5500</v>
      </c>
      <c r="Z217" s="6" t="s">
        <v>276</v>
      </c>
      <c r="AA217" s="6" t="s">
        <v>277</v>
      </c>
      <c r="AB217" s="15" t="str">
        <f aca="true" t="array" ref="AB217:AB217">LEFT(AA217,LOOKUP(2^15,FIND(".",AA217,ROW(INDIRECT("1:"&amp;LEN(AA217)))))-1)</f>
        <v>NB_2022_030 - 20062022 - 1</v>
      </c>
      <c r="AC217" s="6" t="s">
        <v>278</v>
      </c>
      <c r="AD217" s="15" t="str">
        <f aca="true" t="array" ref="AD217:AD217">LEFT(AC217,LOOKUP(2^15,FIND(".",AC217,ROW(INDIRECT("1:"&amp;LEN(AC217)))))-1)</f>
        <v>NB_2022_030 - 20062022 - 2</v>
      </c>
      <c r="AE217" s="6" t="str">
        <f aca="false">CONCATENATE(AB217, "-",H217, ".mzML")</f>
        <v>NB_2022_030 - 20062022 - 1-005.mzML</v>
      </c>
      <c r="AF217" s="6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4" t="s">
        <v>282</v>
      </c>
      <c r="B218" s="5"/>
      <c r="C218" s="4" t="s">
        <v>283</v>
      </c>
      <c r="D218" s="6" t="s">
        <v>284</v>
      </c>
      <c r="E218" s="6" t="s">
        <v>271</v>
      </c>
      <c r="F218" s="7" t="s">
        <v>272</v>
      </c>
      <c r="G218" s="6" t="s">
        <v>273</v>
      </c>
      <c r="H218" s="27" t="s">
        <v>101</v>
      </c>
      <c r="I218" s="6" t="str">
        <f aca="false">CONCATENATE(E218, "_",H218)</f>
        <v>NLA_2022_007_006</v>
      </c>
      <c r="J218" s="6" t="s">
        <v>38</v>
      </c>
      <c r="K218" s="6" t="s">
        <v>285</v>
      </c>
      <c r="L218" s="9" t="s">
        <v>69</v>
      </c>
      <c r="M218" s="13" t="s">
        <v>275</v>
      </c>
      <c r="N218" s="6" t="s">
        <v>41</v>
      </c>
      <c r="O218" s="6" t="s">
        <v>42</v>
      </c>
      <c r="P218" s="6" t="s">
        <v>162</v>
      </c>
      <c r="Q218" s="6" t="s">
        <v>162</v>
      </c>
      <c r="R218" s="6" t="s">
        <v>72</v>
      </c>
      <c r="S218" s="6" t="s">
        <v>90</v>
      </c>
      <c r="T218" s="6" t="s">
        <v>46</v>
      </c>
      <c r="U218" s="6" t="n">
        <v>1000</v>
      </c>
      <c r="V218" s="1" t="n">
        <v>3</v>
      </c>
      <c r="W218" s="6"/>
      <c r="X218" s="6" t="s">
        <v>47</v>
      </c>
      <c r="Y218" s="1" t="n">
        <v>5500</v>
      </c>
      <c r="Z218" s="6" t="s">
        <v>276</v>
      </c>
      <c r="AA218" s="6" t="s">
        <v>277</v>
      </c>
      <c r="AB218" s="15" t="str">
        <f aca="true" t="array" ref="AB218:AB218">LEFT(AA218,LOOKUP(2^15,FIND(".",AA218,ROW(INDIRECT("1:"&amp;LEN(AA218)))))-1)</f>
        <v>NB_2022_030 - 20062022 - 1</v>
      </c>
      <c r="AC218" s="6" t="s">
        <v>278</v>
      </c>
      <c r="AD218" s="15" t="str">
        <f aca="true" t="array" ref="AD218:AD218">LEFT(AC218,LOOKUP(2^15,FIND(".",AC218,ROW(INDIRECT("1:"&amp;LEN(AC218)))))-1)</f>
        <v>NB_2022_030 - 20062022 - 2</v>
      </c>
      <c r="AE218" s="6" t="str">
        <f aca="false">CONCATENATE(AB218, "-",H218, ".mzML")</f>
        <v>NB_2022_030 - 20062022 - 1-006.mzML</v>
      </c>
      <c r="AF218" s="6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4" t="s">
        <v>282</v>
      </c>
      <c r="B219" s="5"/>
      <c r="C219" s="4" t="s">
        <v>283</v>
      </c>
      <c r="D219" s="6" t="s">
        <v>284</v>
      </c>
      <c r="E219" s="6" t="s">
        <v>271</v>
      </c>
      <c r="F219" s="7" t="s">
        <v>272</v>
      </c>
      <c r="G219" s="6" t="s">
        <v>271</v>
      </c>
      <c r="H219" s="27" t="s">
        <v>64</v>
      </c>
      <c r="I219" s="6" t="str">
        <f aca="false">CONCATENATE(E219, "_",H219)</f>
        <v>NLA_2022_007_Blank_1</v>
      </c>
      <c r="J219" s="6" t="s">
        <v>52</v>
      </c>
      <c r="K219" s="6" t="s">
        <v>280</v>
      </c>
      <c r="L219" s="9" t="s">
        <v>46</v>
      </c>
      <c r="M219" s="13" t="s">
        <v>46</v>
      </c>
      <c r="N219" s="6" t="s">
        <v>65</v>
      </c>
      <c r="O219" s="6" t="s">
        <v>46</v>
      </c>
      <c r="P219" s="6" t="s">
        <v>46</v>
      </c>
      <c r="Q219" s="6" t="s">
        <v>46</v>
      </c>
      <c r="R219" s="6" t="s">
        <v>46</v>
      </c>
      <c r="S219" s="6" t="s">
        <v>46</v>
      </c>
      <c r="T219" s="6" t="s">
        <v>46</v>
      </c>
      <c r="U219" s="6" t="s">
        <v>46</v>
      </c>
      <c r="V219" s="1" t="n">
        <v>1</v>
      </c>
      <c r="W219" s="6"/>
      <c r="X219" s="6" t="s">
        <v>46</v>
      </c>
      <c r="Y219" s="1" t="n">
        <v>5500</v>
      </c>
      <c r="Z219" s="6" t="s">
        <v>276</v>
      </c>
      <c r="AA219" s="6" t="s">
        <v>277</v>
      </c>
      <c r="AB219" s="15" t="str">
        <f aca="true" t="array" ref="AB219:AB219">LEFT(AA219,LOOKUP(2^15,FIND(".",AA219,ROW(INDIRECT("1:"&amp;LEN(AA219)))))-1)</f>
        <v>NB_2022_030 - 20062022 - 1</v>
      </c>
      <c r="AC219" s="6" t="s">
        <v>278</v>
      </c>
      <c r="AD219" s="15" t="str">
        <f aca="true" t="array" ref="AD219:AD219">LEFT(AC219,LOOKUP(2^15,FIND(".",AC219,ROW(INDIRECT("1:"&amp;LEN(AC219)))))-1)</f>
        <v>NB_2022_030 - 20062022 - 2</v>
      </c>
      <c r="AE219" s="6" t="str">
        <f aca="false">CONCATENATE(AB219, "-",H219, ".mzML")</f>
        <v>NB_2022_030 - 20062022 - 1-Blank_1.mzML</v>
      </c>
      <c r="AF219" s="6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4" t="s">
        <v>282</v>
      </c>
      <c r="B220" s="5"/>
      <c r="C220" s="4" t="s">
        <v>283</v>
      </c>
      <c r="D220" s="6" t="s">
        <v>284</v>
      </c>
      <c r="E220" s="6" t="s">
        <v>271</v>
      </c>
      <c r="F220" s="7" t="s">
        <v>272</v>
      </c>
      <c r="G220" s="6" t="s">
        <v>271</v>
      </c>
      <c r="H220" s="27" t="s">
        <v>66</v>
      </c>
      <c r="I220" s="6" t="str">
        <f aca="false">CONCATENATE(E220, "_",H220)</f>
        <v>NLA_2022_007_Blank_2</v>
      </c>
      <c r="J220" s="6" t="s">
        <v>52</v>
      </c>
      <c r="K220" s="6" t="s">
        <v>280</v>
      </c>
      <c r="L220" s="9" t="s">
        <v>46</v>
      </c>
      <c r="M220" s="13" t="s">
        <v>46</v>
      </c>
      <c r="N220" s="6" t="s">
        <v>65</v>
      </c>
      <c r="O220" s="6" t="s">
        <v>46</v>
      </c>
      <c r="P220" s="6" t="s">
        <v>46</v>
      </c>
      <c r="Q220" s="6" t="s">
        <v>46</v>
      </c>
      <c r="R220" s="6" t="s">
        <v>46</v>
      </c>
      <c r="S220" s="6" t="s">
        <v>46</v>
      </c>
      <c r="T220" s="6" t="s">
        <v>46</v>
      </c>
      <c r="U220" s="6" t="s">
        <v>46</v>
      </c>
      <c r="V220" s="1" t="n">
        <v>2</v>
      </c>
      <c r="W220" s="6"/>
      <c r="X220" s="6" t="s">
        <v>46</v>
      </c>
      <c r="Y220" s="1" t="n">
        <v>5500</v>
      </c>
      <c r="Z220" s="6" t="s">
        <v>276</v>
      </c>
      <c r="AA220" s="6" t="s">
        <v>277</v>
      </c>
      <c r="AB220" s="15" t="str">
        <f aca="true" t="array" ref="AB220:AB220">LEFT(AA220,LOOKUP(2^15,FIND(".",AA220,ROW(INDIRECT("1:"&amp;LEN(AA220)))))-1)</f>
        <v>NB_2022_030 - 20062022 - 1</v>
      </c>
      <c r="AC220" s="6" t="s">
        <v>278</v>
      </c>
      <c r="AD220" s="15" t="str">
        <f aca="true" t="array" ref="AD220:AD220">LEFT(AC220,LOOKUP(2^15,FIND(".",AC220,ROW(INDIRECT("1:"&amp;LEN(AC220)))))-1)</f>
        <v>NB_2022_030 - 20062022 - 2</v>
      </c>
      <c r="AE220" s="6" t="str">
        <f aca="false">CONCATENATE(AB220, "-",H220, ".mzML")</f>
        <v>NB_2022_030 - 20062022 - 1-Blank_2.mzML</v>
      </c>
      <c r="AF220" s="6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4" t="s">
        <v>282</v>
      </c>
      <c r="B221" s="5"/>
      <c r="C221" s="4" t="s">
        <v>283</v>
      </c>
      <c r="D221" s="6" t="s">
        <v>284</v>
      </c>
      <c r="E221" s="6" t="s">
        <v>271</v>
      </c>
      <c r="F221" s="7" t="s">
        <v>272</v>
      </c>
      <c r="G221" s="6" t="s">
        <v>271</v>
      </c>
      <c r="H221" s="27" t="s">
        <v>67</v>
      </c>
      <c r="I221" s="6" t="str">
        <f aca="false">CONCATENATE(E221, "_",H221)</f>
        <v>NLA_2022_007_Blank_3</v>
      </c>
      <c r="J221" s="6" t="s">
        <v>52</v>
      </c>
      <c r="K221" s="6" t="s">
        <v>280</v>
      </c>
      <c r="L221" s="9" t="s">
        <v>46</v>
      </c>
      <c r="M221" s="13" t="s">
        <v>46</v>
      </c>
      <c r="N221" s="6" t="s">
        <v>65</v>
      </c>
      <c r="O221" s="6" t="s">
        <v>46</v>
      </c>
      <c r="P221" s="6" t="s">
        <v>46</v>
      </c>
      <c r="Q221" s="6" t="s">
        <v>46</v>
      </c>
      <c r="R221" s="6" t="s">
        <v>46</v>
      </c>
      <c r="S221" s="6" t="s">
        <v>46</v>
      </c>
      <c r="T221" s="6" t="s">
        <v>46</v>
      </c>
      <c r="U221" s="6" t="s">
        <v>46</v>
      </c>
      <c r="V221" s="1" t="n">
        <v>3</v>
      </c>
      <c r="W221" s="6"/>
      <c r="X221" s="6" t="s">
        <v>46</v>
      </c>
      <c r="Y221" s="1" t="n">
        <v>5500</v>
      </c>
      <c r="Z221" s="6" t="s">
        <v>276</v>
      </c>
      <c r="AA221" s="6" t="s">
        <v>277</v>
      </c>
      <c r="AB221" s="15" t="str">
        <f aca="true" t="array" ref="AB221:AB221">LEFT(AA221,LOOKUP(2^15,FIND(".",AA221,ROW(INDIRECT("1:"&amp;LEN(AA221)))))-1)</f>
        <v>NB_2022_030 - 20062022 - 1</v>
      </c>
      <c r="AC221" s="6" t="s">
        <v>278</v>
      </c>
      <c r="AD221" s="15" t="str">
        <f aca="true" t="array" ref="AD221:AD221">LEFT(AC221,LOOKUP(2^15,FIND(".",AC221,ROW(INDIRECT("1:"&amp;LEN(AC221)))))-1)</f>
        <v>NB_2022_030 - 20062022 - 2</v>
      </c>
      <c r="AE221" s="6" t="str">
        <f aca="false">CONCATENATE(AB221, "-",H221, ".mzML")</f>
        <v>NB_2022_030 - 20062022 - 1-Blank_3.mzML</v>
      </c>
      <c r="AF221" s="6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4" t="s">
        <v>282</v>
      </c>
      <c r="B222" s="5"/>
      <c r="C222" s="4" t="s">
        <v>283</v>
      </c>
      <c r="D222" s="6" t="s">
        <v>284</v>
      </c>
      <c r="E222" s="6" t="s">
        <v>271</v>
      </c>
      <c r="F222" s="7" t="s">
        <v>272</v>
      </c>
      <c r="G222" s="6" t="s">
        <v>271</v>
      </c>
      <c r="H222" s="27" t="s">
        <v>68</v>
      </c>
      <c r="I222" s="6" t="str">
        <f aca="false">CONCATENATE(E222, "_",H222)</f>
        <v>NLA_2022_007_QC_C_1</v>
      </c>
      <c r="J222" s="6" t="s">
        <v>52</v>
      </c>
      <c r="K222" s="6" t="s">
        <v>70</v>
      </c>
      <c r="L222" s="9" t="s">
        <v>69</v>
      </c>
      <c r="M222" s="13" t="s">
        <v>46</v>
      </c>
      <c r="N222" s="6" t="s">
        <v>70</v>
      </c>
      <c r="O222" s="6" t="s">
        <v>46</v>
      </c>
      <c r="P222" s="6" t="s">
        <v>71</v>
      </c>
      <c r="Q222" s="6" t="s">
        <v>71</v>
      </c>
      <c r="R222" s="6" t="s">
        <v>72</v>
      </c>
      <c r="S222" s="6" t="s">
        <v>73</v>
      </c>
      <c r="T222" s="6" t="s">
        <v>46</v>
      </c>
      <c r="U222" s="6" t="n">
        <v>1000</v>
      </c>
      <c r="V222" s="1" t="n">
        <v>1</v>
      </c>
      <c r="W222" s="6"/>
      <c r="X222" s="6" t="s">
        <v>74</v>
      </c>
      <c r="Y222" s="1" t="n">
        <v>5500</v>
      </c>
      <c r="Z222" s="6" t="s">
        <v>276</v>
      </c>
      <c r="AA222" s="6" t="s">
        <v>277</v>
      </c>
      <c r="AB222" s="15" t="str">
        <f aca="true" t="array" ref="AB222:AB222">LEFT(AA222,LOOKUP(2^15,FIND(".",AA222,ROW(INDIRECT("1:"&amp;LEN(AA222)))))-1)</f>
        <v>NB_2022_030 - 20062022 - 1</v>
      </c>
      <c r="AC222" s="6" t="s">
        <v>278</v>
      </c>
      <c r="AD222" s="15" t="str">
        <f aca="true" t="array" ref="AD222:AD222">LEFT(AC222,LOOKUP(2^15,FIND(".",AC222,ROW(INDIRECT("1:"&amp;LEN(AC222)))))-1)</f>
        <v>NB_2022_030 - 20062022 - 2</v>
      </c>
      <c r="AE222" s="6" t="str">
        <f aca="false">CONCATENATE(AB222, "-",H222, ".mzML")</f>
        <v>NB_2022_030 - 20062022 - 1-QC_C_1.mzML</v>
      </c>
      <c r="AF222" s="6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4" t="s">
        <v>282</v>
      </c>
      <c r="B223" s="5"/>
      <c r="C223" s="4" t="s">
        <v>283</v>
      </c>
      <c r="D223" s="6" t="s">
        <v>284</v>
      </c>
      <c r="E223" s="6" t="s">
        <v>271</v>
      </c>
      <c r="F223" s="7" t="s">
        <v>272</v>
      </c>
      <c r="G223" s="6" t="s">
        <v>271</v>
      </c>
      <c r="H223" s="27" t="s">
        <v>75</v>
      </c>
      <c r="I223" s="6" t="str">
        <f aca="false">CONCATENATE(E223, "_",H223)</f>
        <v>NLA_2022_007_QC_C_2</v>
      </c>
      <c r="J223" s="6" t="s">
        <v>52</v>
      </c>
      <c r="K223" s="6" t="s">
        <v>70</v>
      </c>
      <c r="L223" s="9" t="s">
        <v>69</v>
      </c>
      <c r="M223" s="13" t="s">
        <v>46</v>
      </c>
      <c r="N223" s="6" t="s">
        <v>70</v>
      </c>
      <c r="O223" s="6" t="s">
        <v>46</v>
      </c>
      <c r="P223" s="6" t="s">
        <v>71</v>
      </c>
      <c r="Q223" s="6" t="s">
        <v>71</v>
      </c>
      <c r="R223" s="6" t="s">
        <v>72</v>
      </c>
      <c r="S223" s="6" t="s">
        <v>73</v>
      </c>
      <c r="T223" s="6" t="s">
        <v>46</v>
      </c>
      <c r="U223" s="6" t="n">
        <v>1000</v>
      </c>
      <c r="V223" s="1" t="n">
        <v>2</v>
      </c>
      <c r="W223" s="6"/>
      <c r="X223" s="6" t="s">
        <v>74</v>
      </c>
      <c r="Y223" s="1" t="n">
        <v>5500</v>
      </c>
      <c r="Z223" s="6" t="s">
        <v>276</v>
      </c>
      <c r="AA223" s="6" t="s">
        <v>277</v>
      </c>
      <c r="AB223" s="15" t="str">
        <f aca="true" t="array" ref="AB223:AB223">LEFT(AA223,LOOKUP(2^15,FIND(".",AA223,ROW(INDIRECT("1:"&amp;LEN(AA223)))))-1)</f>
        <v>NB_2022_030 - 20062022 - 1</v>
      </c>
      <c r="AC223" s="6" t="s">
        <v>278</v>
      </c>
      <c r="AD223" s="15" t="str">
        <f aca="true" t="array" ref="AD223:AD223">LEFT(AC223,LOOKUP(2^15,FIND(".",AC223,ROW(INDIRECT("1:"&amp;LEN(AC223)))))-1)</f>
        <v>NB_2022_030 - 20062022 - 2</v>
      </c>
      <c r="AE223" s="6" t="str">
        <f aca="false">CONCATENATE(AB223, "-",H223, ".mzML")</f>
        <v>NB_2022_030 - 20062022 - 1-QC_C_2.mzML</v>
      </c>
      <c r="AF223" s="6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4" t="s">
        <v>282</v>
      </c>
      <c r="B224" s="5"/>
      <c r="C224" s="4" t="s">
        <v>283</v>
      </c>
      <c r="D224" s="6" t="s">
        <v>284</v>
      </c>
      <c r="E224" s="6" t="s">
        <v>271</v>
      </c>
      <c r="F224" s="7" t="s">
        <v>272</v>
      </c>
      <c r="G224" s="6" t="s">
        <v>271</v>
      </c>
      <c r="H224" s="27" t="s">
        <v>76</v>
      </c>
      <c r="I224" s="6" t="str">
        <f aca="false">CONCATENATE(E224, "_",H224)</f>
        <v>NLA_2022_007_QC_C_3</v>
      </c>
      <c r="J224" s="6" t="s">
        <v>52</v>
      </c>
      <c r="K224" s="6" t="s">
        <v>70</v>
      </c>
      <c r="L224" s="9" t="s">
        <v>69</v>
      </c>
      <c r="M224" s="13" t="s">
        <v>46</v>
      </c>
      <c r="N224" s="6" t="s">
        <v>70</v>
      </c>
      <c r="O224" s="6" t="s">
        <v>46</v>
      </c>
      <c r="P224" s="6" t="s">
        <v>71</v>
      </c>
      <c r="Q224" s="6" t="s">
        <v>71</v>
      </c>
      <c r="R224" s="6" t="s">
        <v>72</v>
      </c>
      <c r="S224" s="6" t="s">
        <v>73</v>
      </c>
      <c r="T224" s="6" t="s">
        <v>46</v>
      </c>
      <c r="U224" s="6" t="n">
        <v>1000</v>
      </c>
      <c r="V224" s="1" t="n">
        <v>3</v>
      </c>
      <c r="W224" s="6"/>
      <c r="X224" s="6" t="s">
        <v>74</v>
      </c>
      <c r="Y224" s="1" t="n">
        <v>5500</v>
      </c>
      <c r="Z224" s="6" t="s">
        <v>276</v>
      </c>
      <c r="AA224" s="6" t="s">
        <v>277</v>
      </c>
      <c r="AB224" s="15" t="str">
        <f aca="true" t="array" ref="AB224:AB224">LEFT(AA224,LOOKUP(2^15,FIND(".",AA224,ROW(INDIRECT("1:"&amp;LEN(AA224)))))-1)</f>
        <v>NB_2022_030 - 20062022 - 1</v>
      </c>
      <c r="AC224" s="6" t="s">
        <v>278</v>
      </c>
      <c r="AD224" s="15" t="str">
        <f aca="true" t="array" ref="AD224:AD224">LEFT(AC224,LOOKUP(2^15,FIND(".",AC224,ROW(INDIRECT("1:"&amp;LEN(AC224)))))-1)</f>
        <v>NB_2022_030 - 20062022 - 2</v>
      </c>
      <c r="AE224" s="6" t="str">
        <f aca="false">CONCATENATE(AB224, "-",H224, ".mzML")</f>
        <v>NB_2022_030 - 20062022 - 1-QC_C_3.mzML</v>
      </c>
      <c r="AF224" s="6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4" t="s">
        <v>282</v>
      </c>
      <c r="B225" s="5"/>
      <c r="C225" s="4" t="s">
        <v>283</v>
      </c>
      <c r="D225" s="6" t="s">
        <v>284</v>
      </c>
      <c r="E225" s="6" t="s">
        <v>271</v>
      </c>
      <c r="F225" s="7" t="s">
        <v>272</v>
      </c>
      <c r="G225" s="6" t="s">
        <v>271</v>
      </c>
      <c r="H225" s="27" t="s">
        <v>77</v>
      </c>
      <c r="I225" s="6" t="str">
        <f aca="false">CONCATENATE(E225, "_",H225)</f>
        <v>NLA_2022_007_QC_P_1</v>
      </c>
      <c r="J225" s="6" t="s">
        <v>52</v>
      </c>
      <c r="K225" s="6" t="s">
        <v>281</v>
      </c>
      <c r="L225" s="9" t="s">
        <v>69</v>
      </c>
      <c r="M225" s="13" t="s">
        <v>46</v>
      </c>
      <c r="N225" s="6" t="s">
        <v>78</v>
      </c>
      <c r="O225" s="6" t="s">
        <v>46</v>
      </c>
      <c r="P225" s="6" t="s">
        <v>79</v>
      </c>
      <c r="Q225" s="6" t="s">
        <v>80</v>
      </c>
      <c r="R225" s="6" t="s">
        <v>81</v>
      </c>
      <c r="S225" s="6" t="s">
        <v>46</v>
      </c>
      <c r="T225" s="6" t="s">
        <v>46</v>
      </c>
      <c r="U225" s="6" t="s">
        <v>82</v>
      </c>
      <c r="V225" s="1" t="n">
        <v>1</v>
      </c>
      <c r="W225" s="6"/>
      <c r="X225" s="6" t="s">
        <v>83</v>
      </c>
      <c r="Y225" s="1" t="n">
        <v>5500</v>
      </c>
      <c r="Z225" s="6" t="s">
        <v>276</v>
      </c>
      <c r="AA225" s="6" t="s">
        <v>277</v>
      </c>
      <c r="AB225" s="15" t="str">
        <f aca="true" t="array" ref="AB225:AB225">LEFT(AA225,LOOKUP(2^15,FIND(".",AA225,ROW(INDIRECT("1:"&amp;LEN(AA225)))))-1)</f>
        <v>NB_2022_030 - 20062022 - 1</v>
      </c>
      <c r="AC225" s="6" t="s">
        <v>278</v>
      </c>
      <c r="AD225" s="15" t="str">
        <f aca="true" t="array" ref="AD225:AD225">LEFT(AC225,LOOKUP(2^15,FIND(".",AC225,ROW(INDIRECT("1:"&amp;LEN(AC225)))))-1)</f>
        <v>NB_2022_030 - 20062022 - 2</v>
      </c>
      <c r="AE225" s="6" t="str">
        <f aca="false">CONCATENATE(AB225, "-",H225, ".mzML")</f>
        <v>NB_2022_030 - 20062022 - 1-QC_P_1.mzML</v>
      </c>
      <c r="AF225" s="6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4" t="s">
        <v>282</v>
      </c>
      <c r="B226" s="5"/>
      <c r="C226" s="4" t="s">
        <v>283</v>
      </c>
      <c r="D226" s="6" t="s">
        <v>284</v>
      </c>
      <c r="E226" s="6" t="s">
        <v>271</v>
      </c>
      <c r="F226" s="7" t="s">
        <v>272</v>
      </c>
      <c r="G226" s="6" t="s">
        <v>271</v>
      </c>
      <c r="H226" s="27" t="s">
        <v>84</v>
      </c>
      <c r="I226" s="6" t="str">
        <f aca="false">CONCATENATE(E226, "_",H226)</f>
        <v>NLA_2022_007_QC_P_2</v>
      </c>
      <c r="J226" s="6" t="s">
        <v>52</v>
      </c>
      <c r="K226" s="6" t="s">
        <v>281</v>
      </c>
      <c r="L226" s="9" t="s">
        <v>69</v>
      </c>
      <c r="M226" s="13" t="s">
        <v>46</v>
      </c>
      <c r="N226" s="6" t="s">
        <v>78</v>
      </c>
      <c r="O226" s="6" t="s">
        <v>46</v>
      </c>
      <c r="P226" s="6" t="s">
        <v>79</v>
      </c>
      <c r="Q226" s="6" t="s">
        <v>80</v>
      </c>
      <c r="R226" s="6" t="s">
        <v>81</v>
      </c>
      <c r="S226" s="6" t="s">
        <v>46</v>
      </c>
      <c r="T226" s="6" t="s">
        <v>46</v>
      </c>
      <c r="U226" s="6" t="s">
        <v>82</v>
      </c>
      <c r="V226" s="1" t="n">
        <v>2</v>
      </c>
      <c r="W226" s="6"/>
      <c r="X226" s="6" t="s">
        <v>83</v>
      </c>
      <c r="Y226" s="1" t="n">
        <v>5500</v>
      </c>
      <c r="Z226" s="6" t="s">
        <v>276</v>
      </c>
      <c r="AA226" s="6" t="s">
        <v>277</v>
      </c>
      <c r="AB226" s="15" t="str">
        <f aca="true" t="array" ref="AB226:AB226">LEFT(AA226,LOOKUP(2^15,FIND(".",AA226,ROW(INDIRECT("1:"&amp;LEN(AA226)))))-1)</f>
        <v>NB_2022_030 - 20062022 - 1</v>
      </c>
      <c r="AC226" s="6" t="s">
        <v>278</v>
      </c>
      <c r="AD226" s="15" t="str">
        <f aca="true" t="array" ref="AD226:AD226">LEFT(AC226,LOOKUP(2^15,FIND(".",AC226,ROW(INDIRECT("1:"&amp;LEN(AC226)))))-1)</f>
        <v>NB_2022_030 - 20062022 - 2</v>
      </c>
      <c r="AE226" s="6" t="str">
        <f aca="false">CONCATENATE(AB226, "-",H226, ".mzML")</f>
        <v>NB_2022_030 - 20062022 - 1-QC_P_2.mzML</v>
      </c>
      <c r="AF226" s="6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4" t="s">
        <v>282</v>
      </c>
      <c r="B227" s="5"/>
      <c r="C227" s="4" t="s">
        <v>283</v>
      </c>
      <c r="D227" s="6" t="s">
        <v>284</v>
      </c>
      <c r="E227" s="6" t="s">
        <v>271</v>
      </c>
      <c r="F227" s="7" t="s">
        <v>272</v>
      </c>
      <c r="G227" s="6" t="s">
        <v>271</v>
      </c>
      <c r="H227" s="27" t="s">
        <v>85</v>
      </c>
      <c r="I227" s="6" t="str">
        <f aca="false">CONCATENATE(E227, "_",H227)</f>
        <v>NLA_2022_007_QC_P_3</v>
      </c>
      <c r="J227" s="6" t="s">
        <v>52</v>
      </c>
      <c r="K227" s="6" t="s">
        <v>281</v>
      </c>
      <c r="L227" s="9" t="s">
        <v>69</v>
      </c>
      <c r="M227" s="13" t="s">
        <v>46</v>
      </c>
      <c r="N227" s="6" t="s">
        <v>78</v>
      </c>
      <c r="O227" s="6" t="s">
        <v>46</v>
      </c>
      <c r="P227" s="6" t="s">
        <v>79</v>
      </c>
      <c r="Q227" s="6" t="s">
        <v>80</v>
      </c>
      <c r="R227" s="6" t="s">
        <v>81</v>
      </c>
      <c r="S227" s="6" t="s">
        <v>46</v>
      </c>
      <c r="T227" s="6" t="s">
        <v>46</v>
      </c>
      <c r="U227" s="6" t="s">
        <v>82</v>
      </c>
      <c r="V227" s="1" t="n">
        <v>3</v>
      </c>
      <c r="W227" s="6"/>
      <c r="X227" s="6" t="s">
        <v>83</v>
      </c>
      <c r="Y227" s="1" t="n">
        <v>5500</v>
      </c>
      <c r="Z227" s="6" t="s">
        <v>276</v>
      </c>
      <c r="AA227" s="6" t="s">
        <v>277</v>
      </c>
      <c r="AB227" s="15" t="str">
        <f aca="true" t="array" ref="AB227:AB227">LEFT(AA227,LOOKUP(2^15,FIND(".",AA227,ROW(INDIRECT("1:"&amp;LEN(AA227)))))-1)</f>
        <v>NB_2022_030 - 20062022 - 1</v>
      </c>
      <c r="AC227" s="6" t="s">
        <v>278</v>
      </c>
      <c r="AD227" s="15" t="str">
        <f aca="true" t="array" ref="AD227:AD227">LEFT(AC227,LOOKUP(2^15,FIND(".",AC227,ROW(INDIRECT("1:"&amp;LEN(AC227)))))-1)</f>
        <v>NB_2022_030 - 20062022 - 2</v>
      </c>
      <c r="AE227" s="6" t="str">
        <f aca="false">CONCATENATE(AB227, "-",H227, ".mzML")</f>
        <v>NB_2022_030 - 20062022 - 1-QC_P_3.mzML</v>
      </c>
      <c r="AF227" s="6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4" t="s">
        <v>286</v>
      </c>
      <c r="B228" s="5"/>
      <c r="C228" s="4" t="s">
        <v>287</v>
      </c>
      <c r="D228" s="6" t="s">
        <v>14</v>
      </c>
      <c r="E228" s="6" t="s">
        <v>271</v>
      </c>
      <c r="F228" s="7" t="s">
        <v>272</v>
      </c>
      <c r="G228" s="6" t="s">
        <v>273</v>
      </c>
      <c r="H228" s="27" t="s">
        <v>99</v>
      </c>
      <c r="I228" s="6" t="str">
        <f aca="false">CONCATENATE(E228, "_",H228)</f>
        <v>NLA_2022_007_004</v>
      </c>
      <c r="J228" s="6" t="s">
        <v>38</v>
      </c>
      <c r="K228" s="6" t="s">
        <v>285</v>
      </c>
      <c r="L228" s="9" t="s">
        <v>69</v>
      </c>
      <c r="M228" s="13" t="s">
        <v>275</v>
      </c>
      <c r="N228" s="6" t="s">
        <v>41</v>
      </c>
      <c r="O228" s="6" t="s">
        <v>42</v>
      </c>
      <c r="P228" s="6" t="s">
        <v>162</v>
      </c>
      <c r="Q228" s="6" t="s">
        <v>162</v>
      </c>
      <c r="R228" s="6" t="s">
        <v>72</v>
      </c>
      <c r="S228" s="6" t="s">
        <v>90</v>
      </c>
      <c r="T228" s="6" t="s">
        <v>46</v>
      </c>
      <c r="U228" s="6" t="n">
        <v>1000</v>
      </c>
      <c r="V228" s="1" t="n">
        <v>1</v>
      </c>
      <c r="W228" s="6"/>
      <c r="X228" s="6" t="s">
        <v>47</v>
      </c>
      <c r="Y228" s="1" t="n">
        <v>5500</v>
      </c>
      <c r="Z228" s="6" t="s">
        <v>276</v>
      </c>
      <c r="AA228" s="6" t="s">
        <v>277</v>
      </c>
      <c r="AB228" s="15" t="str">
        <f aca="true" t="array" ref="AB228:AB228">LEFT(AA228,LOOKUP(2^15,FIND(".",AA228,ROW(INDIRECT("1:"&amp;LEN(AA228)))))-1)</f>
        <v>NB_2022_030 - 20062022 - 1</v>
      </c>
      <c r="AC228" s="6" t="s">
        <v>278</v>
      </c>
      <c r="AD228" s="15" t="str">
        <f aca="true" t="array" ref="AD228:AD228">LEFT(AC228,LOOKUP(2^15,FIND(".",AC228,ROW(INDIRECT("1:"&amp;LEN(AC228)))))-1)</f>
        <v>NB_2022_030 - 20062022 - 2</v>
      </c>
      <c r="AE228" s="6" t="str">
        <f aca="false">CONCATENATE(AB228, "-",H228, ".mzML")</f>
        <v>NB_2022_030 - 20062022 - 1-004.mzML</v>
      </c>
      <c r="AF228" s="6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4" t="s">
        <v>286</v>
      </c>
      <c r="B229" s="5"/>
      <c r="C229" s="4" t="s">
        <v>287</v>
      </c>
      <c r="D229" s="6" t="s">
        <v>14</v>
      </c>
      <c r="E229" s="6" t="s">
        <v>271</v>
      </c>
      <c r="F229" s="7" t="s">
        <v>272</v>
      </c>
      <c r="G229" s="6" t="s">
        <v>273</v>
      </c>
      <c r="H229" s="27" t="s">
        <v>91</v>
      </c>
      <c r="I229" s="6" t="str">
        <f aca="false">CONCATENATE(E229, "_",H229)</f>
        <v>NLA_2022_007_005</v>
      </c>
      <c r="J229" s="6" t="s">
        <v>38</v>
      </c>
      <c r="K229" s="6" t="s">
        <v>285</v>
      </c>
      <c r="L229" s="9" t="s">
        <v>69</v>
      </c>
      <c r="M229" s="13" t="s">
        <v>275</v>
      </c>
      <c r="N229" s="6" t="s">
        <v>41</v>
      </c>
      <c r="O229" s="6" t="s">
        <v>42</v>
      </c>
      <c r="P229" s="6" t="s">
        <v>162</v>
      </c>
      <c r="Q229" s="6" t="s">
        <v>162</v>
      </c>
      <c r="R229" s="6" t="s">
        <v>72</v>
      </c>
      <c r="S229" s="6" t="s">
        <v>90</v>
      </c>
      <c r="T229" s="6" t="s">
        <v>46</v>
      </c>
      <c r="U229" s="6" t="n">
        <v>1000</v>
      </c>
      <c r="V229" s="1" t="n">
        <v>2</v>
      </c>
      <c r="W229" s="6"/>
      <c r="X229" s="6" t="s">
        <v>47</v>
      </c>
      <c r="Y229" s="1" t="n">
        <v>5500</v>
      </c>
      <c r="Z229" s="6" t="s">
        <v>276</v>
      </c>
      <c r="AA229" s="6" t="s">
        <v>277</v>
      </c>
      <c r="AB229" s="15" t="str">
        <f aca="true" t="array" ref="AB229:AB229">LEFT(AA229,LOOKUP(2^15,FIND(".",AA229,ROW(INDIRECT("1:"&amp;LEN(AA229)))))-1)</f>
        <v>NB_2022_030 - 20062022 - 1</v>
      </c>
      <c r="AC229" s="6" t="s">
        <v>278</v>
      </c>
      <c r="AD229" s="15" t="str">
        <f aca="true" t="array" ref="AD229:AD229">LEFT(AC229,LOOKUP(2^15,FIND(".",AC229,ROW(INDIRECT("1:"&amp;LEN(AC229)))))-1)</f>
        <v>NB_2022_030 - 20062022 - 2</v>
      </c>
      <c r="AE229" s="6" t="str">
        <f aca="false">CONCATENATE(AB229, "-",H229, ".mzML")</f>
        <v>NB_2022_030 - 20062022 - 1-005.mzML</v>
      </c>
      <c r="AF229" s="6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4" t="s">
        <v>286</v>
      </c>
      <c r="B230" s="5"/>
      <c r="C230" s="4" t="s">
        <v>287</v>
      </c>
      <c r="D230" s="6" t="s">
        <v>14</v>
      </c>
      <c r="E230" s="6" t="s">
        <v>271</v>
      </c>
      <c r="F230" s="7" t="s">
        <v>272</v>
      </c>
      <c r="G230" s="6" t="s">
        <v>273</v>
      </c>
      <c r="H230" s="27" t="s">
        <v>101</v>
      </c>
      <c r="I230" s="6" t="str">
        <f aca="false">CONCATENATE(E230, "_",H230)</f>
        <v>NLA_2022_007_006</v>
      </c>
      <c r="J230" s="6" t="s">
        <v>38</v>
      </c>
      <c r="K230" s="6" t="s">
        <v>285</v>
      </c>
      <c r="L230" s="9" t="s">
        <v>69</v>
      </c>
      <c r="M230" s="13" t="s">
        <v>275</v>
      </c>
      <c r="N230" s="6" t="s">
        <v>41</v>
      </c>
      <c r="O230" s="6" t="s">
        <v>42</v>
      </c>
      <c r="P230" s="6" t="s">
        <v>162</v>
      </c>
      <c r="Q230" s="6" t="s">
        <v>162</v>
      </c>
      <c r="R230" s="6" t="s">
        <v>72</v>
      </c>
      <c r="S230" s="6" t="s">
        <v>90</v>
      </c>
      <c r="T230" s="6" t="s">
        <v>46</v>
      </c>
      <c r="U230" s="6" t="n">
        <v>1000</v>
      </c>
      <c r="V230" s="1" t="n">
        <v>3</v>
      </c>
      <c r="W230" s="6"/>
      <c r="X230" s="6" t="s">
        <v>47</v>
      </c>
      <c r="Y230" s="1" t="n">
        <v>5500</v>
      </c>
      <c r="Z230" s="6" t="s">
        <v>276</v>
      </c>
      <c r="AA230" s="6" t="s">
        <v>277</v>
      </c>
      <c r="AB230" s="15" t="str">
        <f aca="true" t="array" ref="AB230:AB230">LEFT(AA230,LOOKUP(2^15,FIND(".",AA230,ROW(INDIRECT("1:"&amp;LEN(AA230)))))-1)</f>
        <v>NB_2022_030 - 20062022 - 1</v>
      </c>
      <c r="AC230" s="6" t="s">
        <v>278</v>
      </c>
      <c r="AD230" s="15" t="str">
        <f aca="true" t="array" ref="AD230:AD230">LEFT(AC230,LOOKUP(2^15,FIND(".",AC230,ROW(INDIRECT("1:"&amp;LEN(AC230)))))-1)</f>
        <v>NB_2022_030 - 20062022 - 2</v>
      </c>
      <c r="AE230" s="6" t="str">
        <f aca="false">CONCATENATE(AB230, "-",H230, ".mzML")</f>
        <v>NB_2022_030 - 20062022 - 1-006.mzML</v>
      </c>
      <c r="AF230" s="6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4" t="s">
        <v>286</v>
      </c>
      <c r="B231" s="5"/>
      <c r="C231" s="4" t="s">
        <v>287</v>
      </c>
      <c r="D231" s="6" t="s">
        <v>14</v>
      </c>
      <c r="E231" s="6" t="s">
        <v>271</v>
      </c>
      <c r="F231" s="7" t="s">
        <v>272</v>
      </c>
      <c r="G231" s="6" t="s">
        <v>273</v>
      </c>
      <c r="H231" s="27" t="s">
        <v>288</v>
      </c>
      <c r="I231" s="6" t="str">
        <f aca="false">CONCATENATE(E231, "_",H231)</f>
        <v>NLA_2022_007_022</v>
      </c>
      <c r="J231" s="6" t="s">
        <v>52</v>
      </c>
      <c r="K231" s="6" t="s">
        <v>289</v>
      </c>
      <c r="L231" s="9" t="s">
        <v>69</v>
      </c>
      <c r="M231" s="13" t="s">
        <v>275</v>
      </c>
      <c r="N231" s="6" t="s">
        <v>41</v>
      </c>
      <c r="O231" s="6" t="s">
        <v>54</v>
      </c>
      <c r="P231" s="6" t="s">
        <v>162</v>
      </c>
      <c r="Q231" s="6" t="s">
        <v>229</v>
      </c>
      <c r="R231" s="6" t="s">
        <v>72</v>
      </c>
      <c r="S231" s="6" t="s">
        <v>90</v>
      </c>
      <c r="T231" s="6" t="s">
        <v>46</v>
      </c>
      <c r="U231" s="6" t="n">
        <v>1000</v>
      </c>
      <c r="V231" s="1" t="n">
        <v>1</v>
      </c>
      <c r="W231" s="6"/>
      <c r="X231" s="6" t="s">
        <v>47</v>
      </c>
      <c r="Y231" s="1" t="n">
        <v>5500</v>
      </c>
      <c r="Z231" s="6" t="s">
        <v>276</v>
      </c>
      <c r="AA231" s="6" t="s">
        <v>277</v>
      </c>
      <c r="AB231" s="15" t="str">
        <f aca="true" t="array" ref="AB231:AB231">LEFT(AA231,LOOKUP(2^15,FIND(".",AA231,ROW(INDIRECT("1:"&amp;LEN(AA231)))))-1)</f>
        <v>NB_2022_030 - 20062022 - 1</v>
      </c>
      <c r="AC231" s="6" t="s">
        <v>278</v>
      </c>
      <c r="AD231" s="15" t="str">
        <f aca="true" t="array" ref="AD231:AD231">LEFT(AC231,LOOKUP(2^15,FIND(".",AC231,ROW(INDIRECT("1:"&amp;LEN(AC231)))))-1)</f>
        <v>NB_2022_030 - 20062022 - 2</v>
      </c>
      <c r="AE231" s="6" t="str">
        <f aca="false">CONCATENATE(AB231, "-",H231, ".mzML")</f>
        <v>NB_2022_030 - 20062022 - 1-022.mzML</v>
      </c>
      <c r="AF231" s="6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4" t="s">
        <v>286</v>
      </c>
      <c r="B232" s="5"/>
      <c r="C232" s="4" t="s">
        <v>287</v>
      </c>
      <c r="D232" s="6" t="s">
        <v>14</v>
      </c>
      <c r="E232" s="6" t="s">
        <v>271</v>
      </c>
      <c r="F232" s="7" t="s">
        <v>272</v>
      </c>
      <c r="G232" s="6" t="s">
        <v>273</v>
      </c>
      <c r="H232" s="27" t="s">
        <v>235</v>
      </c>
      <c r="I232" s="6" t="str">
        <f aca="false">CONCATENATE(E232, "_",H232)</f>
        <v>NLA_2022_007_023</v>
      </c>
      <c r="J232" s="6" t="s">
        <v>52</v>
      </c>
      <c r="K232" s="6" t="s">
        <v>289</v>
      </c>
      <c r="L232" s="9" t="s">
        <v>69</v>
      </c>
      <c r="M232" s="13" t="s">
        <v>275</v>
      </c>
      <c r="N232" s="6" t="s">
        <v>41</v>
      </c>
      <c r="O232" s="6" t="s">
        <v>54</v>
      </c>
      <c r="P232" s="6" t="s">
        <v>162</v>
      </c>
      <c r="Q232" s="6" t="s">
        <v>229</v>
      </c>
      <c r="R232" s="6" t="s">
        <v>72</v>
      </c>
      <c r="S232" s="6" t="s">
        <v>90</v>
      </c>
      <c r="T232" s="6" t="s">
        <v>46</v>
      </c>
      <c r="U232" s="6" t="n">
        <v>1000</v>
      </c>
      <c r="V232" s="1" t="n">
        <v>2</v>
      </c>
      <c r="W232" s="6"/>
      <c r="X232" s="6" t="s">
        <v>47</v>
      </c>
      <c r="Y232" s="1" t="n">
        <v>5500</v>
      </c>
      <c r="Z232" s="6" t="s">
        <v>276</v>
      </c>
      <c r="AA232" s="6" t="s">
        <v>277</v>
      </c>
      <c r="AB232" s="15" t="str">
        <f aca="true" t="array" ref="AB232:AB232">LEFT(AA232,LOOKUP(2^15,FIND(".",AA232,ROW(INDIRECT("1:"&amp;LEN(AA232)))))-1)</f>
        <v>NB_2022_030 - 20062022 - 1</v>
      </c>
      <c r="AC232" s="6" t="s">
        <v>278</v>
      </c>
      <c r="AD232" s="15" t="str">
        <f aca="true" t="array" ref="AD232:AD232">LEFT(AC232,LOOKUP(2^15,FIND(".",AC232,ROW(INDIRECT("1:"&amp;LEN(AC232)))))-1)</f>
        <v>NB_2022_030 - 20062022 - 2</v>
      </c>
      <c r="AE232" s="6" t="str">
        <f aca="false">CONCATENATE(AB232, "-",H232, ".mzML")</f>
        <v>NB_2022_030 - 20062022 - 1-023.mzML</v>
      </c>
      <c r="AF232" s="6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4" t="s">
        <v>286</v>
      </c>
      <c r="B233" s="5"/>
      <c r="C233" s="4" t="s">
        <v>287</v>
      </c>
      <c r="D233" s="6" t="s">
        <v>14</v>
      </c>
      <c r="E233" s="6" t="s">
        <v>271</v>
      </c>
      <c r="F233" s="7" t="s">
        <v>272</v>
      </c>
      <c r="G233" s="6" t="s">
        <v>273</v>
      </c>
      <c r="H233" s="27" t="s">
        <v>237</v>
      </c>
      <c r="I233" s="6" t="str">
        <f aca="false">CONCATENATE(E233, "_",H233)</f>
        <v>NLA_2022_007_024</v>
      </c>
      <c r="J233" s="6" t="s">
        <v>52</v>
      </c>
      <c r="K233" s="6" t="s">
        <v>289</v>
      </c>
      <c r="L233" s="9" t="s">
        <v>69</v>
      </c>
      <c r="M233" s="13" t="s">
        <v>275</v>
      </c>
      <c r="N233" s="6" t="s">
        <v>41</v>
      </c>
      <c r="O233" s="6" t="s">
        <v>54</v>
      </c>
      <c r="P233" s="6" t="s">
        <v>162</v>
      </c>
      <c r="Q233" s="6" t="s">
        <v>229</v>
      </c>
      <c r="R233" s="6" t="s">
        <v>72</v>
      </c>
      <c r="S233" s="6" t="s">
        <v>90</v>
      </c>
      <c r="T233" s="6" t="s">
        <v>46</v>
      </c>
      <c r="U233" s="6" t="n">
        <v>1000</v>
      </c>
      <c r="V233" s="1" t="n">
        <v>3</v>
      </c>
      <c r="W233" s="6"/>
      <c r="X233" s="6" t="s">
        <v>47</v>
      </c>
      <c r="Y233" s="1" t="n">
        <v>5500</v>
      </c>
      <c r="Z233" s="6" t="s">
        <v>276</v>
      </c>
      <c r="AA233" s="6" t="s">
        <v>277</v>
      </c>
      <c r="AB233" s="15" t="str">
        <f aca="true" t="array" ref="AB233:AB233">LEFT(AA233,LOOKUP(2^15,FIND(".",AA233,ROW(INDIRECT("1:"&amp;LEN(AA233)))))-1)</f>
        <v>NB_2022_030 - 20062022 - 1</v>
      </c>
      <c r="AC233" s="6" t="s">
        <v>278</v>
      </c>
      <c r="AD233" s="15" t="str">
        <f aca="true" t="array" ref="AD233:AD233">LEFT(AC233,LOOKUP(2^15,FIND(".",AC233,ROW(INDIRECT("1:"&amp;LEN(AC233)))))-1)</f>
        <v>NB_2022_030 - 20062022 - 2</v>
      </c>
      <c r="AE233" s="6" t="str">
        <f aca="false">CONCATENATE(AB233, "-",H233, ".mzML")</f>
        <v>NB_2022_030 - 20062022 - 1-024.mzML</v>
      </c>
      <c r="AF233" s="6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4" t="s">
        <v>286</v>
      </c>
      <c r="B234" s="5"/>
      <c r="C234" s="4" t="s">
        <v>287</v>
      </c>
      <c r="D234" s="6" t="s">
        <v>14</v>
      </c>
      <c r="E234" s="6" t="s">
        <v>271</v>
      </c>
      <c r="F234" s="7" t="s">
        <v>272</v>
      </c>
      <c r="G234" s="6" t="s">
        <v>271</v>
      </c>
      <c r="H234" s="27" t="s">
        <v>64</v>
      </c>
      <c r="I234" s="6" t="str">
        <f aca="false">CONCATENATE(E234, "_",H234)</f>
        <v>NLA_2022_007_Blank_1</v>
      </c>
      <c r="J234" s="6" t="s">
        <v>52</v>
      </c>
      <c r="K234" s="6" t="s">
        <v>280</v>
      </c>
      <c r="L234" s="9" t="s">
        <v>46</v>
      </c>
      <c r="M234" s="13" t="s">
        <v>46</v>
      </c>
      <c r="N234" s="6" t="s">
        <v>65</v>
      </c>
      <c r="O234" s="6" t="s">
        <v>46</v>
      </c>
      <c r="P234" s="6" t="s">
        <v>46</v>
      </c>
      <c r="Q234" s="6" t="s">
        <v>46</v>
      </c>
      <c r="R234" s="6" t="s">
        <v>46</v>
      </c>
      <c r="S234" s="6" t="s">
        <v>46</v>
      </c>
      <c r="T234" s="6" t="s">
        <v>46</v>
      </c>
      <c r="U234" s="6" t="s">
        <v>46</v>
      </c>
      <c r="V234" s="1" t="n">
        <v>1</v>
      </c>
      <c r="W234" s="6"/>
      <c r="X234" s="6" t="s">
        <v>46</v>
      </c>
      <c r="Y234" s="1" t="n">
        <v>5500</v>
      </c>
      <c r="Z234" s="6" t="s">
        <v>276</v>
      </c>
      <c r="AA234" s="6" t="s">
        <v>277</v>
      </c>
      <c r="AB234" s="15" t="str">
        <f aca="true" t="array" ref="AB234:AB234">LEFT(AA234,LOOKUP(2^15,FIND(".",AA234,ROW(INDIRECT("1:"&amp;LEN(AA234)))))-1)</f>
        <v>NB_2022_030 - 20062022 - 1</v>
      </c>
      <c r="AC234" s="6" t="s">
        <v>278</v>
      </c>
      <c r="AD234" s="15" t="str">
        <f aca="true" t="array" ref="AD234:AD234">LEFT(AC234,LOOKUP(2^15,FIND(".",AC234,ROW(INDIRECT("1:"&amp;LEN(AC234)))))-1)</f>
        <v>NB_2022_030 - 20062022 - 2</v>
      </c>
      <c r="AE234" s="6" t="str">
        <f aca="false">CONCATENATE(AB234, "-",H234, ".mzML")</f>
        <v>NB_2022_030 - 20062022 - 1-Blank_1.mzML</v>
      </c>
      <c r="AF234" s="6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4" t="s">
        <v>286</v>
      </c>
      <c r="B235" s="5"/>
      <c r="C235" s="4" t="s">
        <v>287</v>
      </c>
      <c r="D235" s="6" t="s">
        <v>14</v>
      </c>
      <c r="E235" s="6" t="s">
        <v>271</v>
      </c>
      <c r="F235" s="7" t="s">
        <v>272</v>
      </c>
      <c r="G235" s="6" t="s">
        <v>271</v>
      </c>
      <c r="H235" s="27" t="s">
        <v>66</v>
      </c>
      <c r="I235" s="6" t="str">
        <f aca="false">CONCATENATE(E235, "_",H235)</f>
        <v>NLA_2022_007_Blank_2</v>
      </c>
      <c r="J235" s="6" t="s">
        <v>52</v>
      </c>
      <c r="K235" s="6" t="s">
        <v>280</v>
      </c>
      <c r="L235" s="9" t="s">
        <v>46</v>
      </c>
      <c r="M235" s="13" t="s">
        <v>46</v>
      </c>
      <c r="N235" s="6" t="s">
        <v>65</v>
      </c>
      <c r="O235" s="6" t="s">
        <v>46</v>
      </c>
      <c r="P235" s="6" t="s">
        <v>46</v>
      </c>
      <c r="Q235" s="6" t="s">
        <v>46</v>
      </c>
      <c r="R235" s="6" t="s">
        <v>46</v>
      </c>
      <c r="S235" s="6" t="s">
        <v>46</v>
      </c>
      <c r="T235" s="6" t="s">
        <v>46</v>
      </c>
      <c r="U235" s="6" t="s">
        <v>46</v>
      </c>
      <c r="V235" s="1" t="n">
        <v>2</v>
      </c>
      <c r="W235" s="6"/>
      <c r="X235" s="6" t="s">
        <v>46</v>
      </c>
      <c r="Y235" s="1" t="n">
        <v>5500</v>
      </c>
      <c r="Z235" s="6" t="s">
        <v>276</v>
      </c>
      <c r="AA235" s="6" t="s">
        <v>277</v>
      </c>
      <c r="AB235" s="15" t="str">
        <f aca="true" t="array" ref="AB235:AB235">LEFT(AA235,LOOKUP(2^15,FIND(".",AA235,ROW(INDIRECT("1:"&amp;LEN(AA235)))))-1)</f>
        <v>NB_2022_030 - 20062022 - 1</v>
      </c>
      <c r="AC235" s="6" t="s">
        <v>278</v>
      </c>
      <c r="AD235" s="15" t="str">
        <f aca="true" t="array" ref="AD235:AD235">LEFT(AC235,LOOKUP(2^15,FIND(".",AC235,ROW(INDIRECT("1:"&amp;LEN(AC235)))))-1)</f>
        <v>NB_2022_030 - 20062022 - 2</v>
      </c>
      <c r="AE235" s="6" t="str">
        <f aca="false">CONCATENATE(AB235, "-",H235, ".mzML")</f>
        <v>NB_2022_030 - 20062022 - 1-Blank_2.mzML</v>
      </c>
      <c r="AF235" s="6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4" t="s">
        <v>286</v>
      </c>
      <c r="B236" s="5"/>
      <c r="C236" s="4" t="s">
        <v>287</v>
      </c>
      <c r="D236" s="6" t="s">
        <v>14</v>
      </c>
      <c r="E236" s="6" t="s">
        <v>271</v>
      </c>
      <c r="F236" s="7" t="s">
        <v>272</v>
      </c>
      <c r="G236" s="6" t="s">
        <v>271</v>
      </c>
      <c r="H236" s="27" t="s">
        <v>67</v>
      </c>
      <c r="I236" s="6" t="str">
        <f aca="false">CONCATENATE(E236, "_",H236)</f>
        <v>NLA_2022_007_Blank_3</v>
      </c>
      <c r="J236" s="6" t="s">
        <v>52</v>
      </c>
      <c r="K236" s="6" t="s">
        <v>280</v>
      </c>
      <c r="L236" s="9" t="s">
        <v>46</v>
      </c>
      <c r="M236" s="13" t="s">
        <v>46</v>
      </c>
      <c r="N236" s="6" t="s">
        <v>65</v>
      </c>
      <c r="O236" s="6" t="s">
        <v>46</v>
      </c>
      <c r="P236" s="6" t="s">
        <v>46</v>
      </c>
      <c r="Q236" s="6" t="s">
        <v>46</v>
      </c>
      <c r="R236" s="6" t="s">
        <v>46</v>
      </c>
      <c r="S236" s="6" t="s">
        <v>46</v>
      </c>
      <c r="T236" s="6" t="s">
        <v>46</v>
      </c>
      <c r="U236" s="6" t="s">
        <v>46</v>
      </c>
      <c r="V236" s="1" t="n">
        <v>3</v>
      </c>
      <c r="W236" s="6"/>
      <c r="X236" s="6" t="s">
        <v>46</v>
      </c>
      <c r="Y236" s="1" t="n">
        <v>5500</v>
      </c>
      <c r="Z236" s="6" t="s">
        <v>276</v>
      </c>
      <c r="AA236" s="6" t="s">
        <v>277</v>
      </c>
      <c r="AB236" s="15" t="str">
        <f aca="true" t="array" ref="AB236:AB236">LEFT(AA236,LOOKUP(2^15,FIND(".",AA236,ROW(INDIRECT("1:"&amp;LEN(AA236)))))-1)</f>
        <v>NB_2022_030 - 20062022 - 1</v>
      </c>
      <c r="AC236" s="6" t="s">
        <v>278</v>
      </c>
      <c r="AD236" s="15" t="str">
        <f aca="true" t="array" ref="AD236:AD236">LEFT(AC236,LOOKUP(2^15,FIND(".",AC236,ROW(INDIRECT("1:"&amp;LEN(AC236)))))-1)</f>
        <v>NB_2022_030 - 20062022 - 2</v>
      </c>
      <c r="AE236" s="6" t="str">
        <f aca="false">CONCATENATE(AB236, "-",H236, ".mzML")</f>
        <v>NB_2022_030 - 20062022 - 1-Blank_3.mzML</v>
      </c>
      <c r="AF236" s="6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4" t="s">
        <v>286</v>
      </c>
      <c r="B237" s="5"/>
      <c r="C237" s="4" t="s">
        <v>287</v>
      </c>
      <c r="D237" s="6" t="s">
        <v>14</v>
      </c>
      <c r="E237" s="6" t="s">
        <v>271</v>
      </c>
      <c r="F237" s="7" t="s">
        <v>272</v>
      </c>
      <c r="G237" s="6" t="s">
        <v>271</v>
      </c>
      <c r="H237" s="27" t="s">
        <v>68</v>
      </c>
      <c r="I237" s="6" t="str">
        <f aca="false">CONCATENATE(E237, "_",H237)</f>
        <v>NLA_2022_007_QC_C_1</v>
      </c>
      <c r="J237" s="6" t="s">
        <v>52</v>
      </c>
      <c r="K237" s="6" t="s">
        <v>70</v>
      </c>
      <c r="L237" s="9" t="s">
        <v>69</v>
      </c>
      <c r="M237" s="13" t="s">
        <v>46</v>
      </c>
      <c r="N237" s="6" t="s">
        <v>70</v>
      </c>
      <c r="O237" s="6" t="s">
        <v>46</v>
      </c>
      <c r="P237" s="6" t="s">
        <v>71</v>
      </c>
      <c r="Q237" s="6" t="s">
        <v>71</v>
      </c>
      <c r="R237" s="6" t="s">
        <v>72</v>
      </c>
      <c r="S237" s="6" t="s">
        <v>73</v>
      </c>
      <c r="T237" s="6" t="s">
        <v>46</v>
      </c>
      <c r="U237" s="6" t="n">
        <v>1000</v>
      </c>
      <c r="V237" s="1" t="n">
        <v>1</v>
      </c>
      <c r="W237" s="6"/>
      <c r="X237" s="6" t="s">
        <v>74</v>
      </c>
      <c r="Y237" s="1" t="n">
        <v>5500</v>
      </c>
      <c r="Z237" s="6" t="s">
        <v>276</v>
      </c>
      <c r="AA237" s="6" t="s">
        <v>277</v>
      </c>
      <c r="AB237" s="15" t="str">
        <f aca="true" t="array" ref="AB237:AB237">LEFT(AA237,LOOKUP(2^15,FIND(".",AA237,ROW(INDIRECT("1:"&amp;LEN(AA237)))))-1)</f>
        <v>NB_2022_030 - 20062022 - 1</v>
      </c>
      <c r="AC237" s="6" t="s">
        <v>278</v>
      </c>
      <c r="AD237" s="15" t="str">
        <f aca="true" t="array" ref="AD237:AD237">LEFT(AC237,LOOKUP(2^15,FIND(".",AC237,ROW(INDIRECT("1:"&amp;LEN(AC237)))))-1)</f>
        <v>NB_2022_030 - 20062022 - 2</v>
      </c>
      <c r="AE237" s="6" t="str">
        <f aca="false">CONCATENATE(AB237, "-",H237, ".mzML")</f>
        <v>NB_2022_030 - 20062022 - 1-QC_C_1.mzML</v>
      </c>
      <c r="AF237" s="6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4" t="s">
        <v>286</v>
      </c>
      <c r="B238" s="5"/>
      <c r="C238" s="4" t="s">
        <v>287</v>
      </c>
      <c r="D238" s="6" t="s">
        <v>14</v>
      </c>
      <c r="E238" s="6" t="s">
        <v>271</v>
      </c>
      <c r="F238" s="7" t="s">
        <v>272</v>
      </c>
      <c r="G238" s="6" t="s">
        <v>271</v>
      </c>
      <c r="H238" s="27" t="s">
        <v>75</v>
      </c>
      <c r="I238" s="6" t="str">
        <f aca="false">CONCATENATE(E238, "_",H238)</f>
        <v>NLA_2022_007_QC_C_2</v>
      </c>
      <c r="J238" s="6" t="s">
        <v>52</v>
      </c>
      <c r="K238" s="6" t="s">
        <v>70</v>
      </c>
      <c r="L238" s="9" t="s">
        <v>69</v>
      </c>
      <c r="M238" s="13" t="s">
        <v>46</v>
      </c>
      <c r="N238" s="6" t="s">
        <v>70</v>
      </c>
      <c r="O238" s="6" t="s">
        <v>46</v>
      </c>
      <c r="P238" s="6" t="s">
        <v>71</v>
      </c>
      <c r="Q238" s="6" t="s">
        <v>71</v>
      </c>
      <c r="R238" s="6" t="s">
        <v>72</v>
      </c>
      <c r="S238" s="6" t="s">
        <v>73</v>
      </c>
      <c r="T238" s="6" t="s">
        <v>46</v>
      </c>
      <c r="U238" s="6" t="n">
        <v>1000</v>
      </c>
      <c r="V238" s="1" t="n">
        <v>2</v>
      </c>
      <c r="W238" s="6"/>
      <c r="X238" s="6" t="s">
        <v>74</v>
      </c>
      <c r="Y238" s="1" t="n">
        <v>5500</v>
      </c>
      <c r="Z238" s="6" t="s">
        <v>276</v>
      </c>
      <c r="AA238" s="6" t="s">
        <v>277</v>
      </c>
      <c r="AB238" s="15" t="str">
        <f aca="true" t="array" ref="AB238:AB238">LEFT(AA238,LOOKUP(2^15,FIND(".",AA238,ROW(INDIRECT("1:"&amp;LEN(AA238)))))-1)</f>
        <v>NB_2022_030 - 20062022 - 1</v>
      </c>
      <c r="AC238" s="6" t="s">
        <v>278</v>
      </c>
      <c r="AD238" s="15" t="str">
        <f aca="true" t="array" ref="AD238:AD238">LEFT(AC238,LOOKUP(2^15,FIND(".",AC238,ROW(INDIRECT("1:"&amp;LEN(AC238)))))-1)</f>
        <v>NB_2022_030 - 20062022 - 2</v>
      </c>
      <c r="AE238" s="6" t="str">
        <f aca="false">CONCATENATE(AB238, "-",H238, ".mzML")</f>
        <v>NB_2022_030 - 20062022 - 1-QC_C_2.mzML</v>
      </c>
      <c r="AF238" s="6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4" t="s">
        <v>286</v>
      </c>
      <c r="B239" s="5"/>
      <c r="C239" s="4" t="s">
        <v>287</v>
      </c>
      <c r="D239" s="6" t="s">
        <v>14</v>
      </c>
      <c r="E239" s="6" t="s">
        <v>271</v>
      </c>
      <c r="F239" s="7" t="s">
        <v>272</v>
      </c>
      <c r="G239" s="6" t="s">
        <v>271</v>
      </c>
      <c r="H239" s="27" t="s">
        <v>76</v>
      </c>
      <c r="I239" s="6" t="str">
        <f aca="false">CONCATENATE(E239, "_",H239)</f>
        <v>NLA_2022_007_QC_C_3</v>
      </c>
      <c r="J239" s="6" t="s">
        <v>52</v>
      </c>
      <c r="K239" s="6" t="s">
        <v>70</v>
      </c>
      <c r="L239" s="9" t="s">
        <v>69</v>
      </c>
      <c r="M239" s="13" t="s">
        <v>46</v>
      </c>
      <c r="N239" s="6" t="s">
        <v>70</v>
      </c>
      <c r="O239" s="6" t="s">
        <v>46</v>
      </c>
      <c r="P239" s="6" t="s">
        <v>71</v>
      </c>
      <c r="Q239" s="6" t="s">
        <v>71</v>
      </c>
      <c r="R239" s="6" t="s">
        <v>72</v>
      </c>
      <c r="S239" s="6" t="s">
        <v>73</v>
      </c>
      <c r="T239" s="6" t="s">
        <v>46</v>
      </c>
      <c r="U239" s="6" t="n">
        <v>1000</v>
      </c>
      <c r="V239" s="1" t="n">
        <v>3</v>
      </c>
      <c r="W239" s="6"/>
      <c r="X239" s="6" t="s">
        <v>74</v>
      </c>
      <c r="Y239" s="1" t="n">
        <v>5500</v>
      </c>
      <c r="Z239" s="6" t="s">
        <v>276</v>
      </c>
      <c r="AA239" s="6" t="s">
        <v>277</v>
      </c>
      <c r="AB239" s="15" t="str">
        <f aca="true" t="array" ref="AB239:AB239">LEFT(AA239,LOOKUP(2^15,FIND(".",AA239,ROW(INDIRECT("1:"&amp;LEN(AA239)))))-1)</f>
        <v>NB_2022_030 - 20062022 - 1</v>
      </c>
      <c r="AC239" s="6" t="s">
        <v>278</v>
      </c>
      <c r="AD239" s="15" t="str">
        <f aca="true" t="array" ref="AD239:AD239">LEFT(AC239,LOOKUP(2^15,FIND(".",AC239,ROW(INDIRECT("1:"&amp;LEN(AC239)))))-1)</f>
        <v>NB_2022_030 - 20062022 - 2</v>
      </c>
      <c r="AE239" s="6" t="str">
        <f aca="false">CONCATENATE(AB239, "-",H239, ".mzML")</f>
        <v>NB_2022_030 - 20062022 - 1-QC_C_3.mzML</v>
      </c>
      <c r="AF239" s="6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4" t="s">
        <v>286</v>
      </c>
      <c r="B240" s="5"/>
      <c r="C240" s="4" t="s">
        <v>287</v>
      </c>
      <c r="D240" s="6" t="s">
        <v>14</v>
      </c>
      <c r="E240" s="6" t="s">
        <v>271</v>
      </c>
      <c r="F240" s="7" t="s">
        <v>272</v>
      </c>
      <c r="G240" s="6" t="s">
        <v>271</v>
      </c>
      <c r="H240" s="27" t="s">
        <v>77</v>
      </c>
      <c r="I240" s="6" t="str">
        <f aca="false">CONCATENATE(E240, "_",H240)</f>
        <v>NLA_2022_007_QC_P_1</v>
      </c>
      <c r="J240" s="6" t="s">
        <v>52</v>
      </c>
      <c r="K240" s="6" t="s">
        <v>281</v>
      </c>
      <c r="L240" s="9" t="s">
        <v>69</v>
      </c>
      <c r="M240" s="13" t="s">
        <v>46</v>
      </c>
      <c r="N240" s="6" t="s">
        <v>78</v>
      </c>
      <c r="O240" s="6" t="s">
        <v>46</v>
      </c>
      <c r="P240" s="6" t="s">
        <v>79</v>
      </c>
      <c r="Q240" s="6" t="s">
        <v>80</v>
      </c>
      <c r="R240" s="6" t="s">
        <v>81</v>
      </c>
      <c r="S240" s="6" t="s">
        <v>46</v>
      </c>
      <c r="T240" s="6" t="s">
        <v>46</v>
      </c>
      <c r="U240" s="6" t="s">
        <v>82</v>
      </c>
      <c r="V240" s="1" t="n">
        <v>1</v>
      </c>
      <c r="W240" s="6"/>
      <c r="X240" s="6" t="s">
        <v>83</v>
      </c>
      <c r="Y240" s="1" t="n">
        <v>5500</v>
      </c>
      <c r="Z240" s="6" t="s">
        <v>276</v>
      </c>
      <c r="AA240" s="6" t="s">
        <v>277</v>
      </c>
      <c r="AB240" s="15" t="str">
        <f aca="true" t="array" ref="AB240:AB240">LEFT(AA240,LOOKUP(2^15,FIND(".",AA240,ROW(INDIRECT("1:"&amp;LEN(AA240)))))-1)</f>
        <v>NB_2022_030 - 20062022 - 1</v>
      </c>
      <c r="AC240" s="6" t="s">
        <v>278</v>
      </c>
      <c r="AD240" s="15" t="str">
        <f aca="true" t="array" ref="AD240:AD240">LEFT(AC240,LOOKUP(2^15,FIND(".",AC240,ROW(INDIRECT("1:"&amp;LEN(AC240)))))-1)</f>
        <v>NB_2022_030 - 20062022 - 2</v>
      </c>
      <c r="AE240" s="6" t="str">
        <f aca="false">CONCATENATE(AB240, "-",H240, ".mzML")</f>
        <v>NB_2022_030 - 20062022 - 1-QC_P_1.mzML</v>
      </c>
      <c r="AF240" s="6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4" t="s">
        <v>286</v>
      </c>
      <c r="B241" s="5"/>
      <c r="C241" s="4" t="s">
        <v>287</v>
      </c>
      <c r="D241" s="6" t="s">
        <v>14</v>
      </c>
      <c r="E241" s="6" t="s">
        <v>271</v>
      </c>
      <c r="F241" s="7" t="s">
        <v>272</v>
      </c>
      <c r="G241" s="6" t="s">
        <v>271</v>
      </c>
      <c r="H241" s="27" t="s">
        <v>84</v>
      </c>
      <c r="I241" s="6" t="str">
        <f aca="false">CONCATENATE(E241, "_",H241)</f>
        <v>NLA_2022_007_QC_P_2</v>
      </c>
      <c r="J241" s="6" t="s">
        <v>52</v>
      </c>
      <c r="K241" s="6" t="s">
        <v>281</v>
      </c>
      <c r="L241" s="9" t="s">
        <v>69</v>
      </c>
      <c r="M241" s="13" t="s">
        <v>46</v>
      </c>
      <c r="N241" s="6" t="s">
        <v>78</v>
      </c>
      <c r="O241" s="6" t="s">
        <v>46</v>
      </c>
      <c r="P241" s="6" t="s">
        <v>79</v>
      </c>
      <c r="Q241" s="6" t="s">
        <v>80</v>
      </c>
      <c r="R241" s="6" t="s">
        <v>81</v>
      </c>
      <c r="S241" s="6" t="s">
        <v>46</v>
      </c>
      <c r="T241" s="6" t="s">
        <v>46</v>
      </c>
      <c r="U241" s="6" t="s">
        <v>82</v>
      </c>
      <c r="V241" s="1" t="n">
        <v>2</v>
      </c>
      <c r="W241" s="6"/>
      <c r="X241" s="6" t="s">
        <v>83</v>
      </c>
      <c r="Y241" s="1" t="n">
        <v>5500</v>
      </c>
      <c r="Z241" s="6" t="s">
        <v>276</v>
      </c>
      <c r="AA241" s="6" t="s">
        <v>277</v>
      </c>
      <c r="AB241" s="15" t="str">
        <f aca="true" t="array" ref="AB241:AB241">LEFT(AA241,LOOKUP(2^15,FIND(".",AA241,ROW(INDIRECT("1:"&amp;LEN(AA241)))))-1)</f>
        <v>NB_2022_030 - 20062022 - 1</v>
      </c>
      <c r="AC241" s="6" t="s">
        <v>278</v>
      </c>
      <c r="AD241" s="15" t="str">
        <f aca="true" t="array" ref="AD241:AD241">LEFT(AC241,LOOKUP(2^15,FIND(".",AC241,ROW(INDIRECT("1:"&amp;LEN(AC241)))))-1)</f>
        <v>NB_2022_030 - 20062022 - 2</v>
      </c>
      <c r="AE241" s="6" t="str">
        <f aca="false">CONCATENATE(AB241, "-",H241, ".mzML")</f>
        <v>NB_2022_030 - 20062022 - 1-QC_P_2.mzML</v>
      </c>
      <c r="AF241" s="6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4" t="s">
        <v>286</v>
      </c>
      <c r="B242" s="5"/>
      <c r="C242" s="4" t="s">
        <v>287</v>
      </c>
      <c r="D242" s="6" t="s">
        <v>14</v>
      </c>
      <c r="E242" s="6" t="s">
        <v>271</v>
      </c>
      <c r="F242" s="7" t="s">
        <v>272</v>
      </c>
      <c r="G242" s="6" t="s">
        <v>271</v>
      </c>
      <c r="H242" s="27" t="s">
        <v>85</v>
      </c>
      <c r="I242" s="6" t="str">
        <f aca="false">CONCATENATE(E242, "_",H242)</f>
        <v>NLA_2022_007_QC_P_3</v>
      </c>
      <c r="J242" s="6" t="s">
        <v>52</v>
      </c>
      <c r="K242" s="6" t="s">
        <v>281</v>
      </c>
      <c r="L242" s="9" t="s">
        <v>69</v>
      </c>
      <c r="M242" s="13" t="s">
        <v>46</v>
      </c>
      <c r="N242" s="6" t="s">
        <v>78</v>
      </c>
      <c r="O242" s="6" t="s">
        <v>46</v>
      </c>
      <c r="P242" s="6" t="s">
        <v>79</v>
      </c>
      <c r="Q242" s="6" t="s">
        <v>80</v>
      </c>
      <c r="R242" s="6" t="s">
        <v>81</v>
      </c>
      <c r="S242" s="6" t="s">
        <v>46</v>
      </c>
      <c r="T242" s="6" t="s">
        <v>46</v>
      </c>
      <c r="U242" s="6" t="s">
        <v>82</v>
      </c>
      <c r="V242" s="1" t="n">
        <v>3</v>
      </c>
      <c r="W242" s="6"/>
      <c r="X242" s="6" t="s">
        <v>83</v>
      </c>
      <c r="Y242" s="1" t="n">
        <v>5500</v>
      </c>
      <c r="Z242" s="6" t="s">
        <v>276</v>
      </c>
      <c r="AA242" s="6" t="s">
        <v>277</v>
      </c>
      <c r="AB242" s="15" t="str">
        <f aca="true" t="array" ref="AB242:AB242">LEFT(AA242,LOOKUP(2^15,FIND(".",AA242,ROW(INDIRECT("1:"&amp;LEN(AA242)))))-1)</f>
        <v>NB_2022_030 - 20062022 - 1</v>
      </c>
      <c r="AC242" s="6" t="s">
        <v>278</v>
      </c>
      <c r="AD242" s="15" t="str">
        <f aca="true" t="array" ref="AD242:AD242">LEFT(AC242,LOOKUP(2^15,FIND(".",AC242,ROW(INDIRECT("1:"&amp;LEN(AC242)))))-1)</f>
        <v>NB_2022_030 - 20062022 - 2</v>
      </c>
      <c r="AE242" s="6" t="str">
        <f aca="false">CONCATENATE(AB242, "-",H242, ".mzML")</f>
        <v>NB_2022_030 - 20062022 - 1-QC_P_3.mzML</v>
      </c>
      <c r="AF242" s="6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4" t="s">
        <v>290</v>
      </c>
      <c r="B243" s="5"/>
      <c r="C243" s="4" t="s">
        <v>291</v>
      </c>
      <c r="D243" s="6" t="s">
        <v>14</v>
      </c>
      <c r="E243" s="6" t="s">
        <v>292</v>
      </c>
      <c r="F243" s="7" t="s">
        <v>293</v>
      </c>
      <c r="G243" s="6" t="s">
        <v>294</v>
      </c>
      <c r="H243" s="8" t="s">
        <v>88</v>
      </c>
      <c r="I243" s="6" t="str">
        <f aca="false">CONCATENATE(E243, "_",H243)</f>
        <v>NLA_2022_011_002</v>
      </c>
      <c r="J243" s="6" t="s">
        <v>52</v>
      </c>
      <c r="K243" s="6" t="s">
        <v>295</v>
      </c>
      <c r="L243" s="9" t="s">
        <v>69</v>
      </c>
      <c r="M243" s="13" t="s">
        <v>296</v>
      </c>
      <c r="N243" s="6" t="s">
        <v>246</v>
      </c>
      <c r="O243" s="6" t="s">
        <v>297</v>
      </c>
      <c r="P243" s="6" t="s">
        <v>43</v>
      </c>
      <c r="Q243" s="6" t="s">
        <v>43</v>
      </c>
      <c r="R243" s="6" t="s">
        <v>44</v>
      </c>
      <c r="S243" s="6" t="s">
        <v>46</v>
      </c>
      <c r="T243" s="6" t="s">
        <v>46</v>
      </c>
      <c r="U243" s="6" t="n">
        <v>1000</v>
      </c>
      <c r="V243" s="1" t="n">
        <v>1</v>
      </c>
      <c r="W243" s="6"/>
      <c r="X243" s="6" t="s">
        <v>298</v>
      </c>
      <c r="Y243" s="1" t="n">
        <v>5500</v>
      </c>
      <c r="Z243" s="6" t="s">
        <v>299</v>
      </c>
      <c r="AA243" s="6" t="s">
        <v>300</v>
      </c>
      <c r="AB243" s="15" t="str">
        <f aca="true" t="array" ref="AB243:AB243">LEFT(AA243,LOOKUP(2^15,FIND(".",AA243,ROW(INDIRECT("1:"&amp;LEN(AA243)))))-1)</f>
        <v>NB_2022_052 - 27102022 - 1</v>
      </c>
      <c r="AC243" s="6" t="s">
        <v>301</v>
      </c>
      <c r="AD243" s="15" t="str">
        <f aca="true" t="array" ref="AD243:AD243">LEFT(AC243,LOOKUP(2^15,FIND(".",AC243,ROW(INDIRECT("1:"&amp;LEN(AC243)))))-1)</f>
        <v>NB_2022_052 - 27102022 - 2</v>
      </c>
      <c r="AE243" s="6" t="str">
        <f aca="false">CONCATENATE(AB243, "-",H243, ".mzML")</f>
        <v>NB_2022_052 - 27102022 - 1-002.mzML</v>
      </c>
      <c r="AF243" s="6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4" t="s">
        <v>290</v>
      </c>
      <c r="B244" s="5"/>
      <c r="C244" s="4" t="s">
        <v>291</v>
      </c>
      <c r="D244" s="6" t="s">
        <v>14</v>
      </c>
      <c r="E244" s="6" t="s">
        <v>292</v>
      </c>
      <c r="F244" s="7" t="s">
        <v>293</v>
      </c>
      <c r="G244" s="6" t="s">
        <v>294</v>
      </c>
      <c r="H244" s="8" t="s">
        <v>97</v>
      </c>
      <c r="I244" s="6" t="str">
        <f aca="false">CONCATENATE(E244, "_",H244)</f>
        <v>NLA_2022_011_003</v>
      </c>
      <c r="J244" s="6" t="s">
        <v>52</v>
      </c>
      <c r="K244" s="6" t="s">
        <v>302</v>
      </c>
      <c r="L244" s="9" t="s">
        <v>69</v>
      </c>
      <c r="M244" s="13" t="s">
        <v>296</v>
      </c>
      <c r="N244" s="6" t="s">
        <v>246</v>
      </c>
      <c r="O244" s="6" t="s">
        <v>297</v>
      </c>
      <c r="P244" s="6" t="s">
        <v>43</v>
      </c>
      <c r="Q244" s="6" t="s">
        <v>43</v>
      </c>
      <c r="R244" s="6" t="s">
        <v>44</v>
      </c>
      <c r="S244" s="6" t="s">
        <v>46</v>
      </c>
      <c r="T244" s="6" t="s">
        <v>46</v>
      </c>
      <c r="U244" s="6" t="n">
        <v>1000</v>
      </c>
      <c r="V244" s="1" t="n">
        <v>2</v>
      </c>
      <c r="W244" s="6"/>
      <c r="X244" s="6" t="s">
        <v>298</v>
      </c>
      <c r="Y244" s="1" t="n">
        <v>5500</v>
      </c>
      <c r="Z244" s="6" t="s">
        <v>299</v>
      </c>
      <c r="AA244" s="6" t="s">
        <v>300</v>
      </c>
      <c r="AB244" s="15" t="str">
        <f aca="true" t="array" ref="AB244:AB244">LEFT(AA244,LOOKUP(2^15,FIND(".",AA244,ROW(INDIRECT("1:"&amp;LEN(AA244)))))-1)</f>
        <v>NB_2022_052 - 27102022 - 1</v>
      </c>
      <c r="AC244" s="6" t="s">
        <v>301</v>
      </c>
      <c r="AD244" s="15" t="str">
        <f aca="true" t="array" ref="AD244:AD244">LEFT(AC244,LOOKUP(2^15,FIND(".",AC244,ROW(INDIRECT("1:"&amp;LEN(AC244)))))-1)</f>
        <v>NB_2022_052 - 27102022 - 2</v>
      </c>
      <c r="AE244" s="6" t="str">
        <f aca="false">CONCATENATE(AB244, "-",H244, ".mzML")</f>
        <v>NB_2022_052 - 27102022 - 1-003.mzML</v>
      </c>
      <c r="AF244" s="6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4" t="s">
        <v>290</v>
      </c>
      <c r="B245" s="5"/>
      <c r="C245" s="4" t="s">
        <v>291</v>
      </c>
      <c r="D245" s="6" t="s">
        <v>14</v>
      </c>
      <c r="E245" s="6" t="s">
        <v>292</v>
      </c>
      <c r="F245" s="7" t="s">
        <v>293</v>
      </c>
      <c r="G245" s="6" t="s">
        <v>294</v>
      </c>
      <c r="H245" s="8" t="s">
        <v>99</v>
      </c>
      <c r="I245" s="6" t="str">
        <f aca="false">CONCATENATE(E245, "_",H245)</f>
        <v>NLA_2022_011_004</v>
      </c>
      <c r="J245" s="6" t="s">
        <v>52</v>
      </c>
      <c r="K245" s="6" t="s">
        <v>303</v>
      </c>
      <c r="L245" s="9" t="s">
        <v>69</v>
      </c>
      <c r="M245" s="13" t="s">
        <v>304</v>
      </c>
      <c r="N245" s="6" t="s">
        <v>246</v>
      </c>
      <c r="O245" s="6" t="s">
        <v>305</v>
      </c>
      <c r="P245" s="6" t="s">
        <v>43</v>
      </c>
      <c r="Q245" s="6" t="s">
        <v>43</v>
      </c>
      <c r="R245" s="6" t="s">
        <v>44</v>
      </c>
      <c r="S245" s="6" t="s">
        <v>46</v>
      </c>
      <c r="T245" s="6" t="s">
        <v>46</v>
      </c>
      <c r="U245" s="6" t="n">
        <v>1000</v>
      </c>
      <c r="V245" s="1" t="n">
        <v>3</v>
      </c>
      <c r="W245" s="6"/>
      <c r="X245" s="6" t="s">
        <v>298</v>
      </c>
      <c r="Y245" s="1" t="n">
        <v>5500</v>
      </c>
      <c r="Z245" s="6" t="s">
        <v>299</v>
      </c>
      <c r="AA245" s="6" t="s">
        <v>300</v>
      </c>
      <c r="AB245" s="15" t="str">
        <f aca="true" t="array" ref="AB245:AB245">LEFT(AA245,LOOKUP(2^15,FIND(".",AA245,ROW(INDIRECT("1:"&amp;LEN(AA245)))))-1)</f>
        <v>NB_2022_052 - 27102022 - 1</v>
      </c>
      <c r="AC245" s="6" t="s">
        <v>301</v>
      </c>
      <c r="AD245" s="15" t="str">
        <f aca="true" t="array" ref="AD245:AD245">LEFT(AC245,LOOKUP(2^15,FIND(".",AC245,ROW(INDIRECT("1:"&amp;LEN(AC245)))))-1)</f>
        <v>NB_2022_052 - 27102022 - 2</v>
      </c>
      <c r="AE245" s="6" t="str">
        <f aca="false">CONCATENATE(AB245, "-",H245, ".mzML")</f>
        <v>NB_2022_052 - 27102022 - 1-004.mzML</v>
      </c>
      <c r="AF245" s="6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4" t="s">
        <v>290</v>
      </c>
      <c r="B246" s="5"/>
      <c r="C246" s="4" t="s">
        <v>291</v>
      </c>
      <c r="D246" s="6" t="s">
        <v>14</v>
      </c>
      <c r="E246" s="6" t="s">
        <v>292</v>
      </c>
      <c r="F246" s="7" t="s">
        <v>293</v>
      </c>
      <c r="G246" s="6" t="s">
        <v>294</v>
      </c>
      <c r="H246" s="8" t="s">
        <v>101</v>
      </c>
      <c r="I246" s="6" t="str">
        <f aca="false">CONCATENATE(E246, "_",H246)</f>
        <v>NLA_2022_011_006</v>
      </c>
      <c r="J246" s="6" t="s">
        <v>38</v>
      </c>
      <c r="K246" s="6" t="s">
        <v>306</v>
      </c>
      <c r="L246" s="9" t="s">
        <v>69</v>
      </c>
      <c r="M246" s="13" t="s">
        <v>304</v>
      </c>
      <c r="N246" s="6" t="s">
        <v>246</v>
      </c>
      <c r="O246" s="6" t="s">
        <v>307</v>
      </c>
      <c r="P246" s="6" t="s">
        <v>43</v>
      </c>
      <c r="Q246" s="6" t="s">
        <v>43</v>
      </c>
      <c r="R246" s="6" t="s">
        <v>44</v>
      </c>
      <c r="S246" s="6" t="s">
        <v>46</v>
      </c>
      <c r="T246" s="6" t="s">
        <v>46</v>
      </c>
      <c r="U246" s="6" t="n">
        <v>1000</v>
      </c>
      <c r="V246" s="1" t="n">
        <v>2</v>
      </c>
      <c r="W246" s="6"/>
      <c r="X246" s="6" t="s">
        <v>298</v>
      </c>
      <c r="Y246" s="1" t="n">
        <v>5500</v>
      </c>
      <c r="Z246" s="6" t="s">
        <v>299</v>
      </c>
      <c r="AA246" s="6" t="s">
        <v>300</v>
      </c>
      <c r="AB246" s="15" t="str">
        <f aca="true" t="array" ref="AB246:AB246">LEFT(AA246,LOOKUP(2^15,FIND(".",AA246,ROW(INDIRECT("1:"&amp;LEN(AA246)))))-1)</f>
        <v>NB_2022_052 - 27102022 - 1</v>
      </c>
      <c r="AC246" s="6" t="s">
        <v>301</v>
      </c>
      <c r="AD246" s="15" t="str">
        <f aca="true" t="array" ref="AD246:AD246">LEFT(AC246,LOOKUP(2^15,FIND(".",AC246,ROW(INDIRECT("1:"&amp;LEN(AC246)))))-1)</f>
        <v>NB_2022_052 - 27102022 - 2</v>
      </c>
      <c r="AE246" s="6" t="str">
        <f aca="false">CONCATENATE(AB246, "-",H246, ".mzML")</f>
        <v>NB_2022_052 - 27102022 - 1-006.mzML</v>
      </c>
      <c r="AF246" s="6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4" t="s">
        <v>290</v>
      </c>
      <c r="B247" s="5"/>
      <c r="C247" s="4" t="s">
        <v>291</v>
      </c>
      <c r="D247" s="6" t="s">
        <v>14</v>
      </c>
      <c r="E247" s="6" t="s">
        <v>292</v>
      </c>
      <c r="F247" s="7" t="s">
        <v>293</v>
      </c>
      <c r="G247" s="6" t="s">
        <v>294</v>
      </c>
      <c r="H247" s="8" t="s">
        <v>142</v>
      </c>
      <c r="I247" s="6" t="str">
        <f aca="false">CONCATENATE(E247, "_",H247)</f>
        <v>NLA_2022_011_008</v>
      </c>
      <c r="J247" s="6" t="s">
        <v>52</v>
      </c>
      <c r="K247" s="6" t="s">
        <v>308</v>
      </c>
      <c r="L247" s="9" t="s">
        <v>69</v>
      </c>
      <c r="M247" s="13" t="s">
        <v>304</v>
      </c>
      <c r="N247" s="6" t="s">
        <v>246</v>
      </c>
      <c r="O247" s="6" t="s">
        <v>297</v>
      </c>
      <c r="P247" s="6" t="s">
        <v>43</v>
      </c>
      <c r="Q247" s="6" t="s">
        <v>43</v>
      </c>
      <c r="R247" s="6" t="s">
        <v>44</v>
      </c>
      <c r="S247" s="6" t="s">
        <v>46</v>
      </c>
      <c r="T247" s="6" t="s">
        <v>46</v>
      </c>
      <c r="U247" s="6" t="n">
        <v>1000</v>
      </c>
      <c r="V247" s="1" t="n">
        <v>2</v>
      </c>
      <c r="W247" s="6"/>
      <c r="X247" s="6" t="s">
        <v>298</v>
      </c>
      <c r="Y247" s="1" t="n">
        <v>5500</v>
      </c>
      <c r="Z247" s="6" t="s">
        <v>299</v>
      </c>
      <c r="AA247" s="6" t="s">
        <v>300</v>
      </c>
      <c r="AB247" s="15" t="str">
        <f aca="true" t="array" ref="AB247:AB247">LEFT(AA247,LOOKUP(2^15,FIND(".",AA247,ROW(INDIRECT("1:"&amp;LEN(AA247)))))-1)</f>
        <v>NB_2022_052 - 27102022 - 1</v>
      </c>
      <c r="AC247" s="6" t="s">
        <v>301</v>
      </c>
      <c r="AD247" s="15" t="str">
        <f aca="true" t="array" ref="AD247:AD247">LEFT(AC247,LOOKUP(2^15,FIND(".",AC247,ROW(INDIRECT("1:"&amp;LEN(AC247)))))-1)</f>
        <v>NB_2022_052 - 27102022 - 2</v>
      </c>
      <c r="AE247" s="6" t="str">
        <f aca="false">CONCATENATE(AB247, "-",H247, ".mzML")</f>
        <v>NB_2022_052 - 27102022 - 1-008.mzML</v>
      </c>
      <c r="AF247" s="6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4" t="s">
        <v>290</v>
      </c>
      <c r="B248" s="5"/>
      <c r="C248" s="4" t="s">
        <v>291</v>
      </c>
      <c r="D248" s="6" t="s">
        <v>14</v>
      </c>
      <c r="E248" s="6" t="s">
        <v>292</v>
      </c>
      <c r="F248" s="7" t="s">
        <v>293</v>
      </c>
      <c r="G248" s="6" t="s">
        <v>294</v>
      </c>
      <c r="H248" s="8" t="s">
        <v>129</v>
      </c>
      <c r="I248" s="6" t="str">
        <f aca="false">CONCATENATE(E248, "_",H248)</f>
        <v>NLA_2022_011_010</v>
      </c>
      <c r="J248" s="6" t="s">
        <v>52</v>
      </c>
      <c r="K248" s="6" t="s">
        <v>309</v>
      </c>
      <c r="L248" s="9" t="s">
        <v>69</v>
      </c>
      <c r="M248" s="13" t="s">
        <v>296</v>
      </c>
      <c r="N248" s="6" t="s">
        <v>246</v>
      </c>
      <c r="O248" s="6" t="s">
        <v>305</v>
      </c>
      <c r="P248" s="6" t="s">
        <v>43</v>
      </c>
      <c r="Q248" s="6" t="s">
        <v>43</v>
      </c>
      <c r="R248" s="6" t="s">
        <v>44</v>
      </c>
      <c r="S248" s="6" t="s">
        <v>46</v>
      </c>
      <c r="T248" s="6" t="s">
        <v>46</v>
      </c>
      <c r="U248" s="6" t="n">
        <v>1000</v>
      </c>
      <c r="V248" s="1" t="n">
        <v>1</v>
      </c>
      <c r="W248" s="6"/>
      <c r="X248" s="6" t="s">
        <v>298</v>
      </c>
      <c r="Y248" s="1" t="n">
        <v>5500</v>
      </c>
      <c r="Z248" s="6" t="s">
        <v>299</v>
      </c>
      <c r="AA248" s="6" t="s">
        <v>300</v>
      </c>
      <c r="AB248" s="15" t="str">
        <f aca="true" t="array" ref="AB248:AB248">LEFT(AA248,LOOKUP(2^15,FIND(".",AA248,ROW(INDIRECT("1:"&amp;LEN(AA248)))))-1)</f>
        <v>NB_2022_052 - 27102022 - 1</v>
      </c>
      <c r="AC248" s="6" t="s">
        <v>301</v>
      </c>
      <c r="AD248" s="15" t="str">
        <f aca="true" t="array" ref="AD248:AD248">LEFT(AC248,LOOKUP(2^15,FIND(".",AC248,ROW(INDIRECT("1:"&amp;LEN(AC248)))))-1)</f>
        <v>NB_2022_052 - 27102022 - 2</v>
      </c>
      <c r="AE248" s="6" t="str">
        <f aca="false">CONCATENATE(AB248, "-",H248, ".mzML")</f>
        <v>NB_2022_052 - 27102022 - 1-010.mzML</v>
      </c>
      <c r="AF248" s="6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4" t="s">
        <v>290</v>
      </c>
      <c r="B249" s="5"/>
      <c r="C249" s="4" t="s">
        <v>291</v>
      </c>
      <c r="D249" s="6" t="s">
        <v>14</v>
      </c>
      <c r="E249" s="6" t="s">
        <v>292</v>
      </c>
      <c r="F249" s="7" t="s">
        <v>293</v>
      </c>
      <c r="G249" s="6" t="s">
        <v>294</v>
      </c>
      <c r="H249" s="8" t="s">
        <v>51</v>
      </c>
      <c r="I249" s="6" t="str">
        <f aca="false">CONCATENATE(E249, "_",H249)</f>
        <v>NLA_2022_011_012</v>
      </c>
      <c r="J249" s="6" t="s">
        <v>38</v>
      </c>
      <c r="K249" s="6" t="s">
        <v>310</v>
      </c>
      <c r="L249" s="9" t="s">
        <v>69</v>
      </c>
      <c r="M249" s="13" t="s">
        <v>296</v>
      </c>
      <c r="N249" s="6" t="s">
        <v>246</v>
      </c>
      <c r="O249" s="6" t="s">
        <v>307</v>
      </c>
      <c r="P249" s="6" t="s">
        <v>43</v>
      </c>
      <c r="Q249" s="6" t="s">
        <v>43</v>
      </c>
      <c r="R249" s="6" t="s">
        <v>44</v>
      </c>
      <c r="S249" s="6" t="s">
        <v>46</v>
      </c>
      <c r="T249" s="6" t="s">
        <v>46</v>
      </c>
      <c r="U249" s="6" t="n">
        <v>1000</v>
      </c>
      <c r="V249" s="1" t="n">
        <v>2</v>
      </c>
      <c r="W249" s="6"/>
      <c r="X249" s="6" t="s">
        <v>298</v>
      </c>
      <c r="Y249" s="1" t="n">
        <v>5500</v>
      </c>
      <c r="Z249" s="6" t="s">
        <v>299</v>
      </c>
      <c r="AA249" s="6" t="s">
        <v>300</v>
      </c>
      <c r="AB249" s="15" t="str">
        <f aca="true" t="array" ref="AB249:AB249">LEFT(AA249,LOOKUP(2^15,FIND(".",AA249,ROW(INDIRECT("1:"&amp;LEN(AA249)))))-1)</f>
        <v>NB_2022_052 - 27102022 - 1</v>
      </c>
      <c r="AC249" s="6" t="s">
        <v>301</v>
      </c>
      <c r="AD249" s="15" t="str">
        <f aca="true" t="array" ref="AD249:AD249">LEFT(AC249,LOOKUP(2^15,FIND(".",AC249,ROW(INDIRECT("1:"&amp;LEN(AC249)))))-1)</f>
        <v>NB_2022_052 - 27102022 - 2</v>
      </c>
      <c r="AE249" s="6" t="str">
        <f aca="false">CONCATENATE(AB249, "-",H249, ".mzML")</f>
        <v>NB_2022_052 - 27102022 - 1-012.mzML</v>
      </c>
      <c r="AF249" s="6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4" t="s">
        <v>290</v>
      </c>
      <c r="B250" s="5"/>
      <c r="C250" s="4" t="s">
        <v>291</v>
      </c>
      <c r="D250" s="6" t="s">
        <v>14</v>
      </c>
      <c r="E250" s="6" t="s">
        <v>292</v>
      </c>
      <c r="F250" s="7" t="s">
        <v>293</v>
      </c>
      <c r="G250" s="6" t="s">
        <v>294</v>
      </c>
      <c r="H250" s="8" t="s">
        <v>172</v>
      </c>
      <c r="I250" s="6" t="str">
        <f aca="false">CONCATENATE(E250, "_",H250)</f>
        <v>NLA_2022_011_015</v>
      </c>
      <c r="J250" s="6" t="s">
        <v>38</v>
      </c>
      <c r="K250" s="6" t="s">
        <v>311</v>
      </c>
      <c r="L250" s="9" t="s">
        <v>69</v>
      </c>
      <c r="M250" s="13" t="s">
        <v>304</v>
      </c>
      <c r="N250" s="6" t="s">
        <v>246</v>
      </c>
      <c r="O250" s="6" t="s">
        <v>307</v>
      </c>
      <c r="P250" s="6" t="s">
        <v>43</v>
      </c>
      <c r="Q250" s="6" t="s">
        <v>43</v>
      </c>
      <c r="R250" s="6" t="s">
        <v>44</v>
      </c>
      <c r="S250" s="6" t="s">
        <v>46</v>
      </c>
      <c r="T250" s="6" t="s">
        <v>46</v>
      </c>
      <c r="U250" s="6" t="n">
        <v>1000</v>
      </c>
      <c r="V250" s="1" t="n">
        <v>3</v>
      </c>
      <c r="W250" s="6"/>
      <c r="X250" s="6" t="s">
        <v>298</v>
      </c>
      <c r="Y250" s="1" t="n">
        <v>5500</v>
      </c>
      <c r="Z250" s="6" t="s">
        <v>299</v>
      </c>
      <c r="AA250" s="6" t="s">
        <v>300</v>
      </c>
      <c r="AB250" s="15" t="str">
        <f aca="true" t="array" ref="AB250:AB250">LEFT(AA250,LOOKUP(2^15,FIND(".",AA250,ROW(INDIRECT("1:"&amp;LEN(AA250)))))-1)</f>
        <v>NB_2022_052 - 27102022 - 1</v>
      </c>
      <c r="AC250" s="6" t="s">
        <v>301</v>
      </c>
      <c r="AD250" s="15" t="str">
        <f aca="true" t="array" ref="AD250:AD250">LEFT(AC250,LOOKUP(2^15,FIND(".",AC250,ROW(INDIRECT("1:"&amp;LEN(AC250)))))-1)</f>
        <v>NB_2022_052 - 27102022 - 2</v>
      </c>
      <c r="AE250" s="6" t="str">
        <f aca="false">CONCATENATE(AB250, "-",H250, ".mzML")</f>
        <v>NB_2022_052 - 27102022 - 1-015.mzML</v>
      </c>
      <c r="AF250" s="6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4" t="s">
        <v>290</v>
      </c>
      <c r="B251" s="5"/>
      <c r="C251" s="4" t="s">
        <v>291</v>
      </c>
      <c r="D251" s="6" t="s">
        <v>14</v>
      </c>
      <c r="E251" s="6" t="s">
        <v>292</v>
      </c>
      <c r="F251" s="7" t="s">
        <v>293</v>
      </c>
      <c r="G251" s="6" t="s">
        <v>294</v>
      </c>
      <c r="H251" s="8" t="s">
        <v>93</v>
      </c>
      <c r="I251" s="6" t="str">
        <f aca="false">CONCATENATE(E251, "_",H251)</f>
        <v>NLA_2022_011_018</v>
      </c>
      <c r="J251" s="6" t="s">
        <v>52</v>
      </c>
      <c r="K251" s="6" t="s">
        <v>312</v>
      </c>
      <c r="L251" s="9" t="s">
        <v>69</v>
      </c>
      <c r="M251" s="13" t="s">
        <v>304</v>
      </c>
      <c r="N251" s="6" t="s">
        <v>246</v>
      </c>
      <c r="O251" s="6" t="s">
        <v>305</v>
      </c>
      <c r="P251" s="6" t="s">
        <v>43</v>
      </c>
      <c r="Q251" s="6" t="s">
        <v>43</v>
      </c>
      <c r="R251" s="6" t="s">
        <v>44</v>
      </c>
      <c r="S251" s="6" t="s">
        <v>46</v>
      </c>
      <c r="T251" s="6" t="s">
        <v>46</v>
      </c>
      <c r="U251" s="6" t="n">
        <v>1000</v>
      </c>
      <c r="V251" s="1" t="n">
        <v>1</v>
      </c>
      <c r="W251" s="6"/>
      <c r="X251" s="6" t="s">
        <v>298</v>
      </c>
      <c r="Y251" s="1" t="n">
        <v>5500</v>
      </c>
      <c r="Z251" s="6" t="s">
        <v>299</v>
      </c>
      <c r="AA251" s="6" t="s">
        <v>300</v>
      </c>
      <c r="AB251" s="15" t="str">
        <f aca="true" t="array" ref="AB251:AB251">LEFT(AA251,LOOKUP(2^15,FIND(".",AA251,ROW(INDIRECT("1:"&amp;LEN(AA251)))))-1)</f>
        <v>NB_2022_052 - 27102022 - 1</v>
      </c>
      <c r="AC251" s="6" t="s">
        <v>301</v>
      </c>
      <c r="AD251" s="15" t="str">
        <f aca="true" t="array" ref="AD251:AD251">LEFT(AC251,LOOKUP(2^15,FIND(".",AC251,ROW(INDIRECT("1:"&amp;LEN(AC251)))))-1)</f>
        <v>NB_2022_052 - 27102022 - 2</v>
      </c>
      <c r="AE251" s="6" t="str">
        <f aca="false">CONCATENATE(AB251, "-",H251, ".mzML")</f>
        <v>NB_2022_052 - 27102022 - 1-018.mzML</v>
      </c>
      <c r="AF251" s="6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4" t="s">
        <v>290</v>
      </c>
      <c r="B252" s="5"/>
      <c r="C252" s="4" t="s">
        <v>291</v>
      </c>
      <c r="D252" s="6" t="s">
        <v>14</v>
      </c>
      <c r="E252" s="6" t="s">
        <v>292</v>
      </c>
      <c r="F252" s="7" t="s">
        <v>293</v>
      </c>
      <c r="G252" s="6" t="s">
        <v>294</v>
      </c>
      <c r="H252" s="8" t="s">
        <v>288</v>
      </c>
      <c r="I252" s="6" t="str">
        <f aca="false">CONCATENATE(E252, "_",H252)</f>
        <v>NLA_2022_011_022</v>
      </c>
      <c r="J252" s="6" t="s">
        <v>52</v>
      </c>
      <c r="K252" s="6" t="s">
        <v>313</v>
      </c>
      <c r="L252" s="9" t="s">
        <v>69</v>
      </c>
      <c r="M252" s="13" t="s">
        <v>314</v>
      </c>
      <c r="N252" s="6" t="s">
        <v>246</v>
      </c>
      <c r="O252" s="6" t="s">
        <v>297</v>
      </c>
      <c r="P252" s="6" t="s">
        <v>43</v>
      </c>
      <c r="Q252" s="6" t="s">
        <v>43</v>
      </c>
      <c r="R252" s="6" t="s">
        <v>44</v>
      </c>
      <c r="S252" s="6" t="s">
        <v>46</v>
      </c>
      <c r="T252" s="6" t="s">
        <v>46</v>
      </c>
      <c r="U252" s="6" t="n">
        <v>1000</v>
      </c>
      <c r="V252" s="1" t="n">
        <v>2</v>
      </c>
      <c r="W252" s="6"/>
      <c r="X252" s="6" t="s">
        <v>298</v>
      </c>
      <c r="Y252" s="1" t="n">
        <v>5500</v>
      </c>
      <c r="Z252" s="6" t="s">
        <v>299</v>
      </c>
      <c r="AA252" s="6" t="s">
        <v>300</v>
      </c>
      <c r="AB252" s="15" t="str">
        <f aca="true" t="array" ref="AB252:AB252">LEFT(AA252,LOOKUP(2^15,FIND(".",AA252,ROW(INDIRECT("1:"&amp;LEN(AA252)))))-1)</f>
        <v>NB_2022_052 - 27102022 - 1</v>
      </c>
      <c r="AC252" s="6" t="s">
        <v>301</v>
      </c>
      <c r="AD252" s="15" t="str">
        <f aca="true" t="array" ref="AD252:AD252">LEFT(AC252,LOOKUP(2^15,FIND(".",AC252,ROW(INDIRECT("1:"&amp;LEN(AC252)))))-1)</f>
        <v>NB_2022_052 - 27102022 - 2</v>
      </c>
      <c r="AE252" s="6" t="str">
        <f aca="false">CONCATENATE(AB252, "-",H252, ".mzML")</f>
        <v>NB_2022_052 - 27102022 - 1-022.mzML</v>
      </c>
      <c r="AF252" s="6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4" t="s">
        <v>290</v>
      </c>
      <c r="B253" s="5"/>
      <c r="C253" s="4" t="s">
        <v>291</v>
      </c>
      <c r="D253" s="6" t="s">
        <v>14</v>
      </c>
      <c r="E253" s="6" t="s">
        <v>292</v>
      </c>
      <c r="F253" s="7" t="s">
        <v>293</v>
      </c>
      <c r="G253" s="6" t="s">
        <v>294</v>
      </c>
      <c r="H253" s="8" t="s">
        <v>237</v>
      </c>
      <c r="I253" s="6" t="str">
        <f aca="false">CONCATENATE(E253, "_",H253)</f>
        <v>NLA_2022_011_024</v>
      </c>
      <c r="J253" s="6" t="s">
        <v>52</v>
      </c>
      <c r="K253" s="6" t="s">
        <v>315</v>
      </c>
      <c r="L253" s="9" t="s">
        <v>69</v>
      </c>
      <c r="M253" s="13" t="s">
        <v>314</v>
      </c>
      <c r="N253" s="6" t="s">
        <v>246</v>
      </c>
      <c r="O253" s="6" t="s">
        <v>305</v>
      </c>
      <c r="P253" s="6" t="s">
        <v>43</v>
      </c>
      <c r="Q253" s="6" t="s">
        <v>43</v>
      </c>
      <c r="R253" s="6" t="s">
        <v>44</v>
      </c>
      <c r="S253" s="6" t="s">
        <v>46</v>
      </c>
      <c r="T253" s="6" t="s">
        <v>46</v>
      </c>
      <c r="U253" s="6" t="n">
        <v>1000</v>
      </c>
      <c r="V253" s="1" t="n">
        <v>1</v>
      </c>
      <c r="W253" s="6"/>
      <c r="X253" s="6" t="s">
        <v>298</v>
      </c>
      <c r="Y253" s="1" t="n">
        <v>5500</v>
      </c>
      <c r="Z253" s="6" t="s">
        <v>299</v>
      </c>
      <c r="AA253" s="6" t="s">
        <v>300</v>
      </c>
      <c r="AB253" s="15" t="str">
        <f aca="true" t="array" ref="AB253:AB253">LEFT(AA253,LOOKUP(2^15,FIND(".",AA253,ROW(INDIRECT("1:"&amp;LEN(AA253)))))-1)</f>
        <v>NB_2022_052 - 27102022 - 1</v>
      </c>
      <c r="AC253" s="6" t="s">
        <v>301</v>
      </c>
      <c r="AD253" s="15" t="str">
        <f aca="true" t="array" ref="AD253:AD253">LEFT(AC253,LOOKUP(2^15,FIND(".",AC253,ROW(INDIRECT("1:"&amp;LEN(AC253)))))-1)</f>
        <v>NB_2022_052 - 27102022 - 2</v>
      </c>
      <c r="AE253" s="6" t="str">
        <f aca="false">CONCATENATE(AB253, "-",H253, ".mzML")</f>
        <v>NB_2022_052 - 27102022 - 1-024.mzML</v>
      </c>
      <c r="AF253" s="6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4" t="s">
        <v>290</v>
      </c>
      <c r="B254" s="5"/>
      <c r="C254" s="4" t="s">
        <v>291</v>
      </c>
      <c r="D254" s="6" t="s">
        <v>14</v>
      </c>
      <c r="E254" s="6" t="s">
        <v>292</v>
      </c>
      <c r="F254" s="7" t="s">
        <v>293</v>
      </c>
      <c r="G254" s="6" t="s">
        <v>294</v>
      </c>
      <c r="H254" s="8" t="s">
        <v>316</v>
      </c>
      <c r="I254" s="6" t="str">
        <f aca="false">CONCATENATE(E254, "_",H254)</f>
        <v>NLA_2022_011_026</v>
      </c>
      <c r="J254" s="6" t="s">
        <v>52</v>
      </c>
      <c r="K254" s="6" t="s">
        <v>317</v>
      </c>
      <c r="L254" s="9" t="s">
        <v>69</v>
      </c>
      <c r="M254" s="13" t="s">
        <v>296</v>
      </c>
      <c r="N254" s="6" t="s">
        <v>246</v>
      </c>
      <c r="O254" s="6" t="s">
        <v>297</v>
      </c>
      <c r="P254" s="6" t="s">
        <v>43</v>
      </c>
      <c r="Q254" s="6" t="s">
        <v>43</v>
      </c>
      <c r="R254" s="6" t="s">
        <v>44</v>
      </c>
      <c r="S254" s="6" t="s">
        <v>46</v>
      </c>
      <c r="T254" s="6" t="s">
        <v>46</v>
      </c>
      <c r="U254" s="6" t="n">
        <v>1000</v>
      </c>
      <c r="V254" s="1" t="n">
        <v>3</v>
      </c>
      <c r="W254" s="6"/>
      <c r="X254" s="6" t="s">
        <v>298</v>
      </c>
      <c r="Y254" s="1" t="n">
        <v>5500</v>
      </c>
      <c r="Z254" s="6" t="s">
        <v>299</v>
      </c>
      <c r="AA254" s="6" t="s">
        <v>300</v>
      </c>
      <c r="AB254" s="15" t="str">
        <f aca="true" t="array" ref="AB254:AB254">LEFT(AA254,LOOKUP(2^15,FIND(".",AA254,ROW(INDIRECT("1:"&amp;LEN(AA254)))))-1)</f>
        <v>NB_2022_052 - 27102022 - 1</v>
      </c>
      <c r="AC254" s="6" t="s">
        <v>301</v>
      </c>
      <c r="AD254" s="15" t="str">
        <f aca="true" t="array" ref="AD254:AD254">LEFT(AC254,LOOKUP(2^15,FIND(".",AC254,ROW(INDIRECT("1:"&amp;LEN(AC254)))))-1)</f>
        <v>NB_2022_052 - 27102022 - 2</v>
      </c>
      <c r="AE254" s="6" t="str">
        <f aca="false">CONCATENATE(AB254, "-",H254, ".mzML")</f>
        <v>NB_2022_052 - 27102022 - 1-026.mzML</v>
      </c>
      <c r="AF254" s="6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4" t="s">
        <v>290</v>
      </c>
      <c r="B255" s="5"/>
      <c r="C255" s="4" t="s">
        <v>291</v>
      </c>
      <c r="D255" s="6" t="s">
        <v>14</v>
      </c>
      <c r="E255" s="6" t="s">
        <v>292</v>
      </c>
      <c r="F255" s="7" t="s">
        <v>293</v>
      </c>
      <c r="G255" s="6" t="s">
        <v>292</v>
      </c>
      <c r="H255" s="8" t="s">
        <v>64</v>
      </c>
      <c r="I255" s="6" t="str">
        <f aca="false">CONCATENATE(E255, "_",H255)</f>
        <v>NLA_2022_011_Blank_1</v>
      </c>
      <c r="J255" s="6" t="s">
        <v>52</v>
      </c>
      <c r="K255" s="1" t="n">
        <v>1</v>
      </c>
      <c r="L255" s="9" t="s">
        <v>46</v>
      </c>
      <c r="M255" s="13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6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6" t="s">
        <v>46</v>
      </c>
      <c r="Y255" s="1" t="n">
        <v>5500</v>
      </c>
      <c r="Z255" s="6" t="s">
        <v>299</v>
      </c>
      <c r="AA255" s="6" t="s">
        <v>300</v>
      </c>
      <c r="AB255" s="15" t="str">
        <f aca="true" t="array" ref="AB255:AB255">LEFT(AA255,LOOKUP(2^15,FIND(".",AA255,ROW(INDIRECT("1:"&amp;LEN(AA255)))))-1)</f>
        <v>NB_2022_052 - 27102022 - 1</v>
      </c>
      <c r="AC255" s="6" t="s">
        <v>301</v>
      </c>
      <c r="AD255" s="15" t="str">
        <f aca="true" t="array" ref="AD255:AD255">LEFT(AC255,LOOKUP(2^15,FIND(".",AC255,ROW(INDIRECT("1:"&amp;LEN(AC255)))))-1)</f>
        <v>NB_2022_052 - 27102022 - 2</v>
      </c>
      <c r="AE255" s="6" t="str">
        <f aca="false">CONCATENATE(AB255, "-",H255, ".mzML")</f>
        <v>NB_2022_052 - 27102022 - 1-Blank_1.mzML</v>
      </c>
      <c r="AF255" s="6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4" t="s">
        <v>290</v>
      </c>
      <c r="B256" s="5"/>
      <c r="C256" s="4" t="s">
        <v>291</v>
      </c>
      <c r="D256" s="6" t="s">
        <v>14</v>
      </c>
      <c r="E256" s="6" t="s">
        <v>292</v>
      </c>
      <c r="F256" s="7" t="s">
        <v>293</v>
      </c>
      <c r="G256" s="6" t="s">
        <v>292</v>
      </c>
      <c r="H256" s="8" t="s">
        <v>66</v>
      </c>
      <c r="I256" s="6" t="str">
        <f aca="false">CONCATENATE(E256, "_",H256)</f>
        <v>NLA_2022_011_Blank_2</v>
      </c>
      <c r="J256" s="6" t="s">
        <v>52</v>
      </c>
      <c r="K256" s="1" t="n">
        <v>2</v>
      </c>
      <c r="L256" s="9" t="s">
        <v>46</v>
      </c>
      <c r="M256" s="13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6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6" t="s">
        <v>46</v>
      </c>
      <c r="Y256" s="1" t="n">
        <v>5500</v>
      </c>
      <c r="Z256" s="6" t="s">
        <v>299</v>
      </c>
      <c r="AA256" s="6" t="s">
        <v>300</v>
      </c>
      <c r="AB256" s="15" t="str">
        <f aca="true" t="array" ref="AB256:AB256">LEFT(AA256,LOOKUP(2^15,FIND(".",AA256,ROW(INDIRECT("1:"&amp;LEN(AA256)))))-1)</f>
        <v>NB_2022_052 - 27102022 - 1</v>
      </c>
      <c r="AC256" s="6" t="s">
        <v>301</v>
      </c>
      <c r="AD256" s="15" t="str">
        <f aca="true" t="array" ref="AD256:AD256">LEFT(AC256,LOOKUP(2^15,FIND(".",AC256,ROW(INDIRECT("1:"&amp;LEN(AC256)))))-1)</f>
        <v>NB_2022_052 - 27102022 - 2</v>
      </c>
      <c r="AE256" s="6" t="str">
        <f aca="false">CONCATENATE(AB256, "-",H256, ".mzML")</f>
        <v>NB_2022_052 - 27102022 - 1-Blank_2.mzML</v>
      </c>
      <c r="AF256" s="6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4" t="s">
        <v>290</v>
      </c>
      <c r="B257" s="5"/>
      <c r="C257" s="4" t="s">
        <v>291</v>
      </c>
      <c r="D257" s="6" t="s">
        <v>14</v>
      </c>
      <c r="E257" s="6" t="s">
        <v>292</v>
      </c>
      <c r="F257" s="7" t="s">
        <v>293</v>
      </c>
      <c r="G257" s="6" t="s">
        <v>292</v>
      </c>
      <c r="H257" s="8" t="s">
        <v>67</v>
      </c>
      <c r="I257" s="6" t="str">
        <f aca="false">CONCATENATE(E257, "_",H257)</f>
        <v>NLA_2022_011_Blank_3</v>
      </c>
      <c r="J257" s="6" t="s">
        <v>52</v>
      </c>
      <c r="K257" s="1" t="n">
        <v>3</v>
      </c>
      <c r="L257" s="9" t="s">
        <v>46</v>
      </c>
      <c r="M257" s="13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6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6" t="s">
        <v>46</v>
      </c>
      <c r="Y257" s="1" t="n">
        <v>5500</v>
      </c>
      <c r="Z257" s="6" t="s">
        <v>299</v>
      </c>
      <c r="AA257" s="6" t="s">
        <v>300</v>
      </c>
      <c r="AB257" s="15" t="str">
        <f aca="true" t="array" ref="AB257:AB257">LEFT(AA257,LOOKUP(2^15,FIND(".",AA257,ROW(INDIRECT("1:"&amp;LEN(AA257)))))-1)</f>
        <v>NB_2022_052 - 27102022 - 1</v>
      </c>
      <c r="AC257" s="6" t="s">
        <v>301</v>
      </c>
      <c r="AD257" s="15" t="str">
        <f aca="true" t="array" ref="AD257:AD257">LEFT(AC257,LOOKUP(2^15,FIND(".",AC257,ROW(INDIRECT("1:"&amp;LEN(AC257)))))-1)</f>
        <v>NB_2022_052 - 27102022 - 2</v>
      </c>
      <c r="AE257" s="6" t="str">
        <f aca="false">CONCATENATE(AB257, "-",H257, ".mzML")</f>
        <v>NB_2022_052 - 27102022 - 1-Blank_3.mzML</v>
      </c>
      <c r="AF257" s="6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4" t="s">
        <v>290</v>
      </c>
      <c r="B258" s="5"/>
      <c r="C258" s="4" t="s">
        <v>291</v>
      </c>
      <c r="D258" s="6" t="s">
        <v>14</v>
      </c>
      <c r="E258" s="6" t="s">
        <v>292</v>
      </c>
      <c r="F258" s="7" t="s">
        <v>293</v>
      </c>
      <c r="G258" s="6" t="s">
        <v>292</v>
      </c>
      <c r="H258" s="8" t="s">
        <v>68</v>
      </c>
      <c r="I258" s="6" t="str">
        <f aca="false">CONCATENATE(E258, "_",H258)</f>
        <v>NLA_2022_011_QC_C_1</v>
      </c>
      <c r="J258" s="6" t="s">
        <v>52</v>
      </c>
      <c r="K258" s="1" t="n">
        <v>1</v>
      </c>
      <c r="L258" s="9" t="s">
        <v>69</v>
      </c>
      <c r="M258" s="13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6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6" t="s">
        <v>74</v>
      </c>
      <c r="Y258" s="1" t="n">
        <v>5500</v>
      </c>
      <c r="Z258" s="6" t="s">
        <v>299</v>
      </c>
      <c r="AA258" s="6" t="s">
        <v>300</v>
      </c>
      <c r="AB258" s="15" t="str">
        <f aca="true" t="array" ref="AB258:AB258">LEFT(AA258,LOOKUP(2^15,FIND(".",AA258,ROW(INDIRECT("1:"&amp;LEN(AA258)))))-1)</f>
        <v>NB_2022_052 - 27102022 - 1</v>
      </c>
      <c r="AC258" s="6" t="s">
        <v>301</v>
      </c>
      <c r="AD258" s="15" t="str">
        <f aca="true" t="array" ref="AD258:AD258">LEFT(AC258,LOOKUP(2^15,FIND(".",AC258,ROW(INDIRECT("1:"&amp;LEN(AC258)))))-1)</f>
        <v>NB_2022_052 - 27102022 - 2</v>
      </c>
      <c r="AE258" s="6" t="str">
        <f aca="false">CONCATENATE(AB258, "-",H258, ".mzML")</f>
        <v>NB_2022_052 - 27102022 - 1-QC_C_1.mzML</v>
      </c>
      <c r="AF258" s="6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4" t="s">
        <v>290</v>
      </c>
      <c r="B259" s="5"/>
      <c r="C259" s="4" t="s">
        <v>291</v>
      </c>
      <c r="D259" s="6" t="s">
        <v>14</v>
      </c>
      <c r="E259" s="6" t="s">
        <v>292</v>
      </c>
      <c r="F259" s="7" t="s">
        <v>293</v>
      </c>
      <c r="G259" s="6" t="s">
        <v>292</v>
      </c>
      <c r="H259" s="8" t="s">
        <v>75</v>
      </c>
      <c r="I259" s="6" t="str">
        <f aca="false">CONCATENATE(E259, "_",H259)</f>
        <v>NLA_2022_011_QC_C_2</v>
      </c>
      <c r="J259" s="6" t="s">
        <v>52</v>
      </c>
      <c r="K259" s="1" t="n">
        <v>2</v>
      </c>
      <c r="L259" s="9" t="s">
        <v>69</v>
      </c>
      <c r="M259" s="13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6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6" t="s">
        <v>74</v>
      </c>
      <c r="Y259" s="1" t="n">
        <v>5500</v>
      </c>
      <c r="Z259" s="6" t="s">
        <v>299</v>
      </c>
      <c r="AA259" s="6" t="s">
        <v>300</v>
      </c>
      <c r="AB259" s="15" t="str">
        <f aca="true" t="array" ref="AB259:AB259">LEFT(AA259,LOOKUP(2^15,FIND(".",AA259,ROW(INDIRECT("1:"&amp;LEN(AA259)))))-1)</f>
        <v>NB_2022_052 - 27102022 - 1</v>
      </c>
      <c r="AC259" s="6" t="s">
        <v>301</v>
      </c>
      <c r="AD259" s="15" t="str">
        <f aca="true" t="array" ref="AD259:AD259">LEFT(AC259,LOOKUP(2^15,FIND(".",AC259,ROW(INDIRECT("1:"&amp;LEN(AC259)))))-1)</f>
        <v>NB_2022_052 - 27102022 - 2</v>
      </c>
      <c r="AE259" s="6" t="str">
        <f aca="false">CONCATENATE(AB259, "-",H259, ".mzML")</f>
        <v>NB_2022_052 - 27102022 - 1-QC_C_2.mzML</v>
      </c>
      <c r="AF259" s="6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4" t="s">
        <v>290</v>
      </c>
      <c r="B260" s="5"/>
      <c r="C260" s="4" t="s">
        <v>291</v>
      </c>
      <c r="D260" s="6" t="s">
        <v>14</v>
      </c>
      <c r="E260" s="6" t="s">
        <v>292</v>
      </c>
      <c r="F260" s="7" t="s">
        <v>293</v>
      </c>
      <c r="G260" s="6" t="s">
        <v>292</v>
      </c>
      <c r="H260" s="8" t="s">
        <v>76</v>
      </c>
      <c r="I260" s="6" t="str">
        <f aca="false">CONCATENATE(E260, "_",H260)</f>
        <v>NLA_2022_011_QC_C_3</v>
      </c>
      <c r="J260" s="6" t="s">
        <v>52</v>
      </c>
      <c r="K260" s="1" t="n">
        <v>3</v>
      </c>
      <c r="L260" s="9" t="s">
        <v>69</v>
      </c>
      <c r="M260" s="13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6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6" t="s">
        <v>74</v>
      </c>
      <c r="Y260" s="1" t="n">
        <v>5500</v>
      </c>
      <c r="Z260" s="6" t="s">
        <v>299</v>
      </c>
      <c r="AA260" s="6" t="s">
        <v>300</v>
      </c>
      <c r="AB260" s="15" t="str">
        <f aca="true" t="array" ref="AB260:AB260">LEFT(AA260,LOOKUP(2^15,FIND(".",AA260,ROW(INDIRECT("1:"&amp;LEN(AA260)))))-1)</f>
        <v>NB_2022_052 - 27102022 - 1</v>
      </c>
      <c r="AC260" s="6" t="s">
        <v>301</v>
      </c>
      <c r="AD260" s="15" t="str">
        <f aca="true" t="array" ref="AD260:AD260">LEFT(AC260,LOOKUP(2^15,FIND(".",AC260,ROW(INDIRECT("1:"&amp;LEN(AC260)))))-1)</f>
        <v>NB_2022_052 - 27102022 - 2</v>
      </c>
      <c r="AE260" s="6" t="str">
        <f aca="false">CONCATENATE(AB260, "-",H260, ".mzML")</f>
        <v>NB_2022_052 - 27102022 - 1-QC_C_3.mzML</v>
      </c>
      <c r="AF260" s="6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4" t="s">
        <v>290</v>
      </c>
      <c r="B261" s="5"/>
      <c r="C261" s="4" t="s">
        <v>291</v>
      </c>
      <c r="D261" s="6" t="s">
        <v>14</v>
      </c>
      <c r="E261" s="6" t="s">
        <v>292</v>
      </c>
      <c r="F261" s="7" t="s">
        <v>293</v>
      </c>
      <c r="G261" s="6" t="s">
        <v>292</v>
      </c>
      <c r="H261" s="8" t="s">
        <v>77</v>
      </c>
      <c r="I261" s="6" t="str">
        <f aca="false">CONCATENATE(E261, "_",H261)</f>
        <v>NLA_2022_011_QC_P_1</v>
      </c>
      <c r="J261" s="6" t="s">
        <v>52</v>
      </c>
      <c r="K261" s="1" t="n">
        <v>1</v>
      </c>
      <c r="L261" s="9" t="s">
        <v>69</v>
      </c>
      <c r="M261" s="13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6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6" t="s">
        <v>83</v>
      </c>
      <c r="Y261" s="1" t="n">
        <v>5500</v>
      </c>
      <c r="Z261" s="6" t="s">
        <v>299</v>
      </c>
      <c r="AA261" s="6" t="s">
        <v>300</v>
      </c>
      <c r="AB261" s="15" t="str">
        <f aca="true" t="array" ref="AB261:AB261">LEFT(AA261,LOOKUP(2^15,FIND(".",AA261,ROW(INDIRECT("1:"&amp;LEN(AA261)))))-1)</f>
        <v>NB_2022_052 - 27102022 - 1</v>
      </c>
      <c r="AC261" s="6" t="s">
        <v>301</v>
      </c>
      <c r="AD261" s="15" t="str">
        <f aca="true" t="array" ref="AD261:AD261">LEFT(AC261,LOOKUP(2^15,FIND(".",AC261,ROW(INDIRECT("1:"&amp;LEN(AC261)))))-1)</f>
        <v>NB_2022_052 - 27102022 - 2</v>
      </c>
      <c r="AE261" s="6" t="str">
        <f aca="false">CONCATENATE(AB261, "-",H261, ".mzML")</f>
        <v>NB_2022_052 - 27102022 - 1-QC_P_1.mzML</v>
      </c>
      <c r="AF261" s="6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4" t="s">
        <v>290</v>
      </c>
      <c r="B262" s="5"/>
      <c r="C262" s="4" t="s">
        <v>291</v>
      </c>
      <c r="D262" s="6" t="s">
        <v>14</v>
      </c>
      <c r="E262" s="6" t="s">
        <v>292</v>
      </c>
      <c r="F262" s="7" t="s">
        <v>293</v>
      </c>
      <c r="G262" s="6" t="s">
        <v>292</v>
      </c>
      <c r="H262" s="8" t="s">
        <v>84</v>
      </c>
      <c r="I262" s="6" t="str">
        <f aca="false">CONCATENATE(E262, "_",H262)</f>
        <v>NLA_2022_011_QC_P_2</v>
      </c>
      <c r="J262" s="6" t="s">
        <v>52</v>
      </c>
      <c r="K262" s="1" t="n">
        <v>2</v>
      </c>
      <c r="L262" s="9" t="s">
        <v>69</v>
      </c>
      <c r="M262" s="13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6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6" t="s">
        <v>83</v>
      </c>
      <c r="Y262" s="1" t="n">
        <v>5500</v>
      </c>
      <c r="Z262" s="6" t="s">
        <v>299</v>
      </c>
      <c r="AA262" s="6" t="s">
        <v>300</v>
      </c>
      <c r="AB262" s="15" t="str">
        <f aca="true" t="array" ref="AB262:AB262">LEFT(AA262,LOOKUP(2^15,FIND(".",AA262,ROW(INDIRECT("1:"&amp;LEN(AA262)))))-1)</f>
        <v>NB_2022_052 - 27102022 - 1</v>
      </c>
      <c r="AC262" s="6" t="s">
        <v>301</v>
      </c>
      <c r="AD262" s="15" t="str">
        <f aca="true" t="array" ref="AD262:AD262">LEFT(AC262,LOOKUP(2^15,FIND(".",AC262,ROW(INDIRECT("1:"&amp;LEN(AC262)))))-1)</f>
        <v>NB_2022_052 - 27102022 - 2</v>
      </c>
      <c r="AE262" s="6" t="str">
        <f aca="false">CONCATENATE(AB262, "-",H262, ".mzML")</f>
        <v>NB_2022_052 - 27102022 - 1-QC_P_2.mzML</v>
      </c>
      <c r="AF262" s="6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4" t="s">
        <v>290</v>
      </c>
      <c r="B263" s="5"/>
      <c r="C263" s="4" t="s">
        <v>291</v>
      </c>
      <c r="D263" s="6" t="s">
        <v>14</v>
      </c>
      <c r="E263" s="6" t="s">
        <v>292</v>
      </c>
      <c r="F263" s="7" t="s">
        <v>293</v>
      </c>
      <c r="G263" s="6" t="s">
        <v>292</v>
      </c>
      <c r="H263" s="8" t="s">
        <v>85</v>
      </c>
      <c r="I263" s="6" t="str">
        <f aca="false">CONCATENATE(E263, "_",H263)</f>
        <v>NLA_2022_011_QC_P_3</v>
      </c>
      <c r="J263" s="6" t="s">
        <v>52</v>
      </c>
      <c r="K263" s="1" t="n">
        <v>3</v>
      </c>
      <c r="L263" s="9" t="s">
        <v>69</v>
      </c>
      <c r="M263" s="13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6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6" t="s">
        <v>83</v>
      </c>
      <c r="Y263" s="1" t="n">
        <v>5500</v>
      </c>
      <c r="Z263" s="6" t="s">
        <v>299</v>
      </c>
      <c r="AA263" s="6" t="s">
        <v>300</v>
      </c>
      <c r="AB263" s="15" t="str">
        <f aca="true" t="array" ref="AB263:AB263">LEFT(AA263,LOOKUP(2^15,FIND(".",AA263,ROW(INDIRECT("1:"&amp;LEN(AA263)))))-1)</f>
        <v>NB_2022_052 - 27102022 - 1</v>
      </c>
      <c r="AC263" s="6" t="s">
        <v>301</v>
      </c>
      <c r="AD263" s="15" t="str">
        <f aca="true" t="array" ref="AD263:AD263">LEFT(AC263,LOOKUP(2^15,FIND(".",AC263,ROW(INDIRECT("1:"&amp;LEN(AC263)))))-1)</f>
        <v>NB_2022_052 - 27102022 - 2</v>
      </c>
      <c r="AE263" s="6" t="str">
        <f aca="false">CONCATENATE(AB263, "-",H263, ".mzML")</f>
        <v>NB_2022_052 - 27102022 - 1-QC_P_3.mzML</v>
      </c>
      <c r="AF263" s="6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4" t="s">
        <v>318</v>
      </c>
      <c r="B264" s="5"/>
      <c r="C264" s="4" t="s">
        <v>319</v>
      </c>
      <c r="D264" s="6" t="s">
        <v>14</v>
      </c>
      <c r="E264" s="6" t="s">
        <v>320</v>
      </c>
      <c r="F264" s="7" t="s">
        <v>321</v>
      </c>
      <c r="G264" s="6" t="s">
        <v>322</v>
      </c>
      <c r="H264" s="16" t="s">
        <v>323</v>
      </c>
      <c r="I264" s="6" t="str">
        <f aca="false">CONCATENATE(E264, "_",H264)</f>
        <v>NLA_2021_007_113</v>
      </c>
      <c r="J264" s="6" t="s">
        <v>158</v>
      </c>
      <c r="K264" s="24" t="n">
        <v>7210</v>
      </c>
      <c r="L264" s="9" t="s">
        <v>69</v>
      </c>
      <c r="M264" s="13" t="s">
        <v>324</v>
      </c>
      <c r="N264" s="6" t="s">
        <v>325</v>
      </c>
      <c r="O264" s="6" t="s">
        <v>42</v>
      </c>
      <c r="P264" s="1" t="s">
        <v>326</v>
      </c>
      <c r="Q264" s="6" t="s">
        <v>327</v>
      </c>
      <c r="R264" s="6" t="s">
        <v>72</v>
      </c>
      <c r="S264" s="6" t="s">
        <v>46</v>
      </c>
      <c r="T264" s="6" t="s">
        <v>46</v>
      </c>
      <c r="U264" s="6" t="n">
        <v>10</v>
      </c>
      <c r="V264" s="1" t="n">
        <v>1</v>
      </c>
      <c r="W264" s="6" t="s">
        <v>328</v>
      </c>
      <c r="X264" s="6" t="s">
        <v>47</v>
      </c>
      <c r="Y264" s="1" t="n">
        <v>5500</v>
      </c>
      <c r="Z264" s="6" t="s">
        <v>329</v>
      </c>
      <c r="AA264" s="6" t="s">
        <v>330</v>
      </c>
      <c r="AB264" s="15" t="str">
        <f aca="true" t="array" ref="AB264:AB264">LEFT(AA264,LOOKUP(2^15,FIND(".",AA264,ROW(INDIRECT("1:"&amp;LEN(AA264)))))-1)</f>
        <v>NB_2021_023 - 07062021 - 1</v>
      </c>
      <c r="AC264" s="6" t="s">
        <v>331</v>
      </c>
      <c r="AD264" s="15" t="str">
        <f aca="true" t="array" ref="AD264:AD264">LEFT(AC264,LOOKUP(2^15,FIND(".",AC264,ROW(INDIRECT("1:"&amp;LEN(AC264)))))-1)</f>
        <v>NB_2021_023 - 07062021 - 2</v>
      </c>
      <c r="AE264" s="6" t="str">
        <f aca="false">CONCATENATE(AB264, "-",H264, ".mzML")</f>
        <v>NB_2021_023 - 07062021 - 1-113.mzML</v>
      </c>
      <c r="AF264" s="6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4" t="s">
        <v>318</v>
      </c>
      <c r="B265" s="5"/>
      <c r="C265" s="4" t="s">
        <v>319</v>
      </c>
      <c r="D265" s="6" t="s">
        <v>14</v>
      </c>
      <c r="E265" s="6" t="s">
        <v>320</v>
      </c>
      <c r="F265" s="7" t="s">
        <v>321</v>
      </c>
      <c r="G265" s="6" t="s">
        <v>322</v>
      </c>
      <c r="H265" s="16" t="s">
        <v>332</v>
      </c>
      <c r="I265" s="6" t="str">
        <f aca="false">CONCATENATE(E265, "_",H265)</f>
        <v>NLA_2021_007_114</v>
      </c>
      <c r="J265" s="6" t="s">
        <v>158</v>
      </c>
      <c r="K265" s="24" t="n">
        <v>7211</v>
      </c>
      <c r="L265" s="9" t="s">
        <v>69</v>
      </c>
      <c r="M265" s="13" t="s">
        <v>324</v>
      </c>
      <c r="N265" s="6" t="s">
        <v>325</v>
      </c>
      <c r="O265" s="6" t="s">
        <v>42</v>
      </c>
      <c r="P265" s="6" t="s">
        <v>326</v>
      </c>
      <c r="Q265" s="6" t="s">
        <v>327</v>
      </c>
      <c r="R265" s="6" t="s">
        <v>72</v>
      </c>
      <c r="S265" s="6" t="s">
        <v>46</v>
      </c>
      <c r="T265" s="6" t="s">
        <v>46</v>
      </c>
      <c r="U265" s="6" t="n">
        <v>10</v>
      </c>
      <c r="V265" s="1" t="n">
        <v>2</v>
      </c>
      <c r="W265" s="6" t="s">
        <v>328</v>
      </c>
      <c r="X265" s="6" t="s">
        <v>47</v>
      </c>
      <c r="Y265" s="1" t="n">
        <v>5500</v>
      </c>
      <c r="Z265" s="6" t="s">
        <v>329</v>
      </c>
      <c r="AA265" s="6" t="s">
        <v>330</v>
      </c>
      <c r="AB265" s="15" t="str">
        <f aca="true" t="array" ref="AB265:AB265">LEFT(AA265,LOOKUP(2^15,FIND(".",AA265,ROW(INDIRECT("1:"&amp;LEN(AA265)))))-1)</f>
        <v>NB_2021_023 - 07062021 - 1</v>
      </c>
      <c r="AC265" s="6" t="s">
        <v>331</v>
      </c>
      <c r="AD265" s="15" t="str">
        <f aca="true" t="array" ref="AD265:AD265">LEFT(AC265,LOOKUP(2^15,FIND(".",AC265,ROW(INDIRECT("1:"&amp;LEN(AC265)))))-1)</f>
        <v>NB_2021_023 - 07062021 - 2</v>
      </c>
      <c r="AE265" s="6" t="str">
        <f aca="false">CONCATENATE(AB265, "-",H265, ".mzML")</f>
        <v>NB_2021_023 - 07062021 - 1-114.mzML</v>
      </c>
      <c r="AF265" s="6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4" t="s">
        <v>318</v>
      </c>
      <c r="B266" s="5"/>
      <c r="C266" s="4" t="s">
        <v>319</v>
      </c>
      <c r="D266" s="6" t="s">
        <v>14</v>
      </c>
      <c r="E266" s="6" t="s">
        <v>320</v>
      </c>
      <c r="F266" s="7" t="s">
        <v>321</v>
      </c>
      <c r="G266" s="6" t="s">
        <v>322</v>
      </c>
      <c r="H266" s="16" t="s">
        <v>333</v>
      </c>
      <c r="I266" s="6" t="str">
        <f aca="false">CONCATENATE(E266, "_",H266)</f>
        <v>NLA_2021_007_115</v>
      </c>
      <c r="J266" s="6" t="s">
        <v>158</v>
      </c>
      <c r="K266" s="24" t="n">
        <v>7212</v>
      </c>
      <c r="L266" s="9" t="s">
        <v>69</v>
      </c>
      <c r="M266" s="13" t="s">
        <v>324</v>
      </c>
      <c r="N266" s="6" t="s">
        <v>325</v>
      </c>
      <c r="O266" s="6" t="s">
        <v>42</v>
      </c>
      <c r="P266" s="6" t="s">
        <v>326</v>
      </c>
      <c r="Q266" s="6" t="s">
        <v>327</v>
      </c>
      <c r="R266" s="6" t="s">
        <v>72</v>
      </c>
      <c r="S266" s="6" t="s">
        <v>46</v>
      </c>
      <c r="T266" s="6" t="s">
        <v>46</v>
      </c>
      <c r="U266" s="6" t="n">
        <v>10</v>
      </c>
      <c r="V266" s="1" t="n">
        <v>3</v>
      </c>
      <c r="W266" s="6" t="s">
        <v>328</v>
      </c>
      <c r="X266" s="6" t="s">
        <v>47</v>
      </c>
      <c r="Y266" s="1" t="n">
        <v>5500</v>
      </c>
      <c r="Z266" s="6" t="s">
        <v>329</v>
      </c>
      <c r="AA266" s="6" t="s">
        <v>330</v>
      </c>
      <c r="AB266" s="15" t="str">
        <f aca="true" t="array" ref="AB266:AB266">LEFT(AA266,LOOKUP(2^15,FIND(".",AA266,ROW(INDIRECT("1:"&amp;LEN(AA266)))))-1)</f>
        <v>NB_2021_023 - 07062021 - 1</v>
      </c>
      <c r="AC266" s="6" t="s">
        <v>331</v>
      </c>
      <c r="AD266" s="15" t="str">
        <f aca="true" t="array" ref="AD266:AD266">LEFT(AC266,LOOKUP(2^15,FIND(".",AC266,ROW(INDIRECT("1:"&amp;LEN(AC266)))))-1)</f>
        <v>NB_2021_023 - 07062021 - 2</v>
      </c>
      <c r="AE266" s="6" t="str">
        <f aca="false">CONCATENATE(AB266, "-",H266, ".mzML")</f>
        <v>NB_2021_023 - 07062021 - 1-115.mzML</v>
      </c>
      <c r="AF266" s="6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4" t="s">
        <v>318</v>
      </c>
      <c r="B267" s="5"/>
      <c r="C267" s="4" t="s">
        <v>319</v>
      </c>
      <c r="D267" s="6" t="s">
        <v>14</v>
      </c>
      <c r="E267" s="6" t="s">
        <v>320</v>
      </c>
      <c r="F267" s="7" t="s">
        <v>321</v>
      </c>
      <c r="G267" s="6" t="s">
        <v>322</v>
      </c>
      <c r="H267" s="16" t="s">
        <v>334</v>
      </c>
      <c r="I267" s="6" t="str">
        <f aca="false">CONCATENATE(E267, "_",H267)</f>
        <v>NLA_2021_007_116</v>
      </c>
      <c r="J267" s="6" t="s">
        <v>158</v>
      </c>
      <c r="K267" s="24" t="n">
        <v>7213</v>
      </c>
      <c r="L267" s="9" t="s">
        <v>69</v>
      </c>
      <c r="M267" s="13" t="s">
        <v>324</v>
      </c>
      <c r="N267" s="6" t="s">
        <v>325</v>
      </c>
      <c r="O267" s="6" t="s">
        <v>42</v>
      </c>
      <c r="P267" s="6" t="s">
        <v>326</v>
      </c>
      <c r="Q267" s="6" t="s">
        <v>327</v>
      </c>
      <c r="R267" s="6" t="s">
        <v>72</v>
      </c>
      <c r="S267" s="6" t="s">
        <v>46</v>
      </c>
      <c r="T267" s="6" t="s">
        <v>46</v>
      </c>
      <c r="U267" s="6" t="n">
        <v>10</v>
      </c>
      <c r="V267" s="1" t="n">
        <v>4</v>
      </c>
      <c r="W267" s="6" t="s">
        <v>328</v>
      </c>
      <c r="X267" s="6" t="s">
        <v>47</v>
      </c>
      <c r="Y267" s="1" t="n">
        <v>5500</v>
      </c>
      <c r="Z267" s="6" t="s">
        <v>329</v>
      </c>
      <c r="AA267" s="6" t="s">
        <v>330</v>
      </c>
      <c r="AB267" s="15" t="str">
        <f aca="true" t="array" ref="AB267:AB267">LEFT(AA267,LOOKUP(2^15,FIND(".",AA267,ROW(INDIRECT("1:"&amp;LEN(AA267)))))-1)</f>
        <v>NB_2021_023 - 07062021 - 1</v>
      </c>
      <c r="AC267" s="6" t="s">
        <v>331</v>
      </c>
      <c r="AD267" s="15" t="str">
        <f aca="true" t="array" ref="AD267:AD267">LEFT(AC267,LOOKUP(2^15,FIND(".",AC267,ROW(INDIRECT("1:"&amp;LEN(AC267)))))-1)</f>
        <v>NB_2021_023 - 07062021 - 2</v>
      </c>
      <c r="AE267" s="6" t="str">
        <f aca="false">CONCATENATE(AB267, "-",H267, ".mzML")</f>
        <v>NB_2021_023 - 07062021 - 1-116.mzML</v>
      </c>
      <c r="AF267" s="6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4" t="s">
        <v>318</v>
      </c>
      <c r="B268" s="5"/>
      <c r="C268" s="4" t="s">
        <v>319</v>
      </c>
      <c r="D268" s="6" t="s">
        <v>14</v>
      </c>
      <c r="E268" s="6" t="s">
        <v>320</v>
      </c>
      <c r="F268" s="7" t="s">
        <v>321</v>
      </c>
      <c r="G268" s="6" t="s">
        <v>322</v>
      </c>
      <c r="H268" s="16" t="s">
        <v>335</v>
      </c>
      <c r="I268" s="6" t="str">
        <f aca="false">CONCATENATE(E268, "_",H268)</f>
        <v>NLA_2021_007_117</v>
      </c>
      <c r="J268" s="6" t="s">
        <v>158</v>
      </c>
      <c r="K268" s="24" t="n">
        <v>7214</v>
      </c>
      <c r="L268" s="9" t="s">
        <v>69</v>
      </c>
      <c r="M268" s="13" t="s">
        <v>324</v>
      </c>
      <c r="N268" s="6" t="s">
        <v>325</v>
      </c>
      <c r="O268" s="6" t="s">
        <v>42</v>
      </c>
      <c r="P268" s="6" t="s">
        <v>326</v>
      </c>
      <c r="Q268" s="6" t="s">
        <v>327</v>
      </c>
      <c r="R268" s="6" t="s">
        <v>72</v>
      </c>
      <c r="S268" s="6" t="s">
        <v>46</v>
      </c>
      <c r="T268" s="6" t="s">
        <v>46</v>
      </c>
      <c r="U268" s="6" t="n">
        <v>10</v>
      </c>
      <c r="V268" s="1" t="n">
        <v>5</v>
      </c>
      <c r="W268" s="6" t="s">
        <v>328</v>
      </c>
      <c r="X268" s="6" t="s">
        <v>47</v>
      </c>
      <c r="Y268" s="1" t="n">
        <v>5500</v>
      </c>
      <c r="Z268" s="6" t="s">
        <v>329</v>
      </c>
      <c r="AA268" s="6" t="s">
        <v>330</v>
      </c>
      <c r="AB268" s="15" t="str">
        <f aca="true" t="array" ref="AB268:AB268">LEFT(AA268,LOOKUP(2^15,FIND(".",AA268,ROW(INDIRECT("1:"&amp;LEN(AA268)))))-1)</f>
        <v>NB_2021_023 - 07062021 - 1</v>
      </c>
      <c r="AC268" s="6" t="s">
        <v>331</v>
      </c>
      <c r="AD268" s="15" t="str">
        <f aca="true" t="array" ref="AD268:AD268">LEFT(AC268,LOOKUP(2^15,FIND(".",AC268,ROW(INDIRECT("1:"&amp;LEN(AC268)))))-1)</f>
        <v>NB_2021_023 - 07062021 - 2</v>
      </c>
      <c r="AE268" s="6" t="str">
        <f aca="false">CONCATENATE(AB268, "-",H268, ".mzML")</f>
        <v>NB_2021_023 - 07062021 - 1-117.mzML</v>
      </c>
      <c r="AF268" s="6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4" t="s">
        <v>318</v>
      </c>
      <c r="B269" s="5"/>
      <c r="C269" s="4" t="s">
        <v>319</v>
      </c>
      <c r="D269" s="6" t="s">
        <v>14</v>
      </c>
      <c r="E269" s="6" t="s">
        <v>320</v>
      </c>
      <c r="F269" s="7" t="s">
        <v>321</v>
      </c>
      <c r="G269" s="6" t="s">
        <v>322</v>
      </c>
      <c r="H269" s="16" t="s">
        <v>336</v>
      </c>
      <c r="I269" s="6" t="str">
        <f aca="false">CONCATENATE(E269, "_",H269)</f>
        <v>NLA_2021_007_118</v>
      </c>
      <c r="J269" s="6" t="s">
        <v>158</v>
      </c>
      <c r="K269" s="24" t="n">
        <v>7223</v>
      </c>
      <c r="L269" s="9" t="s">
        <v>69</v>
      </c>
      <c r="M269" s="13" t="s">
        <v>324</v>
      </c>
      <c r="N269" s="6" t="s">
        <v>325</v>
      </c>
      <c r="O269" s="6" t="s">
        <v>42</v>
      </c>
      <c r="P269" s="6" t="s">
        <v>326</v>
      </c>
      <c r="Q269" s="6" t="s">
        <v>327</v>
      </c>
      <c r="R269" s="6" t="s">
        <v>72</v>
      </c>
      <c r="S269" s="6" t="s">
        <v>46</v>
      </c>
      <c r="T269" s="6" t="s">
        <v>46</v>
      </c>
      <c r="U269" s="6" t="n">
        <v>10</v>
      </c>
      <c r="V269" s="1" t="n">
        <v>6</v>
      </c>
      <c r="W269" s="6" t="s">
        <v>328</v>
      </c>
      <c r="X269" s="6" t="s">
        <v>47</v>
      </c>
      <c r="Y269" s="1" t="n">
        <v>5500</v>
      </c>
      <c r="Z269" s="6" t="s">
        <v>329</v>
      </c>
      <c r="AA269" s="6" t="s">
        <v>330</v>
      </c>
      <c r="AB269" s="15" t="str">
        <f aca="true" t="array" ref="AB269:AB269">LEFT(AA269,LOOKUP(2^15,FIND(".",AA269,ROW(INDIRECT("1:"&amp;LEN(AA269)))))-1)</f>
        <v>NB_2021_023 - 07062021 - 1</v>
      </c>
      <c r="AC269" s="6" t="s">
        <v>331</v>
      </c>
      <c r="AD269" s="15" t="str">
        <f aca="true" t="array" ref="AD269:AD269">LEFT(AC269,LOOKUP(2^15,FIND(".",AC269,ROW(INDIRECT("1:"&amp;LEN(AC269)))))-1)</f>
        <v>NB_2021_023 - 07062021 - 2</v>
      </c>
      <c r="AE269" s="6" t="str">
        <f aca="false">CONCATENATE(AB269, "-",H269, ".mzML")</f>
        <v>NB_2021_023 - 07062021 - 1-118.mzML</v>
      </c>
      <c r="AF269" s="6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4" t="s">
        <v>318</v>
      </c>
      <c r="B270" s="5"/>
      <c r="C270" s="4" t="s">
        <v>319</v>
      </c>
      <c r="D270" s="6" t="s">
        <v>14</v>
      </c>
      <c r="E270" s="6" t="s">
        <v>320</v>
      </c>
      <c r="F270" s="7" t="s">
        <v>321</v>
      </c>
      <c r="G270" s="6" t="s">
        <v>322</v>
      </c>
      <c r="H270" s="16" t="s">
        <v>337</v>
      </c>
      <c r="I270" s="6" t="str">
        <f aca="false">CONCATENATE(E270, "_",H270)</f>
        <v>NLA_2021_007_119</v>
      </c>
      <c r="J270" s="6" t="s">
        <v>158</v>
      </c>
      <c r="K270" s="24" t="n">
        <v>7224</v>
      </c>
      <c r="L270" s="9" t="s">
        <v>69</v>
      </c>
      <c r="M270" s="13" t="s">
        <v>324</v>
      </c>
      <c r="N270" s="6" t="s">
        <v>325</v>
      </c>
      <c r="O270" s="6" t="s">
        <v>42</v>
      </c>
      <c r="P270" s="6" t="s">
        <v>326</v>
      </c>
      <c r="Q270" s="6" t="s">
        <v>327</v>
      </c>
      <c r="R270" s="6" t="s">
        <v>72</v>
      </c>
      <c r="S270" s="6" t="s">
        <v>46</v>
      </c>
      <c r="T270" s="6" t="s">
        <v>46</v>
      </c>
      <c r="U270" s="6" t="n">
        <v>10</v>
      </c>
      <c r="V270" s="1" t="n">
        <v>7</v>
      </c>
      <c r="W270" s="6" t="s">
        <v>328</v>
      </c>
      <c r="X270" s="6" t="s">
        <v>47</v>
      </c>
      <c r="Y270" s="1" t="n">
        <v>5500</v>
      </c>
      <c r="Z270" s="6" t="s">
        <v>329</v>
      </c>
      <c r="AA270" s="6" t="s">
        <v>330</v>
      </c>
      <c r="AB270" s="15" t="str">
        <f aca="true" t="array" ref="AB270:AB270">LEFT(AA270,LOOKUP(2^15,FIND(".",AA270,ROW(INDIRECT("1:"&amp;LEN(AA270)))))-1)</f>
        <v>NB_2021_023 - 07062021 - 1</v>
      </c>
      <c r="AC270" s="6" t="s">
        <v>331</v>
      </c>
      <c r="AD270" s="15" t="str">
        <f aca="true" t="array" ref="AD270:AD270">LEFT(AC270,LOOKUP(2^15,FIND(".",AC270,ROW(INDIRECT("1:"&amp;LEN(AC270)))))-1)</f>
        <v>NB_2021_023 - 07062021 - 2</v>
      </c>
      <c r="AE270" s="6" t="str">
        <f aca="false">CONCATENATE(AB270, "-",H270, ".mzML")</f>
        <v>NB_2021_023 - 07062021 - 1-119.mzML</v>
      </c>
      <c r="AF270" s="6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4" t="s">
        <v>318</v>
      </c>
      <c r="B271" s="5"/>
      <c r="C271" s="4" t="s">
        <v>319</v>
      </c>
      <c r="D271" s="6" t="s">
        <v>14</v>
      </c>
      <c r="E271" s="6" t="s">
        <v>320</v>
      </c>
      <c r="F271" s="7" t="s">
        <v>321</v>
      </c>
      <c r="G271" s="6" t="s">
        <v>322</v>
      </c>
      <c r="H271" s="16" t="s">
        <v>338</v>
      </c>
      <c r="I271" s="6" t="str">
        <f aca="false">CONCATENATE(E271, "_",H271)</f>
        <v>NLA_2021_007_120</v>
      </c>
      <c r="J271" s="6" t="s">
        <v>158</v>
      </c>
      <c r="K271" s="24" t="n">
        <v>7225</v>
      </c>
      <c r="L271" s="9" t="s">
        <v>69</v>
      </c>
      <c r="M271" s="13" t="s">
        <v>324</v>
      </c>
      <c r="N271" s="6" t="s">
        <v>325</v>
      </c>
      <c r="O271" s="6" t="s">
        <v>42</v>
      </c>
      <c r="P271" s="6" t="s">
        <v>326</v>
      </c>
      <c r="Q271" s="6" t="s">
        <v>327</v>
      </c>
      <c r="R271" s="6" t="s">
        <v>72</v>
      </c>
      <c r="S271" s="6" t="s">
        <v>46</v>
      </c>
      <c r="T271" s="6" t="s">
        <v>46</v>
      </c>
      <c r="U271" s="6" t="n">
        <v>10</v>
      </c>
      <c r="V271" s="1" t="n">
        <v>8</v>
      </c>
      <c r="W271" s="6" t="s">
        <v>328</v>
      </c>
      <c r="X271" s="6" t="s">
        <v>47</v>
      </c>
      <c r="Y271" s="1" t="n">
        <v>5500</v>
      </c>
      <c r="Z271" s="6" t="s">
        <v>329</v>
      </c>
      <c r="AA271" s="6" t="s">
        <v>330</v>
      </c>
      <c r="AB271" s="15" t="str">
        <f aca="true" t="array" ref="AB271:AB271">LEFT(AA271,LOOKUP(2^15,FIND(".",AA271,ROW(INDIRECT("1:"&amp;LEN(AA271)))))-1)</f>
        <v>NB_2021_023 - 07062021 - 1</v>
      </c>
      <c r="AC271" s="6" t="s">
        <v>331</v>
      </c>
      <c r="AD271" s="15" t="str">
        <f aca="true" t="array" ref="AD271:AD271">LEFT(AC271,LOOKUP(2^15,FIND(".",AC271,ROW(INDIRECT("1:"&amp;LEN(AC271)))))-1)</f>
        <v>NB_2021_023 - 07062021 - 2</v>
      </c>
      <c r="AE271" s="6" t="str">
        <f aca="false">CONCATENATE(AB271, "-",H271, ".mzML")</f>
        <v>NB_2021_023 - 07062021 - 1-120.mzML</v>
      </c>
      <c r="AF271" s="6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4" t="s">
        <v>318</v>
      </c>
      <c r="B272" s="5"/>
      <c r="C272" s="4" t="s">
        <v>319</v>
      </c>
      <c r="D272" s="6" t="s">
        <v>14</v>
      </c>
      <c r="E272" s="6" t="s">
        <v>320</v>
      </c>
      <c r="F272" s="7" t="s">
        <v>321</v>
      </c>
      <c r="G272" s="6" t="s">
        <v>322</v>
      </c>
      <c r="H272" s="16" t="s">
        <v>339</v>
      </c>
      <c r="I272" s="6" t="str">
        <f aca="false">CONCATENATE(E272, "_",H272)</f>
        <v>NLA_2021_007_121</v>
      </c>
      <c r="J272" s="6" t="s">
        <v>166</v>
      </c>
      <c r="K272" s="24" t="n">
        <v>7277</v>
      </c>
      <c r="L272" s="9" t="s">
        <v>69</v>
      </c>
      <c r="M272" s="13" t="s">
        <v>324</v>
      </c>
      <c r="N272" s="6" t="s">
        <v>325</v>
      </c>
      <c r="O272" s="6" t="s">
        <v>54</v>
      </c>
      <c r="P272" s="6" t="s">
        <v>326</v>
      </c>
      <c r="Q272" s="6" t="s">
        <v>340</v>
      </c>
      <c r="R272" s="6" t="s">
        <v>72</v>
      </c>
      <c r="S272" s="6" t="s">
        <v>46</v>
      </c>
      <c r="T272" s="6" t="s">
        <v>46</v>
      </c>
      <c r="U272" s="6" t="n">
        <v>10</v>
      </c>
      <c r="V272" s="1" t="n">
        <v>1</v>
      </c>
      <c r="W272" s="6" t="s">
        <v>328</v>
      </c>
      <c r="X272" s="6" t="s">
        <v>47</v>
      </c>
      <c r="Y272" s="1" t="n">
        <v>5500</v>
      </c>
      <c r="Z272" s="6" t="s">
        <v>329</v>
      </c>
      <c r="AA272" s="6" t="s">
        <v>330</v>
      </c>
      <c r="AB272" s="15" t="str">
        <f aca="true" t="array" ref="AB272:AB272">LEFT(AA272,LOOKUP(2^15,FIND(".",AA272,ROW(INDIRECT("1:"&amp;LEN(AA272)))))-1)</f>
        <v>NB_2021_023 - 07062021 - 1</v>
      </c>
      <c r="AC272" s="6" t="s">
        <v>331</v>
      </c>
      <c r="AD272" s="15" t="str">
        <f aca="true" t="array" ref="AD272:AD272">LEFT(AC272,LOOKUP(2^15,FIND(".",AC272,ROW(INDIRECT("1:"&amp;LEN(AC272)))))-1)</f>
        <v>NB_2021_023 - 07062021 - 2</v>
      </c>
      <c r="AE272" s="6" t="str">
        <f aca="false">CONCATENATE(AB272, "-",H272, ".mzML")</f>
        <v>NB_2021_023 - 07062021 - 1-121.mzML</v>
      </c>
      <c r="AF272" s="6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4" t="s">
        <v>318</v>
      </c>
      <c r="B273" s="5"/>
      <c r="C273" s="4" t="s">
        <v>319</v>
      </c>
      <c r="D273" s="6" t="s">
        <v>14</v>
      </c>
      <c r="E273" s="6" t="s">
        <v>320</v>
      </c>
      <c r="F273" s="7" t="s">
        <v>321</v>
      </c>
      <c r="G273" s="6" t="s">
        <v>322</v>
      </c>
      <c r="H273" s="16" t="s">
        <v>341</v>
      </c>
      <c r="I273" s="6" t="str">
        <f aca="false">CONCATENATE(E273, "_",H273)</f>
        <v>NLA_2021_007_122</v>
      </c>
      <c r="J273" s="6" t="s">
        <v>166</v>
      </c>
      <c r="K273" s="24" t="n">
        <v>7278</v>
      </c>
      <c r="L273" s="9" t="s">
        <v>69</v>
      </c>
      <c r="M273" s="13" t="s">
        <v>324</v>
      </c>
      <c r="N273" s="6" t="s">
        <v>325</v>
      </c>
      <c r="O273" s="6" t="s">
        <v>54</v>
      </c>
      <c r="P273" s="6" t="s">
        <v>326</v>
      </c>
      <c r="Q273" s="6" t="s">
        <v>340</v>
      </c>
      <c r="R273" s="6" t="s">
        <v>72</v>
      </c>
      <c r="S273" s="6" t="s">
        <v>46</v>
      </c>
      <c r="T273" s="6" t="s">
        <v>46</v>
      </c>
      <c r="U273" s="6" t="n">
        <v>10</v>
      </c>
      <c r="V273" s="1" t="n">
        <v>2</v>
      </c>
      <c r="W273" s="6" t="s">
        <v>328</v>
      </c>
      <c r="X273" s="6" t="s">
        <v>47</v>
      </c>
      <c r="Y273" s="1" t="n">
        <v>5500</v>
      </c>
      <c r="Z273" s="6" t="s">
        <v>329</v>
      </c>
      <c r="AA273" s="6" t="s">
        <v>330</v>
      </c>
      <c r="AB273" s="15" t="str">
        <f aca="true" t="array" ref="AB273:AB273">LEFT(AA273,LOOKUP(2^15,FIND(".",AA273,ROW(INDIRECT("1:"&amp;LEN(AA273)))))-1)</f>
        <v>NB_2021_023 - 07062021 - 1</v>
      </c>
      <c r="AC273" s="6" t="s">
        <v>331</v>
      </c>
      <c r="AD273" s="15" t="str">
        <f aca="true" t="array" ref="AD273:AD273">LEFT(AC273,LOOKUP(2^15,FIND(".",AC273,ROW(INDIRECT("1:"&amp;LEN(AC273)))))-1)</f>
        <v>NB_2021_023 - 07062021 - 2</v>
      </c>
      <c r="AE273" s="6" t="str">
        <f aca="false">CONCATENATE(AB273, "-",H273, ".mzML")</f>
        <v>NB_2021_023 - 07062021 - 1-122.mzML</v>
      </c>
      <c r="AF273" s="6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4" t="s">
        <v>318</v>
      </c>
      <c r="B274" s="5"/>
      <c r="C274" s="4" t="s">
        <v>319</v>
      </c>
      <c r="D274" s="6" t="s">
        <v>14</v>
      </c>
      <c r="E274" s="6" t="s">
        <v>320</v>
      </c>
      <c r="F274" s="7" t="s">
        <v>321</v>
      </c>
      <c r="G274" s="6" t="s">
        <v>322</v>
      </c>
      <c r="H274" s="16" t="s">
        <v>342</v>
      </c>
      <c r="I274" s="6" t="str">
        <f aca="false">CONCATENATE(E274, "_",H274)</f>
        <v>NLA_2021_007_123</v>
      </c>
      <c r="J274" s="6" t="s">
        <v>166</v>
      </c>
      <c r="K274" s="24" t="n">
        <v>7279</v>
      </c>
      <c r="L274" s="9" t="s">
        <v>69</v>
      </c>
      <c r="M274" s="13" t="s">
        <v>324</v>
      </c>
      <c r="N274" s="6" t="s">
        <v>325</v>
      </c>
      <c r="O274" s="6" t="s">
        <v>54</v>
      </c>
      <c r="P274" s="6" t="s">
        <v>326</v>
      </c>
      <c r="Q274" s="6" t="s">
        <v>340</v>
      </c>
      <c r="R274" s="6" t="s">
        <v>72</v>
      </c>
      <c r="S274" s="6" t="s">
        <v>46</v>
      </c>
      <c r="T274" s="6" t="s">
        <v>46</v>
      </c>
      <c r="U274" s="6" t="n">
        <v>10</v>
      </c>
      <c r="V274" s="1" t="n">
        <v>3</v>
      </c>
      <c r="W274" s="6" t="s">
        <v>328</v>
      </c>
      <c r="X274" s="6" t="s">
        <v>47</v>
      </c>
      <c r="Y274" s="1" t="n">
        <v>5500</v>
      </c>
      <c r="Z274" s="6" t="s">
        <v>329</v>
      </c>
      <c r="AA274" s="6" t="s">
        <v>330</v>
      </c>
      <c r="AB274" s="15" t="str">
        <f aca="true" t="array" ref="AB274:AB274">LEFT(AA274,LOOKUP(2^15,FIND(".",AA274,ROW(INDIRECT("1:"&amp;LEN(AA274)))))-1)</f>
        <v>NB_2021_023 - 07062021 - 1</v>
      </c>
      <c r="AC274" s="6" t="s">
        <v>331</v>
      </c>
      <c r="AD274" s="15" t="str">
        <f aca="true" t="array" ref="AD274:AD274">LEFT(AC274,LOOKUP(2^15,FIND(".",AC274,ROW(INDIRECT("1:"&amp;LEN(AC274)))))-1)</f>
        <v>NB_2021_023 - 07062021 - 2</v>
      </c>
      <c r="AE274" s="6" t="str">
        <f aca="false">CONCATENATE(AB274, "-",H274, ".mzML")</f>
        <v>NB_2021_023 - 07062021 - 1-123.mzML</v>
      </c>
      <c r="AF274" s="6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4" t="s">
        <v>318</v>
      </c>
      <c r="B275" s="5"/>
      <c r="C275" s="4" t="s">
        <v>319</v>
      </c>
      <c r="D275" s="6" t="s">
        <v>14</v>
      </c>
      <c r="E275" s="6" t="s">
        <v>320</v>
      </c>
      <c r="F275" s="7" t="s">
        <v>321</v>
      </c>
      <c r="G275" s="6" t="s">
        <v>322</v>
      </c>
      <c r="H275" s="16" t="s">
        <v>343</v>
      </c>
      <c r="I275" s="6" t="str">
        <f aca="false">CONCATENATE(E275, "_",H275)</f>
        <v>NLA_2021_007_124</v>
      </c>
      <c r="J275" s="6" t="s">
        <v>166</v>
      </c>
      <c r="K275" s="24" t="n">
        <v>7280</v>
      </c>
      <c r="L275" s="9" t="s">
        <v>69</v>
      </c>
      <c r="M275" s="13" t="s">
        <v>324</v>
      </c>
      <c r="N275" s="6" t="s">
        <v>325</v>
      </c>
      <c r="O275" s="6" t="s">
        <v>54</v>
      </c>
      <c r="P275" s="6" t="s">
        <v>326</v>
      </c>
      <c r="Q275" s="6" t="s">
        <v>340</v>
      </c>
      <c r="R275" s="6" t="s">
        <v>72</v>
      </c>
      <c r="S275" s="6" t="s">
        <v>46</v>
      </c>
      <c r="T275" s="6" t="s">
        <v>46</v>
      </c>
      <c r="U275" s="6" t="n">
        <v>10</v>
      </c>
      <c r="V275" s="1" t="n">
        <v>4</v>
      </c>
      <c r="W275" s="6" t="s">
        <v>328</v>
      </c>
      <c r="X275" s="6" t="s">
        <v>47</v>
      </c>
      <c r="Y275" s="1" t="n">
        <v>5500</v>
      </c>
      <c r="Z275" s="6" t="s">
        <v>329</v>
      </c>
      <c r="AA275" s="6" t="s">
        <v>330</v>
      </c>
      <c r="AB275" s="15" t="str">
        <f aca="true" t="array" ref="AB275:AB275">LEFT(AA275,LOOKUP(2^15,FIND(".",AA275,ROW(INDIRECT("1:"&amp;LEN(AA275)))))-1)</f>
        <v>NB_2021_023 - 07062021 - 1</v>
      </c>
      <c r="AC275" s="6" t="s">
        <v>331</v>
      </c>
      <c r="AD275" s="15" t="str">
        <f aca="true" t="array" ref="AD275:AD275">LEFT(AC275,LOOKUP(2^15,FIND(".",AC275,ROW(INDIRECT("1:"&amp;LEN(AC275)))))-1)</f>
        <v>NB_2021_023 - 07062021 - 2</v>
      </c>
      <c r="AE275" s="6" t="str">
        <f aca="false">CONCATENATE(AB275, "-",H275, ".mzML")</f>
        <v>NB_2021_023 - 07062021 - 1-124.mzML</v>
      </c>
      <c r="AF275" s="6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4" t="s">
        <v>318</v>
      </c>
      <c r="B276" s="5"/>
      <c r="C276" s="4" t="s">
        <v>319</v>
      </c>
      <c r="D276" s="6" t="s">
        <v>14</v>
      </c>
      <c r="E276" s="6" t="s">
        <v>320</v>
      </c>
      <c r="F276" s="7" t="s">
        <v>321</v>
      </c>
      <c r="G276" s="6" t="s">
        <v>322</v>
      </c>
      <c r="H276" s="16" t="s">
        <v>344</v>
      </c>
      <c r="I276" s="6" t="str">
        <f aca="false">CONCATENATE(E276, "_",H276)</f>
        <v>NLA_2021_007_125</v>
      </c>
      <c r="J276" s="6" t="s">
        <v>166</v>
      </c>
      <c r="K276" s="24" t="n">
        <v>7281</v>
      </c>
      <c r="L276" s="9" t="s">
        <v>69</v>
      </c>
      <c r="M276" s="13" t="s">
        <v>324</v>
      </c>
      <c r="N276" s="6" t="s">
        <v>325</v>
      </c>
      <c r="O276" s="6" t="s">
        <v>54</v>
      </c>
      <c r="P276" s="6" t="s">
        <v>326</v>
      </c>
      <c r="Q276" s="6" t="s">
        <v>340</v>
      </c>
      <c r="R276" s="6" t="s">
        <v>72</v>
      </c>
      <c r="S276" s="6" t="s">
        <v>46</v>
      </c>
      <c r="T276" s="6" t="s">
        <v>46</v>
      </c>
      <c r="U276" s="6" t="n">
        <v>10</v>
      </c>
      <c r="V276" s="1" t="n">
        <v>5</v>
      </c>
      <c r="W276" s="6" t="s">
        <v>328</v>
      </c>
      <c r="X276" s="6" t="s">
        <v>47</v>
      </c>
      <c r="Y276" s="1" t="n">
        <v>5500</v>
      </c>
      <c r="Z276" s="6" t="s">
        <v>329</v>
      </c>
      <c r="AA276" s="6" t="s">
        <v>330</v>
      </c>
      <c r="AB276" s="15" t="str">
        <f aca="true" t="array" ref="AB276:AB276">LEFT(AA276,LOOKUP(2^15,FIND(".",AA276,ROW(INDIRECT("1:"&amp;LEN(AA276)))))-1)</f>
        <v>NB_2021_023 - 07062021 - 1</v>
      </c>
      <c r="AC276" s="6" t="s">
        <v>331</v>
      </c>
      <c r="AD276" s="15" t="str">
        <f aca="true" t="array" ref="AD276:AD276">LEFT(AC276,LOOKUP(2^15,FIND(".",AC276,ROW(INDIRECT("1:"&amp;LEN(AC276)))))-1)</f>
        <v>NB_2021_023 - 07062021 - 2</v>
      </c>
      <c r="AE276" s="6" t="str">
        <f aca="false">CONCATENATE(AB276, "-",H276, ".mzML")</f>
        <v>NB_2021_023 - 07062021 - 1-125.mzML</v>
      </c>
      <c r="AF276" s="6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4" t="s">
        <v>318</v>
      </c>
      <c r="B277" s="5"/>
      <c r="C277" s="4" t="s">
        <v>319</v>
      </c>
      <c r="D277" s="6" t="s">
        <v>14</v>
      </c>
      <c r="E277" s="6" t="s">
        <v>320</v>
      </c>
      <c r="F277" s="7" t="s">
        <v>321</v>
      </c>
      <c r="G277" s="6" t="s">
        <v>322</v>
      </c>
      <c r="H277" s="16" t="s">
        <v>345</v>
      </c>
      <c r="I277" s="6" t="str">
        <f aca="false">CONCATENATE(E277, "_",H277)</f>
        <v>NLA_2021_007_126</v>
      </c>
      <c r="J277" s="6" t="s">
        <v>166</v>
      </c>
      <c r="K277" s="24" t="n">
        <v>7273</v>
      </c>
      <c r="L277" s="9" t="s">
        <v>69</v>
      </c>
      <c r="M277" s="13" t="s">
        <v>324</v>
      </c>
      <c r="N277" s="6" t="s">
        <v>325</v>
      </c>
      <c r="O277" s="6" t="s">
        <v>54</v>
      </c>
      <c r="P277" s="6" t="s">
        <v>326</v>
      </c>
      <c r="Q277" s="6" t="s">
        <v>340</v>
      </c>
      <c r="R277" s="6" t="s">
        <v>72</v>
      </c>
      <c r="S277" s="6" t="s">
        <v>46</v>
      </c>
      <c r="T277" s="6" t="s">
        <v>46</v>
      </c>
      <c r="U277" s="6" t="n">
        <v>10</v>
      </c>
      <c r="V277" s="1" t="n">
        <v>6</v>
      </c>
      <c r="W277" s="6" t="s">
        <v>328</v>
      </c>
      <c r="X277" s="6" t="s">
        <v>47</v>
      </c>
      <c r="Y277" s="1" t="n">
        <v>5500</v>
      </c>
      <c r="Z277" s="6" t="s">
        <v>329</v>
      </c>
      <c r="AA277" s="6" t="s">
        <v>330</v>
      </c>
      <c r="AB277" s="15" t="str">
        <f aca="true" t="array" ref="AB277:AB277">LEFT(AA277,LOOKUP(2^15,FIND(".",AA277,ROW(INDIRECT("1:"&amp;LEN(AA277)))))-1)</f>
        <v>NB_2021_023 - 07062021 - 1</v>
      </c>
      <c r="AC277" s="6" t="s">
        <v>331</v>
      </c>
      <c r="AD277" s="15" t="str">
        <f aca="true" t="array" ref="AD277:AD277">LEFT(AC277,LOOKUP(2^15,FIND(".",AC277,ROW(INDIRECT("1:"&amp;LEN(AC277)))))-1)</f>
        <v>NB_2021_023 - 07062021 - 2</v>
      </c>
      <c r="AE277" s="6" t="str">
        <f aca="false">CONCATENATE(AB277, "-",H277, ".mzML")</f>
        <v>NB_2021_023 - 07062021 - 1-126.mzML</v>
      </c>
      <c r="AF277" s="6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4" t="s">
        <v>318</v>
      </c>
      <c r="B278" s="5"/>
      <c r="C278" s="4" t="s">
        <v>319</v>
      </c>
      <c r="D278" s="6" t="s">
        <v>14</v>
      </c>
      <c r="E278" s="6" t="s">
        <v>320</v>
      </c>
      <c r="F278" s="7" t="s">
        <v>321</v>
      </c>
      <c r="G278" s="6" t="s">
        <v>322</v>
      </c>
      <c r="H278" s="16" t="s">
        <v>346</v>
      </c>
      <c r="I278" s="6" t="str">
        <f aca="false">CONCATENATE(E278, "_",H278)</f>
        <v>NLA_2021_007_127</v>
      </c>
      <c r="J278" s="6" t="s">
        <v>166</v>
      </c>
      <c r="K278" s="24" t="n">
        <v>7274</v>
      </c>
      <c r="L278" s="9" t="s">
        <v>69</v>
      </c>
      <c r="M278" s="13" t="s">
        <v>324</v>
      </c>
      <c r="N278" s="6" t="s">
        <v>325</v>
      </c>
      <c r="O278" s="6" t="s">
        <v>54</v>
      </c>
      <c r="P278" s="6" t="s">
        <v>326</v>
      </c>
      <c r="Q278" s="6" t="s">
        <v>340</v>
      </c>
      <c r="R278" s="6" t="s">
        <v>72</v>
      </c>
      <c r="S278" s="6" t="s">
        <v>46</v>
      </c>
      <c r="T278" s="6" t="s">
        <v>46</v>
      </c>
      <c r="U278" s="6" t="n">
        <v>10</v>
      </c>
      <c r="V278" s="1" t="n">
        <v>7</v>
      </c>
      <c r="W278" s="6" t="s">
        <v>328</v>
      </c>
      <c r="X278" s="6" t="s">
        <v>47</v>
      </c>
      <c r="Y278" s="1" t="n">
        <v>5500</v>
      </c>
      <c r="Z278" s="6" t="s">
        <v>329</v>
      </c>
      <c r="AA278" s="6" t="s">
        <v>330</v>
      </c>
      <c r="AB278" s="15" t="str">
        <f aca="true" t="array" ref="AB278:AB278">LEFT(AA278,LOOKUP(2^15,FIND(".",AA278,ROW(INDIRECT("1:"&amp;LEN(AA278)))))-1)</f>
        <v>NB_2021_023 - 07062021 - 1</v>
      </c>
      <c r="AC278" s="6" t="s">
        <v>331</v>
      </c>
      <c r="AD278" s="15" t="str">
        <f aca="true" t="array" ref="AD278:AD278">LEFT(AC278,LOOKUP(2^15,FIND(".",AC278,ROW(INDIRECT("1:"&amp;LEN(AC278)))))-1)</f>
        <v>NB_2021_023 - 07062021 - 2</v>
      </c>
      <c r="AE278" s="6" t="str">
        <f aca="false">CONCATENATE(AB278, "-",H278, ".mzML")</f>
        <v>NB_2021_023 - 07062021 - 1-127.mzML</v>
      </c>
      <c r="AF278" s="6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4" t="s">
        <v>318</v>
      </c>
      <c r="B279" s="5"/>
      <c r="C279" s="4" t="s">
        <v>319</v>
      </c>
      <c r="D279" s="6" t="s">
        <v>14</v>
      </c>
      <c r="E279" s="6" t="s">
        <v>320</v>
      </c>
      <c r="F279" s="7" t="s">
        <v>321</v>
      </c>
      <c r="G279" s="6" t="s">
        <v>322</v>
      </c>
      <c r="H279" s="16" t="s">
        <v>347</v>
      </c>
      <c r="I279" s="6" t="str">
        <f aca="false">CONCATENATE(E279, "_",H279)</f>
        <v>NLA_2021_007_128</v>
      </c>
      <c r="J279" s="6" t="s">
        <v>166</v>
      </c>
      <c r="K279" s="24" t="n">
        <v>7275</v>
      </c>
      <c r="L279" s="9" t="s">
        <v>69</v>
      </c>
      <c r="M279" s="13" t="s">
        <v>324</v>
      </c>
      <c r="N279" s="6" t="s">
        <v>325</v>
      </c>
      <c r="O279" s="6" t="s">
        <v>54</v>
      </c>
      <c r="P279" s="6" t="s">
        <v>326</v>
      </c>
      <c r="Q279" s="6" t="s">
        <v>340</v>
      </c>
      <c r="R279" s="6" t="s">
        <v>72</v>
      </c>
      <c r="S279" s="6" t="s">
        <v>46</v>
      </c>
      <c r="T279" s="6" t="s">
        <v>46</v>
      </c>
      <c r="U279" s="6" t="n">
        <v>10</v>
      </c>
      <c r="V279" s="1" t="n">
        <v>8</v>
      </c>
      <c r="W279" s="6" t="s">
        <v>328</v>
      </c>
      <c r="X279" s="6" t="s">
        <v>47</v>
      </c>
      <c r="Y279" s="1" t="n">
        <v>5500</v>
      </c>
      <c r="Z279" s="6" t="s">
        <v>329</v>
      </c>
      <c r="AA279" s="6" t="s">
        <v>330</v>
      </c>
      <c r="AB279" s="15" t="str">
        <f aca="true" t="array" ref="AB279:AB279">LEFT(AA279,LOOKUP(2^15,FIND(".",AA279,ROW(INDIRECT("1:"&amp;LEN(AA279)))))-1)</f>
        <v>NB_2021_023 - 07062021 - 1</v>
      </c>
      <c r="AC279" s="6" t="s">
        <v>331</v>
      </c>
      <c r="AD279" s="15" t="str">
        <f aca="true" t="array" ref="AD279:AD279">LEFT(AC279,LOOKUP(2^15,FIND(".",AC279,ROW(INDIRECT("1:"&amp;LEN(AC279)))))-1)</f>
        <v>NB_2021_023 - 07062021 - 2</v>
      </c>
      <c r="AE279" s="6" t="str">
        <f aca="false">CONCATENATE(AB279, "-",H279, ".mzML")</f>
        <v>NB_2021_023 - 07062021 - 1-128.mzML</v>
      </c>
      <c r="AF279" s="6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4" t="s">
        <v>318</v>
      </c>
      <c r="B280" s="5"/>
      <c r="C280" s="4" t="s">
        <v>319</v>
      </c>
      <c r="D280" s="6" t="s">
        <v>14</v>
      </c>
      <c r="E280" s="6" t="s">
        <v>320</v>
      </c>
      <c r="F280" s="7" t="s">
        <v>321</v>
      </c>
      <c r="G280" s="6" t="s">
        <v>320</v>
      </c>
      <c r="H280" s="16" t="s">
        <v>64</v>
      </c>
      <c r="I280" s="6" t="str">
        <f aca="false">CONCATENATE(E280, "_",H280)</f>
        <v>NLA_2021_007_Blank_1</v>
      </c>
      <c r="J280" s="6" t="s">
        <v>52</v>
      </c>
      <c r="K280" s="24" t="s">
        <v>64</v>
      </c>
      <c r="L280" s="9" t="s">
        <v>69</v>
      </c>
      <c r="M280" s="25" t="s">
        <v>46</v>
      </c>
      <c r="N280" s="26" t="s">
        <v>65</v>
      </c>
      <c r="O280" s="26" t="s">
        <v>46</v>
      </c>
      <c r="P280" s="24" t="s">
        <v>46</v>
      </c>
      <c r="Q280" s="26" t="s">
        <v>46</v>
      </c>
      <c r="R280" s="26" t="s">
        <v>46</v>
      </c>
      <c r="S280" s="24" t="s">
        <v>46</v>
      </c>
      <c r="T280" s="24" t="s">
        <v>46</v>
      </c>
      <c r="U280" s="24" t="s">
        <v>46</v>
      </c>
      <c r="V280" s="26" t="n">
        <v>1</v>
      </c>
      <c r="W280" s="6"/>
      <c r="X280" s="6" t="s">
        <v>46</v>
      </c>
      <c r="Y280" s="1" t="n">
        <v>5500</v>
      </c>
      <c r="Z280" s="6" t="s">
        <v>329</v>
      </c>
      <c r="AA280" s="6" t="s">
        <v>330</v>
      </c>
      <c r="AB280" s="15" t="str">
        <f aca="true" t="array" ref="AB280:AB280">LEFT(AA280,LOOKUP(2^15,FIND(".",AA280,ROW(INDIRECT("1:"&amp;LEN(AA280)))))-1)</f>
        <v>NB_2021_023 - 07062021 - 1</v>
      </c>
      <c r="AC280" s="6" t="s">
        <v>331</v>
      </c>
      <c r="AD280" s="15" t="str">
        <f aca="true" t="array" ref="AD280:AD280">LEFT(AC280,LOOKUP(2^15,FIND(".",AC280,ROW(INDIRECT("1:"&amp;LEN(AC280)))))-1)</f>
        <v>NB_2021_023 - 07062021 - 2</v>
      </c>
      <c r="AE280" s="6" t="str">
        <f aca="false">CONCATENATE(AB280, "-",H280, ".mzML")</f>
        <v>NB_2021_023 - 07062021 - 1-Blank_1.mzML</v>
      </c>
      <c r="AF280" s="6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4" t="s">
        <v>318</v>
      </c>
      <c r="B281" s="5"/>
      <c r="C281" s="4" t="s">
        <v>319</v>
      </c>
      <c r="D281" s="6" t="s">
        <v>14</v>
      </c>
      <c r="E281" s="6" t="s">
        <v>320</v>
      </c>
      <c r="F281" s="7" t="s">
        <v>321</v>
      </c>
      <c r="G281" s="6" t="s">
        <v>320</v>
      </c>
      <c r="H281" s="16" t="s">
        <v>66</v>
      </c>
      <c r="I281" s="6" t="str">
        <f aca="false">CONCATENATE(E281, "_",H281)</f>
        <v>NLA_2021_007_Blank_2</v>
      </c>
      <c r="J281" s="6" t="s">
        <v>52</v>
      </c>
      <c r="K281" s="24" t="s">
        <v>66</v>
      </c>
      <c r="L281" s="9" t="s">
        <v>69</v>
      </c>
      <c r="M281" s="25" t="s">
        <v>46</v>
      </c>
      <c r="N281" s="26" t="s">
        <v>65</v>
      </c>
      <c r="O281" s="26" t="s">
        <v>46</v>
      </c>
      <c r="P281" s="24" t="s">
        <v>46</v>
      </c>
      <c r="Q281" s="26" t="s">
        <v>46</v>
      </c>
      <c r="R281" s="6" t="s">
        <v>46</v>
      </c>
      <c r="S281" s="24" t="s">
        <v>46</v>
      </c>
      <c r="T281" s="24" t="s">
        <v>46</v>
      </c>
      <c r="U281" s="24" t="s">
        <v>46</v>
      </c>
      <c r="V281" s="26" t="n">
        <v>2</v>
      </c>
      <c r="W281" s="6"/>
      <c r="X281" s="6" t="s">
        <v>46</v>
      </c>
      <c r="Y281" s="1" t="n">
        <v>5500</v>
      </c>
      <c r="Z281" s="6" t="s">
        <v>329</v>
      </c>
      <c r="AA281" s="6" t="s">
        <v>330</v>
      </c>
      <c r="AB281" s="15" t="str">
        <f aca="true" t="array" ref="AB281:AB281">LEFT(AA281,LOOKUP(2^15,FIND(".",AA281,ROW(INDIRECT("1:"&amp;LEN(AA281)))))-1)</f>
        <v>NB_2021_023 - 07062021 - 1</v>
      </c>
      <c r="AC281" s="6" t="s">
        <v>331</v>
      </c>
      <c r="AD281" s="15" t="str">
        <f aca="true" t="array" ref="AD281:AD281">LEFT(AC281,LOOKUP(2^15,FIND(".",AC281,ROW(INDIRECT("1:"&amp;LEN(AC281)))))-1)</f>
        <v>NB_2021_023 - 07062021 - 2</v>
      </c>
      <c r="AE281" s="6" t="str">
        <f aca="false">CONCATENATE(AB281, "-",H281, ".mzML")</f>
        <v>NB_2021_023 - 07062021 - 1-Blank_2.mzML</v>
      </c>
      <c r="AF281" s="6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4" t="s">
        <v>318</v>
      </c>
      <c r="B282" s="5"/>
      <c r="C282" s="4" t="s">
        <v>319</v>
      </c>
      <c r="D282" s="6" t="s">
        <v>14</v>
      </c>
      <c r="E282" s="6" t="s">
        <v>320</v>
      </c>
      <c r="F282" s="7" t="s">
        <v>321</v>
      </c>
      <c r="G282" s="6" t="s">
        <v>320</v>
      </c>
      <c r="H282" s="16" t="s">
        <v>348</v>
      </c>
      <c r="I282" s="6" t="str">
        <f aca="false">CONCATENATE(E282, "_",H282)</f>
        <v>NLA_2021_007_QC_1</v>
      </c>
      <c r="J282" s="6" t="s">
        <v>52</v>
      </c>
      <c r="K282" s="24" t="s">
        <v>348</v>
      </c>
      <c r="L282" s="9" t="s">
        <v>69</v>
      </c>
      <c r="M282" s="13" t="s">
        <v>46</v>
      </c>
      <c r="N282" s="6" t="s">
        <v>78</v>
      </c>
      <c r="O282" s="6" t="s">
        <v>46</v>
      </c>
      <c r="P282" s="6" t="s">
        <v>79</v>
      </c>
      <c r="Q282" s="6" t="s">
        <v>80</v>
      </c>
      <c r="R282" s="6" t="s">
        <v>81</v>
      </c>
      <c r="S282" s="6" t="s">
        <v>46</v>
      </c>
      <c r="T282" s="6" t="s">
        <v>46</v>
      </c>
      <c r="U282" s="6" t="s">
        <v>82</v>
      </c>
      <c r="V282" s="1" t="n">
        <v>1</v>
      </c>
      <c r="W282" s="6"/>
      <c r="X282" s="6" t="s">
        <v>83</v>
      </c>
      <c r="Y282" s="1" t="n">
        <v>5500</v>
      </c>
      <c r="Z282" s="6" t="s">
        <v>329</v>
      </c>
      <c r="AA282" s="6" t="s">
        <v>330</v>
      </c>
      <c r="AB282" s="15" t="str">
        <f aca="true" t="array" ref="AB282:AB282">LEFT(AA282,LOOKUP(2^15,FIND(".",AA282,ROW(INDIRECT("1:"&amp;LEN(AA282)))))-1)</f>
        <v>NB_2021_023 - 07062021 - 1</v>
      </c>
      <c r="AC282" s="6" t="s">
        <v>331</v>
      </c>
      <c r="AD282" s="15" t="str">
        <f aca="true" t="array" ref="AD282:AD282">LEFT(AC282,LOOKUP(2^15,FIND(".",AC282,ROW(INDIRECT("1:"&amp;LEN(AC282)))))-1)</f>
        <v>NB_2021_023 - 07062021 - 2</v>
      </c>
      <c r="AE282" s="6" t="str">
        <f aca="false">CONCATENATE(AB282, "-",H282, ".mzML")</f>
        <v>NB_2021_023 - 07062021 - 1-QC_1.mzML</v>
      </c>
      <c r="AF282" s="6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4" t="s">
        <v>318</v>
      </c>
      <c r="B283" s="5"/>
      <c r="C283" s="4" t="s">
        <v>319</v>
      </c>
      <c r="D283" s="6" t="s">
        <v>14</v>
      </c>
      <c r="E283" s="6" t="s">
        <v>320</v>
      </c>
      <c r="F283" s="7" t="s">
        <v>321</v>
      </c>
      <c r="G283" s="6" t="s">
        <v>320</v>
      </c>
      <c r="H283" s="16" t="s">
        <v>349</v>
      </c>
      <c r="I283" s="6" t="str">
        <f aca="false">CONCATENATE(E283, "_",H283)</f>
        <v>NLA_2021_007_QC_2</v>
      </c>
      <c r="J283" s="6" t="s">
        <v>52</v>
      </c>
      <c r="K283" s="24" t="s">
        <v>349</v>
      </c>
      <c r="L283" s="9" t="s">
        <v>69</v>
      </c>
      <c r="M283" s="13" t="s">
        <v>46</v>
      </c>
      <c r="N283" s="6" t="s">
        <v>78</v>
      </c>
      <c r="O283" s="6" t="s">
        <v>46</v>
      </c>
      <c r="P283" s="6" t="s">
        <v>79</v>
      </c>
      <c r="Q283" s="6" t="s">
        <v>80</v>
      </c>
      <c r="R283" s="6" t="s">
        <v>81</v>
      </c>
      <c r="S283" s="6" t="s">
        <v>46</v>
      </c>
      <c r="T283" s="6" t="s">
        <v>46</v>
      </c>
      <c r="U283" s="6" t="s">
        <v>82</v>
      </c>
      <c r="V283" s="1" t="n">
        <v>2</v>
      </c>
      <c r="W283" s="6"/>
      <c r="X283" s="6" t="s">
        <v>83</v>
      </c>
      <c r="Y283" s="1" t="n">
        <v>5500</v>
      </c>
      <c r="Z283" s="6" t="s">
        <v>329</v>
      </c>
      <c r="AA283" s="6" t="s">
        <v>330</v>
      </c>
      <c r="AB283" s="15" t="str">
        <f aca="true" t="array" ref="AB283:AB283">LEFT(AA283,LOOKUP(2^15,FIND(".",AA283,ROW(INDIRECT("1:"&amp;LEN(AA283)))))-1)</f>
        <v>NB_2021_023 - 07062021 - 1</v>
      </c>
      <c r="AC283" s="6" t="s">
        <v>331</v>
      </c>
      <c r="AD283" s="15" t="str">
        <f aca="true" t="array" ref="AD283:AD283">LEFT(AC283,LOOKUP(2^15,FIND(".",AC283,ROW(INDIRECT("1:"&amp;LEN(AC283)))))-1)</f>
        <v>NB_2021_023 - 07062021 - 2</v>
      </c>
      <c r="AE283" s="6" t="str">
        <f aca="false">CONCATENATE(AB283, "-",H283, ".mzML")</f>
        <v>NB_2021_023 - 07062021 - 1-QC_2.mzML</v>
      </c>
      <c r="AF283" s="6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4" t="s">
        <v>318</v>
      </c>
      <c r="B284" s="5"/>
      <c r="C284" s="4" t="s">
        <v>319</v>
      </c>
      <c r="D284" s="6" t="s">
        <v>14</v>
      </c>
      <c r="E284" s="6" t="s">
        <v>320</v>
      </c>
      <c r="F284" s="7" t="s">
        <v>321</v>
      </c>
      <c r="G284" s="6" t="s">
        <v>320</v>
      </c>
      <c r="H284" s="16" t="s">
        <v>350</v>
      </c>
      <c r="I284" s="6" t="str">
        <f aca="false">CONCATENATE(E284, "_",H284)</f>
        <v>NLA_2021_007_QC_3</v>
      </c>
      <c r="J284" s="6" t="s">
        <v>52</v>
      </c>
      <c r="K284" s="24" t="s">
        <v>350</v>
      </c>
      <c r="L284" s="9" t="s">
        <v>69</v>
      </c>
      <c r="M284" s="13" t="s">
        <v>46</v>
      </c>
      <c r="N284" s="6" t="s">
        <v>78</v>
      </c>
      <c r="O284" s="6" t="s">
        <v>46</v>
      </c>
      <c r="P284" s="6" t="s">
        <v>79</v>
      </c>
      <c r="Q284" s="6" t="s">
        <v>80</v>
      </c>
      <c r="R284" s="6" t="s">
        <v>81</v>
      </c>
      <c r="S284" s="6" t="s">
        <v>46</v>
      </c>
      <c r="T284" s="6" t="s">
        <v>46</v>
      </c>
      <c r="U284" s="6" t="s">
        <v>82</v>
      </c>
      <c r="V284" s="1" t="n">
        <v>3</v>
      </c>
      <c r="W284" s="6"/>
      <c r="X284" s="6" t="s">
        <v>83</v>
      </c>
      <c r="Y284" s="1" t="n">
        <v>5500</v>
      </c>
      <c r="Z284" s="6" t="s">
        <v>329</v>
      </c>
      <c r="AA284" s="6" t="s">
        <v>330</v>
      </c>
      <c r="AB284" s="15" t="str">
        <f aca="true" t="array" ref="AB284:AB284">LEFT(AA284,LOOKUP(2^15,FIND(".",AA284,ROW(INDIRECT("1:"&amp;LEN(AA284)))))-1)</f>
        <v>NB_2021_023 - 07062021 - 1</v>
      </c>
      <c r="AC284" s="6" t="s">
        <v>331</v>
      </c>
      <c r="AD284" s="15" t="str">
        <f aca="true" t="array" ref="AD284:AD284">LEFT(AC284,LOOKUP(2^15,FIND(".",AC284,ROW(INDIRECT("1:"&amp;LEN(AC284)))))-1)</f>
        <v>NB_2021_023 - 07062021 - 2</v>
      </c>
      <c r="AE284" s="6" t="str">
        <f aca="false">CONCATENATE(AB284, "-",H284, ".mzML")</f>
        <v>NB_2021_023 - 07062021 - 1-QC_3.mzML</v>
      </c>
      <c r="AF284" s="6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4" t="s">
        <v>318</v>
      </c>
      <c r="B285" s="5"/>
      <c r="C285" s="4" t="s">
        <v>319</v>
      </c>
      <c r="D285" s="6" t="s">
        <v>14</v>
      </c>
      <c r="E285" s="6" t="s">
        <v>320</v>
      </c>
      <c r="F285" s="7" t="s">
        <v>321</v>
      </c>
      <c r="G285" s="6" t="s">
        <v>320</v>
      </c>
      <c r="H285" s="16" t="s">
        <v>351</v>
      </c>
      <c r="I285" s="6" t="str">
        <f aca="false">CONCATENATE(E285, "_",H285)</f>
        <v>NLA_2021_007_QC_4</v>
      </c>
      <c r="J285" s="6" t="s">
        <v>52</v>
      </c>
      <c r="K285" s="24" t="s">
        <v>351</v>
      </c>
      <c r="L285" s="9" t="s">
        <v>69</v>
      </c>
      <c r="M285" s="13" t="s">
        <v>46</v>
      </c>
      <c r="N285" s="6" t="s">
        <v>78</v>
      </c>
      <c r="O285" s="6" t="s">
        <v>46</v>
      </c>
      <c r="P285" s="6" t="s">
        <v>79</v>
      </c>
      <c r="Q285" s="6" t="s">
        <v>80</v>
      </c>
      <c r="R285" s="6" t="s">
        <v>81</v>
      </c>
      <c r="S285" s="6" t="s">
        <v>46</v>
      </c>
      <c r="T285" s="6" t="s">
        <v>46</v>
      </c>
      <c r="U285" s="6" t="s">
        <v>82</v>
      </c>
      <c r="V285" s="28" t="n">
        <v>4</v>
      </c>
      <c r="W285" s="6"/>
      <c r="X285" s="6" t="s">
        <v>83</v>
      </c>
      <c r="Y285" s="1" t="n">
        <v>5500</v>
      </c>
      <c r="Z285" s="6" t="s">
        <v>329</v>
      </c>
      <c r="AA285" s="6" t="s">
        <v>330</v>
      </c>
      <c r="AB285" s="15" t="str">
        <f aca="true" t="array" ref="AB285:AB285">LEFT(AA285,LOOKUP(2^15,FIND(".",AA285,ROW(INDIRECT("1:"&amp;LEN(AA285)))))-1)</f>
        <v>NB_2021_023 - 07062021 - 1</v>
      </c>
      <c r="AC285" s="6" t="s">
        <v>331</v>
      </c>
      <c r="AD285" s="15" t="str">
        <f aca="true" t="array" ref="AD285:AD285">LEFT(AC285,LOOKUP(2^15,FIND(".",AC285,ROW(INDIRECT("1:"&amp;LEN(AC285)))))-1)</f>
        <v>NB_2021_023 - 07062021 - 2</v>
      </c>
      <c r="AE285" s="6" t="str">
        <f aca="false">CONCATENATE(AB285, "-",H285, ".mzML")</f>
        <v>NB_2021_023 - 07062021 - 1-QC_4.mzML</v>
      </c>
      <c r="AF285" s="6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4" t="s">
        <v>318</v>
      </c>
      <c r="B286" s="5"/>
      <c r="C286" s="4" t="s">
        <v>319</v>
      </c>
      <c r="D286" s="6" t="s">
        <v>14</v>
      </c>
      <c r="E286" s="6" t="s">
        <v>320</v>
      </c>
      <c r="F286" s="7" t="s">
        <v>321</v>
      </c>
      <c r="G286" s="6" t="s">
        <v>320</v>
      </c>
      <c r="H286" s="16" t="s">
        <v>352</v>
      </c>
      <c r="I286" s="6" t="str">
        <f aca="false">CONCATENATE(E286, "_",H286)</f>
        <v>NLA_2021_007_QC_5</v>
      </c>
      <c r="J286" s="6" t="s">
        <v>52</v>
      </c>
      <c r="K286" s="24" t="s">
        <v>352</v>
      </c>
      <c r="L286" s="9" t="s">
        <v>69</v>
      </c>
      <c r="M286" s="13" t="s">
        <v>46</v>
      </c>
      <c r="N286" s="6" t="s">
        <v>78</v>
      </c>
      <c r="O286" s="6" t="s">
        <v>46</v>
      </c>
      <c r="P286" s="6" t="s">
        <v>79</v>
      </c>
      <c r="Q286" s="6" t="s">
        <v>80</v>
      </c>
      <c r="R286" s="6" t="s">
        <v>81</v>
      </c>
      <c r="S286" s="6" t="s">
        <v>46</v>
      </c>
      <c r="T286" s="6" t="s">
        <v>46</v>
      </c>
      <c r="U286" s="6" t="s">
        <v>82</v>
      </c>
      <c r="V286" s="28" t="n">
        <v>5</v>
      </c>
      <c r="W286" s="6"/>
      <c r="X286" s="6" t="s">
        <v>83</v>
      </c>
      <c r="Y286" s="1" t="n">
        <v>5500</v>
      </c>
      <c r="Z286" s="6" t="s">
        <v>329</v>
      </c>
      <c r="AA286" s="6" t="s">
        <v>330</v>
      </c>
      <c r="AB286" s="15" t="str">
        <f aca="true" t="array" ref="AB286:AB286">LEFT(AA286,LOOKUP(2^15,FIND(".",AA286,ROW(INDIRECT("1:"&amp;LEN(AA286)))))-1)</f>
        <v>NB_2021_023 - 07062021 - 1</v>
      </c>
      <c r="AC286" s="6" t="s">
        <v>331</v>
      </c>
      <c r="AD286" s="15" t="str">
        <f aca="true" t="array" ref="AD286:AD286">LEFT(AC286,LOOKUP(2^15,FIND(".",AC286,ROW(INDIRECT("1:"&amp;LEN(AC286)))))-1)</f>
        <v>NB_2021_023 - 07062021 - 2</v>
      </c>
      <c r="AE286" s="6" t="str">
        <f aca="false">CONCATENATE(AB286, "-",H286, ".mzML")</f>
        <v>NB_2021_023 - 07062021 - 1-QC_5.mzML</v>
      </c>
      <c r="AF286" s="6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4" t="s">
        <v>353</v>
      </c>
      <c r="B287" s="5"/>
      <c r="C287" s="4" t="s">
        <v>354</v>
      </c>
      <c r="D287" s="6" t="s">
        <v>14</v>
      </c>
      <c r="E287" s="6" t="s">
        <v>320</v>
      </c>
      <c r="F287" s="7" t="s">
        <v>321</v>
      </c>
      <c r="G287" s="6" t="s">
        <v>355</v>
      </c>
      <c r="H287" s="16" t="s">
        <v>356</v>
      </c>
      <c r="I287" s="6" t="str">
        <f aca="false">CONCATENATE(E287, "_",H287)</f>
        <v>NLA_2021_007_129</v>
      </c>
      <c r="J287" s="6" t="s">
        <v>158</v>
      </c>
      <c r="K287" s="24" t="n">
        <v>7234</v>
      </c>
      <c r="L287" s="9" t="s">
        <v>69</v>
      </c>
      <c r="M287" s="13" t="s">
        <v>357</v>
      </c>
      <c r="N287" s="6" t="s">
        <v>325</v>
      </c>
      <c r="O287" s="6" t="s">
        <v>42</v>
      </c>
      <c r="P287" s="6" t="s">
        <v>326</v>
      </c>
      <c r="Q287" s="6" t="s">
        <v>327</v>
      </c>
      <c r="R287" s="6" t="s">
        <v>72</v>
      </c>
      <c r="S287" s="6" t="s">
        <v>46</v>
      </c>
      <c r="T287" s="6" t="s">
        <v>46</v>
      </c>
      <c r="U287" s="6" t="n">
        <v>10</v>
      </c>
      <c r="V287" s="1" t="n">
        <v>1</v>
      </c>
      <c r="W287" s="6" t="s">
        <v>358</v>
      </c>
      <c r="X287" s="6" t="s">
        <v>47</v>
      </c>
      <c r="Y287" s="1" t="n">
        <v>5500</v>
      </c>
      <c r="Z287" s="6" t="s">
        <v>329</v>
      </c>
      <c r="AA287" s="6" t="s">
        <v>330</v>
      </c>
      <c r="AB287" s="15" t="str">
        <f aca="true" t="array" ref="AB287:AB287">LEFT(AA287,LOOKUP(2^15,FIND(".",AA287,ROW(INDIRECT("1:"&amp;LEN(AA287)))))-1)</f>
        <v>NB_2021_023 - 07062021 - 1</v>
      </c>
      <c r="AC287" s="6" t="s">
        <v>331</v>
      </c>
      <c r="AD287" s="15" t="str">
        <f aca="true" t="array" ref="AD287:AD287">LEFT(AC287,LOOKUP(2^15,FIND(".",AC287,ROW(INDIRECT("1:"&amp;LEN(AC287)))))-1)</f>
        <v>NB_2021_023 - 07062021 - 2</v>
      </c>
      <c r="AE287" s="6" t="str">
        <f aca="false">CONCATENATE(AB287, "-",H287, ".mzML")</f>
        <v>NB_2021_023 - 07062021 - 1-129.mzML</v>
      </c>
      <c r="AF287" s="6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4" t="s">
        <v>353</v>
      </c>
      <c r="B288" s="5"/>
      <c r="C288" s="4" t="s">
        <v>354</v>
      </c>
      <c r="D288" s="6" t="s">
        <v>14</v>
      </c>
      <c r="E288" s="6" t="s">
        <v>320</v>
      </c>
      <c r="F288" s="7" t="s">
        <v>321</v>
      </c>
      <c r="G288" s="6" t="s">
        <v>355</v>
      </c>
      <c r="H288" s="16" t="s">
        <v>359</v>
      </c>
      <c r="I288" s="6" t="str">
        <f aca="false">CONCATENATE(E288, "_",H288)</f>
        <v>NLA_2021_007_130</v>
      </c>
      <c r="J288" s="6" t="s">
        <v>158</v>
      </c>
      <c r="K288" s="24" t="n">
        <v>7246</v>
      </c>
      <c r="L288" s="9" t="s">
        <v>69</v>
      </c>
      <c r="M288" s="13" t="s">
        <v>357</v>
      </c>
      <c r="N288" s="6" t="s">
        <v>325</v>
      </c>
      <c r="O288" s="6" t="s">
        <v>42</v>
      </c>
      <c r="P288" s="6" t="s">
        <v>326</v>
      </c>
      <c r="Q288" s="6" t="s">
        <v>327</v>
      </c>
      <c r="R288" s="6" t="s">
        <v>72</v>
      </c>
      <c r="S288" s="6" t="s">
        <v>46</v>
      </c>
      <c r="T288" s="6" t="s">
        <v>46</v>
      </c>
      <c r="U288" s="6" t="n">
        <v>10</v>
      </c>
      <c r="V288" s="1" t="n">
        <v>2</v>
      </c>
      <c r="W288" s="6" t="s">
        <v>358</v>
      </c>
      <c r="X288" s="6" t="s">
        <v>47</v>
      </c>
      <c r="Y288" s="1" t="n">
        <v>5500</v>
      </c>
      <c r="Z288" s="6" t="s">
        <v>329</v>
      </c>
      <c r="AA288" s="6" t="s">
        <v>330</v>
      </c>
      <c r="AB288" s="15" t="str">
        <f aca="true" t="array" ref="AB288:AB288">LEFT(AA288,LOOKUP(2^15,FIND(".",AA288,ROW(INDIRECT("1:"&amp;LEN(AA288)))))-1)</f>
        <v>NB_2021_023 - 07062021 - 1</v>
      </c>
      <c r="AC288" s="6" t="s">
        <v>331</v>
      </c>
      <c r="AD288" s="15" t="str">
        <f aca="true" t="array" ref="AD288:AD288">LEFT(AC288,LOOKUP(2^15,FIND(".",AC288,ROW(INDIRECT("1:"&amp;LEN(AC288)))))-1)</f>
        <v>NB_2021_023 - 07062021 - 2</v>
      </c>
      <c r="AE288" s="6" t="str">
        <f aca="false">CONCATENATE(AB288, "-",H288, ".mzML")</f>
        <v>NB_2021_023 - 07062021 - 1-130.mzML</v>
      </c>
      <c r="AF288" s="6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4" t="s">
        <v>353</v>
      </c>
      <c r="B289" s="5"/>
      <c r="C289" s="4" t="s">
        <v>354</v>
      </c>
      <c r="D289" s="6" t="s">
        <v>14</v>
      </c>
      <c r="E289" s="6" t="s">
        <v>320</v>
      </c>
      <c r="F289" s="7" t="s">
        <v>321</v>
      </c>
      <c r="G289" s="6" t="s">
        <v>355</v>
      </c>
      <c r="H289" s="16" t="s">
        <v>360</v>
      </c>
      <c r="I289" s="6" t="str">
        <f aca="false">CONCATENATE(E289, "_",H289)</f>
        <v>NLA_2021_007_131</v>
      </c>
      <c r="J289" s="6" t="s">
        <v>158</v>
      </c>
      <c r="K289" s="24" t="n">
        <v>7247</v>
      </c>
      <c r="L289" s="9" t="s">
        <v>69</v>
      </c>
      <c r="M289" s="13" t="s">
        <v>357</v>
      </c>
      <c r="N289" s="6" t="s">
        <v>325</v>
      </c>
      <c r="O289" s="6" t="s">
        <v>42</v>
      </c>
      <c r="P289" s="6" t="s">
        <v>326</v>
      </c>
      <c r="Q289" s="6" t="s">
        <v>327</v>
      </c>
      <c r="R289" s="6" t="s">
        <v>72</v>
      </c>
      <c r="S289" s="6" t="s">
        <v>46</v>
      </c>
      <c r="T289" s="6" t="s">
        <v>46</v>
      </c>
      <c r="U289" s="6" t="n">
        <v>10</v>
      </c>
      <c r="V289" s="1" t="n">
        <v>3</v>
      </c>
      <c r="W289" s="6" t="s">
        <v>358</v>
      </c>
      <c r="X289" s="6" t="s">
        <v>47</v>
      </c>
      <c r="Y289" s="1" t="n">
        <v>5500</v>
      </c>
      <c r="Z289" s="6" t="s">
        <v>329</v>
      </c>
      <c r="AA289" s="6" t="s">
        <v>330</v>
      </c>
      <c r="AB289" s="15" t="str">
        <f aca="true" t="array" ref="AB289:AB289">LEFT(AA289,LOOKUP(2^15,FIND(".",AA289,ROW(INDIRECT("1:"&amp;LEN(AA289)))))-1)</f>
        <v>NB_2021_023 - 07062021 - 1</v>
      </c>
      <c r="AC289" s="6" t="s">
        <v>331</v>
      </c>
      <c r="AD289" s="15" t="str">
        <f aca="true" t="array" ref="AD289:AD289">LEFT(AC289,LOOKUP(2^15,FIND(".",AC289,ROW(INDIRECT("1:"&amp;LEN(AC289)))))-1)</f>
        <v>NB_2021_023 - 07062021 - 2</v>
      </c>
      <c r="AE289" s="6" t="str">
        <f aca="false">CONCATENATE(AB289, "-",H289, ".mzML")</f>
        <v>NB_2021_023 - 07062021 - 1-131.mzML</v>
      </c>
      <c r="AF289" s="6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4" t="s">
        <v>353</v>
      </c>
      <c r="B290" s="5"/>
      <c r="C290" s="4" t="s">
        <v>354</v>
      </c>
      <c r="D290" s="6" t="s">
        <v>14</v>
      </c>
      <c r="E290" s="6" t="s">
        <v>320</v>
      </c>
      <c r="F290" s="7" t="s">
        <v>321</v>
      </c>
      <c r="G290" s="6" t="s">
        <v>355</v>
      </c>
      <c r="H290" s="16" t="s">
        <v>361</v>
      </c>
      <c r="I290" s="6" t="str">
        <f aca="false">CONCATENATE(E290, "_",H290)</f>
        <v>NLA_2021_007_132</v>
      </c>
      <c r="J290" s="6" t="s">
        <v>158</v>
      </c>
      <c r="K290" s="24" t="n">
        <v>7248</v>
      </c>
      <c r="L290" s="9" t="s">
        <v>69</v>
      </c>
      <c r="M290" s="13" t="s">
        <v>357</v>
      </c>
      <c r="N290" s="6" t="s">
        <v>325</v>
      </c>
      <c r="O290" s="6" t="s">
        <v>42</v>
      </c>
      <c r="P290" s="6" t="s">
        <v>326</v>
      </c>
      <c r="Q290" s="6" t="s">
        <v>327</v>
      </c>
      <c r="R290" s="6" t="s">
        <v>72</v>
      </c>
      <c r="S290" s="6" t="s">
        <v>46</v>
      </c>
      <c r="T290" s="6" t="s">
        <v>46</v>
      </c>
      <c r="U290" s="6" t="n">
        <v>10</v>
      </c>
      <c r="V290" s="1" t="n">
        <v>4</v>
      </c>
      <c r="W290" s="6" t="s">
        <v>358</v>
      </c>
      <c r="X290" s="6" t="s">
        <v>47</v>
      </c>
      <c r="Y290" s="1" t="n">
        <v>5500</v>
      </c>
      <c r="Z290" s="6" t="s">
        <v>329</v>
      </c>
      <c r="AA290" s="6" t="s">
        <v>330</v>
      </c>
      <c r="AB290" s="15" t="str">
        <f aca="true" t="array" ref="AB290:AB290">LEFT(AA290,LOOKUP(2^15,FIND(".",AA290,ROW(INDIRECT("1:"&amp;LEN(AA290)))))-1)</f>
        <v>NB_2021_023 - 07062021 - 1</v>
      </c>
      <c r="AC290" s="6" t="s">
        <v>331</v>
      </c>
      <c r="AD290" s="15" t="str">
        <f aca="true" t="array" ref="AD290:AD290">LEFT(AC290,LOOKUP(2^15,FIND(".",AC290,ROW(INDIRECT("1:"&amp;LEN(AC290)))))-1)</f>
        <v>NB_2021_023 - 07062021 - 2</v>
      </c>
      <c r="AE290" s="6" t="str">
        <f aca="false">CONCATENATE(AB290, "-",H290, ".mzML")</f>
        <v>NB_2021_023 - 07062021 - 1-132.mzML</v>
      </c>
      <c r="AF290" s="6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4" t="s">
        <v>353</v>
      </c>
      <c r="B291" s="5"/>
      <c r="C291" s="4" t="s">
        <v>354</v>
      </c>
      <c r="D291" s="6" t="s">
        <v>14</v>
      </c>
      <c r="E291" s="6" t="s">
        <v>320</v>
      </c>
      <c r="F291" s="7" t="s">
        <v>321</v>
      </c>
      <c r="G291" s="6" t="s">
        <v>355</v>
      </c>
      <c r="H291" s="16" t="s">
        <v>362</v>
      </c>
      <c r="I291" s="6" t="str">
        <f aca="false">CONCATENATE(E291, "_",H291)</f>
        <v>NLA_2021_007_133</v>
      </c>
      <c r="J291" s="6" t="s">
        <v>158</v>
      </c>
      <c r="K291" s="24" t="n">
        <v>7249</v>
      </c>
      <c r="L291" s="9" t="s">
        <v>69</v>
      </c>
      <c r="M291" s="13" t="s">
        <v>357</v>
      </c>
      <c r="N291" s="6" t="s">
        <v>325</v>
      </c>
      <c r="O291" s="6" t="s">
        <v>42</v>
      </c>
      <c r="P291" s="6" t="s">
        <v>326</v>
      </c>
      <c r="Q291" s="6" t="s">
        <v>327</v>
      </c>
      <c r="R291" s="6" t="s">
        <v>72</v>
      </c>
      <c r="S291" s="6" t="s">
        <v>46</v>
      </c>
      <c r="T291" s="6" t="s">
        <v>46</v>
      </c>
      <c r="U291" s="6" t="n">
        <v>10</v>
      </c>
      <c r="V291" s="1" t="n">
        <v>5</v>
      </c>
      <c r="W291" s="6" t="s">
        <v>358</v>
      </c>
      <c r="X291" s="6" t="s">
        <v>47</v>
      </c>
      <c r="Y291" s="1" t="n">
        <v>5500</v>
      </c>
      <c r="Z291" s="6" t="s">
        <v>329</v>
      </c>
      <c r="AA291" s="6" t="s">
        <v>330</v>
      </c>
      <c r="AB291" s="15" t="str">
        <f aca="true" t="array" ref="AB291:AB291">LEFT(AA291,LOOKUP(2^15,FIND(".",AA291,ROW(INDIRECT("1:"&amp;LEN(AA291)))))-1)</f>
        <v>NB_2021_023 - 07062021 - 1</v>
      </c>
      <c r="AC291" s="6" t="s">
        <v>331</v>
      </c>
      <c r="AD291" s="15" t="str">
        <f aca="true" t="array" ref="AD291:AD291">LEFT(AC291,LOOKUP(2^15,FIND(".",AC291,ROW(INDIRECT("1:"&amp;LEN(AC291)))))-1)</f>
        <v>NB_2021_023 - 07062021 - 2</v>
      </c>
      <c r="AE291" s="6" t="str">
        <f aca="false">CONCATENATE(AB291, "-",H291, ".mzML")</f>
        <v>NB_2021_023 - 07062021 - 1-133.mzML</v>
      </c>
      <c r="AF291" s="6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4" t="s">
        <v>353</v>
      </c>
      <c r="B292" s="5"/>
      <c r="C292" s="4" t="s">
        <v>354</v>
      </c>
      <c r="D292" s="6" t="s">
        <v>14</v>
      </c>
      <c r="E292" s="6" t="s">
        <v>320</v>
      </c>
      <c r="F292" s="7" t="s">
        <v>321</v>
      </c>
      <c r="G292" s="6" t="s">
        <v>355</v>
      </c>
      <c r="H292" s="16" t="s">
        <v>363</v>
      </c>
      <c r="I292" s="6" t="str">
        <f aca="false">CONCATENATE(E292, "_",H292)</f>
        <v>NLA_2021_007_134</v>
      </c>
      <c r="J292" s="6" t="s">
        <v>158</v>
      </c>
      <c r="K292" s="24" t="n">
        <v>7250</v>
      </c>
      <c r="L292" s="9" t="s">
        <v>69</v>
      </c>
      <c r="M292" s="13" t="s">
        <v>357</v>
      </c>
      <c r="N292" s="6" t="s">
        <v>325</v>
      </c>
      <c r="O292" s="6" t="s">
        <v>42</v>
      </c>
      <c r="P292" s="6" t="s">
        <v>326</v>
      </c>
      <c r="Q292" s="6" t="s">
        <v>327</v>
      </c>
      <c r="R292" s="6" t="s">
        <v>72</v>
      </c>
      <c r="S292" s="6" t="s">
        <v>46</v>
      </c>
      <c r="T292" s="6" t="s">
        <v>46</v>
      </c>
      <c r="U292" s="6" t="n">
        <v>10</v>
      </c>
      <c r="V292" s="1" t="n">
        <v>6</v>
      </c>
      <c r="W292" s="6" t="s">
        <v>358</v>
      </c>
      <c r="X292" s="6" t="s">
        <v>47</v>
      </c>
      <c r="Y292" s="1" t="n">
        <v>5500</v>
      </c>
      <c r="Z292" s="6" t="s">
        <v>329</v>
      </c>
      <c r="AA292" s="6" t="s">
        <v>330</v>
      </c>
      <c r="AB292" s="15" t="str">
        <f aca="true" t="array" ref="AB292:AB292">LEFT(AA292,LOOKUP(2^15,FIND(".",AA292,ROW(INDIRECT("1:"&amp;LEN(AA292)))))-1)</f>
        <v>NB_2021_023 - 07062021 - 1</v>
      </c>
      <c r="AC292" s="6" t="s">
        <v>331</v>
      </c>
      <c r="AD292" s="15" t="str">
        <f aca="true" t="array" ref="AD292:AD292">LEFT(AC292,LOOKUP(2^15,FIND(".",AC292,ROW(INDIRECT("1:"&amp;LEN(AC292)))))-1)</f>
        <v>NB_2021_023 - 07062021 - 2</v>
      </c>
      <c r="AE292" s="6" t="str">
        <f aca="false">CONCATENATE(AB292, "-",H292, ".mzML")</f>
        <v>NB_2021_023 - 07062021 - 1-134.mzML</v>
      </c>
      <c r="AF292" s="6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4" t="s">
        <v>353</v>
      </c>
      <c r="B293" s="5"/>
      <c r="C293" s="4" t="s">
        <v>354</v>
      </c>
      <c r="D293" s="6" t="s">
        <v>14</v>
      </c>
      <c r="E293" s="6" t="s">
        <v>320</v>
      </c>
      <c r="F293" s="7" t="s">
        <v>321</v>
      </c>
      <c r="G293" s="6" t="s">
        <v>355</v>
      </c>
      <c r="H293" s="16" t="s">
        <v>364</v>
      </c>
      <c r="I293" s="6" t="str">
        <f aca="false">CONCATENATE(E293, "_",H293)</f>
        <v>NLA_2021_007_135</v>
      </c>
      <c r="J293" s="6" t="s">
        <v>158</v>
      </c>
      <c r="K293" s="24" t="n">
        <v>7251</v>
      </c>
      <c r="L293" s="9" t="s">
        <v>69</v>
      </c>
      <c r="M293" s="13" t="s">
        <v>357</v>
      </c>
      <c r="N293" s="6" t="s">
        <v>325</v>
      </c>
      <c r="O293" s="6" t="s">
        <v>42</v>
      </c>
      <c r="P293" s="6" t="s">
        <v>326</v>
      </c>
      <c r="Q293" s="6" t="s">
        <v>327</v>
      </c>
      <c r="R293" s="6" t="s">
        <v>72</v>
      </c>
      <c r="S293" s="6" t="s">
        <v>46</v>
      </c>
      <c r="T293" s="6" t="s">
        <v>46</v>
      </c>
      <c r="U293" s="6" t="n">
        <v>10</v>
      </c>
      <c r="V293" s="1" t="n">
        <v>7</v>
      </c>
      <c r="W293" s="6" t="s">
        <v>358</v>
      </c>
      <c r="X293" s="6" t="s">
        <v>47</v>
      </c>
      <c r="Y293" s="1" t="n">
        <v>5500</v>
      </c>
      <c r="Z293" s="6" t="s">
        <v>329</v>
      </c>
      <c r="AA293" s="6" t="s">
        <v>330</v>
      </c>
      <c r="AB293" s="15" t="str">
        <f aca="true" t="array" ref="AB293:AB293">LEFT(AA293,LOOKUP(2^15,FIND(".",AA293,ROW(INDIRECT("1:"&amp;LEN(AA293)))))-1)</f>
        <v>NB_2021_023 - 07062021 - 1</v>
      </c>
      <c r="AC293" s="6" t="s">
        <v>331</v>
      </c>
      <c r="AD293" s="15" t="str">
        <f aca="true" t="array" ref="AD293:AD293">LEFT(AC293,LOOKUP(2^15,FIND(".",AC293,ROW(INDIRECT("1:"&amp;LEN(AC293)))))-1)</f>
        <v>NB_2021_023 - 07062021 - 2</v>
      </c>
      <c r="AE293" s="6" t="str">
        <f aca="false">CONCATENATE(AB293, "-",H293, ".mzML")</f>
        <v>NB_2021_023 - 07062021 - 1-135.mzML</v>
      </c>
      <c r="AF293" s="6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4" t="s">
        <v>353</v>
      </c>
      <c r="B294" s="5"/>
      <c r="C294" s="4" t="s">
        <v>354</v>
      </c>
      <c r="D294" s="6" t="s">
        <v>14</v>
      </c>
      <c r="E294" s="6" t="s">
        <v>320</v>
      </c>
      <c r="F294" s="7" t="s">
        <v>321</v>
      </c>
      <c r="G294" s="6" t="s">
        <v>355</v>
      </c>
      <c r="H294" s="16" t="s">
        <v>365</v>
      </c>
      <c r="I294" s="6" t="str">
        <f aca="false">CONCATENATE(E294, "_",H294)</f>
        <v>NLA_2021_007_136</v>
      </c>
      <c r="J294" s="6" t="s">
        <v>158</v>
      </c>
      <c r="K294" s="24" t="n">
        <v>7252</v>
      </c>
      <c r="L294" s="9" t="s">
        <v>69</v>
      </c>
      <c r="M294" s="13" t="s">
        <v>357</v>
      </c>
      <c r="N294" s="6" t="s">
        <v>325</v>
      </c>
      <c r="O294" s="6" t="s">
        <v>42</v>
      </c>
      <c r="P294" s="6" t="s">
        <v>326</v>
      </c>
      <c r="Q294" s="6" t="s">
        <v>327</v>
      </c>
      <c r="R294" s="6" t="s">
        <v>72</v>
      </c>
      <c r="S294" s="6" t="s">
        <v>46</v>
      </c>
      <c r="T294" s="6" t="s">
        <v>46</v>
      </c>
      <c r="U294" s="6" t="n">
        <v>10</v>
      </c>
      <c r="V294" s="1" t="n">
        <v>8</v>
      </c>
      <c r="W294" s="6" t="s">
        <v>358</v>
      </c>
      <c r="X294" s="6" t="s">
        <v>47</v>
      </c>
      <c r="Y294" s="1" t="n">
        <v>5500</v>
      </c>
      <c r="Z294" s="6" t="s">
        <v>329</v>
      </c>
      <c r="AA294" s="6" t="s">
        <v>330</v>
      </c>
      <c r="AB294" s="15" t="str">
        <f aca="true" t="array" ref="AB294:AB294">LEFT(AA294,LOOKUP(2^15,FIND(".",AA294,ROW(INDIRECT("1:"&amp;LEN(AA294)))))-1)</f>
        <v>NB_2021_023 - 07062021 - 1</v>
      </c>
      <c r="AC294" s="6" t="s">
        <v>331</v>
      </c>
      <c r="AD294" s="15" t="str">
        <f aca="true" t="array" ref="AD294:AD294">LEFT(AC294,LOOKUP(2^15,FIND(".",AC294,ROW(INDIRECT("1:"&amp;LEN(AC294)))))-1)</f>
        <v>NB_2021_023 - 07062021 - 2</v>
      </c>
      <c r="AE294" s="6" t="str">
        <f aca="false">CONCATENATE(AB294, "-",H294, ".mzML")</f>
        <v>NB_2021_023 - 07062021 - 1-136.mzML</v>
      </c>
      <c r="AF294" s="6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4" t="s">
        <v>353</v>
      </c>
      <c r="B295" s="5"/>
      <c r="C295" s="4" t="s">
        <v>354</v>
      </c>
      <c r="D295" s="6" t="s">
        <v>14</v>
      </c>
      <c r="E295" s="6" t="s">
        <v>320</v>
      </c>
      <c r="F295" s="7" t="s">
        <v>321</v>
      </c>
      <c r="G295" s="6" t="s">
        <v>355</v>
      </c>
      <c r="H295" s="16" t="s">
        <v>366</v>
      </c>
      <c r="I295" s="6" t="str">
        <f aca="false">CONCATENATE(E295, "_",H295)</f>
        <v>NLA_2021_007_137</v>
      </c>
      <c r="J295" s="6" t="s">
        <v>166</v>
      </c>
      <c r="K295" s="24" t="n">
        <v>7303</v>
      </c>
      <c r="L295" s="9" t="s">
        <v>69</v>
      </c>
      <c r="M295" s="13" t="s">
        <v>357</v>
      </c>
      <c r="N295" s="6" t="s">
        <v>325</v>
      </c>
      <c r="O295" s="6" t="s">
        <v>54</v>
      </c>
      <c r="P295" s="6" t="s">
        <v>326</v>
      </c>
      <c r="Q295" s="6" t="s">
        <v>340</v>
      </c>
      <c r="R295" s="6" t="s">
        <v>72</v>
      </c>
      <c r="S295" s="6" t="s">
        <v>46</v>
      </c>
      <c r="T295" s="6" t="s">
        <v>46</v>
      </c>
      <c r="U295" s="6" t="n">
        <v>10</v>
      </c>
      <c r="V295" s="1" t="n">
        <v>1</v>
      </c>
      <c r="W295" s="6" t="s">
        <v>358</v>
      </c>
      <c r="X295" s="6" t="s">
        <v>47</v>
      </c>
      <c r="Y295" s="1" t="n">
        <v>5500</v>
      </c>
      <c r="Z295" s="6" t="s">
        <v>329</v>
      </c>
      <c r="AA295" s="6" t="s">
        <v>330</v>
      </c>
      <c r="AB295" s="15" t="str">
        <f aca="true" t="array" ref="AB295:AB295">LEFT(AA295,LOOKUP(2^15,FIND(".",AA295,ROW(INDIRECT("1:"&amp;LEN(AA295)))))-1)</f>
        <v>NB_2021_023 - 07062021 - 1</v>
      </c>
      <c r="AC295" s="6" t="s">
        <v>331</v>
      </c>
      <c r="AD295" s="15" t="str">
        <f aca="true" t="array" ref="AD295:AD295">LEFT(AC295,LOOKUP(2^15,FIND(".",AC295,ROW(INDIRECT("1:"&amp;LEN(AC295)))))-1)</f>
        <v>NB_2021_023 - 07062021 - 2</v>
      </c>
      <c r="AE295" s="6" t="str">
        <f aca="false">CONCATENATE(AB295, "-",H295, ".mzML")</f>
        <v>NB_2021_023 - 07062021 - 1-137.mzML</v>
      </c>
      <c r="AF295" s="6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4" t="s">
        <v>353</v>
      </c>
      <c r="B296" s="5"/>
      <c r="C296" s="4" t="s">
        <v>354</v>
      </c>
      <c r="D296" s="6" t="s">
        <v>14</v>
      </c>
      <c r="E296" s="6" t="s">
        <v>320</v>
      </c>
      <c r="F296" s="7" t="s">
        <v>321</v>
      </c>
      <c r="G296" s="6" t="s">
        <v>355</v>
      </c>
      <c r="H296" s="16" t="s">
        <v>367</v>
      </c>
      <c r="I296" s="6" t="str">
        <f aca="false">CONCATENATE(E296, "_",H296)</f>
        <v>NLA_2021_007_138</v>
      </c>
      <c r="J296" s="6" t="s">
        <v>166</v>
      </c>
      <c r="K296" s="24" t="n">
        <v>7304</v>
      </c>
      <c r="L296" s="9" t="s">
        <v>69</v>
      </c>
      <c r="M296" s="13" t="s">
        <v>357</v>
      </c>
      <c r="N296" s="6" t="s">
        <v>325</v>
      </c>
      <c r="O296" s="6" t="s">
        <v>54</v>
      </c>
      <c r="P296" s="6" t="s">
        <v>326</v>
      </c>
      <c r="Q296" s="6" t="s">
        <v>340</v>
      </c>
      <c r="R296" s="6" t="s">
        <v>72</v>
      </c>
      <c r="S296" s="6" t="s">
        <v>46</v>
      </c>
      <c r="T296" s="6" t="s">
        <v>46</v>
      </c>
      <c r="U296" s="6" t="n">
        <v>10</v>
      </c>
      <c r="V296" s="1" t="n">
        <v>2</v>
      </c>
      <c r="W296" s="6" t="s">
        <v>358</v>
      </c>
      <c r="X296" s="6" t="s">
        <v>47</v>
      </c>
      <c r="Y296" s="1" t="n">
        <v>5500</v>
      </c>
      <c r="Z296" s="6" t="s">
        <v>329</v>
      </c>
      <c r="AA296" s="6" t="s">
        <v>330</v>
      </c>
      <c r="AB296" s="15" t="str">
        <f aca="true" t="array" ref="AB296:AB296">LEFT(AA296,LOOKUP(2^15,FIND(".",AA296,ROW(INDIRECT("1:"&amp;LEN(AA296)))))-1)</f>
        <v>NB_2021_023 - 07062021 - 1</v>
      </c>
      <c r="AC296" s="6" t="s">
        <v>331</v>
      </c>
      <c r="AD296" s="15" t="str">
        <f aca="true" t="array" ref="AD296:AD296">LEFT(AC296,LOOKUP(2^15,FIND(".",AC296,ROW(INDIRECT("1:"&amp;LEN(AC296)))))-1)</f>
        <v>NB_2021_023 - 07062021 - 2</v>
      </c>
      <c r="AE296" s="6" t="str">
        <f aca="false">CONCATENATE(AB296, "-",H296, ".mzML")</f>
        <v>NB_2021_023 - 07062021 - 1-138.mzML</v>
      </c>
      <c r="AF296" s="6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4" t="s">
        <v>353</v>
      </c>
      <c r="B297" s="5"/>
      <c r="C297" s="4" t="s">
        <v>354</v>
      </c>
      <c r="D297" s="6" t="s">
        <v>14</v>
      </c>
      <c r="E297" s="6" t="s">
        <v>320</v>
      </c>
      <c r="F297" s="7" t="s">
        <v>321</v>
      </c>
      <c r="G297" s="6" t="s">
        <v>355</v>
      </c>
      <c r="H297" s="16" t="s">
        <v>368</v>
      </c>
      <c r="I297" s="6" t="str">
        <f aca="false">CONCATENATE(E297, "_",H297)</f>
        <v>NLA_2021_007_139</v>
      </c>
      <c r="J297" s="6" t="s">
        <v>166</v>
      </c>
      <c r="K297" s="24" t="n">
        <v>7305</v>
      </c>
      <c r="L297" s="9" t="s">
        <v>69</v>
      </c>
      <c r="M297" s="13" t="s">
        <v>357</v>
      </c>
      <c r="N297" s="6" t="s">
        <v>325</v>
      </c>
      <c r="O297" s="6" t="s">
        <v>54</v>
      </c>
      <c r="P297" s="6" t="s">
        <v>326</v>
      </c>
      <c r="Q297" s="6" t="s">
        <v>340</v>
      </c>
      <c r="R297" s="6" t="s">
        <v>72</v>
      </c>
      <c r="S297" s="6" t="s">
        <v>46</v>
      </c>
      <c r="T297" s="6" t="s">
        <v>46</v>
      </c>
      <c r="U297" s="6" t="n">
        <v>10</v>
      </c>
      <c r="V297" s="1" t="n">
        <v>3</v>
      </c>
      <c r="W297" s="6" t="s">
        <v>358</v>
      </c>
      <c r="X297" s="6" t="s">
        <v>47</v>
      </c>
      <c r="Y297" s="1" t="n">
        <v>5500</v>
      </c>
      <c r="Z297" s="6" t="s">
        <v>329</v>
      </c>
      <c r="AA297" s="6" t="s">
        <v>330</v>
      </c>
      <c r="AB297" s="15" t="str">
        <f aca="true" t="array" ref="AB297:AB297">LEFT(AA297,LOOKUP(2^15,FIND(".",AA297,ROW(INDIRECT("1:"&amp;LEN(AA297)))))-1)</f>
        <v>NB_2021_023 - 07062021 - 1</v>
      </c>
      <c r="AC297" s="6" t="s">
        <v>331</v>
      </c>
      <c r="AD297" s="15" t="str">
        <f aca="true" t="array" ref="AD297:AD297">LEFT(AC297,LOOKUP(2^15,FIND(".",AC297,ROW(INDIRECT("1:"&amp;LEN(AC297)))))-1)</f>
        <v>NB_2021_023 - 07062021 - 2</v>
      </c>
      <c r="AE297" s="6" t="str">
        <f aca="false">CONCATENATE(AB297, "-",H297, ".mzML")</f>
        <v>NB_2021_023 - 07062021 - 1-139.mzML</v>
      </c>
      <c r="AF297" s="6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4" t="s">
        <v>353</v>
      </c>
      <c r="B298" s="5"/>
      <c r="C298" s="4" t="s">
        <v>354</v>
      </c>
      <c r="D298" s="6" t="s">
        <v>14</v>
      </c>
      <c r="E298" s="6" t="s">
        <v>320</v>
      </c>
      <c r="F298" s="7" t="s">
        <v>321</v>
      </c>
      <c r="G298" s="6" t="s">
        <v>355</v>
      </c>
      <c r="H298" s="16" t="s">
        <v>369</v>
      </c>
      <c r="I298" s="6" t="str">
        <f aca="false">CONCATENATE(E298, "_",H298)</f>
        <v>NLA_2021_007_140</v>
      </c>
      <c r="J298" s="6" t="s">
        <v>166</v>
      </c>
      <c r="K298" s="24" t="n">
        <v>7306</v>
      </c>
      <c r="L298" s="9" t="s">
        <v>69</v>
      </c>
      <c r="M298" s="13" t="s">
        <v>357</v>
      </c>
      <c r="N298" s="6" t="s">
        <v>325</v>
      </c>
      <c r="O298" s="6" t="s">
        <v>54</v>
      </c>
      <c r="P298" s="6" t="s">
        <v>326</v>
      </c>
      <c r="Q298" s="6" t="s">
        <v>340</v>
      </c>
      <c r="R298" s="6" t="s">
        <v>72</v>
      </c>
      <c r="S298" s="6" t="s">
        <v>46</v>
      </c>
      <c r="T298" s="6" t="s">
        <v>46</v>
      </c>
      <c r="U298" s="6" t="n">
        <v>10</v>
      </c>
      <c r="V298" s="1" t="n">
        <v>4</v>
      </c>
      <c r="W298" s="6" t="s">
        <v>358</v>
      </c>
      <c r="X298" s="6" t="s">
        <v>47</v>
      </c>
      <c r="Y298" s="1" t="n">
        <v>5500</v>
      </c>
      <c r="Z298" s="6" t="s">
        <v>329</v>
      </c>
      <c r="AA298" s="6" t="s">
        <v>330</v>
      </c>
      <c r="AB298" s="15" t="str">
        <f aca="true" t="array" ref="AB298:AB298">LEFT(AA298,LOOKUP(2^15,FIND(".",AA298,ROW(INDIRECT("1:"&amp;LEN(AA298)))))-1)</f>
        <v>NB_2021_023 - 07062021 - 1</v>
      </c>
      <c r="AC298" s="6" t="s">
        <v>331</v>
      </c>
      <c r="AD298" s="15" t="str">
        <f aca="true" t="array" ref="AD298:AD298">LEFT(AC298,LOOKUP(2^15,FIND(".",AC298,ROW(INDIRECT("1:"&amp;LEN(AC298)))))-1)</f>
        <v>NB_2021_023 - 07062021 - 2</v>
      </c>
      <c r="AE298" s="6" t="str">
        <f aca="false">CONCATENATE(AB298, "-",H298, ".mzML")</f>
        <v>NB_2021_023 - 07062021 - 1-140.mzML</v>
      </c>
      <c r="AF298" s="6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4" t="s">
        <v>353</v>
      </c>
      <c r="B299" s="5"/>
      <c r="C299" s="4" t="s">
        <v>354</v>
      </c>
      <c r="D299" s="6" t="s">
        <v>14</v>
      </c>
      <c r="E299" s="6" t="s">
        <v>320</v>
      </c>
      <c r="F299" s="7" t="s">
        <v>321</v>
      </c>
      <c r="G299" s="6" t="s">
        <v>355</v>
      </c>
      <c r="H299" s="16" t="s">
        <v>370</v>
      </c>
      <c r="I299" s="6" t="str">
        <f aca="false">CONCATENATE(E299, "_",H299)</f>
        <v>NLA_2021_007_141</v>
      </c>
      <c r="J299" s="6" t="s">
        <v>166</v>
      </c>
      <c r="K299" s="24" t="n">
        <v>7307</v>
      </c>
      <c r="L299" s="9" t="s">
        <v>69</v>
      </c>
      <c r="M299" s="13" t="s">
        <v>357</v>
      </c>
      <c r="N299" s="6" t="s">
        <v>325</v>
      </c>
      <c r="O299" s="6" t="s">
        <v>54</v>
      </c>
      <c r="P299" s="6" t="s">
        <v>326</v>
      </c>
      <c r="Q299" s="6" t="s">
        <v>340</v>
      </c>
      <c r="R299" s="6" t="s">
        <v>72</v>
      </c>
      <c r="S299" s="6" t="s">
        <v>46</v>
      </c>
      <c r="T299" s="6" t="s">
        <v>46</v>
      </c>
      <c r="U299" s="6" t="n">
        <v>10</v>
      </c>
      <c r="V299" s="1" t="n">
        <v>5</v>
      </c>
      <c r="W299" s="6" t="s">
        <v>358</v>
      </c>
      <c r="X299" s="6" t="s">
        <v>47</v>
      </c>
      <c r="Y299" s="1" t="n">
        <v>5500</v>
      </c>
      <c r="Z299" s="6" t="s">
        <v>329</v>
      </c>
      <c r="AA299" s="6" t="s">
        <v>330</v>
      </c>
      <c r="AB299" s="15" t="str">
        <f aca="true" t="array" ref="AB299:AB299">LEFT(AA299,LOOKUP(2^15,FIND(".",AA299,ROW(INDIRECT("1:"&amp;LEN(AA299)))))-1)</f>
        <v>NB_2021_023 - 07062021 - 1</v>
      </c>
      <c r="AC299" s="6" t="s">
        <v>331</v>
      </c>
      <c r="AD299" s="15" t="str">
        <f aca="true" t="array" ref="AD299:AD299">LEFT(AC299,LOOKUP(2^15,FIND(".",AC299,ROW(INDIRECT("1:"&amp;LEN(AC299)))))-1)</f>
        <v>NB_2021_023 - 07062021 - 2</v>
      </c>
      <c r="AE299" s="6" t="str">
        <f aca="false">CONCATENATE(AB299, "-",H299, ".mzML")</f>
        <v>NB_2021_023 - 07062021 - 1-141.mzML</v>
      </c>
      <c r="AF299" s="6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4" t="s">
        <v>353</v>
      </c>
      <c r="B300" s="5"/>
      <c r="C300" s="4" t="s">
        <v>354</v>
      </c>
      <c r="D300" s="6" t="s">
        <v>14</v>
      </c>
      <c r="E300" s="6" t="s">
        <v>320</v>
      </c>
      <c r="F300" s="7" t="s">
        <v>321</v>
      </c>
      <c r="G300" s="6" t="s">
        <v>355</v>
      </c>
      <c r="H300" s="16" t="s">
        <v>371</v>
      </c>
      <c r="I300" s="6" t="str">
        <f aca="false">CONCATENATE(E300, "_",H300)</f>
        <v>NLA_2021_007_142</v>
      </c>
      <c r="J300" s="6" t="s">
        <v>166</v>
      </c>
      <c r="K300" s="24" t="n">
        <v>7308</v>
      </c>
      <c r="L300" s="9" t="s">
        <v>69</v>
      </c>
      <c r="M300" s="13" t="s">
        <v>357</v>
      </c>
      <c r="N300" s="6" t="s">
        <v>325</v>
      </c>
      <c r="O300" s="6" t="s">
        <v>54</v>
      </c>
      <c r="P300" s="6" t="s">
        <v>326</v>
      </c>
      <c r="Q300" s="6" t="s">
        <v>340</v>
      </c>
      <c r="R300" s="6" t="s">
        <v>72</v>
      </c>
      <c r="S300" s="6" t="s">
        <v>46</v>
      </c>
      <c r="T300" s="6" t="s">
        <v>46</v>
      </c>
      <c r="U300" s="6" t="n">
        <v>10</v>
      </c>
      <c r="V300" s="1" t="n">
        <v>6</v>
      </c>
      <c r="W300" s="6" t="s">
        <v>358</v>
      </c>
      <c r="X300" s="6" t="s">
        <v>47</v>
      </c>
      <c r="Y300" s="1" t="n">
        <v>5500</v>
      </c>
      <c r="Z300" s="6" t="s">
        <v>329</v>
      </c>
      <c r="AA300" s="6" t="s">
        <v>330</v>
      </c>
      <c r="AB300" s="15" t="str">
        <f aca="true" t="array" ref="AB300:AB300">LEFT(AA300,LOOKUP(2^15,FIND(".",AA300,ROW(INDIRECT("1:"&amp;LEN(AA300)))))-1)</f>
        <v>NB_2021_023 - 07062021 - 1</v>
      </c>
      <c r="AC300" s="6" t="s">
        <v>331</v>
      </c>
      <c r="AD300" s="15" t="str">
        <f aca="true" t="array" ref="AD300:AD300">LEFT(AC300,LOOKUP(2^15,FIND(".",AC300,ROW(INDIRECT("1:"&amp;LEN(AC300)))))-1)</f>
        <v>NB_2021_023 - 07062021 - 2</v>
      </c>
      <c r="AE300" s="6" t="str">
        <f aca="false">CONCATENATE(AB300, "-",H300, ".mzML")</f>
        <v>NB_2021_023 - 07062021 - 1-142.mzML</v>
      </c>
      <c r="AF300" s="6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4" t="s">
        <v>353</v>
      </c>
      <c r="B301" s="5"/>
      <c r="C301" s="4" t="s">
        <v>354</v>
      </c>
      <c r="D301" s="6" t="s">
        <v>14</v>
      </c>
      <c r="E301" s="6" t="s">
        <v>320</v>
      </c>
      <c r="F301" s="7" t="s">
        <v>321</v>
      </c>
      <c r="G301" s="6" t="s">
        <v>355</v>
      </c>
      <c r="H301" s="16" t="s">
        <v>372</v>
      </c>
      <c r="I301" s="6" t="str">
        <f aca="false">CONCATENATE(E301, "_",H301)</f>
        <v>NLA_2021_007_143</v>
      </c>
      <c r="J301" s="6" t="s">
        <v>166</v>
      </c>
      <c r="K301" s="24" t="n">
        <v>7309</v>
      </c>
      <c r="L301" s="9" t="s">
        <v>69</v>
      </c>
      <c r="M301" s="13" t="s">
        <v>357</v>
      </c>
      <c r="N301" s="6" t="s">
        <v>325</v>
      </c>
      <c r="O301" s="6" t="s">
        <v>54</v>
      </c>
      <c r="P301" s="6" t="s">
        <v>326</v>
      </c>
      <c r="Q301" s="6" t="s">
        <v>340</v>
      </c>
      <c r="R301" s="6" t="s">
        <v>72</v>
      </c>
      <c r="S301" s="6" t="s">
        <v>46</v>
      </c>
      <c r="T301" s="6" t="s">
        <v>46</v>
      </c>
      <c r="U301" s="6" t="n">
        <v>10</v>
      </c>
      <c r="V301" s="1" t="n">
        <v>7</v>
      </c>
      <c r="W301" s="6" t="s">
        <v>358</v>
      </c>
      <c r="X301" s="6" t="s">
        <v>47</v>
      </c>
      <c r="Y301" s="1" t="n">
        <v>5500</v>
      </c>
      <c r="Z301" s="6" t="s">
        <v>329</v>
      </c>
      <c r="AA301" s="6" t="s">
        <v>330</v>
      </c>
      <c r="AB301" s="15" t="str">
        <f aca="true" t="array" ref="AB301:AB301">LEFT(AA301,LOOKUP(2^15,FIND(".",AA301,ROW(INDIRECT("1:"&amp;LEN(AA301)))))-1)</f>
        <v>NB_2021_023 - 07062021 - 1</v>
      </c>
      <c r="AC301" s="6" t="s">
        <v>331</v>
      </c>
      <c r="AD301" s="15" t="str">
        <f aca="true" t="array" ref="AD301:AD301">LEFT(AC301,LOOKUP(2^15,FIND(".",AC301,ROW(INDIRECT("1:"&amp;LEN(AC301)))))-1)</f>
        <v>NB_2021_023 - 07062021 - 2</v>
      </c>
      <c r="AE301" s="6" t="str">
        <f aca="false">CONCATENATE(AB301, "-",H301, ".mzML")</f>
        <v>NB_2021_023 - 07062021 - 1-143.mzML</v>
      </c>
      <c r="AF301" s="6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4" t="s">
        <v>353</v>
      </c>
      <c r="B302" s="5"/>
      <c r="C302" s="4" t="s">
        <v>354</v>
      </c>
      <c r="D302" s="6" t="s">
        <v>14</v>
      </c>
      <c r="E302" s="6" t="s">
        <v>320</v>
      </c>
      <c r="F302" s="7" t="s">
        <v>321</v>
      </c>
      <c r="G302" s="6" t="s">
        <v>355</v>
      </c>
      <c r="H302" s="16" t="s">
        <v>373</v>
      </c>
      <c r="I302" s="6" t="str">
        <f aca="false">CONCATENATE(E302, "_",H302)</f>
        <v>NLA_2021_007_144</v>
      </c>
      <c r="J302" s="6" t="s">
        <v>166</v>
      </c>
      <c r="K302" s="24" t="n">
        <v>7310</v>
      </c>
      <c r="L302" s="9" t="s">
        <v>69</v>
      </c>
      <c r="M302" s="13" t="s">
        <v>357</v>
      </c>
      <c r="N302" s="6" t="s">
        <v>325</v>
      </c>
      <c r="O302" s="6" t="s">
        <v>54</v>
      </c>
      <c r="P302" s="6" t="s">
        <v>326</v>
      </c>
      <c r="Q302" s="6" t="s">
        <v>340</v>
      </c>
      <c r="R302" s="6" t="s">
        <v>72</v>
      </c>
      <c r="S302" s="6" t="s">
        <v>46</v>
      </c>
      <c r="T302" s="6" t="s">
        <v>46</v>
      </c>
      <c r="U302" s="6" t="n">
        <v>10</v>
      </c>
      <c r="V302" s="1" t="n">
        <v>8</v>
      </c>
      <c r="W302" s="6" t="s">
        <v>358</v>
      </c>
      <c r="X302" s="6" t="s">
        <v>47</v>
      </c>
      <c r="Y302" s="1" t="n">
        <v>5500</v>
      </c>
      <c r="Z302" s="6" t="s">
        <v>329</v>
      </c>
      <c r="AA302" s="6" t="s">
        <v>330</v>
      </c>
      <c r="AB302" s="15" t="str">
        <f aca="true" t="array" ref="AB302:AB302">LEFT(AA302,LOOKUP(2^15,FIND(".",AA302,ROW(INDIRECT("1:"&amp;LEN(AA302)))))-1)</f>
        <v>NB_2021_023 - 07062021 - 1</v>
      </c>
      <c r="AC302" s="6" t="s">
        <v>331</v>
      </c>
      <c r="AD302" s="15" t="str">
        <f aca="true" t="array" ref="AD302:AD302">LEFT(AC302,LOOKUP(2^15,FIND(".",AC302,ROW(INDIRECT("1:"&amp;LEN(AC302)))))-1)</f>
        <v>NB_2021_023 - 07062021 - 2</v>
      </c>
      <c r="AE302" s="6" t="str">
        <f aca="false">CONCATENATE(AB302, "-",H302, ".mzML")</f>
        <v>NB_2021_023 - 07062021 - 1-144.mzML</v>
      </c>
      <c r="AF302" s="6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4" t="s">
        <v>353</v>
      </c>
      <c r="B303" s="5"/>
      <c r="C303" s="4" t="s">
        <v>354</v>
      </c>
      <c r="D303" s="6" t="s">
        <v>14</v>
      </c>
      <c r="E303" s="6" t="s">
        <v>320</v>
      </c>
      <c r="F303" s="7" t="s">
        <v>321</v>
      </c>
      <c r="G303" s="6" t="s">
        <v>320</v>
      </c>
      <c r="H303" s="16" t="s">
        <v>64</v>
      </c>
      <c r="I303" s="6" t="str">
        <f aca="false">CONCATENATE(E303, "_",H303)</f>
        <v>NLA_2021_007_Blank_1</v>
      </c>
      <c r="J303" s="6" t="s">
        <v>52</v>
      </c>
      <c r="K303" s="24" t="s">
        <v>64</v>
      </c>
      <c r="L303" s="9" t="s">
        <v>69</v>
      </c>
      <c r="M303" s="25" t="s">
        <v>46</v>
      </c>
      <c r="N303" s="26" t="s">
        <v>65</v>
      </c>
      <c r="O303" s="26" t="s">
        <v>46</v>
      </c>
      <c r="P303" s="24" t="s">
        <v>46</v>
      </c>
      <c r="Q303" s="26" t="s">
        <v>46</v>
      </c>
      <c r="R303" s="26" t="s">
        <v>46</v>
      </c>
      <c r="S303" s="24" t="s">
        <v>46</v>
      </c>
      <c r="T303" s="24" t="s">
        <v>46</v>
      </c>
      <c r="U303" s="24" t="s">
        <v>46</v>
      </c>
      <c r="V303" s="26" t="n">
        <v>1</v>
      </c>
      <c r="W303" s="6"/>
      <c r="X303" s="6" t="s">
        <v>46</v>
      </c>
      <c r="Y303" s="1" t="n">
        <v>5500</v>
      </c>
      <c r="Z303" s="6" t="s">
        <v>329</v>
      </c>
      <c r="AA303" s="6" t="s">
        <v>330</v>
      </c>
      <c r="AB303" s="15" t="str">
        <f aca="true" t="array" ref="AB303:AB303">LEFT(AA303,LOOKUP(2^15,FIND(".",AA303,ROW(INDIRECT("1:"&amp;LEN(AA303)))))-1)</f>
        <v>NB_2021_023 - 07062021 - 1</v>
      </c>
      <c r="AC303" s="6" t="s">
        <v>331</v>
      </c>
      <c r="AD303" s="15" t="str">
        <f aca="true" t="array" ref="AD303:AD303">LEFT(AC303,LOOKUP(2^15,FIND(".",AC303,ROW(INDIRECT("1:"&amp;LEN(AC303)))))-1)</f>
        <v>NB_2021_023 - 07062021 - 2</v>
      </c>
      <c r="AE303" s="6" t="str">
        <f aca="false">CONCATENATE(AB303, "-",H303, ".mzML")</f>
        <v>NB_2021_023 - 07062021 - 1-Blank_1.mzML</v>
      </c>
      <c r="AF303" s="6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4" t="s">
        <v>353</v>
      </c>
      <c r="B304" s="5"/>
      <c r="C304" s="4" t="s">
        <v>354</v>
      </c>
      <c r="D304" s="6" t="s">
        <v>14</v>
      </c>
      <c r="E304" s="6" t="s">
        <v>320</v>
      </c>
      <c r="F304" s="7" t="s">
        <v>321</v>
      </c>
      <c r="G304" s="6" t="s">
        <v>320</v>
      </c>
      <c r="H304" s="16" t="s">
        <v>66</v>
      </c>
      <c r="I304" s="6" t="str">
        <f aca="false">CONCATENATE(E304, "_",H304)</f>
        <v>NLA_2021_007_Blank_2</v>
      </c>
      <c r="J304" s="6" t="s">
        <v>52</v>
      </c>
      <c r="K304" s="24" t="s">
        <v>66</v>
      </c>
      <c r="L304" s="9" t="s">
        <v>69</v>
      </c>
      <c r="M304" s="25" t="s">
        <v>46</v>
      </c>
      <c r="N304" s="26" t="s">
        <v>65</v>
      </c>
      <c r="O304" s="26" t="s">
        <v>46</v>
      </c>
      <c r="P304" s="24" t="s">
        <v>46</v>
      </c>
      <c r="Q304" s="26" t="s">
        <v>46</v>
      </c>
      <c r="R304" s="6" t="s">
        <v>46</v>
      </c>
      <c r="S304" s="24" t="s">
        <v>46</v>
      </c>
      <c r="T304" s="24" t="s">
        <v>46</v>
      </c>
      <c r="U304" s="24" t="s">
        <v>46</v>
      </c>
      <c r="V304" s="26" t="n">
        <v>2</v>
      </c>
      <c r="W304" s="6"/>
      <c r="X304" s="6" t="s">
        <v>46</v>
      </c>
      <c r="Y304" s="1" t="n">
        <v>5500</v>
      </c>
      <c r="Z304" s="6" t="s">
        <v>329</v>
      </c>
      <c r="AA304" s="6" t="s">
        <v>330</v>
      </c>
      <c r="AB304" s="15" t="str">
        <f aca="true" t="array" ref="AB304:AB304">LEFT(AA304,LOOKUP(2^15,FIND(".",AA304,ROW(INDIRECT("1:"&amp;LEN(AA304)))))-1)</f>
        <v>NB_2021_023 - 07062021 - 1</v>
      </c>
      <c r="AC304" s="6" t="s">
        <v>331</v>
      </c>
      <c r="AD304" s="15" t="str">
        <f aca="true" t="array" ref="AD304:AD304">LEFT(AC304,LOOKUP(2^15,FIND(".",AC304,ROW(INDIRECT("1:"&amp;LEN(AC304)))))-1)</f>
        <v>NB_2021_023 - 07062021 - 2</v>
      </c>
      <c r="AE304" s="6" t="str">
        <f aca="false">CONCATENATE(AB304, "-",H304, ".mzML")</f>
        <v>NB_2021_023 - 07062021 - 1-Blank_2.mzML</v>
      </c>
      <c r="AF304" s="6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4" t="s">
        <v>353</v>
      </c>
      <c r="B305" s="5"/>
      <c r="C305" s="4" t="s">
        <v>354</v>
      </c>
      <c r="D305" s="6" t="s">
        <v>14</v>
      </c>
      <c r="E305" s="6" t="s">
        <v>320</v>
      </c>
      <c r="F305" s="7" t="s">
        <v>321</v>
      </c>
      <c r="G305" s="6" t="s">
        <v>320</v>
      </c>
      <c r="H305" s="16" t="s">
        <v>348</v>
      </c>
      <c r="I305" s="6" t="str">
        <f aca="false">CONCATENATE(E305, "_",H305)</f>
        <v>NLA_2021_007_QC_1</v>
      </c>
      <c r="J305" s="6" t="s">
        <v>52</v>
      </c>
      <c r="K305" s="24" t="s">
        <v>348</v>
      </c>
      <c r="L305" s="9" t="s">
        <v>69</v>
      </c>
      <c r="M305" s="13" t="s">
        <v>46</v>
      </c>
      <c r="N305" s="6" t="s">
        <v>78</v>
      </c>
      <c r="O305" s="6" t="s">
        <v>46</v>
      </c>
      <c r="P305" s="6" t="s">
        <v>79</v>
      </c>
      <c r="Q305" s="6" t="s">
        <v>80</v>
      </c>
      <c r="R305" s="6" t="s">
        <v>81</v>
      </c>
      <c r="S305" s="6" t="s">
        <v>46</v>
      </c>
      <c r="T305" s="6" t="s">
        <v>46</v>
      </c>
      <c r="U305" s="6" t="s">
        <v>82</v>
      </c>
      <c r="V305" s="1" t="n">
        <v>1</v>
      </c>
      <c r="W305" s="6"/>
      <c r="X305" s="6" t="s">
        <v>83</v>
      </c>
      <c r="Y305" s="1" t="n">
        <v>5500</v>
      </c>
      <c r="Z305" s="6" t="s">
        <v>329</v>
      </c>
      <c r="AA305" s="6" t="s">
        <v>330</v>
      </c>
      <c r="AB305" s="15" t="str">
        <f aca="true" t="array" ref="AB305:AB305">LEFT(AA305,LOOKUP(2^15,FIND(".",AA305,ROW(INDIRECT("1:"&amp;LEN(AA305)))))-1)</f>
        <v>NB_2021_023 - 07062021 - 1</v>
      </c>
      <c r="AC305" s="6" t="s">
        <v>331</v>
      </c>
      <c r="AD305" s="15" t="str">
        <f aca="true" t="array" ref="AD305:AD305">LEFT(AC305,LOOKUP(2^15,FIND(".",AC305,ROW(INDIRECT("1:"&amp;LEN(AC305)))))-1)</f>
        <v>NB_2021_023 - 07062021 - 2</v>
      </c>
      <c r="AE305" s="6" t="str">
        <f aca="false">CONCATENATE(AB305, "-",H305, ".mzML")</f>
        <v>NB_2021_023 - 07062021 - 1-QC_1.mzML</v>
      </c>
      <c r="AF305" s="6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4" t="s">
        <v>353</v>
      </c>
      <c r="B306" s="5"/>
      <c r="C306" s="4" t="s">
        <v>354</v>
      </c>
      <c r="D306" s="6" t="s">
        <v>14</v>
      </c>
      <c r="E306" s="6" t="s">
        <v>320</v>
      </c>
      <c r="F306" s="7" t="s">
        <v>321</v>
      </c>
      <c r="G306" s="6" t="s">
        <v>320</v>
      </c>
      <c r="H306" s="16" t="s">
        <v>349</v>
      </c>
      <c r="I306" s="6" t="str">
        <f aca="false">CONCATENATE(E306, "_",H306)</f>
        <v>NLA_2021_007_QC_2</v>
      </c>
      <c r="J306" s="6" t="s">
        <v>52</v>
      </c>
      <c r="K306" s="24" t="s">
        <v>349</v>
      </c>
      <c r="L306" s="9" t="s">
        <v>69</v>
      </c>
      <c r="M306" s="13" t="s">
        <v>46</v>
      </c>
      <c r="N306" s="6" t="s">
        <v>78</v>
      </c>
      <c r="O306" s="6" t="s">
        <v>46</v>
      </c>
      <c r="P306" s="6" t="s">
        <v>79</v>
      </c>
      <c r="Q306" s="6" t="s">
        <v>80</v>
      </c>
      <c r="R306" s="6" t="s">
        <v>81</v>
      </c>
      <c r="S306" s="6" t="s">
        <v>46</v>
      </c>
      <c r="T306" s="6" t="s">
        <v>46</v>
      </c>
      <c r="U306" s="6" t="s">
        <v>82</v>
      </c>
      <c r="V306" s="1" t="n">
        <v>2</v>
      </c>
      <c r="W306" s="6"/>
      <c r="X306" s="6" t="s">
        <v>83</v>
      </c>
      <c r="Y306" s="1" t="n">
        <v>5500</v>
      </c>
      <c r="Z306" s="6" t="s">
        <v>329</v>
      </c>
      <c r="AA306" s="6" t="s">
        <v>330</v>
      </c>
      <c r="AB306" s="15" t="str">
        <f aca="true" t="array" ref="AB306:AB306">LEFT(AA306,LOOKUP(2^15,FIND(".",AA306,ROW(INDIRECT("1:"&amp;LEN(AA306)))))-1)</f>
        <v>NB_2021_023 - 07062021 - 1</v>
      </c>
      <c r="AC306" s="6" t="s">
        <v>331</v>
      </c>
      <c r="AD306" s="15" t="str">
        <f aca="true" t="array" ref="AD306:AD306">LEFT(AC306,LOOKUP(2^15,FIND(".",AC306,ROW(INDIRECT("1:"&amp;LEN(AC306)))))-1)</f>
        <v>NB_2021_023 - 07062021 - 2</v>
      </c>
      <c r="AE306" s="6" t="str">
        <f aca="false">CONCATENATE(AB306, "-",H306, ".mzML")</f>
        <v>NB_2021_023 - 07062021 - 1-QC_2.mzML</v>
      </c>
      <c r="AF306" s="6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4" t="s">
        <v>353</v>
      </c>
      <c r="B307" s="5"/>
      <c r="C307" s="4" t="s">
        <v>354</v>
      </c>
      <c r="D307" s="6" t="s">
        <v>14</v>
      </c>
      <c r="E307" s="6" t="s">
        <v>320</v>
      </c>
      <c r="F307" s="7" t="s">
        <v>321</v>
      </c>
      <c r="G307" s="6" t="s">
        <v>320</v>
      </c>
      <c r="H307" s="16" t="s">
        <v>350</v>
      </c>
      <c r="I307" s="6" t="str">
        <f aca="false">CONCATENATE(E307, "_",H307)</f>
        <v>NLA_2021_007_QC_3</v>
      </c>
      <c r="J307" s="6" t="s">
        <v>52</v>
      </c>
      <c r="K307" s="24" t="s">
        <v>350</v>
      </c>
      <c r="L307" s="9" t="s">
        <v>69</v>
      </c>
      <c r="M307" s="13" t="s">
        <v>46</v>
      </c>
      <c r="N307" s="6" t="s">
        <v>78</v>
      </c>
      <c r="O307" s="6" t="s">
        <v>46</v>
      </c>
      <c r="P307" s="6" t="s">
        <v>79</v>
      </c>
      <c r="Q307" s="6" t="s">
        <v>80</v>
      </c>
      <c r="R307" s="6" t="s">
        <v>81</v>
      </c>
      <c r="S307" s="6" t="s">
        <v>46</v>
      </c>
      <c r="T307" s="6" t="s">
        <v>46</v>
      </c>
      <c r="U307" s="6" t="s">
        <v>82</v>
      </c>
      <c r="V307" s="1" t="n">
        <v>3</v>
      </c>
      <c r="W307" s="6"/>
      <c r="X307" s="6" t="s">
        <v>83</v>
      </c>
      <c r="Y307" s="1" t="n">
        <v>5500</v>
      </c>
      <c r="Z307" s="6" t="s">
        <v>329</v>
      </c>
      <c r="AA307" s="6" t="s">
        <v>330</v>
      </c>
      <c r="AB307" s="15" t="str">
        <f aca="true" t="array" ref="AB307:AB307">LEFT(AA307,LOOKUP(2^15,FIND(".",AA307,ROW(INDIRECT("1:"&amp;LEN(AA307)))))-1)</f>
        <v>NB_2021_023 - 07062021 - 1</v>
      </c>
      <c r="AC307" s="6" t="s">
        <v>331</v>
      </c>
      <c r="AD307" s="15" t="str">
        <f aca="true" t="array" ref="AD307:AD307">LEFT(AC307,LOOKUP(2^15,FIND(".",AC307,ROW(INDIRECT("1:"&amp;LEN(AC307)))))-1)</f>
        <v>NB_2021_023 - 07062021 - 2</v>
      </c>
      <c r="AE307" s="6" t="str">
        <f aca="false">CONCATENATE(AB307, "-",H307, ".mzML")</f>
        <v>NB_2021_023 - 07062021 - 1-QC_3.mzML</v>
      </c>
      <c r="AF307" s="6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4" t="s">
        <v>353</v>
      </c>
      <c r="B308" s="5"/>
      <c r="C308" s="4" t="s">
        <v>354</v>
      </c>
      <c r="D308" s="6" t="s">
        <v>14</v>
      </c>
      <c r="E308" s="6" t="s">
        <v>320</v>
      </c>
      <c r="F308" s="7" t="s">
        <v>321</v>
      </c>
      <c r="G308" s="6" t="s">
        <v>320</v>
      </c>
      <c r="H308" s="16" t="s">
        <v>351</v>
      </c>
      <c r="I308" s="6" t="str">
        <f aca="false">CONCATENATE(E308, "_",H308)</f>
        <v>NLA_2021_007_QC_4</v>
      </c>
      <c r="J308" s="6" t="s">
        <v>52</v>
      </c>
      <c r="K308" s="24" t="s">
        <v>351</v>
      </c>
      <c r="L308" s="9" t="s">
        <v>69</v>
      </c>
      <c r="M308" s="13" t="s">
        <v>46</v>
      </c>
      <c r="N308" s="6" t="s">
        <v>78</v>
      </c>
      <c r="O308" s="6" t="s">
        <v>46</v>
      </c>
      <c r="P308" s="6" t="s">
        <v>79</v>
      </c>
      <c r="Q308" s="6" t="s">
        <v>80</v>
      </c>
      <c r="R308" s="6" t="s">
        <v>81</v>
      </c>
      <c r="S308" s="6" t="s">
        <v>46</v>
      </c>
      <c r="T308" s="6" t="s">
        <v>46</v>
      </c>
      <c r="U308" s="6" t="s">
        <v>82</v>
      </c>
      <c r="V308" s="28" t="n">
        <v>4</v>
      </c>
      <c r="W308" s="6"/>
      <c r="X308" s="6" t="s">
        <v>83</v>
      </c>
      <c r="Y308" s="1" t="n">
        <v>5500</v>
      </c>
      <c r="Z308" s="6" t="s">
        <v>329</v>
      </c>
      <c r="AA308" s="6" t="s">
        <v>330</v>
      </c>
      <c r="AB308" s="15" t="str">
        <f aca="true" t="array" ref="AB308:AB308">LEFT(AA308,LOOKUP(2^15,FIND(".",AA308,ROW(INDIRECT("1:"&amp;LEN(AA308)))))-1)</f>
        <v>NB_2021_023 - 07062021 - 1</v>
      </c>
      <c r="AC308" s="6" t="s">
        <v>331</v>
      </c>
      <c r="AD308" s="15" t="str">
        <f aca="true" t="array" ref="AD308:AD308">LEFT(AC308,LOOKUP(2^15,FIND(".",AC308,ROW(INDIRECT("1:"&amp;LEN(AC308)))))-1)</f>
        <v>NB_2021_023 - 07062021 - 2</v>
      </c>
      <c r="AE308" s="6" t="str">
        <f aca="false">CONCATENATE(AB308, "-",H308, ".mzML")</f>
        <v>NB_2021_023 - 07062021 - 1-QC_4.mzML</v>
      </c>
      <c r="AF308" s="6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4" t="s">
        <v>353</v>
      </c>
      <c r="B309" s="5"/>
      <c r="C309" s="4" t="s">
        <v>354</v>
      </c>
      <c r="D309" s="6" t="s">
        <v>14</v>
      </c>
      <c r="E309" s="6" t="s">
        <v>320</v>
      </c>
      <c r="F309" s="7" t="s">
        <v>321</v>
      </c>
      <c r="G309" s="6" t="s">
        <v>320</v>
      </c>
      <c r="H309" s="16" t="s">
        <v>352</v>
      </c>
      <c r="I309" s="6" t="str">
        <f aca="false">CONCATENATE(E309, "_",H309)</f>
        <v>NLA_2021_007_QC_5</v>
      </c>
      <c r="J309" s="6" t="s">
        <v>52</v>
      </c>
      <c r="K309" s="24" t="s">
        <v>352</v>
      </c>
      <c r="L309" s="9" t="s">
        <v>69</v>
      </c>
      <c r="M309" s="13" t="s">
        <v>46</v>
      </c>
      <c r="N309" s="6" t="s">
        <v>78</v>
      </c>
      <c r="O309" s="6" t="s">
        <v>46</v>
      </c>
      <c r="P309" s="6" t="s">
        <v>79</v>
      </c>
      <c r="Q309" s="6" t="s">
        <v>80</v>
      </c>
      <c r="R309" s="6" t="s">
        <v>81</v>
      </c>
      <c r="S309" s="6" t="s">
        <v>46</v>
      </c>
      <c r="T309" s="6" t="s">
        <v>46</v>
      </c>
      <c r="U309" s="6" t="s">
        <v>82</v>
      </c>
      <c r="V309" s="28" t="n">
        <v>5</v>
      </c>
      <c r="W309" s="6"/>
      <c r="X309" s="6" t="s">
        <v>83</v>
      </c>
      <c r="Y309" s="1" t="n">
        <v>5500</v>
      </c>
      <c r="Z309" s="6" t="s">
        <v>329</v>
      </c>
      <c r="AA309" s="6" t="s">
        <v>330</v>
      </c>
      <c r="AB309" s="15" t="str">
        <f aca="true" t="array" ref="AB309:AB309">LEFT(AA309,LOOKUP(2^15,FIND(".",AA309,ROW(INDIRECT("1:"&amp;LEN(AA309)))))-1)</f>
        <v>NB_2021_023 - 07062021 - 1</v>
      </c>
      <c r="AC309" s="6" t="s">
        <v>331</v>
      </c>
      <c r="AD309" s="15" t="str">
        <f aca="true" t="array" ref="AD309:AD309">LEFT(AC309,LOOKUP(2^15,FIND(".",AC309,ROW(INDIRECT("1:"&amp;LEN(AC309)))))-1)</f>
        <v>NB_2021_023 - 07062021 - 2</v>
      </c>
      <c r="AE309" s="6" t="str">
        <f aca="false">CONCATENATE(AB309, "-",H309, ".mzML")</f>
        <v>NB_2021_023 - 07062021 - 1-QC_5.mzML</v>
      </c>
      <c r="AF309" s="6" t="str">
        <f aca="false">CONCATENATE(AD309, "-",H309, ".mzML")</f>
        <v>NB_2021_023 - 07062021 - 2-QC_5.mzML</v>
      </c>
    </row>
    <row r="310" s="23" customFormat="true" ht="15" hidden="false" customHeight="false" outlineLevel="0" collapsed="false">
      <c r="A310" s="4" t="s">
        <v>374</v>
      </c>
      <c r="B310" s="5"/>
      <c r="C310" s="4" t="s">
        <v>375</v>
      </c>
      <c r="D310" s="6" t="s">
        <v>13</v>
      </c>
      <c r="E310" s="6" t="s">
        <v>376</v>
      </c>
      <c r="F310" s="7" t="s">
        <v>377</v>
      </c>
      <c r="G310" s="6" t="s">
        <v>378</v>
      </c>
      <c r="H310" s="8" t="s">
        <v>101</v>
      </c>
      <c r="I310" s="6" t="str">
        <f aca="false">CONCATENATE(E310, "_",H310)</f>
        <v>NLA_2021_008_006</v>
      </c>
      <c r="J310" s="6" t="s">
        <v>38</v>
      </c>
      <c r="K310" s="24" t="s">
        <v>379</v>
      </c>
      <c r="L310" s="9" t="s">
        <v>69</v>
      </c>
      <c r="M310" s="29" t="s">
        <v>380</v>
      </c>
      <c r="N310" s="6" t="s">
        <v>246</v>
      </c>
      <c r="O310" s="24" t="s">
        <v>42</v>
      </c>
      <c r="P310" s="24" t="s">
        <v>162</v>
      </c>
      <c r="Q310" s="24" t="s">
        <v>162</v>
      </c>
      <c r="R310" s="6" t="s">
        <v>72</v>
      </c>
      <c r="S310" s="24" t="s">
        <v>73</v>
      </c>
      <c r="T310" s="24" t="s">
        <v>46</v>
      </c>
      <c r="U310" s="24" t="n">
        <v>600</v>
      </c>
      <c r="V310" s="28" t="n">
        <v>6</v>
      </c>
      <c r="W310" s="6"/>
      <c r="X310" s="6" t="s">
        <v>47</v>
      </c>
      <c r="Y310" s="1" t="n">
        <v>5500</v>
      </c>
      <c r="Z310" s="1"/>
      <c r="AA310" s="6" t="s">
        <v>381</v>
      </c>
      <c r="AB310" s="15" t="str">
        <f aca="true" t="array" ref="AB310:AB310">LEFT(AA310,LOOKUP(2^15,FIND(".",AA310,ROW(INDIRECT("1:"&amp;LEN(AA310)))))-1)</f>
        <v>NB_2021_037 - 11082021 - 1</v>
      </c>
      <c r="AC310" s="6" t="s">
        <v>382</v>
      </c>
      <c r="AD310" s="15" t="str">
        <f aca="true" t="array" ref="AD310:AD310">LEFT(AC310,LOOKUP(2^15,FIND(".",AC310,ROW(INDIRECT("1:"&amp;LEN(AC310)))))-1)</f>
        <v>NB_2021_037 - 11082021 - 2</v>
      </c>
      <c r="AE310" s="6" t="str">
        <f aca="false">CONCATENATE(AB310, "-",H310, ".mzML")</f>
        <v>NB_2021_037 - 11082021 - 1-006.mzML</v>
      </c>
      <c r="AF310" s="6" t="str">
        <f aca="false">CONCATENATE(AD310, "-",H310, ".mzML")</f>
        <v>NB_2021_037 - 11082021 - 2-006.mzML</v>
      </c>
    </row>
    <row r="311" s="23" customFormat="true" ht="15" hidden="false" customHeight="false" outlineLevel="0" collapsed="false">
      <c r="A311" s="4" t="s">
        <v>374</v>
      </c>
      <c r="B311" s="5"/>
      <c r="C311" s="4" t="s">
        <v>375</v>
      </c>
      <c r="D311" s="6" t="s">
        <v>13</v>
      </c>
      <c r="E311" s="6" t="s">
        <v>376</v>
      </c>
      <c r="F311" s="7" t="s">
        <v>377</v>
      </c>
      <c r="G311" s="6" t="s">
        <v>378</v>
      </c>
      <c r="H311" s="8" t="s">
        <v>51</v>
      </c>
      <c r="I311" s="6" t="str">
        <f aca="false">CONCATENATE(E311, "_",H311)</f>
        <v>NLA_2021_008_012</v>
      </c>
      <c r="J311" s="6" t="s">
        <v>38</v>
      </c>
      <c r="K311" s="24" t="s">
        <v>383</v>
      </c>
      <c r="L311" s="9" t="s">
        <v>69</v>
      </c>
      <c r="M311" s="29" t="s">
        <v>380</v>
      </c>
      <c r="N311" s="6" t="s">
        <v>246</v>
      </c>
      <c r="O311" s="24" t="s">
        <v>42</v>
      </c>
      <c r="P311" s="24" t="s">
        <v>162</v>
      </c>
      <c r="Q311" s="24" t="s">
        <v>162</v>
      </c>
      <c r="R311" s="6" t="s">
        <v>72</v>
      </c>
      <c r="S311" s="24" t="s">
        <v>73</v>
      </c>
      <c r="T311" s="24" t="s">
        <v>46</v>
      </c>
      <c r="U311" s="24" t="n">
        <v>600</v>
      </c>
      <c r="V311" s="28" t="n">
        <v>6</v>
      </c>
      <c r="W311" s="6"/>
      <c r="X311" s="6" t="s">
        <v>47</v>
      </c>
      <c r="Y311" s="1" t="n">
        <v>5500</v>
      </c>
      <c r="Z311" s="1"/>
      <c r="AA311" s="6" t="s">
        <v>381</v>
      </c>
      <c r="AB311" s="15" t="str">
        <f aca="true" t="array" ref="AB311:AB311">LEFT(AA311,LOOKUP(2^15,FIND(".",AA311,ROW(INDIRECT("1:"&amp;LEN(AA311)))))-1)</f>
        <v>NB_2021_037 - 11082021 - 1</v>
      </c>
      <c r="AC311" s="6" t="s">
        <v>382</v>
      </c>
      <c r="AD311" s="15" t="str">
        <f aca="true" t="array" ref="AD311:AD311">LEFT(AC311,LOOKUP(2^15,FIND(".",AC311,ROW(INDIRECT("1:"&amp;LEN(AC311)))))-1)</f>
        <v>NB_2021_037 - 11082021 - 2</v>
      </c>
      <c r="AE311" s="6" t="str">
        <f aca="false">CONCATENATE(AB311, "-",H311, ".mzML")</f>
        <v>NB_2021_037 - 11082021 - 1-012.mzML</v>
      </c>
      <c r="AF311" s="6" t="str">
        <f aca="false">CONCATENATE(AD311, "-",H311, ".mzML")</f>
        <v>NB_2021_037 - 11082021 - 2-012.mzML</v>
      </c>
    </row>
    <row r="312" s="23" customFormat="true" ht="15" hidden="false" customHeight="false" outlineLevel="0" collapsed="false">
      <c r="A312" s="4" t="s">
        <v>374</v>
      </c>
      <c r="B312" s="5"/>
      <c r="C312" s="4" t="s">
        <v>375</v>
      </c>
      <c r="D312" s="6" t="s">
        <v>13</v>
      </c>
      <c r="E312" s="6" t="s">
        <v>376</v>
      </c>
      <c r="F312" s="7" t="s">
        <v>377</v>
      </c>
      <c r="G312" s="6" t="s">
        <v>378</v>
      </c>
      <c r="H312" s="8" t="s">
        <v>93</v>
      </c>
      <c r="I312" s="6" t="str">
        <f aca="false">CONCATENATE(E312, "_",H312)</f>
        <v>NLA_2021_008_018</v>
      </c>
      <c r="J312" s="6" t="s">
        <v>38</v>
      </c>
      <c r="K312" s="24" t="s">
        <v>384</v>
      </c>
      <c r="L312" s="9" t="s">
        <v>69</v>
      </c>
      <c r="M312" s="29" t="s">
        <v>380</v>
      </c>
      <c r="N312" s="6" t="s">
        <v>246</v>
      </c>
      <c r="O312" s="24" t="s">
        <v>42</v>
      </c>
      <c r="P312" s="24" t="s">
        <v>162</v>
      </c>
      <c r="Q312" s="24" t="s">
        <v>162</v>
      </c>
      <c r="R312" s="6" t="s">
        <v>72</v>
      </c>
      <c r="S312" s="24" t="s">
        <v>73</v>
      </c>
      <c r="T312" s="24" t="s">
        <v>46</v>
      </c>
      <c r="U312" s="24" t="n">
        <v>600</v>
      </c>
      <c r="V312" s="28" t="n">
        <v>6</v>
      </c>
      <c r="W312" s="6"/>
      <c r="X312" s="6" t="s">
        <v>47</v>
      </c>
      <c r="Y312" s="1" t="n">
        <v>5500</v>
      </c>
      <c r="Z312" s="1"/>
      <c r="AA312" s="6" t="s">
        <v>381</v>
      </c>
      <c r="AB312" s="15" t="str">
        <f aca="true" t="array" ref="AB312:AB312">LEFT(AA312,LOOKUP(2^15,FIND(".",AA312,ROW(INDIRECT("1:"&amp;LEN(AA312)))))-1)</f>
        <v>NB_2021_037 - 11082021 - 1</v>
      </c>
      <c r="AC312" s="6" t="s">
        <v>382</v>
      </c>
      <c r="AD312" s="15" t="str">
        <f aca="true" t="array" ref="AD312:AD312">LEFT(AC312,LOOKUP(2^15,FIND(".",AC312,ROW(INDIRECT("1:"&amp;LEN(AC312)))))-1)</f>
        <v>NB_2021_037 - 11082021 - 2</v>
      </c>
      <c r="AE312" s="6" t="str">
        <f aca="false">CONCATENATE(AB312, "-",H312, ".mzML")</f>
        <v>NB_2021_037 - 11082021 - 1-018.mzML</v>
      </c>
      <c r="AF312" s="6" t="str">
        <f aca="false">CONCATENATE(AD312, "-",H312, ".mzML")</f>
        <v>NB_2021_037 - 11082021 - 2-018.mzML</v>
      </c>
    </row>
    <row r="313" s="23" customFormat="true" ht="18.75" hidden="false" customHeight="true" outlineLevel="0" collapsed="false">
      <c r="A313" s="4" t="s">
        <v>374</v>
      </c>
      <c r="B313" s="5"/>
      <c r="C313" s="4" t="s">
        <v>375</v>
      </c>
      <c r="D313" s="6" t="s">
        <v>13</v>
      </c>
      <c r="E313" s="6" t="s">
        <v>376</v>
      </c>
      <c r="F313" s="7" t="s">
        <v>377</v>
      </c>
      <c r="G313" s="6" t="s">
        <v>378</v>
      </c>
      <c r="H313" s="8" t="s">
        <v>385</v>
      </c>
      <c r="I313" s="6" t="str">
        <f aca="false">CONCATENATE(E313, "_",H313)</f>
        <v>NLA_2021_008_030</v>
      </c>
      <c r="J313" s="6" t="s">
        <v>38</v>
      </c>
      <c r="K313" s="24" t="s">
        <v>386</v>
      </c>
      <c r="L313" s="9" t="s">
        <v>69</v>
      </c>
      <c r="M313" s="29" t="s">
        <v>380</v>
      </c>
      <c r="N313" s="6" t="s">
        <v>246</v>
      </c>
      <c r="O313" s="24" t="s">
        <v>42</v>
      </c>
      <c r="P313" s="24" t="s">
        <v>162</v>
      </c>
      <c r="Q313" s="24" t="s">
        <v>162</v>
      </c>
      <c r="R313" s="6" t="s">
        <v>72</v>
      </c>
      <c r="S313" s="24" t="s">
        <v>73</v>
      </c>
      <c r="T313" s="24" t="s">
        <v>46</v>
      </c>
      <c r="U313" s="24" t="n">
        <v>600</v>
      </c>
      <c r="V313" s="28" t="n">
        <v>5</v>
      </c>
      <c r="W313" s="6"/>
      <c r="X313" s="6" t="s">
        <v>47</v>
      </c>
      <c r="Y313" s="1" t="n">
        <v>5500</v>
      </c>
      <c r="Z313" s="1"/>
      <c r="AA313" s="6" t="s">
        <v>381</v>
      </c>
      <c r="AB313" s="15" t="str">
        <f aca="true" t="array" ref="AB313:AB313">LEFT(AA313,LOOKUP(2^15,FIND(".",AA313,ROW(INDIRECT("1:"&amp;LEN(AA313)))))-1)</f>
        <v>NB_2021_037 - 11082021 - 1</v>
      </c>
      <c r="AC313" s="6" t="s">
        <v>382</v>
      </c>
      <c r="AD313" s="15" t="str">
        <f aca="true" t="array" ref="AD313:AD313">LEFT(AC313,LOOKUP(2^15,FIND(".",AC313,ROW(INDIRECT("1:"&amp;LEN(AC313)))))-1)</f>
        <v>NB_2021_037 - 11082021 - 2</v>
      </c>
      <c r="AE313" s="6" t="str">
        <f aca="false">CONCATENATE(AB313, "-",H313, ".mzML")</f>
        <v>NB_2021_037 - 11082021 - 1-030.mzML</v>
      </c>
      <c r="AF313" s="6" t="str">
        <f aca="false">CONCATENATE(AD313, "-",H313, ".mzML")</f>
        <v>NB_2021_037 - 11082021 - 2-030.mzML</v>
      </c>
    </row>
    <row r="314" s="23" customFormat="true" ht="15" hidden="false" customHeight="false" outlineLevel="0" collapsed="false">
      <c r="A314" s="4" t="s">
        <v>374</v>
      </c>
      <c r="B314" s="5"/>
      <c r="C314" s="4" t="s">
        <v>375</v>
      </c>
      <c r="D314" s="6" t="s">
        <v>13</v>
      </c>
      <c r="E314" s="6" t="s">
        <v>376</v>
      </c>
      <c r="F314" s="7" t="s">
        <v>377</v>
      </c>
      <c r="G314" s="6" t="s">
        <v>376</v>
      </c>
      <c r="H314" s="8" t="s">
        <v>64</v>
      </c>
      <c r="I314" s="6" t="str">
        <f aca="false">CONCATENATE(E314, "_",H314)</f>
        <v>NLA_2021_008_Blank_1</v>
      </c>
      <c r="J314" s="6" t="s">
        <v>46</v>
      </c>
      <c r="K314" s="30" t="s">
        <v>64</v>
      </c>
      <c r="L314" s="9" t="s">
        <v>69</v>
      </c>
      <c r="M314" s="25" t="s">
        <v>46</v>
      </c>
      <c r="N314" s="26" t="s">
        <v>65</v>
      </c>
      <c r="O314" s="26" t="s">
        <v>46</v>
      </c>
      <c r="P314" s="24" t="s">
        <v>46</v>
      </c>
      <c r="Q314" s="26" t="s">
        <v>46</v>
      </c>
      <c r="R314" s="6" t="s">
        <v>46</v>
      </c>
      <c r="S314" s="24" t="s">
        <v>46</v>
      </c>
      <c r="T314" s="24" t="s">
        <v>46</v>
      </c>
      <c r="U314" s="24" t="s">
        <v>46</v>
      </c>
      <c r="V314" s="26" t="n">
        <v>1</v>
      </c>
      <c r="W314" s="6"/>
      <c r="X314" s="6" t="s">
        <v>46</v>
      </c>
      <c r="Y314" s="1" t="n">
        <v>5500</v>
      </c>
      <c r="Z314" s="1"/>
      <c r="AA314" s="6" t="s">
        <v>381</v>
      </c>
      <c r="AB314" s="15" t="str">
        <f aca="true" t="array" ref="AB314:AB314">LEFT(AA314,LOOKUP(2^15,FIND(".",AA314,ROW(INDIRECT("1:"&amp;LEN(AA314)))))-1)</f>
        <v>NB_2021_037 - 11082021 - 1</v>
      </c>
      <c r="AC314" s="6" t="s">
        <v>382</v>
      </c>
      <c r="AD314" s="15" t="str">
        <f aca="true" t="array" ref="AD314:AD314">LEFT(AC314,LOOKUP(2^15,FIND(".",AC314,ROW(INDIRECT("1:"&amp;LEN(AC314)))))-1)</f>
        <v>NB_2021_037 - 11082021 - 2</v>
      </c>
      <c r="AE314" s="6" t="str">
        <f aca="false">CONCATENATE(AB314, "-",H314, ".mzML")</f>
        <v>NB_2021_037 - 11082021 - 1-Blank_1.mzML</v>
      </c>
      <c r="AF314" s="6" t="str">
        <f aca="false">CONCATENATE(AD314, "-",H314, ".mzML")</f>
        <v>NB_2021_037 - 11082021 - 2-Blank_1.mzML</v>
      </c>
    </row>
    <row r="315" s="23" customFormat="true" ht="15" hidden="false" customHeight="false" outlineLevel="0" collapsed="false">
      <c r="A315" s="4" t="s">
        <v>374</v>
      </c>
      <c r="B315" s="5"/>
      <c r="C315" s="4" t="s">
        <v>375</v>
      </c>
      <c r="D315" s="6" t="s">
        <v>13</v>
      </c>
      <c r="E315" s="6" t="s">
        <v>376</v>
      </c>
      <c r="F315" s="7" t="s">
        <v>377</v>
      </c>
      <c r="G315" s="6" t="s">
        <v>376</v>
      </c>
      <c r="H315" s="8" t="s">
        <v>66</v>
      </c>
      <c r="I315" s="6" t="str">
        <f aca="false">CONCATENATE(E315, "_",H315)</f>
        <v>NLA_2021_008_Blank_2</v>
      </c>
      <c r="J315" s="6" t="s">
        <v>46</v>
      </c>
      <c r="K315" s="30" t="s">
        <v>66</v>
      </c>
      <c r="L315" s="9" t="s">
        <v>69</v>
      </c>
      <c r="M315" s="25" t="s">
        <v>46</v>
      </c>
      <c r="N315" s="26" t="s">
        <v>65</v>
      </c>
      <c r="O315" s="26" t="s">
        <v>46</v>
      </c>
      <c r="P315" s="24" t="s">
        <v>46</v>
      </c>
      <c r="Q315" s="26" t="s">
        <v>46</v>
      </c>
      <c r="R315" s="6" t="s">
        <v>46</v>
      </c>
      <c r="S315" s="24" t="s">
        <v>46</v>
      </c>
      <c r="T315" s="24" t="s">
        <v>46</v>
      </c>
      <c r="U315" s="24" t="s">
        <v>46</v>
      </c>
      <c r="V315" s="26" t="n">
        <v>2</v>
      </c>
      <c r="W315" s="6"/>
      <c r="X315" s="6" t="s">
        <v>46</v>
      </c>
      <c r="Y315" s="1" t="n">
        <v>5500</v>
      </c>
      <c r="Z315" s="1"/>
      <c r="AA315" s="6" t="s">
        <v>381</v>
      </c>
      <c r="AB315" s="15" t="str">
        <f aca="true" t="array" ref="AB315:AB315">LEFT(AA315,LOOKUP(2^15,FIND(".",AA315,ROW(INDIRECT("1:"&amp;LEN(AA315)))))-1)</f>
        <v>NB_2021_037 - 11082021 - 1</v>
      </c>
      <c r="AC315" s="6" t="s">
        <v>382</v>
      </c>
      <c r="AD315" s="15" t="str">
        <f aca="true" t="array" ref="AD315:AD315">LEFT(AC315,LOOKUP(2^15,FIND(".",AC315,ROW(INDIRECT("1:"&amp;LEN(AC315)))))-1)</f>
        <v>NB_2021_037 - 11082021 - 2</v>
      </c>
      <c r="AE315" s="6" t="str">
        <f aca="false">CONCATENATE(AB315, "-",H315, ".mzML")</f>
        <v>NB_2021_037 - 11082021 - 1-Blank_2.mzML</v>
      </c>
      <c r="AF315" s="6" t="str">
        <f aca="false">CONCATENATE(AD315, "-",H315, ".mzML")</f>
        <v>NB_2021_037 - 11082021 - 2-Blank_2.mzML</v>
      </c>
    </row>
    <row r="316" s="23" customFormat="true" ht="15" hidden="false" customHeight="false" outlineLevel="0" collapsed="false">
      <c r="A316" s="4" t="s">
        <v>374</v>
      </c>
      <c r="B316" s="5"/>
      <c r="C316" s="4" t="s">
        <v>375</v>
      </c>
      <c r="D316" s="6" t="s">
        <v>13</v>
      </c>
      <c r="E316" s="6" t="s">
        <v>376</v>
      </c>
      <c r="F316" s="7" t="s">
        <v>377</v>
      </c>
      <c r="G316" s="6" t="s">
        <v>376</v>
      </c>
      <c r="H316" s="8" t="s">
        <v>68</v>
      </c>
      <c r="I316" s="6" t="str">
        <f aca="false">CONCATENATE(E316, "_",H316)</f>
        <v>NLA_2021_008_QC_C_1</v>
      </c>
      <c r="J316" s="6" t="s">
        <v>46</v>
      </c>
      <c r="K316" s="30" t="s">
        <v>68</v>
      </c>
      <c r="L316" s="9" t="s">
        <v>69</v>
      </c>
      <c r="M316" s="13" t="s">
        <v>46</v>
      </c>
      <c r="N316" s="6" t="s">
        <v>70</v>
      </c>
      <c r="O316" s="6" t="s">
        <v>46</v>
      </c>
      <c r="P316" s="6" t="s">
        <v>71</v>
      </c>
      <c r="Q316" s="6" t="s">
        <v>71</v>
      </c>
      <c r="R316" s="6" t="s">
        <v>72</v>
      </c>
      <c r="S316" s="6" t="s">
        <v>73</v>
      </c>
      <c r="T316" s="6" t="s">
        <v>46</v>
      </c>
      <c r="U316" s="6" t="n">
        <v>1000</v>
      </c>
      <c r="V316" s="1" t="n">
        <v>1</v>
      </c>
      <c r="W316" s="1"/>
      <c r="X316" s="6" t="s">
        <v>74</v>
      </c>
      <c r="Y316" s="1" t="n">
        <v>5500</v>
      </c>
      <c r="Z316" s="1"/>
      <c r="AA316" s="6" t="s">
        <v>381</v>
      </c>
      <c r="AB316" s="15" t="str">
        <f aca="true" t="array" ref="AB316:AB316">LEFT(AA316,LOOKUP(2^15,FIND(".",AA316,ROW(INDIRECT("1:"&amp;LEN(AA316)))))-1)</f>
        <v>NB_2021_037 - 11082021 - 1</v>
      </c>
      <c r="AC316" s="6" t="s">
        <v>382</v>
      </c>
      <c r="AD316" s="15" t="str">
        <f aca="true" t="array" ref="AD316:AD316">LEFT(AC316,LOOKUP(2^15,FIND(".",AC316,ROW(INDIRECT("1:"&amp;LEN(AC316)))))-1)</f>
        <v>NB_2021_037 - 11082021 - 2</v>
      </c>
      <c r="AE316" s="6" t="str">
        <f aca="false">CONCATENATE(AB316, "-",H316, ".mzML")</f>
        <v>NB_2021_037 - 11082021 - 1-QC_C_1.mzML</v>
      </c>
      <c r="AF316" s="6" t="str">
        <f aca="false">CONCATENATE(AD316, "-",H316, ".mzML")</f>
        <v>NB_2021_037 - 11082021 - 2-QC_C_1.mzML</v>
      </c>
    </row>
    <row r="317" s="23" customFormat="true" ht="15" hidden="false" customHeight="false" outlineLevel="0" collapsed="false">
      <c r="A317" s="4" t="s">
        <v>374</v>
      </c>
      <c r="B317" s="5"/>
      <c r="C317" s="4" t="s">
        <v>375</v>
      </c>
      <c r="D317" s="6" t="s">
        <v>13</v>
      </c>
      <c r="E317" s="6" t="s">
        <v>376</v>
      </c>
      <c r="F317" s="7" t="s">
        <v>377</v>
      </c>
      <c r="G317" s="6" t="s">
        <v>376</v>
      </c>
      <c r="H317" s="8" t="s">
        <v>75</v>
      </c>
      <c r="I317" s="6" t="str">
        <f aca="false">CONCATENATE(E317, "_",H317)</f>
        <v>NLA_2021_008_QC_C_2</v>
      </c>
      <c r="J317" s="6" t="s">
        <v>46</v>
      </c>
      <c r="K317" s="30" t="s">
        <v>75</v>
      </c>
      <c r="L317" s="9" t="s">
        <v>69</v>
      </c>
      <c r="M317" s="13" t="s">
        <v>46</v>
      </c>
      <c r="N317" s="6" t="s">
        <v>70</v>
      </c>
      <c r="O317" s="6" t="s">
        <v>46</v>
      </c>
      <c r="P317" s="6" t="s">
        <v>71</v>
      </c>
      <c r="Q317" s="6" t="s">
        <v>71</v>
      </c>
      <c r="R317" s="6" t="s">
        <v>72</v>
      </c>
      <c r="S317" s="6" t="s">
        <v>73</v>
      </c>
      <c r="T317" s="6" t="s">
        <v>46</v>
      </c>
      <c r="U317" s="6" t="n">
        <v>1000</v>
      </c>
      <c r="V317" s="1" t="n">
        <v>2</v>
      </c>
      <c r="W317" s="1"/>
      <c r="X317" s="6" t="s">
        <v>74</v>
      </c>
      <c r="Y317" s="1" t="n">
        <v>5500</v>
      </c>
      <c r="Z317" s="1"/>
      <c r="AA317" s="6" t="s">
        <v>381</v>
      </c>
      <c r="AB317" s="15" t="str">
        <f aca="true" t="array" ref="AB317:AB317">LEFT(AA317,LOOKUP(2^15,FIND(".",AA317,ROW(INDIRECT("1:"&amp;LEN(AA317)))))-1)</f>
        <v>NB_2021_037 - 11082021 - 1</v>
      </c>
      <c r="AC317" s="6" t="s">
        <v>382</v>
      </c>
      <c r="AD317" s="15" t="str">
        <f aca="true" t="array" ref="AD317:AD317">LEFT(AC317,LOOKUP(2^15,FIND(".",AC317,ROW(INDIRECT("1:"&amp;LEN(AC317)))))-1)</f>
        <v>NB_2021_037 - 11082021 - 2</v>
      </c>
      <c r="AE317" s="6" t="str">
        <f aca="false">CONCATENATE(AB317, "-",H317, ".mzML")</f>
        <v>NB_2021_037 - 11082021 - 1-QC_C_2.mzML</v>
      </c>
      <c r="AF317" s="6" t="str">
        <f aca="false">CONCATENATE(AD317, "-",H317, ".mzML")</f>
        <v>NB_2021_037 - 11082021 - 2-QC_C_2.mzML</v>
      </c>
    </row>
    <row r="318" s="23" customFormat="true" ht="15" hidden="false" customHeight="false" outlineLevel="0" collapsed="false">
      <c r="A318" s="4" t="s">
        <v>374</v>
      </c>
      <c r="B318" s="5"/>
      <c r="C318" s="4" t="s">
        <v>375</v>
      </c>
      <c r="D318" s="6" t="s">
        <v>13</v>
      </c>
      <c r="E318" s="6" t="s">
        <v>376</v>
      </c>
      <c r="F318" s="7" t="s">
        <v>377</v>
      </c>
      <c r="G318" s="6" t="s">
        <v>376</v>
      </c>
      <c r="H318" s="8" t="s">
        <v>76</v>
      </c>
      <c r="I318" s="6" t="str">
        <f aca="false">CONCATENATE(E318, "_",H318)</f>
        <v>NLA_2021_008_QC_C_3</v>
      </c>
      <c r="J318" s="6" t="s">
        <v>46</v>
      </c>
      <c r="K318" s="30" t="s">
        <v>76</v>
      </c>
      <c r="L318" s="9" t="s">
        <v>69</v>
      </c>
      <c r="M318" s="13" t="s">
        <v>46</v>
      </c>
      <c r="N318" s="6" t="s">
        <v>70</v>
      </c>
      <c r="O318" s="6" t="s">
        <v>46</v>
      </c>
      <c r="P318" s="6" t="s">
        <v>71</v>
      </c>
      <c r="Q318" s="6" t="s">
        <v>71</v>
      </c>
      <c r="R318" s="6" t="s">
        <v>72</v>
      </c>
      <c r="S318" s="6" t="s">
        <v>73</v>
      </c>
      <c r="T318" s="6" t="s">
        <v>46</v>
      </c>
      <c r="U318" s="6" t="n">
        <v>1000</v>
      </c>
      <c r="V318" s="28" t="n">
        <v>3</v>
      </c>
      <c r="W318" s="6"/>
      <c r="X318" s="6" t="s">
        <v>74</v>
      </c>
      <c r="Y318" s="1" t="n">
        <v>5500</v>
      </c>
      <c r="Z318" s="1"/>
      <c r="AA318" s="6" t="s">
        <v>381</v>
      </c>
      <c r="AB318" s="15" t="str">
        <f aca="true" t="array" ref="AB318:AB318">LEFT(AA318,LOOKUP(2^15,FIND(".",AA318,ROW(INDIRECT("1:"&amp;LEN(AA318)))))-1)</f>
        <v>NB_2021_037 - 11082021 - 1</v>
      </c>
      <c r="AC318" s="6" t="s">
        <v>382</v>
      </c>
      <c r="AD318" s="15" t="str">
        <f aca="true" t="array" ref="AD318:AD318">LEFT(AC318,LOOKUP(2^15,FIND(".",AC318,ROW(INDIRECT("1:"&amp;LEN(AC318)))))-1)</f>
        <v>NB_2021_037 - 11082021 - 2</v>
      </c>
      <c r="AE318" s="6" t="str">
        <f aca="false">CONCATENATE(AB318, "-",H318, ".mzML")</f>
        <v>NB_2021_037 - 11082021 - 1-QC_C_3.mzML</v>
      </c>
      <c r="AF318" s="6" t="str">
        <f aca="false">CONCATENATE(AD318, "-",H318, ".mzML")</f>
        <v>NB_2021_037 - 11082021 - 2-QC_C_3.mzML</v>
      </c>
    </row>
    <row r="319" s="23" customFormat="true" ht="15" hidden="false" customHeight="false" outlineLevel="0" collapsed="false">
      <c r="A319" s="4" t="s">
        <v>374</v>
      </c>
      <c r="B319" s="5"/>
      <c r="C319" s="4" t="s">
        <v>375</v>
      </c>
      <c r="D319" s="6" t="s">
        <v>13</v>
      </c>
      <c r="E319" s="6" t="s">
        <v>376</v>
      </c>
      <c r="F319" s="7" t="s">
        <v>377</v>
      </c>
      <c r="G319" s="6" t="s">
        <v>376</v>
      </c>
      <c r="H319" s="8" t="s">
        <v>222</v>
      </c>
      <c r="I319" s="6" t="str">
        <f aca="false">CONCATENATE(E319, "_",H319)</f>
        <v>NLA_2021_008_QC_C_4</v>
      </c>
      <c r="J319" s="6" t="s">
        <v>46</v>
      </c>
      <c r="K319" s="30" t="s">
        <v>222</v>
      </c>
      <c r="L319" s="9" t="s">
        <v>69</v>
      </c>
      <c r="M319" s="13" t="s">
        <v>46</v>
      </c>
      <c r="N319" s="6" t="s">
        <v>70</v>
      </c>
      <c r="O319" s="6" t="s">
        <v>46</v>
      </c>
      <c r="P319" s="6" t="s">
        <v>71</v>
      </c>
      <c r="Q319" s="6" t="s">
        <v>71</v>
      </c>
      <c r="R319" s="6" t="s">
        <v>72</v>
      </c>
      <c r="S319" s="6" t="s">
        <v>73</v>
      </c>
      <c r="T319" s="6" t="s">
        <v>46</v>
      </c>
      <c r="U319" s="6" t="n">
        <v>1000</v>
      </c>
      <c r="V319" s="28" t="n">
        <v>4</v>
      </c>
      <c r="W319" s="6"/>
      <c r="X319" s="6" t="s">
        <v>74</v>
      </c>
      <c r="Y319" s="1" t="n">
        <v>5500</v>
      </c>
      <c r="Z319" s="1"/>
      <c r="AA319" s="6" t="s">
        <v>381</v>
      </c>
      <c r="AB319" s="15" t="str">
        <f aca="true" t="array" ref="AB319:AB319">LEFT(AA319,LOOKUP(2^15,FIND(".",AA319,ROW(INDIRECT("1:"&amp;LEN(AA319)))))-1)</f>
        <v>NB_2021_037 - 11082021 - 1</v>
      </c>
      <c r="AC319" s="6" t="s">
        <v>382</v>
      </c>
      <c r="AD319" s="15" t="str">
        <f aca="true" t="array" ref="AD319:AD319">LEFT(AC319,LOOKUP(2^15,FIND(".",AC319,ROW(INDIRECT("1:"&amp;LEN(AC319)))))-1)</f>
        <v>NB_2021_037 - 11082021 - 2</v>
      </c>
      <c r="AE319" s="6" t="str">
        <f aca="false">CONCATENATE(AB319, "-",H319, ".mzML")</f>
        <v>NB_2021_037 - 11082021 - 1-QC_C_4.mzML</v>
      </c>
      <c r="AF319" s="6" t="str">
        <f aca="false">CONCATENATE(AD319, "-",H319, ".mzML")</f>
        <v>NB_2021_037 - 11082021 - 2-QC_C_4.mzML</v>
      </c>
    </row>
    <row r="320" s="23" customFormat="true" ht="15" hidden="false" customHeight="false" outlineLevel="0" collapsed="false">
      <c r="A320" s="4" t="s">
        <v>374</v>
      </c>
      <c r="B320" s="5"/>
      <c r="C320" s="4" t="s">
        <v>375</v>
      </c>
      <c r="D320" s="6" t="s">
        <v>13</v>
      </c>
      <c r="E320" s="6" t="s">
        <v>220</v>
      </c>
      <c r="F320" s="7" t="s">
        <v>207</v>
      </c>
      <c r="G320" s="6" t="s">
        <v>216</v>
      </c>
      <c r="H320" s="8" t="s">
        <v>99</v>
      </c>
      <c r="I320" s="6" t="str">
        <f aca="false">CONCATENATE(E320, "_",H320)</f>
        <v>NLA_2022_002_004</v>
      </c>
      <c r="J320" s="6" t="s">
        <v>38</v>
      </c>
      <c r="K320" s="6" t="s">
        <v>217</v>
      </c>
      <c r="L320" s="9" t="s">
        <v>69</v>
      </c>
      <c r="M320" s="13" t="s">
        <v>210</v>
      </c>
      <c r="N320" s="6" t="s">
        <v>41</v>
      </c>
      <c r="O320" s="6" t="s">
        <v>42</v>
      </c>
      <c r="P320" s="24" t="s">
        <v>162</v>
      </c>
      <c r="Q320" s="24" t="s">
        <v>162</v>
      </c>
      <c r="R320" s="6" t="s">
        <v>72</v>
      </c>
      <c r="S320" s="6" t="s">
        <v>73</v>
      </c>
      <c r="T320" s="6" t="s">
        <v>90</v>
      </c>
      <c r="U320" s="6" t="n">
        <v>1000</v>
      </c>
      <c r="V320" s="1" t="n">
        <v>1</v>
      </c>
      <c r="W320" s="6"/>
      <c r="X320" s="6" t="s">
        <v>47</v>
      </c>
      <c r="Y320" s="1" t="n">
        <v>5500</v>
      </c>
      <c r="Z320" s="6" t="s">
        <v>211</v>
      </c>
      <c r="AA320" s="6" t="s">
        <v>212</v>
      </c>
      <c r="AB320" s="15" t="str">
        <f aca="true" t="array" ref="AB320:AB320">LEFT(AA320,LOOKUP(2^15,FIND(".",AA320,ROW(INDIRECT("1:"&amp;LEN(AA320)))))-1)</f>
        <v>NB_2022_015 - 23022022 - 1</v>
      </c>
      <c r="AC320" s="6" t="s">
        <v>213</v>
      </c>
      <c r="AD320" s="15" t="str">
        <f aca="true" t="array" ref="AD320:AD320">LEFT(AC320,LOOKUP(2^15,FIND(".",AC320,ROW(INDIRECT("1:"&amp;LEN(AC320)))))-1)</f>
        <v>NB_2022_015 - 23022022 - 2</v>
      </c>
      <c r="AE320" s="6" t="str">
        <f aca="false">CONCATENATE(AB320, "-",H320, ".mzML")</f>
        <v>NB_2022_015 - 23022022 - 1-004.mzML</v>
      </c>
      <c r="AF320" s="6" t="str">
        <f aca="false">CONCATENATE(AD320, "-",H320, ".mzML")</f>
        <v>NB_2022_015 - 23022022 - 2-004.mzML</v>
      </c>
    </row>
    <row r="321" s="23" customFormat="true" ht="15" hidden="false" customHeight="false" outlineLevel="0" collapsed="false">
      <c r="A321" s="4" t="s">
        <v>374</v>
      </c>
      <c r="B321" s="5"/>
      <c r="C321" s="4" t="s">
        <v>375</v>
      </c>
      <c r="D321" s="6" t="s">
        <v>13</v>
      </c>
      <c r="E321" s="6" t="s">
        <v>220</v>
      </c>
      <c r="F321" s="7" t="s">
        <v>207</v>
      </c>
      <c r="G321" s="6" t="s">
        <v>216</v>
      </c>
      <c r="H321" s="8" t="s">
        <v>91</v>
      </c>
      <c r="I321" s="6" t="str">
        <f aca="false">CONCATENATE(E321, "_",H321)</f>
        <v>NLA_2022_002_005</v>
      </c>
      <c r="J321" s="6" t="s">
        <v>38</v>
      </c>
      <c r="K321" s="6" t="s">
        <v>218</v>
      </c>
      <c r="L321" s="9" t="s">
        <v>69</v>
      </c>
      <c r="M321" s="13" t="s">
        <v>210</v>
      </c>
      <c r="N321" s="6" t="s">
        <v>41</v>
      </c>
      <c r="O321" s="6" t="s">
        <v>42</v>
      </c>
      <c r="P321" s="24" t="s">
        <v>162</v>
      </c>
      <c r="Q321" s="24" t="s">
        <v>162</v>
      </c>
      <c r="R321" s="6" t="s">
        <v>72</v>
      </c>
      <c r="S321" s="6" t="s">
        <v>73</v>
      </c>
      <c r="T321" s="6" t="s">
        <v>90</v>
      </c>
      <c r="U321" s="6" t="n">
        <v>1000</v>
      </c>
      <c r="V321" s="1" t="n">
        <v>2</v>
      </c>
      <c r="W321" s="6"/>
      <c r="X321" s="6" t="s">
        <v>47</v>
      </c>
      <c r="Y321" s="1" t="n">
        <v>5500</v>
      </c>
      <c r="Z321" s="6" t="s">
        <v>211</v>
      </c>
      <c r="AA321" s="6" t="s">
        <v>212</v>
      </c>
      <c r="AB321" s="15" t="str">
        <f aca="true" t="array" ref="AB321:AB321">LEFT(AA321,LOOKUP(2^15,FIND(".",AA321,ROW(INDIRECT("1:"&amp;LEN(AA321)))))-1)</f>
        <v>NB_2022_015 - 23022022 - 1</v>
      </c>
      <c r="AC321" s="6" t="s">
        <v>213</v>
      </c>
      <c r="AD321" s="15" t="str">
        <f aca="true" t="array" ref="AD321:AD321">LEFT(AC321,LOOKUP(2^15,FIND(".",AC321,ROW(INDIRECT("1:"&amp;LEN(AC321)))))-1)</f>
        <v>NB_2022_015 - 23022022 - 2</v>
      </c>
      <c r="AE321" s="6" t="str">
        <f aca="false">CONCATENATE(AB321, "-",H321, ".mzML")</f>
        <v>NB_2022_015 - 23022022 - 1-005.mzML</v>
      </c>
      <c r="AF321" s="6" t="str">
        <f aca="false">CONCATENATE(AD321, "-",H321, ".mzML")</f>
        <v>NB_2022_015 - 23022022 - 2-005.mzML</v>
      </c>
    </row>
    <row r="322" s="23" customFormat="true" ht="15" hidden="false" customHeight="false" outlineLevel="0" collapsed="false">
      <c r="A322" s="4" t="s">
        <v>374</v>
      </c>
      <c r="B322" s="5"/>
      <c r="C322" s="4" t="s">
        <v>375</v>
      </c>
      <c r="D322" s="6" t="s">
        <v>13</v>
      </c>
      <c r="E322" s="6" t="s">
        <v>220</v>
      </c>
      <c r="F322" s="7" t="s">
        <v>207</v>
      </c>
      <c r="G322" s="6" t="s">
        <v>216</v>
      </c>
      <c r="H322" s="8" t="s">
        <v>101</v>
      </c>
      <c r="I322" s="6" t="str">
        <f aca="false">CONCATENATE(E322, "_",H322)</f>
        <v>NLA_2022_002_006</v>
      </c>
      <c r="J322" s="6" t="s">
        <v>38</v>
      </c>
      <c r="K322" s="6" t="s">
        <v>219</v>
      </c>
      <c r="L322" s="9" t="s">
        <v>69</v>
      </c>
      <c r="M322" s="13" t="s">
        <v>210</v>
      </c>
      <c r="N322" s="6" t="s">
        <v>41</v>
      </c>
      <c r="O322" s="6" t="s">
        <v>42</v>
      </c>
      <c r="P322" s="24" t="s">
        <v>162</v>
      </c>
      <c r="Q322" s="24" t="s">
        <v>162</v>
      </c>
      <c r="R322" s="6" t="s">
        <v>72</v>
      </c>
      <c r="S322" s="6" t="s">
        <v>73</v>
      </c>
      <c r="T322" s="6" t="s">
        <v>90</v>
      </c>
      <c r="U322" s="6" t="n">
        <v>1000</v>
      </c>
      <c r="V322" s="1" t="n">
        <v>3</v>
      </c>
      <c r="W322" s="6"/>
      <c r="X322" s="6" t="s">
        <v>47</v>
      </c>
      <c r="Y322" s="1" t="n">
        <v>5500</v>
      </c>
      <c r="Z322" s="6" t="s">
        <v>211</v>
      </c>
      <c r="AA322" s="6" t="s">
        <v>212</v>
      </c>
      <c r="AB322" s="15" t="str">
        <f aca="true" t="array" ref="AB322:AB322">LEFT(AA322,LOOKUP(2^15,FIND(".",AA322,ROW(INDIRECT("1:"&amp;LEN(AA322)))))-1)</f>
        <v>NB_2022_015 - 23022022 - 1</v>
      </c>
      <c r="AC322" s="6" t="s">
        <v>213</v>
      </c>
      <c r="AD322" s="15" t="str">
        <f aca="true" t="array" ref="AD322:AD322">LEFT(AC322,LOOKUP(2^15,FIND(".",AC322,ROW(INDIRECT("1:"&amp;LEN(AC322)))))-1)</f>
        <v>NB_2022_015 - 23022022 - 2</v>
      </c>
      <c r="AE322" s="6" t="str">
        <f aca="false">CONCATENATE(AB322, "-",H322, ".mzML")</f>
        <v>NB_2022_015 - 23022022 - 1-006.mzML</v>
      </c>
      <c r="AF322" s="6" t="str">
        <f aca="false">CONCATENATE(AD322, "-",H322, ".mzML")</f>
        <v>NB_2022_015 - 23022022 - 2-006.mzML</v>
      </c>
    </row>
    <row r="323" s="23" customFormat="true" ht="15" hidden="false" customHeight="false" outlineLevel="0" collapsed="false">
      <c r="A323" s="4" t="s">
        <v>374</v>
      </c>
      <c r="B323" s="5"/>
      <c r="C323" s="4" t="s">
        <v>375</v>
      </c>
      <c r="D323" s="6" t="s">
        <v>13</v>
      </c>
      <c r="E323" s="6" t="s">
        <v>220</v>
      </c>
      <c r="F323" s="7" t="s">
        <v>207</v>
      </c>
      <c r="G323" s="6" t="s">
        <v>220</v>
      </c>
      <c r="H323" s="22" t="s">
        <v>64</v>
      </c>
      <c r="I323" s="6" t="str">
        <f aca="false">CONCATENATE(E323, "_",H323)</f>
        <v>NLA_2022_002_Blank_1</v>
      </c>
      <c r="J323" s="6" t="s">
        <v>52</v>
      </c>
      <c r="K323" s="6" t="s">
        <v>64</v>
      </c>
      <c r="L323" s="9" t="s">
        <v>46</v>
      </c>
      <c r="M323" s="13" t="s">
        <v>46</v>
      </c>
      <c r="N323" s="6" t="s">
        <v>65</v>
      </c>
      <c r="O323" s="6" t="s">
        <v>46</v>
      </c>
      <c r="P323" s="6" t="s">
        <v>46</v>
      </c>
      <c r="Q323" s="6" t="s">
        <v>46</v>
      </c>
      <c r="R323" s="6" t="s">
        <v>46</v>
      </c>
      <c r="S323" s="6" t="s">
        <v>46</v>
      </c>
      <c r="T323" s="6" t="s">
        <v>46</v>
      </c>
      <c r="U323" s="6" t="s">
        <v>46</v>
      </c>
      <c r="V323" s="1" t="n">
        <v>1</v>
      </c>
      <c r="W323" s="6"/>
      <c r="X323" s="6" t="s">
        <v>46</v>
      </c>
      <c r="Y323" s="1" t="n">
        <v>5500</v>
      </c>
      <c r="Z323" s="6" t="s">
        <v>211</v>
      </c>
      <c r="AA323" s="6" t="s">
        <v>212</v>
      </c>
      <c r="AB323" s="15" t="str">
        <f aca="true" t="array" ref="AB323:AB323">LEFT(AA323,LOOKUP(2^15,FIND(".",AA323,ROW(INDIRECT("1:"&amp;LEN(AA323)))))-1)</f>
        <v>NB_2022_015 - 23022022 - 1</v>
      </c>
      <c r="AC323" s="6" t="s">
        <v>213</v>
      </c>
      <c r="AD323" s="15" t="str">
        <f aca="true" t="array" ref="AD323:AD323">LEFT(AC323,LOOKUP(2^15,FIND(".",AC323,ROW(INDIRECT("1:"&amp;LEN(AC323)))))-1)</f>
        <v>NB_2022_015 - 23022022 - 2</v>
      </c>
      <c r="AE323" s="6" t="str">
        <f aca="false">CONCATENATE(AB323, "-",H323, ".mzML")</f>
        <v>NB_2022_015 - 23022022 - 1-Blank_1.mzML</v>
      </c>
      <c r="AF323" s="6" t="str">
        <f aca="false">CONCATENATE(AD323, "-",H323, ".mzML")</f>
        <v>NB_2022_015 - 23022022 - 2-Blank_1.mzML</v>
      </c>
    </row>
    <row r="324" s="23" customFormat="true" ht="15" hidden="false" customHeight="false" outlineLevel="0" collapsed="false">
      <c r="A324" s="4" t="s">
        <v>374</v>
      </c>
      <c r="B324" s="5"/>
      <c r="C324" s="4" t="s">
        <v>375</v>
      </c>
      <c r="D324" s="6" t="s">
        <v>13</v>
      </c>
      <c r="E324" s="6" t="s">
        <v>220</v>
      </c>
      <c r="F324" s="7" t="s">
        <v>207</v>
      </c>
      <c r="G324" s="6" t="s">
        <v>220</v>
      </c>
      <c r="H324" s="22" t="s">
        <v>66</v>
      </c>
      <c r="I324" s="6" t="str">
        <f aca="false">CONCATENATE(E324, "_",H324)</f>
        <v>NLA_2022_002_Blank_2</v>
      </c>
      <c r="J324" s="6" t="s">
        <v>52</v>
      </c>
      <c r="K324" s="6" t="s">
        <v>66</v>
      </c>
      <c r="L324" s="9" t="s">
        <v>46</v>
      </c>
      <c r="M324" s="13" t="s">
        <v>46</v>
      </c>
      <c r="N324" s="6" t="s">
        <v>65</v>
      </c>
      <c r="O324" s="6" t="s">
        <v>46</v>
      </c>
      <c r="P324" s="6" t="s">
        <v>46</v>
      </c>
      <c r="Q324" s="6" t="s">
        <v>46</v>
      </c>
      <c r="R324" s="6" t="s">
        <v>46</v>
      </c>
      <c r="S324" s="6" t="s">
        <v>46</v>
      </c>
      <c r="T324" s="6" t="s">
        <v>46</v>
      </c>
      <c r="U324" s="6" t="s">
        <v>46</v>
      </c>
      <c r="V324" s="1" t="n">
        <v>2</v>
      </c>
      <c r="W324" s="6"/>
      <c r="X324" s="6" t="s">
        <v>46</v>
      </c>
      <c r="Y324" s="1" t="n">
        <v>5500</v>
      </c>
      <c r="Z324" s="6" t="s">
        <v>211</v>
      </c>
      <c r="AA324" s="6" t="s">
        <v>212</v>
      </c>
      <c r="AB324" s="15" t="str">
        <f aca="true" t="array" ref="AB324:AB324">LEFT(AA324,LOOKUP(2^15,FIND(".",AA324,ROW(INDIRECT("1:"&amp;LEN(AA324)))))-1)</f>
        <v>NB_2022_015 - 23022022 - 1</v>
      </c>
      <c r="AC324" s="6" t="s">
        <v>213</v>
      </c>
      <c r="AD324" s="15" t="str">
        <f aca="true" t="array" ref="AD324:AD324">LEFT(AC324,LOOKUP(2^15,FIND(".",AC324,ROW(INDIRECT("1:"&amp;LEN(AC324)))))-1)</f>
        <v>NB_2022_015 - 23022022 - 2</v>
      </c>
      <c r="AE324" s="6" t="str">
        <f aca="false">CONCATENATE(AB324, "-",H324, ".mzML")</f>
        <v>NB_2022_015 - 23022022 - 1-Blank_2.mzML</v>
      </c>
      <c r="AF324" s="6" t="str">
        <f aca="false">CONCATENATE(AD324, "-",H324, ".mzML")</f>
        <v>NB_2022_015 - 23022022 - 2-Blank_2.mzML</v>
      </c>
    </row>
    <row r="325" s="23" customFormat="true" ht="15" hidden="false" customHeight="false" outlineLevel="0" collapsed="false">
      <c r="A325" s="4" t="s">
        <v>374</v>
      </c>
      <c r="B325" s="5"/>
      <c r="C325" s="4" t="s">
        <v>375</v>
      </c>
      <c r="D325" s="6" t="s">
        <v>13</v>
      </c>
      <c r="E325" s="6" t="s">
        <v>220</v>
      </c>
      <c r="F325" s="7" t="s">
        <v>207</v>
      </c>
      <c r="G325" s="6" t="s">
        <v>220</v>
      </c>
      <c r="H325" s="22" t="s">
        <v>67</v>
      </c>
      <c r="I325" s="6" t="str">
        <f aca="false">CONCATENATE(E325, "_",H325)</f>
        <v>NLA_2022_002_Blank_3</v>
      </c>
      <c r="J325" s="6" t="s">
        <v>52</v>
      </c>
      <c r="K325" s="6" t="s">
        <v>67</v>
      </c>
      <c r="L325" s="9" t="s">
        <v>46</v>
      </c>
      <c r="M325" s="13" t="s">
        <v>46</v>
      </c>
      <c r="N325" s="6" t="s">
        <v>65</v>
      </c>
      <c r="O325" s="6" t="s">
        <v>46</v>
      </c>
      <c r="P325" s="6" t="s">
        <v>46</v>
      </c>
      <c r="Q325" s="6" t="s">
        <v>46</v>
      </c>
      <c r="R325" s="6" t="s">
        <v>46</v>
      </c>
      <c r="S325" s="6" t="s">
        <v>46</v>
      </c>
      <c r="T325" s="6" t="s">
        <v>46</v>
      </c>
      <c r="U325" s="6" t="s">
        <v>46</v>
      </c>
      <c r="V325" s="1" t="n">
        <v>3</v>
      </c>
      <c r="W325" s="6"/>
      <c r="X325" s="6" t="s">
        <v>46</v>
      </c>
      <c r="Y325" s="1" t="n">
        <v>5500</v>
      </c>
      <c r="Z325" s="6" t="s">
        <v>211</v>
      </c>
      <c r="AA325" s="6" t="s">
        <v>212</v>
      </c>
      <c r="AB325" s="15" t="str">
        <f aca="true" t="array" ref="AB325:AB325">LEFT(AA325,LOOKUP(2^15,FIND(".",AA325,ROW(INDIRECT("1:"&amp;LEN(AA325)))))-1)</f>
        <v>NB_2022_015 - 23022022 - 1</v>
      </c>
      <c r="AC325" s="6" t="s">
        <v>213</v>
      </c>
      <c r="AD325" s="15" t="str">
        <f aca="true" t="array" ref="AD325:AD325">LEFT(AC325,LOOKUP(2^15,FIND(".",AC325,ROW(INDIRECT("1:"&amp;LEN(AC325)))))-1)</f>
        <v>NB_2022_015 - 23022022 - 2</v>
      </c>
      <c r="AE325" s="6" t="str">
        <f aca="false">CONCATENATE(AB325, "-",H325, ".mzML")</f>
        <v>NB_2022_015 - 23022022 - 1-Blank_3.mzML</v>
      </c>
      <c r="AF325" s="6" t="str">
        <f aca="false">CONCATENATE(AD325, "-",H325, ".mzML")</f>
        <v>NB_2022_015 - 23022022 - 2-Blank_3.mzML</v>
      </c>
    </row>
    <row r="326" s="23" customFormat="true" ht="15" hidden="false" customHeight="false" outlineLevel="0" collapsed="false">
      <c r="A326" s="4" t="s">
        <v>374</v>
      </c>
      <c r="B326" s="5"/>
      <c r="C326" s="4" t="s">
        <v>375</v>
      </c>
      <c r="D326" s="6" t="s">
        <v>13</v>
      </c>
      <c r="E326" s="6" t="s">
        <v>220</v>
      </c>
      <c r="F326" s="7" t="s">
        <v>207</v>
      </c>
      <c r="G326" s="6" t="s">
        <v>220</v>
      </c>
      <c r="H326" s="22" t="s">
        <v>221</v>
      </c>
      <c r="I326" s="6" t="str">
        <f aca="false">CONCATENATE(E326, "_",H326)</f>
        <v>NLA_2022_002_Blank_4</v>
      </c>
      <c r="J326" s="6" t="s">
        <v>52</v>
      </c>
      <c r="K326" s="6" t="s">
        <v>221</v>
      </c>
      <c r="L326" s="9" t="s">
        <v>46</v>
      </c>
      <c r="M326" s="13" t="s">
        <v>46</v>
      </c>
      <c r="N326" s="6" t="s">
        <v>65</v>
      </c>
      <c r="O326" s="6" t="s">
        <v>46</v>
      </c>
      <c r="P326" s="6" t="s">
        <v>46</v>
      </c>
      <c r="Q326" s="6" t="s">
        <v>46</v>
      </c>
      <c r="R326" s="6" t="s">
        <v>46</v>
      </c>
      <c r="S326" s="6" t="s">
        <v>46</v>
      </c>
      <c r="T326" s="6" t="s">
        <v>46</v>
      </c>
      <c r="U326" s="6" t="s">
        <v>46</v>
      </c>
      <c r="V326" s="1" t="n">
        <v>4</v>
      </c>
      <c r="W326" s="6"/>
      <c r="X326" s="6" t="s">
        <v>46</v>
      </c>
      <c r="Y326" s="1" t="n">
        <v>5500</v>
      </c>
      <c r="Z326" s="6" t="s">
        <v>211</v>
      </c>
      <c r="AA326" s="6" t="s">
        <v>212</v>
      </c>
      <c r="AB326" s="15" t="str">
        <f aca="true" t="array" ref="AB326:AB326">LEFT(AA326,LOOKUP(2^15,FIND(".",AA326,ROW(INDIRECT("1:"&amp;LEN(AA326)))))-1)</f>
        <v>NB_2022_015 - 23022022 - 1</v>
      </c>
      <c r="AC326" s="6" t="s">
        <v>213</v>
      </c>
      <c r="AD326" s="15" t="str">
        <f aca="true" t="array" ref="AD326:AD326">LEFT(AC326,LOOKUP(2^15,FIND(".",AC326,ROW(INDIRECT("1:"&amp;LEN(AC326)))))-1)</f>
        <v>NB_2022_015 - 23022022 - 2</v>
      </c>
      <c r="AE326" s="6" t="str">
        <f aca="false">CONCATENATE(AB326, "-",H326, ".mzML")</f>
        <v>NB_2022_015 - 23022022 - 1-Blank_4.mzML</v>
      </c>
      <c r="AF326" s="6" t="str">
        <f aca="false">CONCATENATE(AD326, "-",H326, ".mzML")</f>
        <v>NB_2022_015 - 23022022 - 2-Blank_4.mzML</v>
      </c>
    </row>
    <row r="327" s="23" customFormat="true" ht="15" hidden="false" customHeight="false" outlineLevel="0" collapsed="false">
      <c r="A327" s="4" t="s">
        <v>374</v>
      </c>
      <c r="B327" s="5"/>
      <c r="C327" s="4" t="s">
        <v>375</v>
      </c>
      <c r="D327" s="6" t="s">
        <v>13</v>
      </c>
      <c r="E327" s="6" t="s">
        <v>220</v>
      </c>
      <c r="F327" s="7" t="s">
        <v>207</v>
      </c>
      <c r="G327" s="6" t="s">
        <v>220</v>
      </c>
      <c r="H327" s="22" t="s">
        <v>68</v>
      </c>
      <c r="I327" s="6" t="str">
        <f aca="false">CONCATENATE(E327, "_",H327)</f>
        <v>NLA_2022_002_QC_C_1</v>
      </c>
      <c r="J327" s="6" t="s">
        <v>52</v>
      </c>
      <c r="K327" s="6" t="s">
        <v>68</v>
      </c>
      <c r="L327" s="9" t="s">
        <v>69</v>
      </c>
      <c r="M327" s="13" t="s">
        <v>46</v>
      </c>
      <c r="N327" s="6" t="s">
        <v>70</v>
      </c>
      <c r="O327" s="6" t="s">
        <v>46</v>
      </c>
      <c r="P327" s="6" t="s">
        <v>71</v>
      </c>
      <c r="Q327" s="6" t="s">
        <v>71</v>
      </c>
      <c r="R327" s="6" t="s">
        <v>72</v>
      </c>
      <c r="S327" s="6" t="s">
        <v>73</v>
      </c>
      <c r="T327" s="6" t="s">
        <v>46</v>
      </c>
      <c r="U327" s="6" t="n">
        <v>1000</v>
      </c>
      <c r="V327" s="1" t="n">
        <v>1</v>
      </c>
      <c r="W327" s="6"/>
      <c r="X327" s="6" t="s">
        <v>74</v>
      </c>
      <c r="Y327" s="6" t="n">
        <v>5500</v>
      </c>
      <c r="Z327" s="6" t="s">
        <v>211</v>
      </c>
      <c r="AA327" s="6" t="s">
        <v>212</v>
      </c>
      <c r="AB327" s="15" t="str">
        <f aca="true" t="array" ref="AB327:AB327">LEFT(AA327,LOOKUP(2^15,FIND(".",AA327,ROW(INDIRECT("1:"&amp;LEN(AA327)))))-1)</f>
        <v>NB_2022_015 - 23022022 - 1</v>
      </c>
      <c r="AC327" s="6" t="s">
        <v>213</v>
      </c>
      <c r="AD327" s="15" t="str">
        <f aca="true" t="array" ref="AD327:AD327">LEFT(AC327,LOOKUP(2^15,FIND(".",AC327,ROW(INDIRECT("1:"&amp;LEN(AC327)))))-1)</f>
        <v>NB_2022_015 - 23022022 - 2</v>
      </c>
      <c r="AE327" s="6" t="str">
        <f aca="false">CONCATENATE(AB327, "-",H327, ".mzML")</f>
        <v>NB_2022_015 - 23022022 - 1-QC_C_1.mzML</v>
      </c>
      <c r="AF327" s="6" t="str">
        <f aca="false">CONCATENATE(AD327, "-",H327, ".mzML")</f>
        <v>NB_2022_015 - 23022022 - 2-QC_C_1.mzML</v>
      </c>
    </row>
    <row r="328" s="23" customFormat="true" ht="15" hidden="false" customHeight="false" outlineLevel="0" collapsed="false">
      <c r="A328" s="4" t="s">
        <v>374</v>
      </c>
      <c r="B328" s="5"/>
      <c r="C328" s="4" t="s">
        <v>375</v>
      </c>
      <c r="D328" s="6" t="s">
        <v>13</v>
      </c>
      <c r="E328" s="6" t="s">
        <v>220</v>
      </c>
      <c r="F328" s="7" t="s">
        <v>207</v>
      </c>
      <c r="G328" s="6" t="s">
        <v>220</v>
      </c>
      <c r="H328" s="22" t="s">
        <v>75</v>
      </c>
      <c r="I328" s="6" t="str">
        <f aca="false">CONCATENATE(E328, "_",H328)</f>
        <v>NLA_2022_002_QC_C_2</v>
      </c>
      <c r="J328" s="6" t="s">
        <v>52</v>
      </c>
      <c r="K328" s="6" t="s">
        <v>75</v>
      </c>
      <c r="L328" s="9" t="s">
        <v>69</v>
      </c>
      <c r="M328" s="13" t="s">
        <v>46</v>
      </c>
      <c r="N328" s="6" t="s">
        <v>70</v>
      </c>
      <c r="O328" s="6" t="s">
        <v>46</v>
      </c>
      <c r="P328" s="6" t="s">
        <v>71</v>
      </c>
      <c r="Q328" s="6" t="s">
        <v>71</v>
      </c>
      <c r="R328" s="6" t="s">
        <v>72</v>
      </c>
      <c r="S328" s="6" t="s">
        <v>73</v>
      </c>
      <c r="T328" s="6" t="s">
        <v>46</v>
      </c>
      <c r="U328" s="6" t="n">
        <v>1000</v>
      </c>
      <c r="V328" s="1" t="n">
        <v>2</v>
      </c>
      <c r="W328" s="6"/>
      <c r="X328" s="6" t="s">
        <v>74</v>
      </c>
      <c r="Y328" s="6" t="n">
        <v>5500</v>
      </c>
      <c r="Z328" s="6" t="s">
        <v>211</v>
      </c>
      <c r="AA328" s="6" t="s">
        <v>212</v>
      </c>
      <c r="AB328" s="15" t="str">
        <f aca="true" t="array" ref="AB328:AB328">LEFT(AA328,LOOKUP(2^15,FIND(".",AA328,ROW(INDIRECT("1:"&amp;LEN(AA328)))))-1)</f>
        <v>NB_2022_015 - 23022022 - 1</v>
      </c>
      <c r="AC328" s="6" t="s">
        <v>213</v>
      </c>
      <c r="AD328" s="15" t="str">
        <f aca="true" t="array" ref="AD328:AD328">LEFT(AC328,LOOKUP(2^15,FIND(".",AC328,ROW(INDIRECT("1:"&amp;LEN(AC328)))))-1)</f>
        <v>NB_2022_015 - 23022022 - 2</v>
      </c>
      <c r="AE328" s="6" t="str">
        <f aca="false">CONCATENATE(AB328, "-",H328, ".mzML")</f>
        <v>NB_2022_015 - 23022022 - 1-QC_C_2.mzML</v>
      </c>
      <c r="AF328" s="6" t="str">
        <f aca="false">CONCATENATE(AD328, "-",H328, ".mzML")</f>
        <v>NB_2022_015 - 23022022 - 2-QC_C_2.mzML</v>
      </c>
    </row>
    <row r="329" s="23" customFormat="true" ht="15" hidden="false" customHeight="false" outlineLevel="0" collapsed="false">
      <c r="A329" s="4" t="s">
        <v>374</v>
      </c>
      <c r="B329" s="5"/>
      <c r="C329" s="4" t="s">
        <v>375</v>
      </c>
      <c r="D329" s="6" t="s">
        <v>13</v>
      </c>
      <c r="E329" s="6" t="s">
        <v>220</v>
      </c>
      <c r="F329" s="7" t="s">
        <v>207</v>
      </c>
      <c r="G329" s="6" t="s">
        <v>220</v>
      </c>
      <c r="H329" s="22" t="s">
        <v>76</v>
      </c>
      <c r="I329" s="6" t="str">
        <f aca="false">CONCATENATE(E329, "_",H329)</f>
        <v>NLA_2022_002_QC_C_3</v>
      </c>
      <c r="J329" s="6" t="s">
        <v>52</v>
      </c>
      <c r="K329" s="6" t="s">
        <v>76</v>
      </c>
      <c r="L329" s="9" t="s">
        <v>69</v>
      </c>
      <c r="M329" s="13" t="s">
        <v>46</v>
      </c>
      <c r="N329" s="6" t="s">
        <v>70</v>
      </c>
      <c r="O329" s="6" t="s">
        <v>46</v>
      </c>
      <c r="P329" s="6" t="s">
        <v>71</v>
      </c>
      <c r="Q329" s="6" t="s">
        <v>71</v>
      </c>
      <c r="R329" s="6" t="s">
        <v>72</v>
      </c>
      <c r="S329" s="6" t="s">
        <v>73</v>
      </c>
      <c r="T329" s="6" t="s">
        <v>46</v>
      </c>
      <c r="U329" s="6" t="n">
        <v>1000</v>
      </c>
      <c r="V329" s="1" t="n">
        <v>3</v>
      </c>
      <c r="W329" s="6"/>
      <c r="X329" s="6" t="s">
        <v>74</v>
      </c>
      <c r="Y329" s="6" t="n">
        <v>5500</v>
      </c>
      <c r="Z329" s="6" t="s">
        <v>211</v>
      </c>
      <c r="AA329" s="6" t="s">
        <v>212</v>
      </c>
      <c r="AB329" s="15" t="str">
        <f aca="true" t="array" ref="AB329:AB329">LEFT(AA329,LOOKUP(2^15,FIND(".",AA329,ROW(INDIRECT("1:"&amp;LEN(AA329)))))-1)</f>
        <v>NB_2022_015 - 23022022 - 1</v>
      </c>
      <c r="AC329" s="6" t="s">
        <v>213</v>
      </c>
      <c r="AD329" s="15" t="str">
        <f aca="true" t="array" ref="AD329:AD329">LEFT(AC329,LOOKUP(2^15,FIND(".",AC329,ROW(INDIRECT("1:"&amp;LEN(AC329)))))-1)</f>
        <v>NB_2022_015 - 23022022 - 2</v>
      </c>
      <c r="AE329" s="6" t="str">
        <f aca="false">CONCATENATE(AB329, "-",H329, ".mzML")</f>
        <v>NB_2022_015 - 23022022 - 1-QC_C_3.mzML</v>
      </c>
      <c r="AF329" s="6" t="str">
        <f aca="false">CONCATENATE(AD329, "-",H329, ".mzML")</f>
        <v>NB_2022_015 - 23022022 - 2-QC_C_3.mzML</v>
      </c>
    </row>
    <row r="330" s="23" customFormat="true" ht="15" hidden="false" customHeight="false" outlineLevel="0" collapsed="false">
      <c r="A330" s="4" t="s">
        <v>374</v>
      </c>
      <c r="B330" s="5"/>
      <c r="C330" s="4" t="s">
        <v>375</v>
      </c>
      <c r="D330" s="6" t="s">
        <v>13</v>
      </c>
      <c r="E330" s="6" t="s">
        <v>220</v>
      </c>
      <c r="F330" s="7" t="s">
        <v>207</v>
      </c>
      <c r="G330" s="6" t="s">
        <v>220</v>
      </c>
      <c r="H330" s="22" t="s">
        <v>222</v>
      </c>
      <c r="I330" s="6" t="str">
        <f aca="false">CONCATENATE(E330, "_",H330)</f>
        <v>NLA_2022_002_QC_C_4</v>
      </c>
      <c r="J330" s="6" t="s">
        <v>52</v>
      </c>
      <c r="K330" s="6" t="s">
        <v>222</v>
      </c>
      <c r="L330" s="9" t="s">
        <v>69</v>
      </c>
      <c r="M330" s="13" t="s">
        <v>46</v>
      </c>
      <c r="N330" s="6" t="s">
        <v>223</v>
      </c>
      <c r="O330" s="6" t="s">
        <v>46</v>
      </c>
      <c r="P330" s="6" t="s">
        <v>71</v>
      </c>
      <c r="Q330" s="6" t="s">
        <v>71</v>
      </c>
      <c r="R330" s="6" t="s">
        <v>72</v>
      </c>
      <c r="S330" s="6" t="s">
        <v>73</v>
      </c>
      <c r="T330" s="6" t="s">
        <v>46</v>
      </c>
      <c r="U330" s="6" t="n">
        <v>1000</v>
      </c>
      <c r="V330" s="1" t="n">
        <v>4</v>
      </c>
      <c r="W330" s="6"/>
      <c r="X330" s="6" t="s">
        <v>74</v>
      </c>
      <c r="Y330" s="1" t="n">
        <v>5500</v>
      </c>
      <c r="Z330" s="6" t="s">
        <v>211</v>
      </c>
      <c r="AA330" s="6" t="s">
        <v>212</v>
      </c>
      <c r="AB330" s="15" t="str">
        <f aca="true" t="array" ref="AB330:AB330">LEFT(AA330,LOOKUP(2^15,FIND(".",AA330,ROW(INDIRECT("1:"&amp;LEN(AA330)))))-1)</f>
        <v>NB_2022_015 - 23022022 - 1</v>
      </c>
      <c r="AC330" s="6" t="s">
        <v>213</v>
      </c>
      <c r="AD330" s="15" t="str">
        <f aca="true" t="array" ref="AD330:AD330">LEFT(AC330,LOOKUP(2^15,FIND(".",AC330,ROW(INDIRECT("1:"&amp;LEN(AC330)))))-1)</f>
        <v>NB_2022_015 - 23022022 - 2</v>
      </c>
      <c r="AE330" s="6" t="str">
        <f aca="false">CONCATENATE(AB330, "-",H330, ".mzML")</f>
        <v>NB_2022_015 - 23022022 - 1-QC_C_4.mzML</v>
      </c>
      <c r="AF330" s="6" t="str">
        <f aca="false">CONCATENATE(AD330, "-",H330, ".mzML")</f>
        <v>NB_2022_015 - 23022022 - 2-QC_C_4.mzML</v>
      </c>
    </row>
    <row r="331" s="23" customFormat="true" ht="15" hidden="false" customHeight="false" outlineLevel="0" collapsed="false">
      <c r="A331" s="4" t="s">
        <v>374</v>
      </c>
      <c r="B331" s="5"/>
      <c r="C331" s="4" t="s">
        <v>375</v>
      </c>
      <c r="D331" s="6" t="s">
        <v>13</v>
      </c>
      <c r="E331" s="6" t="s">
        <v>387</v>
      </c>
      <c r="F331" s="7" t="s">
        <v>388</v>
      </c>
      <c r="G331" s="6" t="s">
        <v>389</v>
      </c>
      <c r="H331" s="8" t="s">
        <v>108</v>
      </c>
      <c r="I331" s="6" t="str">
        <f aca="false">CONCATENATE(E331, "_",H331)</f>
        <v>NLA_2022_010_001</v>
      </c>
      <c r="J331" s="6" t="s">
        <v>38</v>
      </c>
      <c r="K331" s="6" t="s">
        <v>390</v>
      </c>
      <c r="L331" s="9" t="s">
        <v>69</v>
      </c>
      <c r="M331" s="13" t="s">
        <v>391</v>
      </c>
      <c r="N331" s="6" t="s">
        <v>392</v>
      </c>
      <c r="O331" s="6" t="s">
        <v>42</v>
      </c>
      <c r="P331" s="6" t="s">
        <v>162</v>
      </c>
      <c r="Q331" s="6" t="s">
        <v>162</v>
      </c>
      <c r="R331" s="6" t="s">
        <v>72</v>
      </c>
      <c r="S331" s="6" t="s">
        <v>73</v>
      </c>
      <c r="T331" s="6" t="s">
        <v>46</v>
      </c>
      <c r="U331" s="6" t="n">
        <v>1000</v>
      </c>
      <c r="V331" s="1" t="n">
        <v>1</v>
      </c>
      <c r="W331" s="6"/>
      <c r="X331" s="6" t="s">
        <v>393</v>
      </c>
      <c r="Y331" s="1" t="n">
        <v>5500</v>
      </c>
      <c r="Z331" s="6" t="s">
        <v>394</v>
      </c>
      <c r="AA331" s="6" t="s">
        <v>395</v>
      </c>
      <c r="AB331" s="15" t="str">
        <f aca="true" t="array" ref="AB331:AB331">LEFT(AA331,LOOKUP(2^15,FIND(".",AA331,ROW(INDIRECT("1:"&amp;LEN(AA331)))))-1)</f>
        <v>NB_2022_043 - 15082022 - 1</v>
      </c>
      <c r="AC331" s="6" t="s">
        <v>396</v>
      </c>
      <c r="AD331" s="15" t="str">
        <f aca="true" t="array" ref="AD331:AD331">LEFT(AC331,LOOKUP(2^15,FIND(".",AC331,ROW(INDIRECT("1:"&amp;LEN(AC331)))))-1)</f>
        <v>NB_2022_043 - 15082022 - 2</v>
      </c>
      <c r="AE331" s="6" t="str">
        <f aca="false">CONCATENATE(AB331, "-",H331, ".mzML")</f>
        <v>NB_2022_043 - 15082022 - 1-001.mzML</v>
      </c>
      <c r="AF331" s="6" t="str">
        <f aca="false">CONCATENATE(AD331, "-",H331, ".mzML")</f>
        <v>NB_2022_043 - 15082022 - 2-001.mzML</v>
      </c>
    </row>
    <row r="332" s="23" customFormat="true" ht="15" hidden="false" customHeight="false" outlineLevel="0" collapsed="false">
      <c r="A332" s="4" t="s">
        <v>374</v>
      </c>
      <c r="B332" s="5"/>
      <c r="C332" s="4" t="s">
        <v>375</v>
      </c>
      <c r="D332" s="6" t="s">
        <v>13</v>
      </c>
      <c r="E332" s="6" t="s">
        <v>387</v>
      </c>
      <c r="F332" s="7" t="s">
        <v>388</v>
      </c>
      <c r="G332" s="6" t="s">
        <v>389</v>
      </c>
      <c r="H332" s="8" t="s">
        <v>88</v>
      </c>
      <c r="I332" s="6" t="str">
        <f aca="false">CONCATENATE(E332, "_",H332)</f>
        <v>NLA_2022_010_002</v>
      </c>
      <c r="J332" s="6" t="s">
        <v>38</v>
      </c>
      <c r="K332" s="6" t="s">
        <v>390</v>
      </c>
      <c r="L332" s="9" t="s">
        <v>69</v>
      </c>
      <c r="M332" s="13" t="s">
        <v>391</v>
      </c>
      <c r="N332" s="6" t="s">
        <v>392</v>
      </c>
      <c r="O332" s="6" t="s">
        <v>42</v>
      </c>
      <c r="P332" s="6" t="s">
        <v>162</v>
      </c>
      <c r="Q332" s="6" t="s">
        <v>162</v>
      </c>
      <c r="R332" s="6" t="s">
        <v>72</v>
      </c>
      <c r="S332" s="6" t="s">
        <v>73</v>
      </c>
      <c r="T332" s="6" t="s">
        <v>46</v>
      </c>
      <c r="U332" s="6" t="n">
        <v>1000</v>
      </c>
      <c r="V332" s="1" t="n">
        <v>2</v>
      </c>
      <c r="W332" s="6"/>
      <c r="X332" s="6" t="s">
        <v>393</v>
      </c>
      <c r="Y332" s="1" t="n">
        <v>5500</v>
      </c>
      <c r="Z332" s="6" t="s">
        <v>394</v>
      </c>
      <c r="AA332" s="6" t="s">
        <v>395</v>
      </c>
      <c r="AB332" s="15" t="str">
        <f aca="true" t="array" ref="AB332:AB332">LEFT(AA332,LOOKUP(2^15,FIND(".",AA332,ROW(INDIRECT("1:"&amp;LEN(AA332)))))-1)</f>
        <v>NB_2022_043 - 15082022 - 1</v>
      </c>
      <c r="AC332" s="6" t="s">
        <v>396</v>
      </c>
      <c r="AD332" s="15" t="str">
        <f aca="true" t="array" ref="AD332:AD332">LEFT(AC332,LOOKUP(2^15,FIND(".",AC332,ROW(INDIRECT("1:"&amp;LEN(AC332)))))-1)</f>
        <v>NB_2022_043 - 15082022 - 2</v>
      </c>
      <c r="AE332" s="6" t="str">
        <f aca="false">CONCATENATE(AB332, "-",H332, ".mzML")</f>
        <v>NB_2022_043 - 15082022 - 1-002.mzML</v>
      </c>
      <c r="AF332" s="6" t="str">
        <f aca="false">CONCATENATE(AD332, "-",H332, ".mzML")</f>
        <v>NB_2022_043 - 15082022 - 2-002.mzML</v>
      </c>
    </row>
    <row r="333" s="23" customFormat="true" ht="15" hidden="false" customHeight="false" outlineLevel="0" collapsed="false">
      <c r="A333" s="4" t="s">
        <v>374</v>
      </c>
      <c r="B333" s="5"/>
      <c r="C333" s="4" t="s">
        <v>375</v>
      </c>
      <c r="D333" s="6" t="s">
        <v>13</v>
      </c>
      <c r="E333" s="6" t="s">
        <v>387</v>
      </c>
      <c r="F333" s="7" t="s">
        <v>388</v>
      </c>
      <c r="G333" s="6" t="s">
        <v>389</v>
      </c>
      <c r="H333" s="8" t="s">
        <v>97</v>
      </c>
      <c r="I333" s="6" t="str">
        <f aca="false">CONCATENATE(E333, "_",H333)</f>
        <v>NLA_2022_010_003</v>
      </c>
      <c r="J333" s="6" t="s">
        <v>38</v>
      </c>
      <c r="K333" s="6" t="s">
        <v>390</v>
      </c>
      <c r="L333" s="9" t="s">
        <v>69</v>
      </c>
      <c r="M333" s="13" t="s">
        <v>391</v>
      </c>
      <c r="N333" s="6" t="s">
        <v>392</v>
      </c>
      <c r="O333" s="6" t="s">
        <v>42</v>
      </c>
      <c r="P333" s="6" t="s">
        <v>162</v>
      </c>
      <c r="Q333" s="6" t="s">
        <v>162</v>
      </c>
      <c r="R333" s="6" t="s">
        <v>72</v>
      </c>
      <c r="S333" s="6" t="s">
        <v>73</v>
      </c>
      <c r="T333" s="6" t="s">
        <v>46</v>
      </c>
      <c r="U333" s="6" t="n">
        <v>1000</v>
      </c>
      <c r="V333" s="1" t="n">
        <v>3</v>
      </c>
      <c r="W333" s="6"/>
      <c r="X333" s="6" t="s">
        <v>393</v>
      </c>
      <c r="Y333" s="1" t="n">
        <v>5500</v>
      </c>
      <c r="Z333" s="6" t="s">
        <v>394</v>
      </c>
      <c r="AA333" s="6" t="s">
        <v>395</v>
      </c>
      <c r="AB333" s="15" t="str">
        <f aca="true" t="array" ref="AB333:AB333">LEFT(AA333,LOOKUP(2^15,FIND(".",AA333,ROW(INDIRECT("1:"&amp;LEN(AA333)))))-1)</f>
        <v>NB_2022_043 - 15082022 - 1</v>
      </c>
      <c r="AC333" s="6" t="s">
        <v>396</v>
      </c>
      <c r="AD333" s="15" t="str">
        <f aca="true" t="array" ref="AD333:AD333">LEFT(AC333,LOOKUP(2^15,FIND(".",AC333,ROW(INDIRECT("1:"&amp;LEN(AC333)))))-1)</f>
        <v>NB_2022_043 - 15082022 - 2</v>
      </c>
      <c r="AE333" s="6" t="str">
        <f aca="false">CONCATENATE(AB333, "-",H333, ".mzML")</f>
        <v>NB_2022_043 - 15082022 - 1-003.mzML</v>
      </c>
      <c r="AF333" s="6" t="str">
        <f aca="false">CONCATENATE(AD333, "-",H333, ".mzML")</f>
        <v>NB_2022_043 - 15082022 - 2-003.mzML</v>
      </c>
    </row>
    <row r="334" s="23" customFormat="true" ht="15" hidden="false" customHeight="false" outlineLevel="0" collapsed="false">
      <c r="A334" s="4" t="s">
        <v>374</v>
      </c>
      <c r="B334" s="5"/>
      <c r="C334" s="4" t="s">
        <v>375</v>
      </c>
      <c r="D334" s="6" t="s">
        <v>13</v>
      </c>
      <c r="E334" s="6" t="s">
        <v>387</v>
      </c>
      <c r="F334" s="7" t="s">
        <v>388</v>
      </c>
      <c r="G334" s="6" t="s">
        <v>389</v>
      </c>
      <c r="H334" s="8" t="s">
        <v>99</v>
      </c>
      <c r="I334" s="6" t="str">
        <f aca="false">CONCATENATE(E334, "_",H334)</f>
        <v>NLA_2022_010_004</v>
      </c>
      <c r="J334" s="6" t="s">
        <v>38</v>
      </c>
      <c r="K334" s="6" t="s">
        <v>390</v>
      </c>
      <c r="L334" s="9" t="s">
        <v>69</v>
      </c>
      <c r="M334" s="13" t="s">
        <v>391</v>
      </c>
      <c r="N334" s="6" t="s">
        <v>392</v>
      </c>
      <c r="O334" s="6" t="s">
        <v>42</v>
      </c>
      <c r="P334" s="6" t="s">
        <v>162</v>
      </c>
      <c r="Q334" s="6" t="s">
        <v>162</v>
      </c>
      <c r="R334" s="6" t="s">
        <v>72</v>
      </c>
      <c r="S334" s="6" t="s">
        <v>73</v>
      </c>
      <c r="T334" s="6" t="s">
        <v>46</v>
      </c>
      <c r="U334" s="6" t="n">
        <v>1000</v>
      </c>
      <c r="V334" s="1" t="n">
        <v>4</v>
      </c>
      <c r="W334" s="6"/>
      <c r="X334" s="6" t="s">
        <v>393</v>
      </c>
      <c r="Y334" s="1" t="n">
        <v>5500</v>
      </c>
      <c r="Z334" s="1" t="s">
        <v>394</v>
      </c>
      <c r="AA334" s="6" t="s">
        <v>395</v>
      </c>
      <c r="AB334" s="15" t="str">
        <f aca="true" t="array" ref="AB334:AB334">LEFT(AA334,LOOKUP(2^15,FIND(".",AA334,ROW(INDIRECT("1:"&amp;LEN(AA334)))))-1)</f>
        <v>NB_2022_043 - 15082022 - 1</v>
      </c>
      <c r="AC334" s="6" t="s">
        <v>396</v>
      </c>
      <c r="AD334" s="15" t="str">
        <f aca="true" t="array" ref="AD334:AD334">LEFT(AC334,LOOKUP(2^15,FIND(".",AC334,ROW(INDIRECT("1:"&amp;LEN(AC334)))))-1)</f>
        <v>NB_2022_043 - 15082022 - 2</v>
      </c>
      <c r="AE334" s="6" t="str">
        <f aca="false">CONCATENATE(AB334, "-",H334, ".mzML")</f>
        <v>NB_2022_043 - 15082022 - 1-004.mzML</v>
      </c>
      <c r="AF334" s="6" t="str">
        <f aca="false">CONCATENATE(AD334, "-",H334, ".mzML")</f>
        <v>NB_2022_043 - 15082022 - 2-004.mzML</v>
      </c>
    </row>
    <row r="335" s="23" customFormat="true" ht="15" hidden="false" customHeight="false" outlineLevel="0" collapsed="false">
      <c r="A335" s="4" t="s">
        <v>374</v>
      </c>
      <c r="B335" s="5"/>
      <c r="C335" s="4" t="s">
        <v>375</v>
      </c>
      <c r="D335" s="6" t="s">
        <v>13</v>
      </c>
      <c r="E335" s="6" t="s">
        <v>387</v>
      </c>
      <c r="F335" s="7" t="s">
        <v>388</v>
      </c>
      <c r="G335" s="6" t="s">
        <v>387</v>
      </c>
      <c r="H335" s="8" t="s">
        <v>64</v>
      </c>
      <c r="I335" s="6" t="str">
        <f aca="false">CONCATENATE(E335, "_",H335)</f>
        <v>NLA_2022_010_Blank_1</v>
      </c>
      <c r="J335" s="6" t="s">
        <v>46</v>
      </c>
      <c r="K335" s="6" t="s">
        <v>280</v>
      </c>
      <c r="L335" s="9" t="s">
        <v>46</v>
      </c>
      <c r="M335" s="13" t="s">
        <v>46</v>
      </c>
      <c r="N335" s="6" t="s">
        <v>65</v>
      </c>
      <c r="O335" s="6" t="s">
        <v>46</v>
      </c>
      <c r="P335" s="6" t="s">
        <v>46</v>
      </c>
      <c r="Q335" s="6" t="s">
        <v>46</v>
      </c>
      <c r="R335" s="6" t="s">
        <v>46</v>
      </c>
      <c r="S335" s="6" t="s">
        <v>46</v>
      </c>
      <c r="T335" s="6" t="s">
        <v>46</v>
      </c>
      <c r="U335" s="6" t="s">
        <v>46</v>
      </c>
      <c r="V335" s="1" t="n">
        <v>1</v>
      </c>
      <c r="W335" s="6"/>
      <c r="X335" s="6" t="s">
        <v>46</v>
      </c>
      <c r="Y335" s="1" t="n">
        <v>5500</v>
      </c>
      <c r="Z335" s="6" t="s">
        <v>394</v>
      </c>
      <c r="AA335" s="6" t="s">
        <v>395</v>
      </c>
      <c r="AB335" s="15" t="str">
        <f aca="true" t="array" ref="AB335:AB335">LEFT(AA335,LOOKUP(2^15,FIND(".",AA335,ROW(INDIRECT("1:"&amp;LEN(AA335)))))-1)</f>
        <v>NB_2022_043 - 15082022 - 1</v>
      </c>
      <c r="AC335" s="6" t="s">
        <v>396</v>
      </c>
      <c r="AD335" s="15" t="str">
        <f aca="true" t="array" ref="AD335:AD335">LEFT(AC335,LOOKUP(2^15,FIND(".",AC335,ROW(INDIRECT("1:"&amp;LEN(AC335)))))-1)</f>
        <v>NB_2022_043 - 15082022 - 2</v>
      </c>
      <c r="AE335" s="6" t="str">
        <f aca="false">CONCATENATE(AB335, "-",H335, ".mzML")</f>
        <v>NB_2022_043 - 15082022 - 1-Blank_1.mzML</v>
      </c>
      <c r="AF335" s="6" t="str">
        <f aca="false">CONCATENATE(AD335, "-",H335, ".mzML")</f>
        <v>NB_2022_043 - 15082022 - 2-Blank_1.mzML</v>
      </c>
    </row>
    <row r="336" s="23" customFormat="true" ht="15" hidden="false" customHeight="false" outlineLevel="0" collapsed="false">
      <c r="A336" s="4" t="s">
        <v>374</v>
      </c>
      <c r="B336" s="5"/>
      <c r="C336" s="4" t="s">
        <v>375</v>
      </c>
      <c r="D336" s="6" t="s">
        <v>13</v>
      </c>
      <c r="E336" s="6" t="s">
        <v>387</v>
      </c>
      <c r="F336" s="7" t="s">
        <v>388</v>
      </c>
      <c r="G336" s="6" t="s">
        <v>387</v>
      </c>
      <c r="H336" s="8" t="s">
        <v>66</v>
      </c>
      <c r="I336" s="6" t="str">
        <f aca="false">CONCATENATE(E336, "_",H336)</f>
        <v>NLA_2022_010_Blank_2</v>
      </c>
      <c r="J336" s="6" t="s">
        <v>46</v>
      </c>
      <c r="K336" s="6" t="s">
        <v>280</v>
      </c>
      <c r="L336" s="9" t="s">
        <v>46</v>
      </c>
      <c r="M336" s="13" t="s">
        <v>46</v>
      </c>
      <c r="N336" s="6" t="s">
        <v>65</v>
      </c>
      <c r="O336" s="6" t="s">
        <v>46</v>
      </c>
      <c r="P336" s="6" t="s">
        <v>46</v>
      </c>
      <c r="Q336" s="6" t="s">
        <v>46</v>
      </c>
      <c r="R336" s="6" t="s">
        <v>46</v>
      </c>
      <c r="S336" s="6" t="s">
        <v>46</v>
      </c>
      <c r="T336" s="6" t="s">
        <v>46</v>
      </c>
      <c r="U336" s="6" t="s">
        <v>46</v>
      </c>
      <c r="V336" s="1" t="n">
        <v>2</v>
      </c>
      <c r="W336" s="6"/>
      <c r="X336" s="6" t="s">
        <v>46</v>
      </c>
      <c r="Y336" s="1" t="n">
        <v>5500</v>
      </c>
      <c r="Z336" s="6" t="s">
        <v>394</v>
      </c>
      <c r="AA336" s="6" t="s">
        <v>395</v>
      </c>
      <c r="AB336" s="15" t="str">
        <f aca="true" t="array" ref="AB336:AB336">LEFT(AA336,LOOKUP(2^15,FIND(".",AA336,ROW(INDIRECT("1:"&amp;LEN(AA336)))))-1)</f>
        <v>NB_2022_043 - 15082022 - 1</v>
      </c>
      <c r="AC336" s="6" t="s">
        <v>396</v>
      </c>
      <c r="AD336" s="15" t="str">
        <f aca="true" t="array" ref="AD336:AD336">LEFT(AC336,LOOKUP(2^15,FIND(".",AC336,ROW(INDIRECT("1:"&amp;LEN(AC336)))))-1)</f>
        <v>NB_2022_043 - 15082022 - 2</v>
      </c>
      <c r="AE336" s="6" t="str">
        <f aca="false">CONCATENATE(AB336, "-",H336, ".mzML")</f>
        <v>NB_2022_043 - 15082022 - 1-Blank_2.mzML</v>
      </c>
      <c r="AF336" s="6" t="str">
        <f aca="false">CONCATENATE(AD336, "-",H336, ".mzML")</f>
        <v>NB_2022_043 - 15082022 - 2-Blank_2.mzML</v>
      </c>
    </row>
    <row r="337" s="23" customFormat="true" ht="15" hidden="false" customHeight="false" outlineLevel="0" collapsed="false">
      <c r="A337" s="4" t="s">
        <v>374</v>
      </c>
      <c r="B337" s="5"/>
      <c r="C337" s="4" t="s">
        <v>375</v>
      </c>
      <c r="D337" s="6" t="s">
        <v>13</v>
      </c>
      <c r="E337" s="6" t="s">
        <v>387</v>
      </c>
      <c r="F337" s="7" t="s">
        <v>388</v>
      </c>
      <c r="G337" s="6" t="s">
        <v>387</v>
      </c>
      <c r="H337" s="8" t="s">
        <v>67</v>
      </c>
      <c r="I337" s="6" t="str">
        <f aca="false">CONCATENATE(E337, "_",H337)</f>
        <v>NLA_2022_010_Blank_3</v>
      </c>
      <c r="J337" s="6" t="s">
        <v>46</v>
      </c>
      <c r="K337" s="6" t="s">
        <v>280</v>
      </c>
      <c r="L337" s="9" t="s">
        <v>46</v>
      </c>
      <c r="M337" s="13" t="s">
        <v>46</v>
      </c>
      <c r="N337" s="6" t="s">
        <v>65</v>
      </c>
      <c r="O337" s="6" t="s">
        <v>46</v>
      </c>
      <c r="P337" s="6" t="s">
        <v>46</v>
      </c>
      <c r="Q337" s="6" t="s">
        <v>46</v>
      </c>
      <c r="R337" s="6" t="s">
        <v>46</v>
      </c>
      <c r="S337" s="6" t="s">
        <v>46</v>
      </c>
      <c r="T337" s="6" t="s">
        <v>46</v>
      </c>
      <c r="U337" s="6" t="s">
        <v>46</v>
      </c>
      <c r="V337" s="1" t="n">
        <v>3</v>
      </c>
      <c r="W337" s="6"/>
      <c r="X337" s="6" t="s">
        <v>46</v>
      </c>
      <c r="Y337" s="1" t="n">
        <v>5500</v>
      </c>
      <c r="Z337" s="6" t="s">
        <v>394</v>
      </c>
      <c r="AA337" s="6" t="s">
        <v>395</v>
      </c>
      <c r="AB337" s="15" t="str">
        <f aca="true" t="array" ref="AB337:AB337">LEFT(AA337,LOOKUP(2^15,FIND(".",AA337,ROW(INDIRECT("1:"&amp;LEN(AA337)))))-1)</f>
        <v>NB_2022_043 - 15082022 - 1</v>
      </c>
      <c r="AC337" s="6" t="s">
        <v>396</v>
      </c>
      <c r="AD337" s="15" t="str">
        <f aca="true" t="array" ref="AD337:AD337">LEFT(AC337,LOOKUP(2^15,FIND(".",AC337,ROW(INDIRECT("1:"&amp;LEN(AC337)))))-1)</f>
        <v>NB_2022_043 - 15082022 - 2</v>
      </c>
      <c r="AE337" s="6" t="str">
        <f aca="false">CONCATENATE(AB337, "-",H337, ".mzML")</f>
        <v>NB_2022_043 - 15082022 - 1-Blank_3.mzML</v>
      </c>
      <c r="AF337" s="6" t="str">
        <f aca="false">CONCATENATE(AD337, "-",H337, ".mzML")</f>
        <v>NB_2022_043 - 15082022 - 2-Blank_3.mzML</v>
      </c>
    </row>
    <row r="338" s="23" customFormat="true" ht="15" hidden="false" customHeight="false" outlineLevel="0" collapsed="false">
      <c r="A338" s="4" t="s">
        <v>374</v>
      </c>
      <c r="B338" s="5"/>
      <c r="C338" s="4" t="s">
        <v>375</v>
      </c>
      <c r="D338" s="6" t="s">
        <v>13</v>
      </c>
      <c r="E338" s="6" t="s">
        <v>387</v>
      </c>
      <c r="F338" s="7" t="s">
        <v>388</v>
      </c>
      <c r="G338" s="6" t="s">
        <v>387</v>
      </c>
      <c r="H338" s="8" t="s">
        <v>68</v>
      </c>
      <c r="I338" s="6" t="str">
        <f aca="false">CONCATENATE(E338, "_",H338)</f>
        <v>NLA_2022_010_QC_C_1</v>
      </c>
      <c r="J338" s="6" t="s">
        <v>46</v>
      </c>
      <c r="K338" s="6" t="s">
        <v>223</v>
      </c>
      <c r="L338" s="9" t="s">
        <v>69</v>
      </c>
      <c r="M338" s="13" t="s">
        <v>46</v>
      </c>
      <c r="N338" s="6" t="s">
        <v>70</v>
      </c>
      <c r="O338" s="6" t="s">
        <v>46</v>
      </c>
      <c r="P338" s="6" t="s">
        <v>71</v>
      </c>
      <c r="Q338" s="6" t="s">
        <v>71</v>
      </c>
      <c r="R338" s="6" t="s">
        <v>72</v>
      </c>
      <c r="S338" s="6" t="s">
        <v>73</v>
      </c>
      <c r="T338" s="6" t="s">
        <v>46</v>
      </c>
      <c r="U338" s="6" t="n">
        <v>1000</v>
      </c>
      <c r="V338" s="1" t="n">
        <v>1</v>
      </c>
      <c r="W338" s="6"/>
      <c r="X338" s="6" t="s">
        <v>74</v>
      </c>
      <c r="Y338" s="1" t="n">
        <v>5500</v>
      </c>
      <c r="Z338" s="6" t="s">
        <v>394</v>
      </c>
      <c r="AA338" s="6" t="s">
        <v>395</v>
      </c>
      <c r="AB338" s="15" t="str">
        <f aca="true" t="array" ref="AB338:AB338">LEFT(AA338,LOOKUP(2^15,FIND(".",AA338,ROW(INDIRECT("1:"&amp;LEN(AA338)))))-1)</f>
        <v>NB_2022_043 - 15082022 - 1</v>
      </c>
      <c r="AC338" s="6" t="s">
        <v>396</v>
      </c>
      <c r="AD338" s="15" t="str">
        <f aca="true" t="array" ref="AD338:AD338">LEFT(AC338,LOOKUP(2^15,FIND(".",AC338,ROW(INDIRECT("1:"&amp;LEN(AC338)))))-1)</f>
        <v>NB_2022_043 - 15082022 - 2</v>
      </c>
      <c r="AE338" s="6" t="str">
        <f aca="false">CONCATENATE(AB338, "-",H338, ".mzML")</f>
        <v>NB_2022_043 - 15082022 - 1-QC_C_1.mzML</v>
      </c>
      <c r="AF338" s="6" t="str">
        <f aca="false">CONCATENATE(AD338, "-",H338, ".mzML")</f>
        <v>NB_2022_043 - 15082022 - 2-QC_C_1.mzML</v>
      </c>
    </row>
    <row r="339" s="23" customFormat="true" ht="15" hidden="false" customHeight="false" outlineLevel="0" collapsed="false">
      <c r="A339" s="4" t="s">
        <v>374</v>
      </c>
      <c r="B339" s="5"/>
      <c r="C339" s="4" t="s">
        <v>375</v>
      </c>
      <c r="D339" s="6" t="s">
        <v>13</v>
      </c>
      <c r="E339" s="6" t="s">
        <v>387</v>
      </c>
      <c r="F339" s="7" t="s">
        <v>388</v>
      </c>
      <c r="G339" s="6" t="s">
        <v>387</v>
      </c>
      <c r="H339" s="8" t="s">
        <v>75</v>
      </c>
      <c r="I339" s="6" t="str">
        <f aca="false">CONCATENATE(E339, "_",H339)</f>
        <v>NLA_2022_010_QC_C_2</v>
      </c>
      <c r="J339" s="6" t="s">
        <v>46</v>
      </c>
      <c r="K339" s="6" t="s">
        <v>223</v>
      </c>
      <c r="L339" s="9" t="s">
        <v>69</v>
      </c>
      <c r="M339" s="13" t="s">
        <v>46</v>
      </c>
      <c r="N339" s="6" t="s">
        <v>70</v>
      </c>
      <c r="O339" s="6" t="s">
        <v>46</v>
      </c>
      <c r="P339" s="6" t="s">
        <v>71</v>
      </c>
      <c r="Q339" s="6" t="s">
        <v>71</v>
      </c>
      <c r="R339" s="6" t="s">
        <v>72</v>
      </c>
      <c r="S339" s="6" t="s">
        <v>73</v>
      </c>
      <c r="T339" s="6" t="s">
        <v>46</v>
      </c>
      <c r="U339" s="6" t="n">
        <v>1000</v>
      </c>
      <c r="V339" s="1" t="n">
        <v>2</v>
      </c>
      <c r="W339" s="6"/>
      <c r="X339" s="6" t="s">
        <v>74</v>
      </c>
      <c r="Y339" s="6" t="n">
        <v>5500</v>
      </c>
      <c r="Z339" s="6" t="s">
        <v>394</v>
      </c>
      <c r="AA339" s="6" t="s">
        <v>395</v>
      </c>
      <c r="AB339" s="15" t="str">
        <f aca="true" t="array" ref="AB339:AB339">LEFT(AA339,LOOKUP(2^15,FIND(".",AA339,ROW(INDIRECT("1:"&amp;LEN(AA339)))))-1)</f>
        <v>NB_2022_043 - 15082022 - 1</v>
      </c>
      <c r="AC339" s="6" t="s">
        <v>396</v>
      </c>
      <c r="AD339" s="15" t="str">
        <f aca="true" t="array" ref="AD339:AD339">LEFT(AC339,LOOKUP(2^15,FIND(".",AC339,ROW(INDIRECT("1:"&amp;LEN(AC339)))))-1)</f>
        <v>NB_2022_043 - 15082022 - 2</v>
      </c>
      <c r="AE339" s="6" t="str">
        <f aca="false">CONCATENATE(AB339, "-",H339, ".mzML")</f>
        <v>NB_2022_043 - 15082022 - 1-QC_C_2.mzML</v>
      </c>
      <c r="AF339" s="6" t="str">
        <f aca="false">CONCATENATE(AD339, "-",H339, ".mzML")</f>
        <v>NB_2022_043 - 15082022 - 2-QC_C_2.mzML</v>
      </c>
    </row>
    <row r="340" s="23" customFormat="true" ht="15" hidden="false" customHeight="false" outlineLevel="0" collapsed="false">
      <c r="A340" s="4" t="s">
        <v>374</v>
      </c>
      <c r="B340" s="5"/>
      <c r="C340" s="4" t="s">
        <v>375</v>
      </c>
      <c r="D340" s="6" t="s">
        <v>13</v>
      </c>
      <c r="E340" s="6" t="s">
        <v>387</v>
      </c>
      <c r="F340" s="7" t="s">
        <v>388</v>
      </c>
      <c r="G340" s="6" t="s">
        <v>387</v>
      </c>
      <c r="H340" s="8" t="s">
        <v>76</v>
      </c>
      <c r="I340" s="6" t="str">
        <f aca="false">CONCATENATE(E340, "_",H340)</f>
        <v>NLA_2022_010_QC_C_3</v>
      </c>
      <c r="J340" s="6" t="s">
        <v>46</v>
      </c>
      <c r="K340" s="6" t="s">
        <v>223</v>
      </c>
      <c r="L340" s="9" t="s">
        <v>69</v>
      </c>
      <c r="M340" s="13" t="s">
        <v>46</v>
      </c>
      <c r="N340" s="6" t="s">
        <v>70</v>
      </c>
      <c r="O340" s="6" t="s">
        <v>46</v>
      </c>
      <c r="P340" s="6" t="s">
        <v>71</v>
      </c>
      <c r="Q340" s="6" t="s">
        <v>71</v>
      </c>
      <c r="R340" s="6" t="s">
        <v>72</v>
      </c>
      <c r="S340" s="6" t="s">
        <v>73</v>
      </c>
      <c r="T340" s="6" t="s">
        <v>46</v>
      </c>
      <c r="U340" s="6" t="n">
        <v>1000</v>
      </c>
      <c r="V340" s="1" t="n">
        <v>3</v>
      </c>
      <c r="W340" s="6"/>
      <c r="X340" s="6" t="s">
        <v>74</v>
      </c>
      <c r="Y340" s="1" t="n">
        <v>5500</v>
      </c>
      <c r="Z340" s="6" t="s">
        <v>394</v>
      </c>
      <c r="AA340" s="6" t="s">
        <v>395</v>
      </c>
      <c r="AB340" s="15" t="str">
        <f aca="true" t="array" ref="AB340:AB340">LEFT(AA340,LOOKUP(2^15,FIND(".",AA340,ROW(INDIRECT("1:"&amp;LEN(AA340)))))-1)</f>
        <v>NB_2022_043 - 15082022 - 1</v>
      </c>
      <c r="AC340" s="6" t="s">
        <v>396</v>
      </c>
      <c r="AD340" s="15" t="str">
        <f aca="true" t="array" ref="AD340:AD340">LEFT(AC340,LOOKUP(2^15,FIND(".",AC340,ROW(INDIRECT("1:"&amp;LEN(AC340)))))-1)</f>
        <v>NB_2022_043 - 15082022 - 2</v>
      </c>
      <c r="AE340" s="6" t="str">
        <f aca="false">CONCATENATE(AB340, "-",H340, ".mzML")</f>
        <v>NB_2022_043 - 15082022 - 1-QC_C_3.mzML</v>
      </c>
      <c r="AF340" s="6" t="str">
        <f aca="false">CONCATENATE(AD340, "-",H340, ".mzML")</f>
        <v>NB_2022_043 - 15082022 - 2-QC_C_3.mzML</v>
      </c>
    </row>
    <row r="341" customFormat="false" ht="13.8" hidden="false" customHeight="false" outlineLevel="0" collapsed="false">
      <c r="A341" s="4" t="s">
        <v>397</v>
      </c>
      <c r="B341" s="5"/>
      <c r="C341" s="4" t="s">
        <v>398</v>
      </c>
      <c r="D341" s="6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6" t="s">
        <v>158</v>
      </c>
      <c r="K341" s="6" t="s">
        <v>403</v>
      </c>
      <c r="L341" s="6" t="s">
        <v>69</v>
      </c>
      <c r="M341" s="13" t="s">
        <v>46</v>
      </c>
      <c r="N341" s="6" t="s">
        <v>404</v>
      </c>
      <c r="O341" s="6" t="s">
        <v>54</v>
      </c>
      <c r="P341" s="6" t="s">
        <v>405</v>
      </c>
      <c r="Q341" s="6" t="s">
        <v>46</v>
      </c>
      <c r="R341" s="6" t="s">
        <v>44</v>
      </c>
      <c r="S341" s="6" t="s">
        <v>46</v>
      </c>
      <c r="T341" s="6" t="s">
        <v>406</v>
      </c>
      <c r="U341" s="6" t="s">
        <v>46</v>
      </c>
      <c r="V341" s="6" t="n">
        <v>1</v>
      </c>
      <c r="W341" s="1" t="s">
        <v>407</v>
      </c>
      <c r="X341" s="6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3.8" hidden="false" customHeight="false" outlineLevel="0" collapsed="false">
      <c r="A342" s="4" t="s">
        <v>397</v>
      </c>
      <c r="B342" s="5"/>
      <c r="C342" s="4" t="s">
        <v>398</v>
      </c>
      <c r="D342" s="6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6" t="s">
        <v>166</v>
      </c>
      <c r="K342" s="6" t="s">
        <v>417</v>
      </c>
      <c r="L342" s="6" t="s">
        <v>69</v>
      </c>
      <c r="M342" s="13" t="s">
        <v>46</v>
      </c>
      <c r="N342" s="6" t="s">
        <v>404</v>
      </c>
      <c r="O342" s="6" t="s">
        <v>418</v>
      </c>
      <c r="P342" s="6" t="s">
        <v>405</v>
      </c>
      <c r="Q342" s="6" t="s">
        <v>46</v>
      </c>
      <c r="R342" s="6" t="s">
        <v>72</v>
      </c>
      <c r="S342" s="6" t="s">
        <v>46</v>
      </c>
      <c r="T342" s="6" t="s">
        <v>419</v>
      </c>
      <c r="U342" s="6" t="s">
        <v>46</v>
      </c>
      <c r="V342" s="6" t="n">
        <v>1</v>
      </c>
      <c r="W342" s="1" t="s">
        <v>420</v>
      </c>
      <c r="X342" s="6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3.8" hidden="false" customHeight="false" outlineLevel="0" collapsed="false">
      <c r="A343" s="4" t="s">
        <v>397</v>
      </c>
      <c r="B343" s="5"/>
      <c r="C343" s="4" t="s">
        <v>398</v>
      </c>
      <c r="D343" s="6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6" t="s">
        <v>158</v>
      </c>
      <c r="K343" s="6" t="s">
        <v>424</v>
      </c>
      <c r="L343" s="6" t="s">
        <v>69</v>
      </c>
      <c r="M343" s="13" t="s">
        <v>46</v>
      </c>
      <c r="N343" s="6" t="s">
        <v>404</v>
      </c>
      <c r="O343" s="6" t="s">
        <v>54</v>
      </c>
      <c r="P343" s="6" t="s">
        <v>405</v>
      </c>
      <c r="Q343" s="6" t="s">
        <v>46</v>
      </c>
      <c r="R343" s="6" t="s">
        <v>44</v>
      </c>
      <c r="S343" s="6" t="s">
        <v>46</v>
      </c>
      <c r="T343" s="6" t="s">
        <v>406</v>
      </c>
      <c r="U343" s="6" t="s">
        <v>46</v>
      </c>
      <c r="V343" s="6" t="n">
        <v>1</v>
      </c>
      <c r="W343" s="1" t="s">
        <v>425</v>
      </c>
      <c r="X343" s="6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3.8" hidden="false" customHeight="false" outlineLevel="0" collapsed="false">
      <c r="A344" s="4" t="s">
        <v>397</v>
      </c>
      <c r="B344" s="5"/>
      <c r="C344" s="4" t="s">
        <v>398</v>
      </c>
      <c r="D344" s="6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6" t="s">
        <v>166</v>
      </c>
      <c r="K344" s="6" t="s">
        <v>429</v>
      </c>
      <c r="L344" s="6" t="s">
        <v>69</v>
      </c>
      <c r="M344" s="13" t="s">
        <v>46</v>
      </c>
      <c r="N344" s="6" t="s">
        <v>404</v>
      </c>
      <c r="O344" s="6" t="s">
        <v>430</v>
      </c>
      <c r="P344" s="6" t="s">
        <v>405</v>
      </c>
      <c r="Q344" s="6" t="s">
        <v>46</v>
      </c>
      <c r="R344" s="6" t="s">
        <v>44</v>
      </c>
      <c r="S344" s="6" t="s">
        <v>46</v>
      </c>
      <c r="T344" s="6" t="s">
        <v>419</v>
      </c>
      <c r="U344" s="6" t="s">
        <v>46</v>
      </c>
      <c r="V344" s="6" t="n">
        <v>1</v>
      </c>
      <c r="W344" s="1" t="s">
        <v>431</v>
      </c>
      <c r="X344" s="6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3.8" hidden="false" customHeight="false" outlineLevel="0" collapsed="false">
      <c r="A345" s="4" t="s">
        <v>397</v>
      </c>
      <c r="B345" s="5"/>
      <c r="C345" s="4" t="s">
        <v>398</v>
      </c>
      <c r="D345" s="6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6" t="s">
        <v>166</v>
      </c>
      <c r="K345" s="6" t="s">
        <v>435</v>
      </c>
      <c r="L345" s="6" t="s">
        <v>69</v>
      </c>
      <c r="M345" s="13" t="s">
        <v>46</v>
      </c>
      <c r="N345" s="6" t="s">
        <v>404</v>
      </c>
      <c r="O345" s="6" t="s">
        <v>418</v>
      </c>
      <c r="P345" s="6" t="s">
        <v>405</v>
      </c>
      <c r="Q345" s="6" t="s">
        <v>46</v>
      </c>
      <c r="R345" s="6" t="s">
        <v>72</v>
      </c>
      <c r="S345" s="6" t="s">
        <v>46</v>
      </c>
      <c r="T345" s="6" t="s">
        <v>419</v>
      </c>
      <c r="U345" s="6" t="s">
        <v>46</v>
      </c>
      <c r="V345" s="6" t="n">
        <v>1</v>
      </c>
      <c r="W345" s="1" t="s">
        <v>436</v>
      </c>
      <c r="X345" s="6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3.8" hidden="false" customHeight="false" outlineLevel="0" collapsed="false">
      <c r="A346" s="4" t="s">
        <v>397</v>
      </c>
      <c r="B346" s="5"/>
      <c r="C346" s="4" t="s">
        <v>398</v>
      </c>
      <c r="D346" s="6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6" t="s">
        <v>166</v>
      </c>
      <c r="K346" s="6" t="s">
        <v>441</v>
      </c>
      <c r="L346" s="6" t="s">
        <v>69</v>
      </c>
      <c r="M346" s="13" t="s">
        <v>46</v>
      </c>
      <c r="N346" s="6" t="s">
        <v>404</v>
      </c>
      <c r="O346" s="6" t="s">
        <v>42</v>
      </c>
      <c r="P346" s="6" t="s">
        <v>405</v>
      </c>
      <c r="Q346" s="6" t="s">
        <v>46</v>
      </c>
      <c r="R346" s="6" t="s">
        <v>72</v>
      </c>
      <c r="S346" s="6" t="s">
        <v>46</v>
      </c>
      <c r="T346" s="6" t="s">
        <v>419</v>
      </c>
      <c r="U346" s="6" t="s">
        <v>46</v>
      </c>
      <c r="V346" s="6" t="n">
        <v>1</v>
      </c>
      <c r="W346" s="1" t="s">
        <v>442</v>
      </c>
      <c r="X346" s="6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3.8" hidden="false" customHeight="false" outlineLevel="0" collapsed="false">
      <c r="A347" s="4" t="s">
        <v>397</v>
      </c>
      <c r="B347" s="5"/>
      <c r="C347" s="4" t="s">
        <v>398</v>
      </c>
      <c r="D347" s="6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6" t="s">
        <v>158</v>
      </c>
      <c r="K347" s="6" t="s">
        <v>447</v>
      </c>
      <c r="L347" s="6" t="s">
        <v>69</v>
      </c>
      <c r="M347" s="13" t="s">
        <v>46</v>
      </c>
      <c r="N347" s="6" t="s">
        <v>404</v>
      </c>
      <c r="O347" s="6" t="s">
        <v>42</v>
      </c>
      <c r="P347" s="6" t="s">
        <v>405</v>
      </c>
      <c r="Q347" s="6" t="s">
        <v>46</v>
      </c>
      <c r="R347" s="6" t="s">
        <v>72</v>
      </c>
      <c r="S347" s="6" t="s">
        <v>46</v>
      </c>
      <c r="T347" s="6" t="s">
        <v>406</v>
      </c>
      <c r="U347" s="6" t="s">
        <v>46</v>
      </c>
      <c r="V347" s="6" t="n">
        <v>1</v>
      </c>
      <c r="W347" s="1" t="s">
        <v>448</v>
      </c>
      <c r="X347" s="6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3.8" hidden="false" customHeight="false" outlineLevel="0" collapsed="false">
      <c r="A348" s="4" t="s">
        <v>397</v>
      </c>
      <c r="B348" s="5"/>
      <c r="C348" s="4" t="s">
        <v>398</v>
      </c>
      <c r="D348" s="6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6" t="s">
        <v>158</v>
      </c>
      <c r="K348" s="6" t="s">
        <v>64</v>
      </c>
      <c r="L348" s="6" t="s">
        <v>46</v>
      </c>
      <c r="M348" s="13" t="s">
        <v>46</v>
      </c>
      <c r="N348" s="6" t="s">
        <v>65</v>
      </c>
      <c r="O348" s="6" t="s">
        <v>46</v>
      </c>
      <c r="P348" s="6" t="s">
        <v>46</v>
      </c>
      <c r="Q348" s="6" t="s">
        <v>46</v>
      </c>
      <c r="R348" s="6" t="s">
        <v>46</v>
      </c>
      <c r="S348" s="6" t="s">
        <v>46</v>
      </c>
      <c r="T348" s="6" t="s">
        <v>46</v>
      </c>
      <c r="U348" s="6" t="s">
        <v>46</v>
      </c>
      <c r="V348" s="6" t="n">
        <v>1</v>
      </c>
      <c r="X348" s="6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3.8" hidden="false" customHeight="false" outlineLevel="0" collapsed="false">
      <c r="A349" s="4" t="s">
        <v>397</v>
      </c>
      <c r="B349" s="5"/>
      <c r="C349" s="4" t="s">
        <v>398</v>
      </c>
      <c r="D349" s="6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6" t="s">
        <v>158</v>
      </c>
      <c r="K349" s="6" t="s">
        <v>66</v>
      </c>
      <c r="L349" s="6" t="s">
        <v>46</v>
      </c>
      <c r="M349" s="13" t="s">
        <v>46</v>
      </c>
      <c r="N349" s="6" t="s">
        <v>65</v>
      </c>
      <c r="O349" s="6" t="s">
        <v>46</v>
      </c>
      <c r="P349" s="6" t="s">
        <v>46</v>
      </c>
      <c r="Q349" s="6" t="s">
        <v>46</v>
      </c>
      <c r="R349" s="6" t="s">
        <v>46</v>
      </c>
      <c r="S349" s="6" t="s">
        <v>46</v>
      </c>
      <c r="T349" s="6" t="s">
        <v>46</v>
      </c>
      <c r="U349" s="6" t="s">
        <v>46</v>
      </c>
      <c r="V349" s="6" t="n">
        <v>2</v>
      </c>
      <c r="X349" s="6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3.8" hidden="false" customHeight="false" outlineLevel="0" collapsed="false">
      <c r="A350" s="4" t="s">
        <v>397</v>
      </c>
      <c r="B350" s="5"/>
      <c r="C350" s="4" t="s">
        <v>398</v>
      </c>
      <c r="D350" s="6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6" t="s">
        <v>158</v>
      </c>
      <c r="K350" s="6" t="s">
        <v>67</v>
      </c>
      <c r="L350" s="6" t="s">
        <v>46</v>
      </c>
      <c r="M350" s="13" t="s">
        <v>46</v>
      </c>
      <c r="N350" s="6" t="s">
        <v>65</v>
      </c>
      <c r="O350" s="6" t="s">
        <v>46</v>
      </c>
      <c r="P350" s="6" t="s">
        <v>46</v>
      </c>
      <c r="Q350" s="6" t="s">
        <v>46</v>
      </c>
      <c r="R350" s="6" t="s">
        <v>46</v>
      </c>
      <c r="S350" s="6" t="s">
        <v>46</v>
      </c>
      <c r="T350" s="6" t="s">
        <v>46</v>
      </c>
      <c r="U350" s="6" t="s">
        <v>46</v>
      </c>
      <c r="V350" s="6" t="n">
        <v>3</v>
      </c>
      <c r="X350" s="6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3.8" hidden="false" customHeight="false" outlineLevel="0" collapsed="false">
      <c r="A351" s="4" t="s">
        <v>397</v>
      </c>
      <c r="B351" s="5"/>
      <c r="C351" s="4" t="s">
        <v>398</v>
      </c>
      <c r="D351" s="6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6" t="s">
        <v>158</v>
      </c>
      <c r="K351" s="6" t="s">
        <v>221</v>
      </c>
      <c r="L351" s="6" t="s">
        <v>46</v>
      </c>
      <c r="M351" s="13" t="s">
        <v>46</v>
      </c>
      <c r="N351" s="6" t="s">
        <v>65</v>
      </c>
      <c r="O351" s="6" t="s">
        <v>46</v>
      </c>
      <c r="P351" s="6" t="s">
        <v>46</v>
      </c>
      <c r="Q351" s="6" t="s">
        <v>46</v>
      </c>
      <c r="R351" s="6" t="s">
        <v>46</v>
      </c>
      <c r="S351" s="6" t="s">
        <v>46</v>
      </c>
      <c r="T351" s="6" t="s">
        <v>46</v>
      </c>
      <c r="U351" s="6" t="s">
        <v>46</v>
      </c>
      <c r="V351" s="6" t="n">
        <v>4</v>
      </c>
      <c r="X351" s="6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3.8" hidden="false" customHeight="false" outlineLevel="0" collapsed="false">
      <c r="A352" s="4" t="s">
        <v>397</v>
      </c>
      <c r="B352" s="5"/>
      <c r="C352" s="4" t="s">
        <v>398</v>
      </c>
      <c r="D352" s="6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6" t="s">
        <v>158</v>
      </c>
      <c r="K352" s="6" t="s">
        <v>463</v>
      </c>
      <c r="L352" s="6" t="s">
        <v>69</v>
      </c>
      <c r="M352" s="13" t="s">
        <v>46</v>
      </c>
      <c r="N352" s="6" t="s">
        <v>465</v>
      </c>
      <c r="O352" s="6" t="s">
        <v>81</v>
      </c>
      <c r="P352" s="6" t="s">
        <v>81</v>
      </c>
      <c r="Q352" s="6" t="s">
        <v>81</v>
      </c>
      <c r="R352" s="6" t="s">
        <v>81</v>
      </c>
      <c r="S352" s="6" t="s">
        <v>46</v>
      </c>
      <c r="T352" s="6" t="s">
        <v>81</v>
      </c>
      <c r="U352" s="6" t="s">
        <v>46</v>
      </c>
      <c r="V352" s="6" t="n">
        <v>1</v>
      </c>
      <c r="X352" s="6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3.8" hidden="false" customHeight="false" outlineLevel="0" collapsed="false">
      <c r="A353" s="4" t="s">
        <v>397</v>
      </c>
      <c r="B353" s="5"/>
      <c r="C353" s="4" t="s">
        <v>398</v>
      </c>
      <c r="D353" s="6" t="s">
        <v>19</v>
      </c>
      <c r="E353" s="6" t="s">
        <v>399</v>
      </c>
      <c r="F353" s="6" t="s">
        <v>400</v>
      </c>
      <c r="G353" s="6" t="s">
        <v>399</v>
      </c>
      <c r="H353" s="7" t="s">
        <v>468</v>
      </c>
      <c r="I353" s="6" t="s">
        <v>469</v>
      </c>
      <c r="J353" s="1" t="s">
        <v>158</v>
      </c>
      <c r="K353" s="6" t="s">
        <v>468</v>
      </c>
      <c r="L353" s="6" t="s">
        <v>69</v>
      </c>
      <c r="M353" s="13" t="s">
        <v>46</v>
      </c>
      <c r="N353" s="6" t="s">
        <v>465</v>
      </c>
      <c r="O353" s="6" t="s">
        <v>81</v>
      </c>
      <c r="P353" s="6" t="s">
        <v>81</v>
      </c>
      <c r="Q353" s="6" t="s">
        <v>81</v>
      </c>
      <c r="R353" s="6" t="s">
        <v>81</v>
      </c>
      <c r="S353" s="6" t="s">
        <v>46</v>
      </c>
      <c r="T353" s="6" t="s">
        <v>81</v>
      </c>
      <c r="U353" s="6" t="s">
        <v>46</v>
      </c>
      <c r="V353" s="6" t="n">
        <v>2</v>
      </c>
      <c r="X353" s="6" t="s">
        <v>408</v>
      </c>
      <c r="Y353" s="6" t="n">
        <v>5500</v>
      </c>
      <c r="Z353" s="6" t="s">
        <v>409</v>
      </c>
      <c r="AA353" s="6" t="s">
        <v>410</v>
      </c>
      <c r="AB353" s="6" t="s">
        <v>411</v>
      </c>
      <c r="AC353" s="6" t="s">
        <v>412</v>
      </c>
      <c r="AD353" s="1" t="s">
        <v>413</v>
      </c>
      <c r="AE353" s="6" t="s">
        <v>470</v>
      </c>
      <c r="AF353" s="6" t="s">
        <v>471</v>
      </c>
    </row>
    <row r="354" customFormat="false" ht="13.8" hidden="false" customHeight="false" outlineLevel="0" collapsed="false">
      <c r="A354" s="4" t="s">
        <v>397</v>
      </c>
      <c r="B354" s="5"/>
      <c r="C354" s="4" t="s">
        <v>398</v>
      </c>
      <c r="D354" s="6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6" t="s">
        <v>158</v>
      </c>
      <c r="K354" s="6" t="s">
        <v>472</v>
      </c>
      <c r="L354" s="6" t="s">
        <v>69</v>
      </c>
      <c r="M354" s="13" t="s">
        <v>46</v>
      </c>
      <c r="N354" s="6" t="s">
        <v>465</v>
      </c>
      <c r="O354" s="6" t="s">
        <v>81</v>
      </c>
      <c r="P354" s="6" t="s">
        <v>81</v>
      </c>
      <c r="Q354" s="6" t="s">
        <v>81</v>
      </c>
      <c r="R354" s="6" t="s">
        <v>81</v>
      </c>
      <c r="S354" s="6" t="s">
        <v>46</v>
      </c>
      <c r="T354" s="6" t="s">
        <v>81</v>
      </c>
      <c r="U354" s="6" t="s">
        <v>46</v>
      </c>
      <c r="V354" s="6" t="n">
        <v>3</v>
      </c>
      <c r="X354" s="6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3.8" hidden="false" customHeight="false" outlineLevel="0" collapsed="false">
      <c r="A355" s="4" t="s">
        <v>397</v>
      </c>
      <c r="B355" s="5"/>
      <c r="C355" s="4" t="s">
        <v>398</v>
      </c>
      <c r="D355" s="6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6" t="s">
        <v>158</v>
      </c>
      <c r="K355" s="6" t="s">
        <v>476</v>
      </c>
      <c r="L355" s="6" t="s">
        <v>69</v>
      </c>
      <c r="M355" s="13" t="s">
        <v>46</v>
      </c>
      <c r="N355" s="6" t="s">
        <v>465</v>
      </c>
      <c r="O355" s="6" t="s">
        <v>81</v>
      </c>
      <c r="P355" s="6" t="s">
        <v>81</v>
      </c>
      <c r="Q355" s="6" t="s">
        <v>81</v>
      </c>
      <c r="R355" s="6" t="s">
        <v>81</v>
      </c>
      <c r="S355" s="6" t="s">
        <v>46</v>
      </c>
      <c r="T355" s="6" t="s">
        <v>81</v>
      </c>
      <c r="U355" s="6" t="s">
        <v>46</v>
      </c>
      <c r="V355" s="6" t="n">
        <v>4</v>
      </c>
      <c r="X355" s="6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3.8" hidden="false" customHeight="false" outlineLevel="0" collapsed="false">
      <c r="A356" s="4" t="s">
        <v>397</v>
      </c>
      <c r="B356" s="5"/>
      <c r="C356" s="4" t="s">
        <v>398</v>
      </c>
      <c r="D356" s="6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6" t="s">
        <v>158</v>
      </c>
      <c r="K356" s="6" t="s">
        <v>348</v>
      </c>
      <c r="L356" s="6" t="s">
        <v>69</v>
      </c>
      <c r="M356" s="13" t="s">
        <v>46</v>
      </c>
      <c r="N356" s="6" t="s">
        <v>70</v>
      </c>
      <c r="O356" s="6" t="s">
        <v>46</v>
      </c>
      <c r="P356" s="6" t="s">
        <v>71</v>
      </c>
      <c r="Q356" s="6" t="s">
        <v>71</v>
      </c>
      <c r="R356" s="6" t="s">
        <v>72</v>
      </c>
      <c r="S356" s="6" t="s">
        <v>73</v>
      </c>
      <c r="T356" s="6" t="s">
        <v>46</v>
      </c>
      <c r="U356" s="6" t="n">
        <v>1000</v>
      </c>
      <c r="V356" s="6" t="n">
        <v>1</v>
      </c>
      <c r="W356" s="6"/>
      <c r="X356" s="6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3.8" hidden="false" customHeight="false" outlineLevel="0" collapsed="false">
      <c r="A357" s="4" t="s">
        <v>397</v>
      </c>
      <c r="B357" s="5"/>
      <c r="C357" s="4" t="s">
        <v>398</v>
      </c>
      <c r="D357" s="6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6" t="s">
        <v>158</v>
      </c>
      <c r="K357" s="6" t="s">
        <v>349</v>
      </c>
      <c r="L357" s="6" t="s">
        <v>69</v>
      </c>
      <c r="M357" s="13" t="s">
        <v>46</v>
      </c>
      <c r="N357" s="6" t="s">
        <v>70</v>
      </c>
      <c r="O357" s="6" t="s">
        <v>46</v>
      </c>
      <c r="P357" s="6" t="s">
        <v>71</v>
      </c>
      <c r="Q357" s="6" t="s">
        <v>71</v>
      </c>
      <c r="R357" s="6" t="s">
        <v>72</v>
      </c>
      <c r="S357" s="6" t="s">
        <v>73</v>
      </c>
      <c r="T357" s="6" t="s">
        <v>46</v>
      </c>
      <c r="U357" s="6" t="n">
        <v>1000</v>
      </c>
      <c r="V357" s="6" t="n">
        <v>2</v>
      </c>
      <c r="W357" s="6"/>
      <c r="X357" s="6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3.8" hidden="false" customHeight="false" outlineLevel="0" collapsed="false">
      <c r="A358" s="4" t="s">
        <v>397</v>
      </c>
      <c r="B358" s="5"/>
      <c r="C358" s="4" t="s">
        <v>398</v>
      </c>
      <c r="D358" s="6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6" t="s">
        <v>158</v>
      </c>
      <c r="K358" s="6" t="s">
        <v>350</v>
      </c>
      <c r="L358" s="6" t="s">
        <v>69</v>
      </c>
      <c r="M358" s="13" t="s">
        <v>46</v>
      </c>
      <c r="N358" s="6" t="s">
        <v>70</v>
      </c>
      <c r="O358" s="6" t="s">
        <v>46</v>
      </c>
      <c r="P358" s="6" t="s">
        <v>71</v>
      </c>
      <c r="Q358" s="6" t="s">
        <v>71</v>
      </c>
      <c r="R358" s="6" t="s">
        <v>72</v>
      </c>
      <c r="S358" s="6" t="s">
        <v>73</v>
      </c>
      <c r="T358" s="6" t="s">
        <v>46</v>
      </c>
      <c r="U358" s="6" t="n">
        <v>1000</v>
      </c>
      <c r="V358" s="6" t="n">
        <v>3</v>
      </c>
      <c r="W358" s="6"/>
      <c r="X358" s="6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3.8" hidden="false" customHeight="false" outlineLevel="0" collapsed="false">
      <c r="A359" s="4" t="s">
        <v>397</v>
      </c>
      <c r="B359" s="5"/>
      <c r="C359" s="4" t="s">
        <v>398</v>
      </c>
      <c r="D359" s="6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6" t="s">
        <v>158</v>
      </c>
      <c r="K359" s="6" t="s">
        <v>351</v>
      </c>
      <c r="L359" s="6" t="s">
        <v>69</v>
      </c>
      <c r="M359" s="13" t="s">
        <v>46</v>
      </c>
      <c r="N359" s="6" t="s">
        <v>70</v>
      </c>
      <c r="O359" s="6" t="s">
        <v>46</v>
      </c>
      <c r="P359" s="6" t="s">
        <v>71</v>
      </c>
      <c r="Q359" s="6" t="s">
        <v>71</v>
      </c>
      <c r="R359" s="6" t="s">
        <v>72</v>
      </c>
      <c r="S359" s="6" t="s">
        <v>73</v>
      </c>
      <c r="T359" s="6" t="s">
        <v>46</v>
      </c>
      <c r="U359" s="6" t="n">
        <v>1000</v>
      </c>
      <c r="V359" s="6" t="n">
        <v>4</v>
      </c>
      <c r="W359" s="6"/>
      <c r="X359" s="6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3.8" hidden="false" customHeight="false" outlineLevel="0" collapsed="false">
      <c r="A360" s="4" t="s">
        <v>397</v>
      </c>
      <c r="B360" s="5"/>
      <c r="C360" s="4" t="s">
        <v>398</v>
      </c>
      <c r="D360" s="6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6" t="s">
        <v>158</v>
      </c>
      <c r="K360" s="6" t="s">
        <v>496</v>
      </c>
      <c r="L360" s="6" t="s">
        <v>69</v>
      </c>
      <c r="M360" s="13" t="s">
        <v>46</v>
      </c>
      <c r="N360" s="6" t="s">
        <v>404</v>
      </c>
      <c r="O360" s="6" t="s">
        <v>42</v>
      </c>
      <c r="P360" s="6" t="s">
        <v>405</v>
      </c>
      <c r="Q360" s="6" t="s">
        <v>46</v>
      </c>
      <c r="R360" s="6" t="s">
        <v>44</v>
      </c>
      <c r="S360" s="6" t="s">
        <v>46</v>
      </c>
      <c r="T360" s="6" t="s">
        <v>406</v>
      </c>
      <c r="U360" s="6" t="s">
        <v>46</v>
      </c>
      <c r="V360" s="6" t="n">
        <v>1</v>
      </c>
      <c r="W360" s="6" t="s">
        <v>497</v>
      </c>
      <c r="X360" s="6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3.8" hidden="false" customHeight="false" outlineLevel="0" collapsed="false">
      <c r="A361" s="4" t="s">
        <v>397</v>
      </c>
      <c r="B361" s="5"/>
      <c r="C361" s="4" t="s">
        <v>398</v>
      </c>
      <c r="D361" s="6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6" t="s">
        <v>158</v>
      </c>
      <c r="K361" s="6" t="s">
        <v>507</v>
      </c>
      <c r="L361" s="6" t="s">
        <v>69</v>
      </c>
      <c r="M361" s="13" t="s">
        <v>46</v>
      </c>
      <c r="N361" s="6" t="s">
        <v>404</v>
      </c>
      <c r="O361" s="6" t="s">
        <v>42</v>
      </c>
      <c r="P361" s="6" t="s">
        <v>405</v>
      </c>
      <c r="Q361" s="6" t="s">
        <v>46</v>
      </c>
      <c r="R361" s="6" t="s">
        <v>72</v>
      </c>
      <c r="S361" s="6" t="s">
        <v>46</v>
      </c>
      <c r="T361" s="6" t="s">
        <v>406</v>
      </c>
      <c r="U361" s="6" t="s">
        <v>46</v>
      </c>
      <c r="V361" s="6" t="n">
        <v>1</v>
      </c>
      <c r="W361" s="1" t="s">
        <v>508</v>
      </c>
      <c r="X361" s="6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3.8" hidden="false" customHeight="false" outlineLevel="0" collapsed="false">
      <c r="A362" s="4" t="s">
        <v>397</v>
      </c>
      <c r="B362" s="5"/>
      <c r="C362" s="4" t="s">
        <v>398</v>
      </c>
      <c r="D362" s="6" t="s">
        <v>19</v>
      </c>
      <c r="E362" s="6" t="s">
        <v>492</v>
      </c>
      <c r="F362" s="6" t="s">
        <v>493</v>
      </c>
      <c r="G362" s="6" t="s">
        <v>401</v>
      </c>
      <c r="H362" s="7" t="s">
        <v>511</v>
      </c>
      <c r="I362" s="6" t="s">
        <v>512</v>
      </c>
      <c r="J362" s="6" t="s">
        <v>158</v>
      </c>
      <c r="K362" s="6" t="s">
        <v>513</v>
      </c>
      <c r="L362" s="6" t="s">
        <v>69</v>
      </c>
      <c r="M362" s="13" t="s">
        <v>46</v>
      </c>
      <c r="N362" s="6" t="s">
        <v>404</v>
      </c>
      <c r="O362" s="6" t="s">
        <v>42</v>
      </c>
      <c r="P362" s="6" t="s">
        <v>405</v>
      </c>
      <c r="Q362" s="6" t="s">
        <v>46</v>
      </c>
      <c r="R362" s="6" t="s">
        <v>72</v>
      </c>
      <c r="S362" s="6" t="s">
        <v>46</v>
      </c>
      <c r="T362" s="6" t="s">
        <v>406</v>
      </c>
      <c r="U362" s="6" t="s">
        <v>46</v>
      </c>
      <c r="V362" s="6" t="n">
        <v>1</v>
      </c>
      <c r="W362" s="1" t="s">
        <v>514</v>
      </c>
      <c r="X362" s="6" t="s">
        <v>408</v>
      </c>
      <c r="Y362" s="6" t="n">
        <v>5500</v>
      </c>
      <c r="Z362" s="6" t="s">
        <v>498</v>
      </c>
      <c r="AA362" s="6" t="s">
        <v>499</v>
      </c>
      <c r="AB362" s="6" t="s">
        <v>500</v>
      </c>
      <c r="AC362" s="6" t="s">
        <v>501</v>
      </c>
      <c r="AD362" s="1" t="s">
        <v>502</v>
      </c>
      <c r="AE362" s="6" t="s">
        <v>515</v>
      </c>
      <c r="AF362" s="6" t="s">
        <v>516</v>
      </c>
    </row>
    <row r="363" customFormat="false" ht="13.8" hidden="false" customHeight="false" outlineLevel="0" collapsed="false">
      <c r="A363" s="4" t="s">
        <v>397</v>
      </c>
      <c r="B363" s="5"/>
      <c r="C363" s="4" t="s">
        <v>398</v>
      </c>
      <c r="D363" s="6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6" t="s">
        <v>166</v>
      </c>
      <c r="K363" s="6" t="s">
        <v>519</v>
      </c>
      <c r="L363" s="6" t="s">
        <v>69</v>
      </c>
      <c r="M363" s="13" t="s">
        <v>46</v>
      </c>
      <c r="N363" s="6" t="s">
        <v>404</v>
      </c>
      <c r="O363" s="6" t="s">
        <v>42</v>
      </c>
      <c r="P363" s="6" t="s">
        <v>405</v>
      </c>
      <c r="Q363" s="6" t="s">
        <v>46</v>
      </c>
      <c r="R363" s="6" t="s">
        <v>44</v>
      </c>
      <c r="S363" s="6" t="s">
        <v>46</v>
      </c>
      <c r="T363" s="6" t="s">
        <v>419</v>
      </c>
      <c r="U363" s="6" t="s">
        <v>46</v>
      </c>
      <c r="V363" s="6" t="n">
        <v>1</v>
      </c>
      <c r="W363" s="1" t="s">
        <v>520</v>
      </c>
      <c r="X363" s="6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3.8" hidden="false" customHeight="false" outlineLevel="0" collapsed="false">
      <c r="A364" s="4" t="s">
        <v>397</v>
      </c>
      <c r="B364" s="5"/>
      <c r="C364" s="4" t="s">
        <v>398</v>
      </c>
      <c r="D364" s="6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6" t="s">
        <v>166</v>
      </c>
      <c r="K364" s="6" t="s">
        <v>525</v>
      </c>
      <c r="L364" s="6" t="s">
        <v>69</v>
      </c>
      <c r="M364" s="13" t="s">
        <v>46</v>
      </c>
      <c r="N364" s="6" t="s">
        <v>404</v>
      </c>
      <c r="O364" s="6" t="s">
        <v>526</v>
      </c>
      <c r="P364" s="6" t="s">
        <v>405</v>
      </c>
      <c r="Q364" s="6" t="s">
        <v>46</v>
      </c>
      <c r="R364" s="6" t="s">
        <v>72</v>
      </c>
      <c r="S364" s="6" t="s">
        <v>46</v>
      </c>
      <c r="T364" s="6" t="s">
        <v>419</v>
      </c>
      <c r="U364" s="6" t="s">
        <v>46</v>
      </c>
      <c r="V364" s="6" t="n">
        <v>1</v>
      </c>
      <c r="W364" s="1" t="s">
        <v>527</v>
      </c>
      <c r="X364" s="6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3.8" hidden="false" customHeight="false" outlineLevel="0" collapsed="false">
      <c r="A365" s="4" t="s">
        <v>397</v>
      </c>
      <c r="B365" s="5"/>
      <c r="C365" s="4" t="s">
        <v>398</v>
      </c>
      <c r="D365" s="6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6" t="s">
        <v>64</v>
      </c>
      <c r="L365" s="6" t="s">
        <v>46</v>
      </c>
      <c r="M365" s="13" t="s">
        <v>46</v>
      </c>
      <c r="N365" s="6" t="s">
        <v>65</v>
      </c>
      <c r="O365" s="6" t="s">
        <v>46</v>
      </c>
      <c r="P365" s="6" t="s">
        <v>46</v>
      </c>
      <c r="Q365" s="6" t="s">
        <v>46</v>
      </c>
      <c r="R365" s="6" t="s">
        <v>46</v>
      </c>
      <c r="S365" s="6" t="s">
        <v>46</v>
      </c>
      <c r="T365" s="6" t="s">
        <v>46</v>
      </c>
      <c r="U365" s="6" t="s">
        <v>46</v>
      </c>
      <c r="V365" s="6" t="n">
        <v>1</v>
      </c>
      <c r="X365" s="6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3.8" hidden="false" customHeight="false" outlineLevel="0" collapsed="false">
      <c r="A366" s="4" t="s">
        <v>397</v>
      </c>
      <c r="B366" s="5"/>
      <c r="C366" s="4" t="s">
        <v>398</v>
      </c>
      <c r="D366" s="6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6" t="s">
        <v>66</v>
      </c>
      <c r="L366" s="6" t="s">
        <v>46</v>
      </c>
      <c r="M366" s="13" t="s">
        <v>46</v>
      </c>
      <c r="N366" s="6" t="s">
        <v>65</v>
      </c>
      <c r="O366" s="6" t="s">
        <v>46</v>
      </c>
      <c r="P366" s="6" t="s">
        <v>46</v>
      </c>
      <c r="Q366" s="6" t="s">
        <v>46</v>
      </c>
      <c r="R366" s="6" t="s">
        <v>46</v>
      </c>
      <c r="S366" s="6" t="s">
        <v>46</v>
      </c>
      <c r="T366" s="6" t="s">
        <v>46</v>
      </c>
      <c r="U366" s="6" t="s">
        <v>46</v>
      </c>
      <c r="V366" s="6" t="n">
        <v>2</v>
      </c>
      <c r="X366" s="6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3.8" hidden="false" customHeight="false" outlineLevel="0" collapsed="false">
      <c r="A367" s="4" t="s">
        <v>397</v>
      </c>
      <c r="B367" s="5"/>
      <c r="C367" s="4" t="s">
        <v>398</v>
      </c>
      <c r="D367" s="6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6" t="s">
        <v>67</v>
      </c>
      <c r="L367" s="6" t="s">
        <v>46</v>
      </c>
      <c r="M367" s="13" t="s">
        <v>46</v>
      </c>
      <c r="N367" s="6" t="s">
        <v>65</v>
      </c>
      <c r="O367" s="6" t="s">
        <v>46</v>
      </c>
      <c r="P367" s="6" t="s">
        <v>46</v>
      </c>
      <c r="Q367" s="6" t="s">
        <v>46</v>
      </c>
      <c r="R367" s="6" t="s">
        <v>46</v>
      </c>
      <c r="S367" s="6" t="s">
        <v>46</v>
      </c>
      <c r="T367" s="6" t="s">
        <v>46</v>
      </c>
      <c r="U367" s="6" t="s">
        <v>46</v>
      </c>
      <c r="V367" s="6" t="n">
        <v>3</v>
      </c>
      <c r="X367" s="6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3.8" hidden="false" customHeight="false" outlineLevel="0" collapsed="false">
      <c r="A368" s="4" t="s">
        <v>397</v>
      </c>
      <c r="B368" s="5"/>
      <c r="C368" s="4" t="s">
        <v>398</v>
      </c>
      <c r="D368" s="6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6" t="s">
        <v>221</v>
      </c>
      <c r="L368" s="6" t="s">
        <v>46</v>
      </c>
      <c r="M368" s="13" t="s">
        <v>46</v>
      </c>
      <c r="N368" s="6" t="s">
        <v>65</v>
      </c>
      <c r="O368" s="6" t="s">
        <v>46</v>
      </c>
      <c r="P368" s="6" t="s">
        <v>46</v>
      </c>
      <c r="Q368" s="6" t="s">
        <v>46</v>
      </c>
      <c r="R368" s="6" t="s">
        <v>46</v>
      </c>
      <c r="S368" s="6" t="s">
        <v>46</v>
      </c>
      <c r="T368" s="6" t="s">
        <v>46</v>
      </c>
      <c r="U368" s="6" t="s">
        <v>46</v>
      </c>
      <c r="V368" s="6" t="n">
        <v>4</v>
      </c>
      <c r="X368" s="6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3.8" hidden="false" customHeight="false" outlineLevel="0" collapsed="false">
      <c r="A369" s="4" t="s">
        <v>397</v>
      </c>
      <c r="B369" s="5"/>
      <c r="C369" s="4" t="s">
        <v>398</v>
      </c>
      <c r="D369" s="6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6" t="s">
        <v>463</v>
      </c>
      <c r="L369" s="6" t="s">
        <v>69</v>
      </c>
      <c r="M369" s="13" t="s">
        <v>46</v>
      </c>
      <c r="N369" s="6" t="s">
        <v>465</v>
      </c>
      <c r="O369" s="6" t="s">
        <v>81</v>
      </c>
      <c r="P369" s="6" t="s">
        <v>81</v>
      </c>
      <c r="Q369" s="6" t="s">
        <v>81</v>
      </c>
      <c r="R369" s="6" t="s">
        <v>81</v>
      </c>
      <c r="S369" s="6" t="s">
        <v>46</v>
      </c>
      <c r="T369" s="6" t="s">
        <v>81</v>
      </c>
      <c r="U369" s="6" t="s">
        <v>46</v>
      </c>
      <c r="V369" s="6" t="n">
        <v>1</v>
      </c>
      <c r="X369" s="6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3.8" hidden="false" customHeight="false" outlineLevel="0" collapsed="false">
      <c r="A370" s="4" t="s">
        <v>397</v>
      </c>
      <c r="B370" s="5"/>
      <c r="C370" s="4" t="s">
        <v>398</v>
      </c>
      <c r="D370" s="6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6" t="s">
        <v>468</v>
      </c>
      <c r="L370" s="6" t="s">
        <v>69</v>
      </c>
      <c r="M370" s="13" t="s">
        <v>46</v>
      </c>
      <c r="N370" s="6" t="s">
        <v>465</v>
      </c>
      <c r="O370" s="6" t="s">
        <v>81</v>
      </c>
      <c r="P370" s="6" t="s">
        <v>81</v>
      </c>
      <c r="Q370" s="6" t="s">
        <v>81</v>
      </c>
      <c r="R370" s="6" t="s">
        <v>81</v>
      </c>
      <c r="S370" s="6" t="s">
        <v>46</v>
      </c>
      <c r="T370" s="6" t="s">
        <v>81</v>
      </c>
      <c r="U370" s="6" t="s">
        <v>46</v>
      </c>
      <c r="V370" s="6" t="n">
        <v>2</v>
      </c>
      <c r="X370" s="6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3.8" hidden="false" customHeight="false" outlineLevel="0" collapsed="false">
      <c r="A371" s="4" t="s">
        <v>397</v>
      </c>
      <c r="B371" s="5"/>
      <c r="C371" s="4" t="s">
        <v>398</v>
      </c>
      <c r="D371" s="6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6" t="s">
        <v>472</v>
      </c>
      <c r="L371" s="6" t="s">
        <v>69</v>
      </c>
      <c r="M371" s="13" t="s">
        <v>46</v>
      </c>
      <c r="N371" s="6" t="s">
        <v>465</v>
      </c>
      <c r="O371" s="6" t="s">
        <v>81</v>
      </c>
      <c r="P371" s="6" t="s">
        <v>81</v>
      </c>
      <c r="Q371" s="6" t="s">
        <v>81</v>
      </c>
      <c r="R371" s="6" t="s">
        <v>81</v>
      </c>
      <c r="S371" s="6" t="s">
        <v>46</v>
      </c>
      <c r="T371" s="6" t="s">
        <v>81</v>
      </c>
      <c r="U371" s="6" t="s">
        <v>46</v>
      </c>
      <c r="V371" s="6" t="n">
        <v>3</v>
      </c>
      <c r="X371" s="6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3.8" hidden="false" customHeight="false" outlineLevel="0" collapsed="false">
      <c r="A372" s="4" t="s">
        <v>397</v>
      </c>
      <c r="B372" s="5"/>
      <c r="C372" s="4" t="s">
        <v>398</v>
      </c>
      <c r="D372" s="6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6" t="s">
        <v>476</v>
      </c>
      <c r="L372" s="6" t="s">
        <v>69</v>
      </c>
      <c r="M372" s="13" t="s">
        <v>46</v>
      </c>
      <c r="N372" s="6" t="s">
        <v>465</v>
      </c>
      <c r="O372" s="6" t="s">
        <v>81</v>
      </c>
      <c r="P372" s="6" t="s">
        <v>81</v>
      </c>
      <c r="Q372" s="6" t="s">
        <v>81</v>
      </c>
      <c r="R372" s="6" t="s">
        <v>81</v>
      </c>
      <c r="S372" s="6" t="s">
        <v>46</v>
      </c>
      <c r="T372" s="6" t="s">
        <v>81</v>
      </c>
      <c r="U372" s="6" t="s">
        <v>46</v>
      </c>
      <c r="V372" s="6" t="n">
        <v>4</v>
      </c>
      <c r="X372" s="6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3.8" hidden="false" customHeight="false" outlineLevel="0" collapsed="false">
      <c r="A373" s="4" t="s">
        <v>397</v>
      </c>
      <c r="B373" s="5"/>
      <c r="C373" s="4" t="s">
        <v>398</v>
      </c>
      <c r="D373" s="6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6" t="s">
        <v>348</v>
      </c>
      <c r="L373" s="6" t="s">
        <v>69</v>
      </c>
      <c r="M373" s="13" t="s">
        <v>46</v>
      </c>
      <c r="N373" s="6" t="s">
        <v>70</v>
      </c>
      <c r="O373" s="6" t="s">
        <v>46</v>
      </c>
      <c r="P373" s="6" t="s">
        <v>71</v>
      </c>
      <c r="Q373" s="6" t="s">
        <v>71</v>
      </c>
      <c r="R373" s="6" t="s">
        <v>72</v>
      </c>
      <c r="S373" s="6" t="s">
        <v>73</v>
      </c>
      <c r="T373" s="6" t="s">
        <v>46</v>
      </c>
      <c r="U373" s="6" t="n">
        <v>1000</v>
      </c>
      <c r="V373" s="6" t="n">
        <v>1</v>
      </c>
      <c r="X373" s="6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3.8" hidden="false" customHeight="false" outlineLevel="0" collapsed="false">
      <c r="A374" s="4" t="s">
        <v>397</v>
      </c>
      <c r="B374" s="5"/>
      <c r="C374" s="4" t="s">
        <v>398</v>
      </c>
      <c r="D374" s="6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3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6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6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3.8" hidden="false" customHeight="false" outlineLevel="0" collapsed="false">
      <c r="A375" s="4" t="s">
        <v>397</v>
      </c>
      <c r="B375" s="5"/>
      <c r="C375" s="4" t="s">
        <v>398</v>
      </c>
      <c r="D375" s="6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3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6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6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3.8" hidden="false" customHeight="false" outlineLevel="0" collapsed="false">
      <c r="A376" s="4" t="s">
        <v>397</v>
      </c>
      <c r="B376" s="5"/>
      <c r="C376" s="4" t="s">
        <v>398</v>
      </c>
      <c r="D376" s="6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3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6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6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3.8" hidden="false" customHeight="false" outlineLevel="0" collapsed="false">
      <c r="A377" s="4" t="s">
        <v>397</v>
      </c>
      <c r="B377" s="5"/>
      <c r="C377" s="4" t="s">
        <v>398</v>
      </c>
      <c r="D377" s="6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6" t="s">
        <v>158</v>
      </c>
      <c r="K377" s="6" t="s">
        <v>570</v>
      </c>
      <c r="L377" s="6" t="s">
        <v>69</v>
      </c>
      <c r="M377" s="13" t="s">
        <v>46</v>
      </c>
      <c r="N377" s="6" t="s">
        <v>404</v>
      </c>
      <c r="O377" s="6" t="s">
        <v>42</v>
      </c>
      <c r="P377" s="6" t="s">
        <v>405</v>
      </c>
      <c r="Q377" s="6" t="s">
        <v>46</v>
      </c>
      <c r="R377" s="6" t="s">
        <v>44</v>
      </c>
      <c r="S377" s="6" t="s">
        <v>46</v>
      </c>
      <c r="T377" s="6" t="s">
        <v>406</v>
      </c>
      <c r="U377" s="6" t="s">
        <v>46</v>
      </c>
      <c r="V377" s="6" t="n">
        <v>1</v>
      </c>
      <c r="W377" s="6" t="s">
        <v>571</v>
      </c>
      <c r="X377" s="6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3.8" hidden="false" customHeight="false" outlineLevel="0" collapsed="false">
      <c r="A378" s="4" t="s">
        <v>397</v>
      </c>
      <c r="B378" s="5"/>
      <c r="C378" s="4" t="s">
        <v>398</v>
      </c>
      <c r="D378" s="6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6" t="s">
        <v>158</v>
      </c>
      <c r="K378" s="31" t="s">
        <v>581</v>
      </c>
      <c r="L378" s="6" t="s">
        <v>69</v>
      </c>
      <c r="M378" s="13" t="s">
        <v>46</v>
      </c>
      <c r="N378" s="6" t="s">
        <v>404</v>
      </c>
      <c r="O378" s="6" t="s">
        <v>54</v>
      </c>
      <c r="P378" s="6" t="s">
        <v>405</v>
      </c>
      <c r="Q378" s="6" t="s">
        <v>46</v>
      </c>
      <c r="R378" s="6" t="s">
        <v>72</v>
      </c>
      <c r="S378" s="6" t="s">
        <v>46</v>
      </c>
      <c r="T378" s="6" t="s">
        <v>406</v>
      </c>
      <c r="U378" s="6" t="s">
        <v>46</v>
      </c>
      <c r="V378" s="6" t="n">
        <v>1</v>
      </c>
      <c r="W378" s="6" t="s">
        <v>582</v>
      </c>
      <c r="X378" s="6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3.8" hidden="false" customHeight="false" outlineLevel="0" collapsed="false">
      <c r="A379" s="4" t="s">
        <v>397</v>
      </c>
      <c r="B379" s="5"/>
      <c r="C379" s="4" t="s">
        <v>398</v>
      </c>
      <c r="D379" s="6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6" t="s">
        <v>158</v>
      </c>
      <c r="K379" s="6" t="s">
        <v>587</v>
      </c>
      <c r="L379" s="6" t="s">
        <v>69</v>
      </c>
      <c r="M379" s="13" t="s">
        <v>46</v>
      </c>
      <c r="N379" s="6" t="s">
        <v>404</v>
      </c>
      <c r="O379" s="6" t="s">
        <v>42</v>
      </c>
      <c r="P379" s="6" t="s">
        <v>405</v>
      </c>
      <c r="Q379" s="6" t="s">
        <v>46</v>
      </c>
      <c r="R379" s="6" t="s">
        <v>44</v>
      </c>
      <c r="S379" s="6" t="s">
        <v>46</v>
      </c>
      <c r="T379" s="6" t="s">
        <v>406</v>
      </c>
      <c r="U379" s="6" t="s">
        <v>46</v>
      </c>
      <c r="V379" s="6" t="n">
        <v>1</v>
      </c>
      <c r="W379" s="6" t="s">
        <v>588</v>
      </c>
      <c r="X379" s="6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3.8" hidden="false" customHeight="false" outlineLevel="0" collapsed="false">
      <c r="A380" s="4" t="s">
        <v>397</v>
      </c>
      <c r="B380" s="5"/>
      <c r="C380" s="4" t="s">
        <v>398</v>
      </c>
      <c r="D380" s="6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6" t="s">
        <v>158</v>
      </c>
      <c r="K380" s="31" t="s">
        <v>593</v>
      </c>
      <c r="L380" s="6" t="s">
        <v>69</v>
      </c>
      <c r="M380" s="13" t="s">
        <v>46</v>
      </c>
      <c r="N380" s="6" t="s">
        <v>404</v>
      </c>
      <c r="O380" s="6" t="s">
        <v>42</v>
      </c>
      <c r="P380" s="6" t="s">
        <v>405</v>
      </c>
      <c r="Q380" s="6" t="s">
        <v>46</v>
      </c>
      <c r="R380" s="6" t="s">
        <v>44</v>
      </c>
      <c r="S380" s="6" t="s">
        <v>46</v>
      </c>
      <c r="T380" s="6" t="s">
        <v>406</v>
      </c>
      <c r="U380" s="6" t="s">
        <v>46</v>
      </c>
      <c r="V380" s="6" t="n">
        <v>1</v>
      </c>
      <c r="W380" s="6" t="s">
        <v>594</v>
      </c>
      <c r="X380" s="6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4" t="s">
        <v>397</v>
      </c>
      <c r="B381" s="5"/>
      <c r="C381" s="4" t="s">
        <v>398</v>
      </c>
      <c r="D381" s="6" t="s">
        <v>19</v>
      </c>
      <c r="E381" s="6" t="s">
        <v>566</v>
      </c>
      <c r="F381" s="7" t="s">
        <v>567</v>
      </c>
      <c r="G381" s="6" t="s">
        <v>401</v>
      </c>
      <c r="H381" s="16" t="s">
        <v>597</v>
      </c>
      <c r="I381" s="6" t="str">
        <f aca="false">CONCATENATE(E381, "_",H381)</f>
        <v>NLA_2022_016_094</v>
      </c>
      <c r="J381" s="6" t="s">
        <v>158</v>
      </c>
      <c r="K381" s="6" t="s">
        <v>598</v>
      </c>
      <c r="L381" s="6" t="s">
        <v>69</v>
      </c>
      <c r="M381" s="13" t="s">
        <v>46</v>
      </c>
      <c r="N381" s="6" t="s">
        <v>404</v>
      </c>
      <c r="O381" s="6" t="s">
        <v>54</v>
      </c>
      <c r="P381" s="6" t="s">
        <v>405</v>
      </c>
      <c r="Q381" s="6" t="s">
        <v>46</v>
      </c>
      <c r="R381" s="6" t="s">
        <v>44</v>
      </c>
      <c r="S381" s="6" t="s">
        <v>46</v>
      </c>
      <c r="T381" s="6" t="s">
        <v>406</v>
      </c>
      <c r="U381" s="6" t="s">
        <v>46</v>
      </c>
      <c r="V381" s="6" t="n">
        <v>1</v>
      </c>
      <c r="W381" s="6" t="s">
        <v>599</v>
      </c>
      <c r="X381" s="6" t="s">
        <v>408</v>
      </c>
      <c r="Y381" s="6" t="n">
        <v>5500</v>
      </c>
      <c r="Z381" s="6" t="s">
        <v>572</v>
      </c>
      <c r="AA381" s="6" t="s">
        <v>573</v>
      </c>
      <c r="AB381" s="6" t="s">
        <v>573</v>
      </c>
      <c r="AC381" s="6" t="s">
        <v>575</v>
      </c>
      <c r="AD381" s="15" t="str">
        <f aca="true" t="array" ref="AD381:AD381">LEFT(AC381,LOOKUP(2^15,FIND(".",AC381,ROW(INDIRECT("1:"&amp;LEN(AC381)))))-1)</f>
        <v>NB_2022_047 - 06102022 - 2</v>
      </c>
      <c r="AE381" s="6" t="str">
        <f aca="false">CONCATENATE(AB381, "-",H381, ".mzML")</f>
        <v>NB_2022_047 - 06102022 - 1.wiff-094.mzML</v>
      </c>
      <c r="AF381" s="6" t="str">
        <f aca="false">CONCATENATE(AD381, "-",H381, ".mzML")</f>
        <v>NB_2022_047 - 06102022 - 2-094.mzML</v>
      </c>
    </row>
    <row r="382" customFormat="false" ht="13.8" hidden="false" customHeight="false" outlineLevel="0" collapsed="false">
      <c r="A382" s="4" t="s">
        <v>397</v>
      </c>
      <c r="B382" s="5"/>
      <c r="C382" s="4" t="s">
        <v>398</v>
      </c>
      <c r="D382" s="6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3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6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6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3.8" hidden="false" customHeight="false" outlineLevel="0" collapsed="false">
      <c r="A383" s="4" t="s">
        <v>397</v>
      </c>
      <c r="B383" s="5"/>
      <c r="C383" s="4" t="s">
        <v>398</v>
      </c>
      <c r="D383" s="6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3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6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6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3.8" hidden="false" customHeight="false" outlineLevel="0" collapsed="false">
      <c r="A384" s="4" t="s">
        <v>397</v>
      </c>
      <c r="B384" s="5"/>
      <c r="C384" s="4" t="s">
        <v>398</v>
      </c>
      <c r="D384" s="6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3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6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6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3.8" hidden="false" customHeight="false" outlineLevel="0" collapsed="false">
      <c r="A385" s="4" t="s">
        <v>397</v>
      </c>
      <c r="B385" s="5"/>
      <c r="C385" s="4" t="s">
        <v>398</v>
      </c>
      <c r="D385" s="6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3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6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6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3.8" hidden="false" customHeight="false" outlineLevel="0" collapsed="false">
      <c r="A386" s="4" t="s">
        <v>397</v>
      </c>
      <c r="B386" s="5"/>
      <c r="C386" s="4" t="s">
        <v>398</v>
      </c>
      <c r="D386" s="6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3" t="s">
        <v>46</v>
      </c>
      <c r="N386" s="6" t="s">
        <v>465</v>
      </c>
      <c r="O386" s="1" t="s">
        <v>81</v>
      </c>
      <c r="P386" s="1" t="s">
        <v>81</v>
      </c>
      <c r="Q386" s="1" t="s">
        <v>81</v>
      </c>
      <c r="R386" s="6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6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3.8" hidden="false" customHeight="false" outlineLevel="0" collapsed="false">
      <c r="A387" s="4" t="s">
        <v>397</v>
      </c>
      <c r="B387" s="5"/>
      <c r="C387" s="4" t="s">
        <v>398</v>
      </c>
      <c r="D387" s="6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3" t="s">
        <v>46</v>
      </c>
      <c r="N387" s="6" t="s">
        <v>465</v>
      </c>
      <c r="O387" s="1" t="s">
        <v>81</v>
      </c>
      <c r="P387" s="1" t="s">
        <v>81</v>
      </c>
      <c r="Q387" s="1" t="s">
        <v>81</v>
      </c>
      <c r="R387" s="6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6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3.8" hidden="false" customHeight="false" outlineLevel="0" collapsed="false">
      <c r="A388" s="4" t="s">
        <v>397</v>
      </c>
      <c r="B388" s="5"/>
      <c r="C388" s="4" t="s">
        <v>398</v>
      </c>
      <c r="D388" s="6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3" t="s">
        <v>46</v>
      </c>
      <c r="N388" s="6" t="s">
        <v>465</v>
      </c>
      <c r="O388" s="1" t="s">
        <v>81</v>
      </c>
      <c r="P388" s="1" t="s">
        <v>81</v>
      </c>
      <c r="Q388" s="1" t="s">
        <v>81</v>
      </c>
      <c r="R388" s="6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6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3.8" hidden="false" customHeight="false" outlineLevel="0" collapsed="false">
      <c r="A389" s="4" t="s">
        <v>397</v>
      </c>
      <c r="B389" s="5"/>
      <c r="C389" s="4" t="s">
        <v>398</v>
      </c>
      <c r="D389" s="6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3" t="s">
        <v>46</v>
      </c>
      <c r="N389" s="6" t="s">
        <v>465</v>
      </c>
      <c r="O389" s="1" t="s">
        <v>81</v>
      </c>
      <c r="P389" s="1" t="s">
        <v>81</v>
      </c>
      <c r="Q389" s="1" t="s">
        <v>81</v>
      </c>
      <c r="R389" s="6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6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3.8" hidden="false" customHeight="false" outlineLevel="0" collapsed="false">
      <c r="A390" s="4" t="s">
        <v>397</v>
      </c>
      <c r="B390" s="5"/>
      <c r="C390" s="4" t="s">
        <v>398</v>
      </c>
      <c r="D390" s="6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3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6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6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3.8" hidden="false" customHeight="false" outlineLevel="0" collapsed="false">
      <c r="A391" s="4" t="s">
        <v>397</v>
      </c>
      <c r="B391" s="5"/>
      <c r="C391" s="4" t="s">
        <v>398</v>
      </c>
      <c r="D391" s="6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3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6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6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3.8" hidden="false" customHeight="false" outlineLevel="0" collapsed="false">
      <c r="A392" s="4" t="s">
        <v>397</v>
      </c>
      <c r="B392" s="5"/>
      <c r="C392" s="4" t="s">
        <v>398</v>
      </c>
      <c r="D392" s="6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3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6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6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3.8" hidden="false" customHeight="false" outlineLevel="0" collapsed="false">
      <c r="A393" s="4" t="s">
        <v>397</v>
      </c>
      <c r="B393" s="5"/>
      <c r="C393" s="4" t="s">
        <v>398</v>
      </c>
      <c r="D393" s="6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3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6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6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3.8" hidden="false" customHeight="false" outlineLevel="0" collapsed="false">
      <c r="A394" s="4" t="s">
        <v>397</v>
      </c>
      <c r="B394" s="5"/>
      <c r="C394" s="4" t="s">
        <v>398</v>
      </c>
      <c r="D394" s="6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6" t="s">
        <v>166</v>
      </c>
      <c r="K394" s="31" t="s">
        <v>639</v>
      </c>
      <c r="L394" s="6" t="s">
        <v>69</v>
      </c>
      <c r="M394" s="13" t="s">
        <v>46</v>
      </c>
      <c r="N394" s="6" t="s">
        <v>404</v>
      </c>
      <c r="O394" s="6" t="s">
        <v>42</v>
      </c>
      <c r="P394" s="6" t="s">
        <v>405</v>
      </c>
      <c r="Q394" s="6" t="s">
        <v>46</v>
      </c>
      <c r="R394" s="6" t="s">
        <v>44</v>
      </c>
      <c r="S394" s="6" t="s">
        <v>46</v>
      </c>
      <c r="T394" s="6" t="s">
        <v>419</v>
      </c>
      <c r="U394" s="6" t="s">
        <v>46</v>
      </c>
      <c r="V394" s="6" t="n">
        <v>1</v>
      </c>
      <c r="W394" s="6" t="s">
        <v>640</v>
      </c>
      <c r="X394" s="6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3.8" hidden="false" customHeight="false" outlineLevel="0" collapsed="false">
      <c r="A395" s="4" t="s">
        <v>397</v>
      </c>
      <c r="B395" s="5"/>
      <c r="C395" s="4" t="s">
        <v>398</v>
      </c>
      <c r="D395" s="6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6" t="s">
        <v>158</v>
      </c>
      <c r="K395" s="31" t="s">
        <v>649</v>
      </c>
      <c r="L395" s="6" t="s">
        <v>69</v>
      </c>
      <c r="M395" s="13" t="s">
        <v>46</v>
      </c>
      <c r="N395" s="6" t="s">
        <v>404</v>
      </c>
      <c r="O395" s="6" t="s">
        <v>42</v>
      </c>
      <c r="P395" s="6" t="s">
        <v>405</v>
      </c>
      <c r="Q395" s="6" t="s">
        <v>46</v>
      </c>
      <c r="R395" s="6" t="s">
        <v>72</v>
      </c>
      <c r="S395" s="6" t="s">
        <v>46</v>
      </c>
      <c r="T395" s="6" t="s">
        <v>406</v>
      </c>
      <c r="U395" s="6" t="s">
        <v>46</v>
      </c>
      <c r="V395" s="6" t="n">
        <v>1</v>
      </c>
      <c r="W395" s="32" t="s">
        <v>650</v>
      </c>
      <c r="X395" s="6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3.8" hidden="false" customHeight="false" outlineLevel="0" collapsed="false">
      <c r="A396" s="4" t="s">
        <v>397</v>
      </c>
      <c r="B396" s="5"/>
      <c r="C396" s="4" t="s">
        <v>398</v>
      </c>
      <c r="D396" s="6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6" t="s">
        <v>654</v>
      </c>
      <c r="L396" s="6" t="s">
        <v>69</v>
      </c>
      <c r="M396" s="13" t="s">
        <v>46</v>
      </c>
      <c r="N396" s="6" t="s">
        <v>404</v>
      </c>
      <c r="O396" s="6" t="s">
        <v>42</v>
      </c>
      <c r="P396" s="6" t="s">
        <v>405</v>
      </c>
      <c r="Q396" s="6" t="s">
        <v>46</v>
      </c>
      <c r="R396" s="6" t="s">
        <v>44</v>
      </c>
      <c r="S396" s="6" t="s">
        <v>46</v>
      </c>
      <c r="T396" s="6" t="s">
        <v>419</v>
      </c>
      <c r="U396" s="6" t="s">
        <v>46</v>
      </c>
      <c r="V396" s="6" t="n">
        <v>1</v>
      </c>
      <c r="W396" s="1" t="s">
        <v>655</v>
      </c>
      <c r="X396" s="6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3.8" hidden="false" customHeight="false" outlineLevel="0" collapsed="false">
      <c r="A397" s="4" t="s">
        <v>397</v>
      </c>
      <c r="B397" s="5"/>
      <c r="C397" s="4" t="s">
        <v>398</v>
      </c>
      <c r="D397" s="6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6" t="s">
        <v>659</v>
      </c>
      <c r="L397" s="6" t="s">
        <v>69</v>
      </c>
      <c r="M397" s="13" t="s">
        <v>46</v>
      </c>
      <c r="N397" s="6" t="s">
        <v>404</v>
      </c>
      <c r="O397" s="6" t="s">
        <v>54</v>
      </c>
      <c r="P397" s="6" t="s">
        <v>405</v>
      </c>
      <c r="Q397" s="6" t="s">
        <v>46</v>
      </c>
      <c r="R397" s="6" t="s">
        <v>72</v>
      </c>
      <c r="S397" s="6" t="s">
        <v>46</v>
      </c>
      <c r="T397" s="6" t="s">
        <v>406</v>
      </c>
      <c r="U397" s="6" t="s">
        <v>46</v>
      </c>
      <c r="V397" s="6" t="n">
        <v>1</v>
      </c>
      <c r="W397" s="1" t="s">
        <v>660</v>
      </c>
      <c r="X397" s="6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3.8" hidden="false" customHeight="false" outlineLevel="0" collapsed="false">
      <c r="A398" s="4" t="s">
        <v>397</v>
      </c>
      <c r="B398" s="5"/>
      <c r="C398" s="4" t="s">
        <v>398</v>
      </c>
      <c r="D398" s="6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6" t="s">
        <v>166</v>
      </c>
      <c r="K398" s="31" t="s">
        <v>664</v>
      </c>
      <c r="L398" s="6" t="s">
        <v>69</v>
      </c>
      <c r="M398" s="13" t="s">
        <v>46</v>
      </c>
      <c r="N398" s="6" t="s">
        <v>404</v>
      </c>
      <c r="O398" s="6" t="s">
        <v>665</v>
      </c>
      <c r="P398" s="6" t="s">
        <v>405</v>
      </c>
      <c r="Q398" s="6" t="s">
        <v>46</v>
      </c>
      <c r="R398" s="6" t="s">
        <v>44</v>
      </c>
      <c r="S398" s="6" t="s">
        <v>46</v>
      </c>
      <c r="T398" s="6" t="s">
        <v>419</v>
      </c>
      <c r="U398" s="6" t="s">
        <v>46</v>
      </c>
      <c r="V398" s="6" t="n">
        <v>1</v>
      </c>
      <c r="W398" s="32" t="s">
        <v>666</v>
      </c>
      <c r="X398" s="6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3.8" hidden="false" customHeight="false" outlineLevel="0" collapsed="false">
      <c r="A399" s="4" t="s">
        <v>397</v>
      </c>
      <c r="B399" s="5"/>
      <c r="C399" s="4" t="s">
        <v>398</v>
      </c>
      <c r="D399" s="6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3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6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6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3.8" hidden="false" customHeight="false" outlineLevel="0" collapsed="false">
      <c r="A400" s="4" t="s">
        <v>397</v>
      </c>
      <c r="B400" s="5"/>
      <c r="C400" s="4" t="s">
        <v>398</v>
      </c>
      <c r="D400" s="6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3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6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6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3.8" hidden="false" customHeight="false" outlineLevel="0" collapsed="false">
      <c r="A401" s="4" t="s">
        <v>397</v>
      </c>
      <c r="B401" s="5"/>
      <c r="C401" s="4" t="s">
        <v>398</v>
      </c>
      <c r="D401" s="6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3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6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6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3.8" hidden="false" customHeight="false" outlineLevel="0" collapsed="false">
      <c r="A402" s="4" t="s">
        <v>397</v>
      </c>
      <c r="B402" s="5"/>
      <c r="C402" s="4" t="s">
        <v>398</v>
      </c>
      <c r="D402" s="6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3" t="s">
        <v>46</v>
      </c>
      <c r="N402" s="6" t="s">
        <v>65</v>
      </c>
      <c r="O402" s="1" t="s">
        <v>46</v>
      </c>
      <c r="P402" s="1" t="s">
        <v>46</v>
      </c>
      <c r="Q402" s="1" t="s">
        <v>46</v>
      </c>
      <c r="R402" s="6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6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3.8" hidden="false" customHeight="false" outlineLevel="0" collapsed="false">
      <c r="A403" s="4" t="s">
        <v>397</v>
      </c>
      <c r="B403" s="5"/>
      <c r="C403" s="4" t="s">
        <v>398</v>
      </c>
      <c r="D403" s="6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3" t="s">
        <v>46</v>
      </c>
      <c r="N403" s="6" t="s">
        <v>465</v>
      </c>
      <c r="O403" s="1" t="s">
        <v>81</v>
      </c>
      <c r="P403" s="1" t="s">
        <v>81</v>
      </c>
      <c r="Q403" s="1" t="s">
        <v>81</v>
      </c>
      <c r="R403" s="6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6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3.8" hidden="false" customHeight="false" outlineLevel="0" collapsed="false">
      <c r="A404" s="4" t="s">
        <v>397</v>
      </c>
      <c r="B404" s="5"/>
      <c r="C404" s="4" t="s">
        <v>398</v>
      </c>
      <c r="D404" s="6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3" t="s">
        <v>46</v>
      </c>
      <c r="N404" s="6" t="s">
        <v>465</v>
      </c>
      <c r="O404" s="1" t="s">
        <v>81</v>
      </c>
      <c r="P404" s="1" t="s">
        <v>81</v>
      </c>
      <c r="Q404" s="1" t="s">
        <v>81</v>
      </c>
      <c r="R404" s="6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6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3.8" hidden="false" customHeight="false" outlineLevel="0" collapsed="false">
      <c r="A405" s="4" t="s">
        <v>397</v>
      </c>
      <c r="B405" s="5"/>
      <c r="C405" s="4" t="s">
        <v>398</v>
      </c>
      <c r="D405" s="6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3" t="s">
        <v>46</v>
      </c>
      <c r="N405" s="6" t="s">
        <v>465</v>
      </c>
      <c r="O405" s="1" t="s">
        <v>81</v>
      </c>
      <c r="P405" s="1" t="s">
        <v>81</v>
      </c>
      <c r="Q405" s="1" t="s">
        <v>81</v>
      </c>
      <c r="R405" s="6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6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3.8" hidden="false" customHeight="false" outlineLevel="0" collapsed="false">
      <c r="A406" s="4" t="s">
        <v>397</v>
      </c>
      <c r="B406" s="5"/>
      <c r="C406" s="4" t="s">
        <v>398</v>
      </c>
      <c r="D406" s="6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3" t="s">
        <v>46</v>
      </c>
      <c r="N406" s="6" t="s">
        <v>465</v>
      </c>
      <c r="O406" s="1" t="s">
        <v>81</v>
      </c>
      <c r="P406" s="1" t="s">
        <v>81</v>
      </c>
      <c r="Q406" s="1" t="s">
        <v>81</v>
      </c>
      <c r="R406" s="6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6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3.8" hidden="false" customHeight="false" outlineLevel="0" collapsed="false">
      <c r="A407" s="4" t="s">
        <v>397</v>
      </c>
      <c r="B407" s="5"/>
      <c r="C407" s="4" t="s">
        <v>398</v>
      </c>
      <c r="D407" s="6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3" t="s">
        <v>46</v>
      </c>
      <c r="N407" s="6" t="s">
        <v>70</v>
      </c>
      <c r="O407" s="1" t="s">
        <v>46</v>
      </c>
      <c r="P407" s="1" t="s">
        <v>71</v>
      </c>
      <c r="Q407" s="1" t="s">
        <v>71</v>
      </c>
      <c r="R407" s="6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6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3.8" hidden="false" customHeight="false" outlineLevel="0" collapsed="false">
      <c r="A408" s="4" t="s">
        <v>397</v>
      </c>
      <c r="B408" s="5"/>
      <c r="C408" s="4" t="s">
        <v>398</v>
      </c>
      <c r="D408" s="6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3" t="s">
        <v>46</v>
      </c>
      <c r="N408" s="6" t="s">
        <v>70</v>
      </c>
      <c r="O408" s="1" t="s">
        <v>46</v>
      </c>
      <c r="P408" s="1" t="s">
        <v>71</v>
      </c>
      <c r="Q408" s="1" t="s">
        <v>71</v>
      </c>
      <c r="R408" s="6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6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3.8" hidden="false" customHeight="false" outlineLevel="0" collapsed="false">
      <c r="A409" s="4" t="s">
        <v>397</v>
      </c>
      <c r="B409" s="5"/>
      <c r="C409" s="4" t="s">
        <v>398</v>
      </c>
      <c r="D409" s="6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3" t="s">
        <v>46</v>
      </c>
      <c r="N409" s="6" t="s">
        <v>70</v>
      </c>
      <c r="O409" s="1" t="s">
        <v>46</v>
      </c>
      <c r="P409" s="1" t="s">
        <v>71</v>
      </c>
      <c r="Q409" s="1" t="s">
        <v>71</v>
      </c>
      <c r="R409" s="6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6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3.8" hidden="false" customHeight="false" outlineLevel="0" collapsed="false">
      <c r="A410" s="4" t="s">
        <v>397</v>
      </c>
      <c r="B410" s="5"/>
      <c r="C410" s="4" t="s">
        <v>398</v>
      </c>
      <c r="D410" s="6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3" t="s">
        <v>46</v>
      </c>
      <c r="N410" s="6" t="s">
        <v>70</v>
      </c>
      <c r="O410" s="1" t="s">
        <v>46</v>
      </c>
      <c r="P410" s="1" t="s">
        <v>71</v>
      </c>
      <c r="Q410" s="1" t="s">
        <v>71</v>
      </c>
      <c r="R410" s="6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6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3.8" hidden="false" customHeight="false" outlineLevel="0" collapsed="false">
      <c r="A411" s="4" t="s">
        <v>397</v>
      </c>
      <c r="B411" s="5"/>
      <c r="C411" s="4" t="s">
        <v>398</v>
      </c>
      <c r="D411" s="6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6" t="s">
        <v>158</v>
      </c>
      <c r="K411" s="6" t="s">
        <v>708</v>
      </c>
      <c r="L411" s="6" t="s">
        <v>69</v>
      </c>
      <c r="M411" s="13" t="s">
        <v>46</v>
      </c>
      <c r="N411" s="6" t="s">
        <v>404</v>
      </c>
      <c r="O411" s="6" t="s">
        <v>54</v>
      </c>
      <c r="P411" s="6" t="s">
        <v>405</v>
      </c>
      <c r="Q411" s="6" t="s">
        <v>46</v>
      </c>
      <c r="R411" s="6" t="s">
        <v>72</v>
      </c>
      <c r="S411" s="6" t="s">
        <v>46</v>
      </c>
      <c r="T411" s="6" t="s">
        <v>406</v>
      </c>
      <c r="U411" s="6" t="s">
        <v>46</v>
      </c>
      <c r="V411" s="6" t="n">
        <v>1</v>
      </c>
      <c r="W411" s="1" t="s">
        <v>709</v>
      </c>
      <c r="X411" s="6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3.8" hidden="false" customHeight="false" outlineLevel="0" collapsed="false">
      <c r="A412" s="4" t="s">
        <v>397</v>
      </c>
      <c r="B412" s="5"/>
      <c r="C412" s="4" t="s">
        <v>398</v>
      </c>
      <c r="D412" s="6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6" t="s">
        <v>158</v>
      </c>
      <c r="K412" s="6" t="s">
        <v>718</v>
      </c>
      <c r="L412" s="6" t="s">
        <v>69</v>
      </c>
      <c r="M412" s="13" t="s">
        <v>46</v>
      </c>
      <c r="N412" s="6" t="s">
        <v>404</v>
      </c>
      <c r="O412" s="6" t="s">
        <v>42</v>
      </c>
      <c r="P412" s="6" t="s">
        <v>405</v>
      </c>
      <c r="Q412" s="6" t="s">
        <v>46</v>
      </c>
      <c r="R412" s="6" t="s">
        <v>72</v>
      </c>
      <c r="S412" s="6" t="s">
        <v>46</v>
      </c>
      <c r="T412" s="6" t="s">
        <v>406</v>
      </c>
      <c r="U412" s="6" t="s">
        <v>46</v>
      </c>
      <c r="V412" s="6" t="n">
        <v>1</v>
      </c>
      <c r="W412" s="1" t="s">
        <v>719</v>
      </c>
      <c r="X412" s="6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3.8" hidden="false" customHeight="false" outlineLevel="0" collapsed="false">
      <c r="A413" s="4" t="s">
        <v>397</v>
      </c>
      <c r="B413" s="5"/>
      <c r="C413" s="4" t="s">
        <v>398</v>
      </c>
      <c r="D413" s="6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3" t="s">
        <v>46</v>
      </c>
      <c r="N413" s="6" t="s">
        <v>65</v>
      </c>
      <c r="O413" s="1" t="s">
        <v>46</v>
      </c>
      <c r="P413" s="1" t="s">
        <v>46</v>
      </c>
      <c r="Q413" s="1" t="s">
        <v>46</v>
      </c>
      <c r="R413" s="6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6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3.8" hidden="false" customHeight="false" outlineLevel="0" collapsed="false">
      <c r="A414" s="4" t="s">
        <v>397</v>
      </c>
      <c r="B414" s="5"/>
      <c r="C414" s="4" t="s">
        <v>398</v>
      </c>
      <c r="D414" s="6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3" t="s">
        <v>46</v>
      </c>
      <c r="N414" s="6" t="s">
        <v>65</v>
      </c>
      <c r="O414" s="1" t="s">
        <v>46</v>
      </c>
      <c r="P414" s="1" t="s">
        <v>46</v>
      </c>
      <c r="Q414" s="1" t="s">
        <v>46</v>
      </c>
      <c r="R414" s="6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6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3.8" hidden="false" customHeight="false" outlineLevel="0" collapsed="false">
      <c r="A415" s="4" t="s">
        <v>397</v>
      </c>
      <c r="B415" s="5"/>
      <c r="C415" s="4" t="s">
        <v>398</v>
      </c>
      <c r="D415" s="6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3" t="s">
        <v>46</v>
      </c>
      <c r="N415" s="6" t="s">
        <v>65</v>
      </c>
      <c r="O415" s="1" t="s">
        <v>46</v>
      </c>
      <c r="P415" s="1" t="s">
        <v>46</v>
      </c>
      <c r="Q415" s="1" t="s">
        <v>46</v>
      </c>
      <c r="R415" s="6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6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3.8" hidden="false" customHeight="false" outlineLevel="0" collapsed="false">
      <c r="A416" s="4" t="s">
        <v>397</v>
      </c>
      <c r="B416" s="5"/>
      <c r="C416" s="4" t="s">
        <v>398</v>
      </c>
      <c r="D416" s="6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3" t="s">
        <v>46</v>
      </c>
      <c r="N416" s="6" t="s">
        <v>65</v>
      </c>
      <c r="O416" s="1" t="s">
        <v>46</v>
      </c>
      <c r="P416" s="1" t="s">
        <v>46</v>
      </c>
      <c r="Q416" s="1" t="s">
        <v>46</v>
      </c>
      <c r="R416" s="6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6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3.8" hidden="false" customHeight="false" outlineLevel="0" collapsed="false">
      <c r="A417" s="4" t="s">
        <v>397</v>
      </c>
      <c r="B417" s="5"/>
      <c r="C417" s="4" t="s">
        <v>398</v>
      </c>
      <c r="D417" s="6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3" t="s">
        <v>46</v>
      </c>
      <c r="N417" s="6" t="s">
        <v>465</v>
      </c>
      <c r="O417" s="1" t="s">
        <v>81</v>
      </c>
      <c r="P417" s="1" t="s">
        <v>81</v>
      </c>
      <c r="Q417" s="1" t="s">
        <v>81</v>
      </c>
      <c r="R417" s="6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6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3.8" hidden="false" customHeight="false" outlineLevel="0" collapsed="false">
      <c r="A418" s="4" t="s">
        <v>397</v>
      </c>
      <c r="B418" s="5"/>
      <c r="C418" s="4" t="s">
        <v>398</v>
      </c>
      <c r="D418" s="6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3" t="s">
        <v>46</v>
      </c>
      <c r="N418" s="6" t="s">
        <v>465</v>
      </c>
      <c r="O418" s="1" t="s">
        <v>81</v>
      </c>
      <c r="P418" s="1" t="s">
        <v>81</v>
      </c>
      <c r="Q418" s="1" t="s">
        <v>81</v>
      </c>
      <c r="R418" s="6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6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3.8" hidden="false" customHeight="false" outlineLevel="0" collapsed="false">
      <c r="A419" s="4" t="s">
        <v>397</v>
      </c>
      <c r="B419" s="5"/>
      <c r="C419" s="4" t="s">
        <v>398</v>
      </c>
      <c r="D419" s="6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3" t="s">
        <v>46</v>
      </c>
      <c r="N419" s="6" t="s">
        <v>465</v>
      </c>
      <c r="O419" s="1" t="s">
        <v>81</v>
      </c>
      <c r="P419" s="1" t="s">
        <v>81</v>
      </c>
      <c r="Q419" s="1" t="s">
        <v>81</v>
      </c>
      <c r="R419" s="6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6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3.8" hidden="false" customHeight="false" outlineLevel="0" collapsed="false">
      <c r="A420" s="4" t="s">
        <v>397</v>
      </c>
      <c r="B420" s="5"/>
      <c r="C420" s="4" t="s">
        <v>398</v>
      </c>
      <c r="D420" s="6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3" t="s">
        <v>46</v>
      </c>
      <c r="N420" s="6" t="s">
        <v>465</v>
      </c>
      <c r="O420" s="1" t="s">
        <v>81</v>
      </c>
      <c r="P420" s="1" t="s">
        <v>81</v>
      </c>
      <c r="Q420" s="1" t="s">
        <v>81</v>
      </c>
      <c r="R420" s="6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6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3.8" hidden="false" customHeight="false" outlineLevel="0" collapsed="false">
      <c r="A421" s="4" t="s">
        <v>397</v>
      </c>
      <c r="B421" s="5"/>
      <c r="C421" s="4" t="s">
        <v>398</v>
      </c>
      <c r="D421" s="6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3" t="s">
        <v>46</v>
      </c>
      <c r="N421" s="6" t="s">
        <v>70</v>
      </c>
      <c r="O421" s="1" t="s">
        <v>46</v>
      </c>
      <c r="P421" s="1" t="s">
        <v>71</v>
      </c>
      <c r="Q421" s="1" t="s">
        <v>71</v>
      </c>
      <c r="R421" s="6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6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3.8" hidden="false" customHeight="false" outlineLevel="0" collapsed="false">
      <c r="A422" s="4" t="s">
        <v>397</v>
      </c>
      <c r="B422" s="5"/>
      <c r="C422" s="4" t="s">
        <v>398</v>
      </c>
      <c r="D422" s="6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3" t="s">
        <v>46</v>
      </c>
      <c r="N422" s="6" t="s">
        <v>70</v>
      </c>
      <c r="O422" s="1" t="s">
        <v>46</v>
      </c>
      <c r="P422" s="1" t="s">
        <v>71</v>
      </c>
      <c r="Q422" s="1" t="s">
        <v>71</v>
      </c>
      <c r="R422" s="6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6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3.8" hidden="false" customHeight="false" outlineLevel="0" collapsed="false">
      <c r="A423" s="4" t="s">
        <v>397</v>
      </c>
      <c r="B423" s="5"/>
      <c r="C423" s="4" t="s">
        <v>398</v>
      </c>
      <c r="D423" s="6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3" t="s">
        <v>46</v>
      </c>
      <c r="N423" s="6" t="s">
        <v>70</v>
      </c>
      <c r="O423" s="1" t="s">
        <v>46</v>
      </c>
      <c r="P423" s="1" t="s">
        <v>71</v>
      </c>
      <c r="Q423" s="1" t="s">
        <v>71</v>
      </c>
      <c r="R423" s="6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6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3.8" hidden="false" customHeight="false" outlineLevel="0" collapsed="false">
      <c r="A424" s="4" t="s">
        <v>397</v>
      </c>
      <c r="B424" s="5"/>
      <c r="C424" s="4" t="s">
        <v>398</v>
      </c>
      <c r="D424" s="6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3" t="s">
        <v>46</v>
      </c>
      <c r="N424" s="6" t="s">
        <v>70</v>
      </c>
      <c r="O424" s="1" t="s">
        <v>46</v>
      </c>
      <c r="P424" s="1" t="s">
        <v>71</v>
      </c>
      <c r="Q424" s="1" t="s">
        <v>71</v>
      </c>
      <c r="R424" s="6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6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3.8" hidden="false" customHeight="false" outlineLevel="0" collapsed="false">
      <c r="A425" s="4" t="s">
        <v>397</v>
      </c>
      <c r="B425" s="5"/>
      <c r="C425" s="4" t="s">
        <v>398</v>
      </c>
      <c r="D425" s="6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6" t="s">
        <v>158</v>
      </c>
      <c r="K425" s="6" t="s">
        <v>761</v>
      </c>
      <c r="L425" s="6" t="s">
        <v>69</v>
      </c>
      <c r="M425" s="13" t="s">
        <v>46</v>
      </c>
      <c r="N425" s="6" t="s">
        <v>404</v>
      </c>
      <c r="O425" s="6" t="s">
        <v>54</v>
      </c>
      <c r="P425" s="6" t="s">
        <v>405</v>
      </c>
      <c r="Q425" s="6" t="s">
        <v>46</v>
      </c>
      <c r="R425" s="6" t="s">
        <v>72</v>
      </c>
      <c r="S425" s="6" t="s">
        <v>46</v>
      </c>
      <c r="T425" s="6" t="s">
        <v>406</v>
      </c>
      <c r="U425" s="6" t="s">
        <v>46</v>
      </c>
      <c r="V425" s="6" t="n">
        <v>1</v>
      </c>
      <c r="W425" s="1" t="s">
        <v>762</v>
      </c>
      <c r="X425" s="6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3.8" hidden="false" customHeight="false" outlineLevel="0" collapsed="false">
      <c r="A426" s="4" t="s">
        <v>397</v>
      </c>
      <c r="B426" s="5"/>
      <c r="C426" s="4" t="s">
        <v>398</v>
      </c>
      <c r="D426" s="6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6" t="s">
        <v>772</v>
      </c>
      <c r="L426" s="6" t="s">
        <v>69</v>
      </c>
      <c r="M426" s="13" t="s">
        <v>46</v>
      </c>
      <c r="N426" s="6" t="s">
        <v>404</v>
      </c>
      <c r="O426" s="6" t="s">
        <v>42</v>
      </c>
      <c r="P426" s="6" t="s">
        <v>405</v>
      </c>
      <c r="Q426" s="6" t="s">
        <v>46</v>
      </c>
      <c r="R426" s="6" t="s">
        <v>44</v>
      </c>
      <c r="S426" s="6" t="s">
        <v>46</v>
      </c>
      <c r="T426" s="6" t="s">
        <v>419</v>
      </c>
      <c r="U426" s="6" t="s">
        <v>46</v>
      </c>
      <c r="V426" s="6" t="n">
        <v>1</v>
      </c>
      <c r="W426" s="1" t="s">
        <v>773</v>
      </c>
      <c r="X426" s="6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3.8" hidden="false" customHeight="false" outlineLevel="0" collapsed="false">
      <c r="A427" s="4" t="s">
        <v>397</v>
      </c>
      <c r="B427" s="5"/>
      <c r="C427" s="4" t="s">
        <v>398</v>
      </c>
      <c r="D427" s="6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6" t="s">
        <v>778</v>
      </c>
      <c r="L427" s="6" t="s">
        <v>69</v>
      </c>
      <c r="M427" s="13" t="s">
        <v>46</v>
      </c>
      <c r="N427" s="6" t="s">
        <v>404</v>
      </c>
      <c r="O427" s="6" t="s">
        <v>42</v>
      </c>
      <c r="P427" s="6" t="s">
        <v>405</v>
      </c>
      <c r="Q427" s="6" t="s">
        <v>46</v>
      </c>
      <c r="R427" s="6" t="s">
        <v>72</v>
      </c>
      <c r="S427" s="6" t="s">
        <v>46</v>
      </c>
      <c r="T427" s="6" t="s">
        <v>419</v>
      </c>
      <c r="U427" s="6" t="s">
        <v>46</v>
      </c>
      <c r="V427" s="6" t="n">
        <v>1</v>
      </c>
      <c r="W427" s="1" t="s">
        <v>779</v>
      </c>
      <c r="X427" s="6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3.8" hidden="false" customHeight="false" outlineLevel="0" collapsed="false">
      <c r="A428" s="4" t="s">
        <v>397</v>
      </c>
      <c r="B428" s="5"/>
      <c r="C428" s="4" t="s">
        <v>398</v>
      </c>
      <c r="D428" s="6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6" t="s">
        <v>784</v>
      </c>
      <c r="L428" s="6" t="s">
        <v>69</v>
      </c>
      <c r="M428" s="13" t="s">
        <v>46</v>
      </c>
      <c r="N428" s="6" t="s">
        <v>404</v>
      </c>
      <c r="O428" s="6" t="s">
        <v>42</v>
      </c>
      <c r="P428" s="6" t="s">
        <v>405</v>
      </c>
      <c r="Q428" s="6" t="s">
        <v>46</v>
      </c>
      <c r="R428" s="6" t="s">
        <v>44</v>
      </c>
      <c r="S428" s="6" t="s">
        <v>46</v>
      </c>
      <c r="T428" s="6" t="s">
        <v>406</v>
      </c>
      <c r="U428" s="6" t="s">
        <v>46</v>
      </c>
      <c r="V428" s="6" t="n">
        <v>1</v>
      </c>
      <c r="W428" s="1" t="s">
        <v>785</v>
      </c>
      <c r="X428" s="6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3.8" hidden="false" customHeight="false" outlineLevel="0" collapsed="false">
      <c r="A429" s="4" t="s">
        <v>397</v>
      </c>
      <c r="B429" s="5"/>
      <c r="C429" s="4" t="s">
        <v>398</v>
      </c>
      <c r="D429" s="6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3" t="s">
        <v>46</v>
      </c>
      <c r="N429" s="6" t="s">
        <v>65</v>
      </c>
      <c r="O429" s="1" t="s">
        <v>46</v>
      </c>
      <c r="P429" s="1" t="s">
        <v>46</v>
      </c>
      <c r="Q429" s="1" t="s">
        <v>46</v>
      </c>
      <c r="R429" s="6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6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3.8" hidden="false" customHeight="false" outlineLevel="0" collapsed="false">
      <c r="A430" s="4" t="s">
        <v>397</v>
      </c>
      <c r="B430" s="5"/>
      <c r="C430" s="4" t="s">
        <v>398</v>
      </c>
      <c r="D430" s="6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3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6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6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3.8" hidden="false" customHeight="false" outlineLevel="0" collapsed="false">
      <c r="A431" s="4" t="s">
        <v>397</v>
      </c>
      <c r="B431" s="5"/>
      <c r="C431" s="4" t="s">
        <v>398</v>
      </c>
      <c r="D431" s="6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3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6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6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3.8" hidden="false" customHeight="false" outlineLevel="0" collapsed="false">
      <c r="A432" s="4" t="s">
        <v>397</v>
      </c>
      <c r="B432" s="5"/>
      <c r="C432" s="4" t="s">
        <v>398</v>
      </c>
      <c r="D432" s="6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3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6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6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3.8" hidden="false" customHeight="false" outlineLevel="0" collapsed="false">
      <c r="A433" s="4" t="s">
        <v>397</v>
      </c>
      <c r="B433" s="5"/>
      <c r="C433" s="4" t="s">
        <v>398</v>
      </c>
      <c r="D433" s="6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3" t="s">
        <v>46</v>
      </c>
      <c r="N433" s="6" t="s">
        <v>465</v>
      </c>
      <c r="O433" s="1" t="s">
        <v>81</v>
      </c>
      <c r="P433" s="1" t="s">
        <v>81</v>
      </c>
      <c r="Q433" s="1" t="s">
        <v>81</v>
      </c>
      <c r="R433" s="6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6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3.8" hidden="false" customHeight="false" outlineLevel="0" collapsed="false">
      <c r="A434" s="4" t="s">
        <v>397</v>
      </c>
      <c r="B434" s="5"/>
      <c r="C434" s="4" t="s">
        <v>398</v>
      </c>
      <c r="D434" s="6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3" t="s">
        <v>46</v>
      </c>
      <c r="N434" s="6" t="s">
        <v>465</v>
      </c>
      <c r="O434" s="1" t="s">
        <v>81</v>
      </c>
      <c r="P434" s="1" t="s">
        <v>81</v>
      </c>
      <c r="Q434" s="1" t="s">
        <v>81</v>
      </c>
      <c r="R434" s="6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6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3.8" hidden="false" customHeight="false" outlineLevel="0" collapsed="false">
      <c r="A435" s="4" t="s">
        <v>397</v>
      </c>
      <c r="B435" s="5"/>
      <c r="C435" s="4" t="s">
        <v>398</v>
      </c>
      <c r="D435" s="6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3" t="s">
        <v>46</v>
      </c>
      <c r="N435" s="6" t="s">
        <v>465</v>
      </c>
      <c r="O435" s="1" t="s">
        <v>81</v>
      </c>
      <c r="P435" s="1" t="s">
        <v>81</v>
      </c>
      <c r="Q435" s="1" t="s">
        <v>81</v>
      </c>
      <c r="R435" s="6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6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3.8" hidden="false" customHeight="false" outlineLevel="0" collapsed="false">
      <c r="A436" s="4" t="s">
        <v>397</v>
      </c>
      <c r="B436" s="5"/>
      <c r="C436" s="4" t="s">
        <v>398</v>
      </c>
      <c r="D436" s="6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3" t="s">
        <v>46</v>
      </c>
      <c r="N436" s="6" t="s">
        <v>465</v>
      </c>
      <c r="O436" s="1" t="s">
        <v>81</v>
      </c>
      <c r="P436" s="1" t="s">
        <v>81</v>
      </c>
      <c r="Q436" s="1" t="s">
        <v>81</v>
      </c>
      <c r="R436" s="6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6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3.8" hidden="false" customHeight="false" outlineLevel="0" collapsed="false">
      <c r="A437" s="4" t="s">
        <v>397</v>
      </c>
      <c r="B437" s="5"/>
      <c r="C437" s="4" t="s">
        <v>398</v>
      </c>
      <c r="D437" s="6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3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6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6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3.8" hidden="false" customHeight="false" outlineLevel="0" collapsed="false">
      <c r="A438" s="4" t="s">
        <v>397</v>
      </c>
      <c r="B438" s="5"/>
      <c r="C438" s="4" t="s">
        <v>398</v>
      </c>
      <c r="D438" s="6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3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6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6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3.8" hidden="false" customHeight="false" outlineLevel="0" collapsed="false">
      <c r="A439" s="4" t="s">
        <v>397</v>
      </c>
      <c r="B439" s="5"/>
      <c r="C439" s="4" t="s">
        <v>398</v>
      </c>
      <c r="D439" s="6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3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6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6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3.8" hidden="false" customHeight="false" outlineLevel="0" collapsed="false">
      <c r="A440" s="4" t="s">
        <v>397</v>
      </c>
      <c r="B440" s="5"/>
      <c r="C440" s="4" t="s">
        <v>398</v>
      </c>
      <c r="D440" s="6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3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6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6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3.8" hidden="false" customHeight="false" outlineLevel="0" collapsed="false">
      <c r="A441" s="4" t="s">
        <v>397</v>
      </c>
      <c r="B441" s="5"/>
      <c r="C441" s="4" t="s">
        <v>398</v>
      </c>
      <c r="D441" s="6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6" t="s">
        <v>828</v>
      </c>
      <c r="L441" s="6" t="s">
        <v>69</v>
      </c>
      <c r="M441" s="13" t="s">
        <v>46</v>
      </c>
      <c r="N441" s="6" t="s">
        <v>404</v>
      </c>
      <c r="O441" s="6" t="s">
        <v>54</v>
      </c>
      <c r="P441" s="6" t="s">
        <v>405</v>
      </c>
      <c r="Q441" s="6" t="s">
        <v>46</v>
      </c>
      <c r="R441" s="6" t="s">
        <v>44</v>
      </c>
      <c r="S441" s="6" t="s">
        <v>46</v>
      </c>
      <c r="T441" s="6" t="s">
        <v>406</v>
      </c>
      <c r="U441" s="6" t="s">
        <v>46</v>
      </c>
      <c r="V441" s="6" t="n">
        <v>1</v>
      </c>
      <c r="W441" s="1" t="s">
        <v>829</v>
      </c>
      <c r="X441" s="6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3.8" hidden="false" customHeight="false" outlineLevel="0" collapsed="false">
      <c r="A442" s="4" t="s">
        <v>397</v>
      </c>
      <c r="B442" s="5"/>
      <c r="C442" s="4" t="s">
        <v>398</v>
      </c>
      <c r="D442" s="6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6" t="s">
        <v>839</v>
      </c>
      <c r="L442" s="6" t="s">
        <v>69</v>
      </c>
      <c r="M442" s="13" t="s">
        <v>46</v>
      </c>
      <c r="N442" s="6" t="s">
        <v>404</v>
      </c>
      <c r="O442" s="6" t="s">
        <v>42</v>
      </c>
      <c r="P442" s="6" t="s">
        <v>405</v>
      </c>
      <c r="Q442" s="6" t="s">
        <v>46</v>
      </c>
      <c r="R442" s="6" t="s">
        <v>44</v>
      </c>
      <c r="S442" s="6" t="s">
        <v>46</v>
      </c>
      <c r="T442" s="6" t="s">
        <v>406</v>
      </c>
      <c r="U442" s="6" t="s">
        <v>46</v>
      </c>
      <c r="V442" s="6" t="n">
        <v>1</v>
      </c>
      <c r="W442" s="1" t="s">
        <v>840</v>
      </c>
      <c r="X442" s="6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3.8" hidden="false" customHeight="false" outlineLevel="0" collapsed="false">
      <c r="A443" s="4" t="s">
        <v>397</v>
      </c>
      <c r="B443" s="5"/>
      <c r="C443" s="4" t="s">
        <v>398</v>
      </c>
      <c r="D443" s="6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6" t="s">
        <v>845</v>
      </c>
      <c r="L443" s="6" t="s">
        <v>69</v>
      </c>
      <c r="M443" s="13" t="s">
        <v>46</v>
      </c>
      <c r="N443" s="6" t="s">
        <v>404</v>
      </c>
      <c r="O443" s="6" t="s">
        <v>42</v>
      </c>
      <c r="P443" s="6" t="s">
        <v>405</v>
      </c>
      <c r="Q443" s="6" t="s">
        <v>46</v>
      </c>
      <c r="R443" s="6" t="s">
        <v>44</v>
      </c>
      <c r="S443" s="6" t="s">
        <v>46</v>
      </c>
      <c r="T443" s="6" t="s">
        <v>419</v>
      </c>
      <c r="U443" s="6" t="s">
        <v>46</v>
      </c>
      <c r="V443" s="6" t="n">
        <v>1</v>
      </c>
      <c r="W443" s="1" t="s">
        <v>846</v>
      </c>
      <c r="X443" s="6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3.8" hidden="false" customHeight="false" outlineLevel="0" collapsed="false">
      <c r="A444" s="4" t="s">
        <v>397</v>
      </c>
      <c r="B444" s="5"/>
      <c r="C444" s="4" t="s">
        <v>398</v>
      </c>
      <c r="D444" s="6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6" t="s">
        <v>851</v>
      </c>
      <c r="L444" s="6" t="s">
        <v>69</v>
      </c>
      <c r="M444" s="13" t="s">
        <v>46</v>
      </c>
      <c r="N444" s="6" t="s">
        <v>404</v>
      </c>
      <c r="O444" s="6" t="s">
        <v>54</v>
      </c>
      <c r="P444" s="6" t="s">
        <v>405</v>
      </c>
      <c r="Q444" s="6" t="s">
        <v>46</v>
      </c>
      <c r="R444" s="6" t="s">
        <v>44</v>
      </c>
      <c r="S444" s="6" t="s">
        <v>46</v>
      </c>
      <c r="T444" s="6" t="s">
        <v>406</v>
      </c>
      <c r="U444" s="6" t="s">
        <v>46</v>
      </c>
      <c r="V444" s="6" t="n">
        <v>1</v>
      </c>
      <c r="W444" s="1" t="s">
        <v>852</v>
      </c>
      <c r="X444" s="6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3.8" hidden="false" customHeight="false" outlineLevel="0" collapsed="false">
      <c r="A445" s="4" t="s">
        <v>397</v>
      </c>
      <c r="B445" s="5"/>
      <c r="C445" s="4" t="s">
        <v>398</v>
      </c>
      <c r="D445" s="6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6" t="s">
        <v>857</v>
      </c>
      <c r="L445" s="6" t="s">
        <v>69</v>
      </c>
      <c r="M445" s="13" t="s">
        <v>46</v>
      </c>
      <c r="N445" s="6" t="s">
        <v>404</v>
      </c>
      <c r="O445" s="6" t="s">
        <v>665</v>
      </c>
      <c r="P445" s="6" t="s">
        <v>405</v>
      </c>
      <c r="Q445" s="6" t="s">
        <v>46</v>
      </c>
      <c r="R445" s="6" t="s">
        <v>72</v>
      </c>
      <c r="S445" s="6" t="s">
        <v>46</v>
      </c>
      <c r="T445" s="6" t="s">
        <v>419</v>
      </c>
      <c r="U445" s="6" t="s">
        <v>46</v>
      </c>
      <c r="V445" s="6" t="n">
        <v>1</v>
      </c>
      <c r="W445" s="1" t="s">
        <v>858</v>
      </c>
      <c r="X445" s="6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3.8" hidden="false" customHeight="false" outlineLevel="0" collapsed="false">
      <c r="A446" s="4" t="s">
        <v>397</v>
      </c>
      <c r="B446" s="5"/>
      <c r="C446" s="4" t="s">
        <v>398</v>
      </c>
      <c r="D446" s="6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3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6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6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3.8" hidden="false" customHeight="false" outlineLevel="0" collapsed="false">
      <c r="A447" s="4" t="s">
        <v>397</v>
      </c>
      <c r="B447" s="5"/>
      <c r="C447" s="4" t="s">
        <v>398</v>
      </c>
      <c r="D447" s="6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3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6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6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3.8" hidden="false" customHeight="false" outlineLevel="0" collapsed="false">
      <c r="A448" s="4" t="s">
        <v>397</v>
      </c>
      <c r="B448" s="5"/>
      <c r="C448" s="4" t="s">
        <v>398</v>
      </c>
      <c r="D448" s="6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3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6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6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3.8" hidden="false" customHeight="false" outlineLevel="0" collapsed="false">
      <c r="A449" s="4" t="s">
        <v>397</v>
      </c>
      <c r="B449" s="5"/>
      <c r="C449" s="4" t="s">
        <v>398</v>
      </c>
      <c r="D449" s="6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3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6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6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3.8" hidden="false" customHeight="false" outlineLevel="0" collapsed="false">
      <c r="A450" s="4" t="s">
        <v>397</v>
      </c>
      <c r="B450" s="5"/>
      <c r="C450" s="4" t="s">
        <v>398</v>
      </c>
      <c r="D450" s="6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3" t="s">
        <v>46</v>
      </c>
      <c r="N450" s="6" t="s">
        <v>465</v>
      </c>
      <c r="O450" s="1" t="s">
        <v>81</v>
      </c>
      <c r="P450" s="1" t="s">
        <v>81</v>
      </c>
      <c r="Q450" s="1" t="s">
        <v>81</v>
      </c>
      <c r="R450" s="6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6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3.8" hidden="false" customHeight="false" outlineLevel="0" collapsed="false">
      <c r="A451" s="4" t="s">
        <v>397</v>
      </c>
      <c r="B451" s="5"/>
      <c r="C451" s="4" t="s">
        <v>398</v>
      </c>
      <c r="D451" s="6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3" t="s">
        <v>46</v>
      </c>
      <c r="N451" s="6" t="s">
        <v>465</v>
      </c>
      <c r="O451" s="1" t="s">
        <v>81</v>
      </c>
      <c r="P451" s="1" t="s">
        <v>81</v>
      </c>
      <c r="Q451" s="1" t="s">
        <v>81</v>
      </c>
      <c r="R451" s="6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6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3.8" hidden="false" customHeight="false" outlineLevel="0" collapsed="false">
      <c r="A452" s="4" t="s">
        <v>397</v>
      </c>
      <c r="B452" s="5"/>
      <c r="C452" s="4" t="s">
        <v>398</v>
      </c>
      <c r="D452" s="6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3" t="s">
        <v>46</v>
      </c>
      <c r="N452" s="6" t="s">
        <v>465</v>
      </c>
      <c r="O452" s="1" t="s">
        <v>81</v>
      </c>
      <c r="P452" s="1" t="s">
        <v>81</v>
      </c>
      <c r="Q452" s="1" t="s">
        <v>81</v>
      </c>
      <c r="R452" s="6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6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3.8" hidden="false" customHeight="false" outlineLevel="0" collapsed="false">
      <c r="A453" s="4" t="s">
        <v>397</v>
      </c>
      <c r="B453" s="5"/>
      <c r="C453" s="4" t="s">
        <v>398</v>
      </c>
      <c r="D453" s="6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3" t="s">
        <v>46</v>
      </c>
      <c r="N453" s="6" t="s">
        <v>465</v>
      </c>
      <c r="O453" s="1" t="s">
        <v>81</v>
      </c>
      <c r="P453" s="1" t="s">
        <v>81</v>
      </c>
      <c r="Q453" s="1" t="s">
        <v>81</v>
      </c>
      <c r="R453" s="6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6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3.8" hidden="false" customHeight="false" outlineLevel="0" collapsed="false">
      <c r="A454" s="4" t="s">
        <v>397</v>
      </c>
      <c r="B454" s="5"/>
      <c r="C454" s="4" t="s">
        <v>398</v>
      </c>
      <c r="D454" s="6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3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6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6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3.8" hidden="false" customHeight="false" outlineLevel="0" collapsed="false">
      <c r="A455" s="4" t="s">
        <v>397</v>
      </c>
      <c r="B455" s="5"/>
      <c r="C455" s="4" t="s">
        <v>398</v>
      </c>
      <c r="D455" s="6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3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6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6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3.8" hidden="false" customHeight="false" outlineLevel="0" collapsed="false">
      <c r="A456" s="4" t="s">
        <v>397</v>
      </c>
      <c r="B456" s="5"/>
      <c r="C456" s="4" t="s">
        <v>398</v>
      </c>
      <c r="D456" s="6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3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6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6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3.8" hidden="false" customHeight="false" outlineLevel="0" collapsed="false">
      <c r="A457" s="4" t="s">
        <v>397</v>
      </c>
      <c r="B457" s="5"/>
      <c r="C457" s="4" t="s">
        <v>398</v>
      </c>
      <c r="D457" s="6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3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6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6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3.8" hidden="false" customHeight="false" outlineLevel="0" collapsed="false">
      <c r="A458" s="4" t="s">
        <v>897</v>
      </c>
      <c r="B458" s="5"/>
      <c r="C458" s="4" t="s">
        <v>898</v>
      </c>
      <c r="D458" s="6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6" t="s">
        <v>158</v>
      </c>
      <c r="K458" s="31" t="s">
        <v>900</v>
      </c>
      <c r="L458" s="6" t="s">
        <v>69</v>
      </c>
      <c r="M458" s="13" t="s">
        <v>46</v>
      </c>
      <c r="N458" s="6" t="s">
        <v>404</v>
      </c>
      <c r="O458" s="6" t="s">
        <v>42</v>
      </c>
      <c r="P458" s="6" t="s">
        <v>901</v>
      </c>
      <c r="Q458" s="6" t="s">
        <v>46</v>
      </c>
      <c r="R458" s="6" t="s">
        <v>44</v>
      </c>
      <c r="S458" s="6" t="s">
        <v>46</v>
      </c>
      <c r="T458" s="6" t="s">
        <v>406</v>
      </c>
      <c r="U458" s="6" t="s">
        <v>46</v>
      </c>
      <c r="V458" s="6" t="n">
        <v>1</v>
      </c>
      <c r="W458" s="6" t="s">
        <v>407</v>
      </c>
      <c r="X458" s="6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3.8" hidden="false" customHeight="false" outlineLevel="0" collapsed="false">
      <c r="A459" s="4" t="s">
        <v>897</v>
      </c>
      <c r="B459" s="5"/>
      <c r="C459" s="4" t="s">
        <v>898</v>
      </c>
      <c r="D459" s="6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6" t="s">
        <v>158</v>
      </c>
      <c r="K459" s="31" t="s">
        <v>905</v>
      </c>
      <c r="L459" s="6" t="s">
        <v>69</v>
      </c>
      <c r="M459" s="13" t="s">
        <v>46</v>
      </c>
      <c r="N459" s="6" t="s">
        <v>404</v>
      </c>
      <c r="O459" s="6" t="s">
        <v>54</v>
      </c>
      <c r="P459" s="6" t="s">
        <v>901</v>
      </c>
      <c r="Q459" s="6" t="s">
        <v>46</v>
      </c>
      <c r="R459" s="6" t="s">
        <v>44</v>
      </c>
      <c r="S459" s="6" t="s">
        <v>46</v>
      </c>
      <c r="T459" s="6" t="s">
        <v>406</v>
      </c>
      <c r="U459" s="6" t="s">
        <v>46</v>
      </c>
      <c r="V459" s="6" t="n">
        <v>1</v>
      </c>
      <c r="W459" s="32" t="s">
        <v>425</v>
      </c>
      <c r="X459" s="6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3.8" hidden="false" customHeight="false" outlineLevel="0" collapsed="false">
      <c r="A460" s="4" t="s">
        <v>897</v>
      </c>
      <c r="B460" s="5"/>
      <c r="C460" s="4" t="s">
        <v>898</v>
      </c>
      <c r="D460" s="6" t="s">
        <v>19</v>
      </c>
      <c r="E460" s="6" t="s">
        <v>399</v>
      </c>
      <c r="F460" s="6" t="s">
        <v>400</v>
      </c>
      <c r="G460" s="6" t="s">
        <v>401</v>
      </c>
      <c r="H460" s="7" t="s">
        <v>181</v>
      </c>
      <c r="I460" s="6" t="s">
        <v>908</v>
      </c>
      <c r="J460" s="6" t="s">
        <v>158</v>
      </c>
      <c r="K460" s="31" t="s">
        <v>909</v>
      </c>
      <c r="L460" s="6" t="s">
        <v>69</v>
      </c>
      <c r="M460" s="13" t="s">
        <v>46</v>
      </c>
      <c r="N460" s="6" t="s">
        <v>404</v>
      </c>
      <c r="O460" s="6" t="s">
        <v>42</v>
      </c>
      <c r="P460" s="6" t="s">
        <v>901</v>
      </c>
      <c r="Q460" s="6" t="s">
        <v>46</v>
      </c>
      <c r="R460" s="6" t="s">
        <v>44</v>
      </c>
      <c r="S460" s="6" t="s">
        <v>46</v>
      </c>
      <c r="T460" s="6" t="s">
        <v>406</v>
      </c>
      <c r="U460" s="6" t="s">
        <v>46</v>
      </c>
      <c r="V460" s="6" t="n">
        <v>1</v>
      </c>
      <c r="W460" s="6" t="s">
        <v>448</v>
      </c>
      <c r="X460" s="6" t="s">
        <v>408</v>
      </c>
      <c r="Y460" s="6" t="n">
        <v>5500</v>
      </c>
      <c r="Z460" s="6" t="s">
        <v>409</v>
      </c>
      <c r="AA460" s="6" t="s">
        <v>410</v>
      </c>
      <c r="AB460" s="1" t="s">
        <v>411</v>
      </c>
      <c r="AC460" s="6" t="s">
        <v>412</v>
      </c>
      <c r="AD460" s="1" t="s">
        <v>413</v>
      </c>
      <c r="AE460" s="6" t="s">
        <v>910</v>
      </c>
      <c r="AF460" s="6" t="s">
        <v>911</v>
      </c>
    </row>
    <row r="461" customFormat="false" ht="13.8" hidden="false" customHeight="false" outlineLevel="0" collapsed="false">
      <c r="A461" s="4" t="s">
        <v>897</v>
      </c>
      <c r="B461" s="5"/>
      <c r="C461" s="4" t="s">
        <v>898</v>
      </c>
      <c r="D461" s="6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6" t="s">
        <v>166</v>
      </c>
      <c r="K461" s="31" t="s">
        <v>913</v>
      </c>
      <c r="L461" s="6" t="s">
        <v>69</v>
      </c>
      <c r="M461" s="13" t="s">
        <v>46</v>
      </c>
      <c r="N461" s="6" t="s">
        <v>404</v>
      </c>
      <c r="O461" s="6" t="s">
        <v>42</v>
      </c>
      <c r="P461" s="6" t="s">
        <v>901</v>
      </c>
      <c r="Q461" s="6" t="s">
        <v>46</v>
      </c>
      <c r="R461" s="6" t="s">
        <v>72</v>
      </c>
      <c r="S461" s="6" t="s">
        <v>46</v>
      </c>
      <c r="T461" s="6" t="s">
        <v>419</v>
      </c>
      <c r="U461" s="6" t="s">
        <v>46</v>
      </c>
      <c r="V461" s="6" t="n">
        <v>1</v>
      </c>
      <c r="W461" s="6" t="s">
        <v>420</v>
      </c>
      <c r="X461" s="6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3.8" hidden="false" customHeight="false" outlineLevel="0" collapsed="false">
      <c r="A462" s="4" t="s">
        <v>897</v>
      </c>
      <c r="B462" s="5"/>
      <c r="C462" s="4" t="s">
        <v>898</v>
      </c>
      <c r="D462" s="6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6" t="s">
        <v>166</v>
      </c>
      <c r="K462" s="6" t="s">
        <v>917</v>
      </c>
      <c r="L462" s="6" t="s">
        <v>69</v>
      </c>
      <c r="M462" s="13" t="s">
        <v>46</v>
      </c>
      <c r="N462" s="6" t="s">
        <v>404</v>
      </c>
      <c r="O462" s="6" t="s">
        <v>418</v>
      </c>
      <c r="P462" s="6" t="s">
        <v>901</v>
      </c>
      <c r="Q462" s="6" t="s">
        <v>46</v>
      </c>
      <c r="R462" s="6" t="s">
        <v>72</v>
      </c>
      <c r="S462" s="6" t="s">
        <v>46</v>
      </c>
      <c r="T462" s="6" t="s">
        <v>419</v>
      </c>
      <c r="U462" s="6" t="s">
        <v>46</v>
      </c>
      <c r="V462" s="6" t="n">
        <v>1</v>
      </c>
      <c r="W462" s="6" t="s">
        <v>431</v>
      </c>
      <c r="X462" s="6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3.8" hidden="false" customHeight="false" outlineLevel="0" collapsed="false">
      <c r="A463" s="4" t="s">
        <v>897</v>
      </c>
      <c r="B463" s="5"/>
      <c r="C463" s="4" t="s">
        <v>898</v>
      </c>
      <c r="D463" s="6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6" t="s">
        <v>166</v>
      </c>
      <c r="K463" s="6" t="s">
        <v>922</v>
      </c>
      <c r="L463" s="6" t="s">
        <v>69</v>
      </c>
      <c r="M463" s="13" t="s">
        <v>46</v>
      </c>
      <c r="N463" s="6" t="s">
        <v>404</v>
      </c>
      <c r="O463" s="6" t="s">
        <v>42</v>
      </c>
      <c r="P463" s="6" t="s">
        <v>901</v>
      </c>
      <c r="Q463" s="6" t="s">
        <v>46</v>
      </c>
      <c r="R463" s="6" t="s">
        <v>44</v>
      </c>
      <c r="S463" s="6" t="s">
        <v>46</v>
      </c>
      <c r="T463" s="6" t="s">
        <v>419</v>
      </c>
      <c r="U463" s="6" t="s">
        <v>46</v>
      </c>
      <c r="V463" s="6" t="n">
        <v>1</v>
      </c>
      <c r="W463" s="6" t="s">
        <v>436</v>
      </c>
      <c r="X463" s="6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3.8" hidden="false" customHeight="false" outlineLevel="0" collapsed="false">
      <c r="A464" s="4" t="s">
        <v>897</v>
      </c>
      <c r="B464" s="5"/>
      <c r="C464" s="4" t="s">
        <v>898</v>
      </c>
      <c r="D464" s="6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6" t="s">
        <v>158</v>
      </c>
      <c r="K464" s="31" t="s">
        <v>927</v>
      </c>
      <c r="L464" s="6" t="s">
        <v>69</v>
      </c>
      <c r="M464" s="13" t="s">
        <v>46</v>
      </c>
      <c r="N464" s="6" t="s">
        <v>404</v>
      </c>
      <c r="O464" s="6" t="s">
        <v>54</v>
      </c>
      <c r="P464" s="6" t="s">
        <v>901</v>
      </c>
      <c r="Q464" s="6" t="s">
        <v>46</v>
      </c>
      <c r="R464" s="6" t="s">
        <v>72</v>
      </c>
      <c r="S464" s="6" t="s">
        <v>46</v>
      </c>
      <c r="T464" s="6" t="s">
        <v>406</v>
      </c>
      <c r="U464" s="6" t="s">
        <v>46</v>
      </c>
      <c r="V464" s="6" t="n">
        <v>1</v>
      </c>
      <c r="W464" s="6" t="s">
        <v>497</v>
      </c>
      <c r="X464" s="6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3.8" hidden="false" customHeight="false" outlineLevel="0" collapsed="false">
      <c r="A465" s="4" t="s">
        <v>897</v>
      </c>
      <c r="B465" s="5"/>
      <c r="C465" s="4" t="s">
        <v>898</v>
      </c>
      <c r="D465" s="6" t="s">
        <v>19</v>
      </c>
      <c r="E465" s="6" t="s">
        <v>399</v>
      </c>
      <c r="F465" s="6" t="s">
        <v>400</v>
      </c>
      <c r="G465" s="6" t="s">
        <v>399</v>
      </c>
      <c r="H465" s="7" t="s">
        <v>64</v>
      </c>
      <c r="I465" s="6" t="s">
        <v>451</v>
      </c>
      <c r="J465" s="1" t="s">
        <v>158</v>
      </c>
      <c r="K465" s="6" t="s">
        <v>64</v>
      </c>
      <c r="L465" s="6" t="s">
        <v>46</v>
      </c>
      <c r="M465" s="13" t="s">
        <v>46</v>
      </c>
      <c r="N465" s="6" t="s">
        <v>65</v>
      </c>
      <c r="O465" s="6" t="s">
        <v>46</v>
      </c>
      <c r="P465" s="6" t="s">
        <v>46</v>
      </c>
      <c r="Q465" s="6" t="s">
        <v>46</v>
      </c>
      <c r="R465" s="6" t="s">
        <v>46</v>
      </c>
      <c r="S465" s="6" t="s">
        <v>46</v>
      </c>
      <c r="T465" s="6" t="s">
        <v>46</v>
      </c>
      <c r="U465" s="6" t="s">
        <v>46</v>
      </c>
      <c r="V465" s="6" t="n">
        <v>1</v>
      </c>
      <c r="X465" s="6" t="s">
        <v>46</v>
      </c>
      <c r="Y465" s="6" t="n">
        <v>5500</v>
      </c>
      <c r="Z465" s="6" t="s">
        <v>409</v>
      </c>
      <c r="AA465" s="6" t="s">
        <v>410</v>
      </c>
      <c r="AB465" s="1" t="s">
        <v>411</v>
      </c>
      <c r="AC465" s="6" t="s">
        <v>412</v>
      </c>
      <c r="AD465" s="1" t="s">
        <v>413</v>
      </c>
      <c r="AE465" s="6" t="s">
        <v>452</v>
      </c>
      <c r="AF465" s="6" t="s">
        <v>453</v>
      </c>
    </row>
    <row r="466" customFormat="false" ht="13.8" hidden="false" customHeight="false" outlineLevel="0" collapsed="false">
      <c r="A466" s="4" t="s">
        <v>897</v>
      </c>
      <c r="B466" s="5"/>
      <c r="C466" s="4" t="s">
        <v>898</v>
      </c>
      <c r="D466" s="6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6" t="s">
        <v>66</v>
      </c>
      <c r="L466" s="6" t="s">
        <v>46</v>
      </c>
      <c r="M466" s="13" t="s">
        <v>46</v>
      </c>
      <c r="N466" s="6" t="s">
        <v>65</v>
      </c>
      <c r="O466" s="6" t="s">
        <v>46</v>
      </c>
      <c r="P466" s="6" t="s">
        <v>46</v>
      </c>
      <c r="Q466" s="6" t="s">
        <v>46</v>
      </c>
      <c r="R466" s="6" t="s">
        <v>46</v>
      </c>
      <c r="S466" s="6" t="s">
        <v>46</v>
      </c>
      <c r="T466" s="6" t="s">
        <v>46</v>
      </c>
      <c r="U466" s="6" t="s">
        <v>46</v>
      </c>
      <c r="V466" s="6" t="n">
        <v>2</v>
      </c>
      <c r="X466" s="6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3.8" hidden="false" customHeight="false" outlineLevel="0" collapsed="false">
      <c r="A467" s="4" t="s">
        <v>897</v>
      </c>
      <c r="B467" s="5"/>
      <c r="C467" s="4" t="s">
        <v>898</v>
      </c>
      <c r="D467" s="6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6" t="s">
        <v>67</v>
      </c>
      <c r="L467" s="6" t="s">
        <v>46</v>
      </c>
      <c r="M467" s="13" t="s">
        <v>46</v>
      </c>
      <c r="N467" s="6" t="s">
        <v>65</v>
      </c>
      <c r="O467" s="6" t="s">
        <v>46</v>
      </c>
      <c r="P467" s="6" t="s">
        <v>46</v>
      </c>
      <c r="Q467" s="6" t="s">
        <v>46</v>
      </c>
      <c r="R467" s="6" t="s">
        <v>46</v>
      </c>
      <c r="S467" s="6" t="s">
        <v>46</v>
      </c>
      <c r="T467" s="6" t="s">
        <v>46</v>
      </c>
      <c r="U467" s="6" t="s">
        <v>46</v>
      </c>
      <c r="V467" s="6" t="n">
        <v>3</v>
      </c>
      <c r="X467" s="6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3.8" hidden="false" customHeight="false" outlineLevel="0" collapsed="false">
      <c r="A468" s="4" t="s">
        <v>897</v>
      </c>
      <c r="B468" s="5"/>
      <c r="C468" s="4" t="s">
        <v>898</v>
      </c>
      <c r="D468" s="6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6" t="s">
        <v>221</v>
      </c>
      <c r="L468" s="6" t="s">
        <v>46</v>
      </c>
      <c r="M468" s="13" t="s">
        <v>46</v>
      </c>
      <c r="N468" s="6" t="s">
        <v>65</v>
      </c>
      <c r="O468" s="6" t="s">
        <v>46</v>
      </c>
      <c r="P468" s="6" t="s">
        <v>46</v>
      </c>
      <c r="Q468" s="6" t="s">
        <v>46</v>
      </c>
      <c r="R468" s="6" t="s">
        <v>46</v>
      </c>
      <c r="S468" s="6" t="s">
        <v>46</v>
      </c>
      <c r="T468" s="6" t="s">
        <v>46</v>
      </c>
      <c r="U468" s="6" t="s">
        <v>46</v>
      </c>
      <c r="V468" s="6" t="n">
        <v>4</v>
      </c>
      <c r="X468" s="6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3.8" hidden="false" customHeight="false" outlineLevel="0" collapsed="false">
      <c r="A469" s="4" t="s">
        <v>897</v>
      </c>
      <c r="B469" s="5"/>
      <c r="C469" s="4" t="s">
        <v>898</v>
      </c>
      <c r="D469" s="6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6" t="s">
        <v>463</v>
      </c>
      <c r="L469" s="6" t="s">
        <v>69</v>
      </c>
      <c r="M469" s="13" t="s">
        <v>46</v>
      </c>
      <c r="N469" s="6" t="s">
        <v>465</v>
      </c>
      <c r="O469" s="6" t="s">
        <v>81</v>
      </c>
      <c r="P469" s="6" t="s">
        <v>81</v>
      </c>
      <c r="Q469" s="6" t="s">
        <v>81</v>
      </c>
      <c r="R469" s="6" t="s">
        <v>81</v>
      </c>
      <c r="S469" s="6" t="s">
        <v>46</v>
      </c>
      <c r="T469" s="6" t="s">
        <v>81</v>
      </c>
      <c r="U469" s="6" t="s">
        <v>46</v>
      </c>
      <c r="V469" s="6" t="n">
        <v>1</v>
      </c>
      <c r="X469" s="6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3.8" hidden="false" customHeight="false" outlineLevel="0" collapsed="false">
      <c r="A470" s="4" t="s">
        <v>897</v>
      </c>
      <c r="B470" s="5"/>
      <c r="C470" s="4" t="s">
        <v>898</v>
      </c>
      <c r="D470" s="6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6" t="s">
        <v>468</v>
      </c>
      <c r="L470" s="6" t="s">
        <v>69</v>
      </c>
      <c r="M470" s="13" t="s">
        <v>46</v>
      </c>
      <c r="N470" s="6" t="s">
        <v>465</v>
      </c>
      <c r="O470" s="6" t="s">
        <v>81</v>
      </c>
      <c r="P470" s="6" t="s">
        <v>81</v>
      </c>
      <c r="Q470" s="6" t="s">
        <v>81</v>
      </c>
      <c r="R470" s="6" t="s">
        <v>81</v>
      </c>
      <c r="S470" s="6" t="s">
        <v>46</v>
      </c>
      <c r="T470" s="6" t="s">
        <v>81</v>
      </c>
      <c r="U470" s="6" t="s">
        <v>46</v>
      </c>
      <c r="V470" s="6" t="n">
        <v>2</v>
      </c>
      <c r="X470" s="6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3.8" hidden="false" customHeight="false" outlineLevel="0" collapsed="false">
      <c r="A471" s="4" t="s">
        <v>897</v>
      </c>
      <c r="B471" s="5"/>
      <c r="C471" s="4" t="s">
        <v>898</v>
      </c>
      <c r="D471" s="6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6" t="s">
        <v>472</v>
      </c>
      <c r="L471" s="6" t="s">
        <v>69</v>
      </c>
      <c r="M471" s="13" t="s">
        <v>46</v>
      </c>
      <c r="N471" s="6" t="s">
        <v>465</v>
      </c>
      <c r="O471" s="6" t="s">
        <v>81</v>
      </c>
      <c r="P471" s="6" t="s">
        <v>81</v>
      </c>
      <c r="Q471" s="6" t="s">
        <v>81</v>
      </c>
      <c r="R471" s="6" t="s">
        <v>81</v>
      </c>
      <c r="S471" s="6" t="s">
        <v>46</v>
      </c>
      <c r="T471" s="6" t="s">
        <v>81</v>
      </c>
      <c r="U471" s="6" t="s">
        <v>46</v>
      </c>
      <c r="V471" s="6" t="n">
        <v>3</v>
      </c>
      <c r="X471" s="6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3.8" hidden="false" customHeight="false" outlineLevel="0" collapsed="false">
      <c r="A472" s="4" t="s">
        <v>897</v>
      </c>
      <c r="B472" s="5"/>
      <c r="C472" s="4" t="s">
        <v>898</v>
      </c>
      <c r="D472" s="6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6" t="s">
        <v>476</v>
      </c>
      <c r="L472" s="6" t="s">
        <v>69</v>
      </c>
      <c r="M472" s="13" t="s">
        <v>46</v>
      </c>
      <c r="N472" s="6" t="s">
        <v>465</v>
      </c>
      <c r="O472" s="6" t="s">
        <v>81</v>
      </c>
      <c r="P472" s="6" t="s">
        <v>81</v>
      </c>
      <c r="Q472" s="6" t="s">
        <v>81</v>
      </c>
      <c r="R472" s="6" t="s">
        <v>81</v>
      </c>
      <c r="S472" s="6" t="s">
        <v>46</v>
      </c>
      <c r="T472" s="6" t="s">
        <v>81</v>
      </c>
      <c r="U472" s="6" t="s">
        <v>46</v>
      </c>
      <c r="V472" s="6" t="n">
        <v>4</v>
      </c>
      <c r="X472" s="6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3.8" hidden="false" customHeight="false" outlineLevel="0" collapsed="false">
      <c r="A473" s="4" t="s">
        <v>897</v>
      </c>
      <c r="B473" s="5"/>
      <c r="C473" s="4" t="s">
        <v>898</v>
      </c>
      <c r="D473" s="6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6" t="s">
        <v>348</v>
      </c>
      <c r="L473" s="6" t="s">
        <v>69</v>
      </c>
      <c r="M473" s="13" t="s">
        <v>46</v>
      </c>
      <c r="N473" s="6" t="s">
        <v>70</v>
      </c>
      <c r="O473" s="6" t="s">
        <v>46</v>
      </c>
      <c r="P473" s="6" t="s">
        <v>71</v>
      </c>
      <c r="Q473" s="6" t="s">
        <v>71</v>
      </c>
      <c r="R473" s="6" t="s">
        <v>72</v>
      </c>
      <c r="S473" s="6" t="s">
        <v>73</v>
      </c>
      <c r="T473" s="6" t="s">
        <v>46</v>
      </c>
      <c r="U473" s="6" t="n">
        <v>1000</v>
      </c>
      <c r="V473" s="6" t="n">
        <v>1</v>
      </c>
      <c r="X473" s="6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3.8" hidden="false" customHeight="false" outlineLevel="0" collapsed="false">
      <c r="A474" s="4" t="s">
        <v>897</v>
      </c>
      <c r="B474" s="5"/>
      <c r="C474" s="4" t="s">
        <v>898</v>
      </c>
      <c r="D474" s="6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6" t="s">
        <v>349</v>
      </c>
      <c r="L474" s="6" t="s">
        <v>69</v>
      </c>
      <c r="M474" s="13" t="s">
        <v>46</v>
      </c>
      <c r="N474" s="6" t="s">
        <v>70</v>
      </c>
      <c r="O474" s="6" t="s">
        <v>46</v>
      </c>
      <c r="P474" s="6" t="s">
        <v>71</v>
      </c>
      <c r="Q474" s="6" t="s">
        <v>71</v>
      </c>
      <c r="R474" s="6" t="s">
        <v>72</v>
      </c>
      <c r="S474" s="6" t="s">
        <v>73</v>
      </c>
      <c r="T474" s="6" t="s">
        <v>46</v>
      </c>
      <c r="U474" s="6" t="n">
        <v>1000</v>
      </c>
      <c r="V474" s="6" t="n">
        <v>2</v>
      </c>
      <c r="X474" s="6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3.8" hidden="false" customHeight="false" outlineLevel="0" collapsed="false">
      <c r="A475" s="4" t="s">
        <v>897</v>
      </c>
      <c r="B475" s="5"/>
      <c r="C475" s="4" t="s">
        <v>898</v>
      </c>
      <c r="D475" s="6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6" t="s">
        <v>350</v>
      </c>
      <c r="L475" s="6" t="s">
        <v>69</v>
      </c>
      <c r="M475" s="13" t="s">
        <v>46</v>
      </c>
      <c r="N475" s="6" t="s">
        <v>70</v>
      </c>
      <c r="O475" s="6" t="s">
        <v>46</v>
      </c>
      <c r="P475" s="6" t="s">
        <v>71</v>
      </c>
      <c r="Q475" s="6" t="s">
        <v>71</v>
      </c>
      <c r="R475" s="6" t="s">
        <v>72</v>
      </c>
      <c r="S475" s="6" t="s">
        <v>73</v>
      </c>
      <c r="T475" s="6" t="s">
        <v>46</v>
      </c>
      <c r="U475" s="6" t="n">
        <v>1000</v>
      </c>
      <c r="V475" s="6" t="n">
        <v>3</v>
      </c>
      <c r="X475" s="6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3.8" hidden="false" customHeight="false" outlineLevel="0" collapsed="false">
      <c r="A476" s="4" t="s">
        <v>897</v>
      </c>
      <c r="B476" s="5"/>
      <c r="C476" s="4" t="s">
        <v>898</v>
      </c>
      <c r="D476" s="6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6" t="s">
        <v>158</v>
      </c>
      <c r="K476" s="6" t="s">
        <v>351</v>
      </c>
      <c r="L476" s="6" t="s">
        <v>69</v>
      </c>
      <c r="M476" s="13" t="s">
        <v>46</v>
      </c>
      <c r="N476" s="6" t="s">
        <v>70</v>
      </c>
      <c r="O476" s="6" t="s">
        <v>46</v>
      </c>
      <c r="P476" s="6" t="s">
        <v>71</v>
      </c>
      <c r="Q476" s="6" t="s">
        <v>71</v>
      </c>
      <c r="R476" s="6" t="s">
        <v>72</v>
      </c>
      <c r="S476" s="6" t="s">
        <v>73</v>
      </c>
      <c r="T476" s="6" t="s">
        <v>46</v>
      </c>
      <c r="U476" s="6" t="n">
        <v>1000</v>
      </c>
      <c r="V476" s="6" t="n">
        <v>4</v>
      </c>
      <c r="W476" s="6"/>
      <c r="X476" s="6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3.8" hidden="false" customHeight="false" outlineLevel="0" collapsed="false">
      <c r="A477" s="4" t="s">
        <v>897</v>
      </c>
      <c r="B477" s="5"/>
      <c r="C477" s="4" t="s">
        <v>898</v>
      </c>
      <c r="D477" s="6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6" t="s">
        <v>158</v>
      </c>
      <c r="K477" s="6" t="s">
        <v>932</v>
      </c>
      <c r="L477" s="6" t="s">
        <v>69</v>
      </c>
      <c r="M477" s="13" t="s">
        <v>46</v>
      </c>
      <c r="N477" s="6" t="s">
        <v>404</v>
      </c>
      <c r="O477" s="6" t="s">
        <v>42</v>
      </c>
      <c r="P477" s="6" t="s">
        <v>901</v>
      </c>
      <c r="Q477" s="6" t="s">
        <v>46</v>
      </c>
      <c r="R477" s="6" t="s">
        <v>44</v>
      </c>
      <c r="S477" s="6" t="s">
        <v>46</v>
      </c>
      <c r="T477" s="6" t="s">
        <v>406</v>
      </c>
      <c r="U477" s="6" t="s">
        <v>46</v>
      </c>
      <c r="V477" s="6" t="n">
        <v>1</v>
      </c>
      <c r="W477" s="6" t="s">
        <v>508</v>
      </c>
      <c r="X477" s="6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3.8" hidden="false" customHeight="false" outlineLevel="0" collapsed="false">
      <c r="A478" s="4" t="s">
        <v>897</v>
      </c>
      <c r="B478" s="5"/>
      <c r="C478" s="4" t="s">
        <v>898</v>
      </c>
      <c r="D478" s="6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6" t="s">
        <v>158</v>
      </c>
      <c r="K478" s="6" t="s">
        <v>937</v>
      </c>
      <c r="L478" s="6" t="s">
        <v>69</v>
      </c>
      <c r="M478" s="13" t="s">
        <v>46</v>
      </c>
      <c r="N478" s="6" t="s">
        <v>404</v>
      </c>
      <c r="O478" s="6" t="s">
        <v>42</v>
      </c>
      <c r="P478" s="6" t="s">
        <v>901</v>
      </c>
      <c r="Q478" s="6" t="s">
        <v>46</v>
      </c>
      <c r="R478" s="6" t="s">
        <v>72</v>
      </c>
      <c r="S478" s="6" t="s">
        <v>46</v>
      </c>
      <c r="T478" s="6" t="s">
        <v>406</v>
      </c>
      <c r="U478" s="6" t="s">
        <v>46</v>
      </c>
      <c r="V478" s="6" t="n">
        <v>1</v>
      </c>
      <c r="W478" s="6" t="s">
        <v>514</v>
      </c>
      <c r="X478" s="6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3.8" hidden="false" customHeight="false" outlineLevel="0" collapsed="false">
      <c r="A479" s="4" t="s">
        <v>897</v>
      </c>
      <c r="B479" s="5"/>
      <c r="C479" s="4" t="s">
        <v>898</v>
      </c>
      <c r="D479" s="6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6" t="s">
        <v>166</v>
      </c>
      <c r="K479" s="6" t="s">
        <v>942</v>
      </c>
      <c r="L479" s="6" t="s">
        <v>69</v>
      </c>
      <c r="M479" s="13" t="s">
        <v>46</v>
      </c>
      <c r="N479" s="6" t="s">
        <v>404</v>
      </c>
      <c r="O479" s="6" t="s">
        <v>42</v>
      </c>
      <c r="P479" s="6" t="s">
        <v>901</v>
      </c>
      <c r="Q479" s="6" t="s">
        <v>46</v>
      </c>
      <c r="R479" s="6" t="s">
        <v>72</v>
      </c>
      <c r="S479" s="6" t="s">
        <v>46</v>
      </c>
      <c r="T479" s="6" t="s">
        <v>419</v>
      </c>
      <c r="U479" s="6" t="s">
        <v>46</v>
      </c>
      <c r="V479" s="6" t="n">
        <v>1</v>
      </c>
      <c r="W479" s="6" t="s">
        <v>442</v>
      </c>
      <c r="X479" s="6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3.8" hidden="false" customHeight="false" outlineLevel="0" collapsed="false">
      <c r="A480" s="4" t="s">
        <v>897</v>
      </c>
      <c r="B480" s="5"/>
      <c r="C480" s="4" t="s">
        <v>898</v>
      </c>
      <c r="D480" s="6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6" t="s">
        <v>158</v>
      </c>
      <c r="K480" s="6" t="s">
        <v>947</v>
      </c>
      <c r="L480" s="6" t="s">
        <v>69</v>
      </c>
      <c r="M480" s="13" t="s">
        <v>46</v>
      </c>
      <c r="N480" s="6" t="s">
        <v>404</v>
      </c>
      <c r="O480" s="6" t="s">
        <v>42</v>
      </c>
      <c r="P480" s="6" t="s">
        <v>901</v>
      </c>
      <c r="Q480" s="6" t="s">
        <v>46</v>
      </c>
      <c r="R480" s="6" t="s">
        <v>72</v>
      </c>
      <c r="S480" s="6" t="s">
        <v>46</v>
      </c>
      <c r="T480" s="6" t="s">
        <v>406</v>
      </c>
      <c r="U480" s="6" t="s">
        <v>46</v>
      </c>
      <c r="V480" s="6" t="n">
        <v>1</v>
      </c>
      <c r="W480" s="6" t="s">
        <v>571</v>
      </c>
      <c r="X480" s="6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4" t="s">
        <v>897</v>
      </c>
      <c r="B481" s="5"/>
      <c r="C481" s="4" t="s">
        <v>898</v>
      </c>
      <c r="D481" s="6" t="s">
        <v>19</v>
      </c>
      <c r="E481" s="6" t="s">
        <v>492</v>
      </c>
      <c r="F481" s="7" t="s">
        <v>493</v>
      </c>
      <c r="G481" s="6" t="s">
        <v>401</v>
      </c>
      <c r="H481" s="16" t="s">
        <v>950</v>
      </c>
      <c r="I481" s="6" t="str">
        <f aca="false">CONCATENATE(E481, "_",H481)</f>
        <v>NLA_2022_015_069</v>
      </c>
      <c r="J481" s="6" t="s">
        <v>158</v>
      </c>
      <c r="K481" s="6" t="s">
        <v>951</v>
      </c>
      <c r="L481" s="6" t="s">
        <v>69</v>
      </c>
      <c r="M481" s="13" t="s">
        <v>46</v>
      </c>
      <c r="N481" s="6" t="s">
        <v>404</v>
      </c>
      <c r="O481" s="6" t="s">
        <v>54</v>
      </c>
      <c r="P481" s="6" t="s">
        <v>901</v>
      </c>
      <c r="Q481" s="6" t="s">
        <v>46</v>
      </c>
      <c r="R481" s="6" t="s">
        <v>44</v>
      </c>
      <c r="S481" s="6" t="s">
        <v>46</v>
      </c>
      <c r="T481" s="6" t="s">
        <v>406</v>
      </c>
      <c r="U481" s="6" t="s">
        <v>46</v>
      </c>
      <c r="V481" s="6" t="n">
        <v>1</v>
      </c>
      <c r="W481" s="6" t="s">
        <v>952</v>
      </c>
      <c r="X481" s="6" t="s">
        <v>408</v>
      </c>
      <c r="Y481" s="6" t="n">
        <v>5500</v>
      </c>
      <c r="Z481" s="6" t="s">
        <v>498</v>
      </c>
      <c r="AA481" s="6" t="s">
        <v>499</v>
      </c>
      <c r="AB481" s="15" t="str">
        <f aca="true" t="array" ref="AB481:AB481">LEFT(AA481,LOOKUP(2^15,FIND(".",AA481,ROW(INDIRECT("1:"&amp;LEN(AA481)))))-1)</f>
        <v>NB_2022_047 - 05102022 - 1</v>
      </c>
      <c r="AC481" s="6" t="s">
        <v>501</v>
      </c>
      <c r="AD481" s="15" t="str">
        <f aca="true" t="array" ref="AD481:AD481">LEFT(AC481,LOOKUP(2^15,FIND(".",AC481,ROW(INDIRECT("1:"&amp;LEN(AC481)))))-1)</f>
        <v>NB_2022_047 - 05102022 - 2</v>
      </c>
      <c r="AE481" s="6" t="str">
        <f aca="false">CONCATENATE(AB481, "-",H481, ".mzML")</f>
        <v>NB_2022_047 - 05102022 - 1-069.mzML</v>
      </c>
      <c r="AF481" s="6" t="str">
        <f aca="false">CONCATENATE(AD481, "-",H481, ".mzML")</f>
        <v>NB_2022_047 - 05102022 - 2-069.mzML</v>
      </c>
    </row>
    <row r="482" customFormat="false" ht="13.8" hidden="false" customHeight="false" outlineLevel="0" collapsed="false">
      <c r="A482" s="4" t="s">
        <v>897</v>
      </c>
      <c r="B482" s="5"/>
      <c r="C482" s="4" t="s">
        <v>898</v>
      </c>
      <c r="D482" s="6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6" t="s">
        <v>64</v>
      </c>
      <c r="L482" s="6" t="s">
        <v>46</v>
      </c>
      <c r="M482" s="13" t="s">
        <v>46</v>
      </c>
      <c r="N482" s="6" t="s">
        <v>65</v>
      </c>
      <c r="O482" s="6" t="s">
        <v>46</v>
      </c>
      <c r="P482" s="6" t="s">
        <v>46</v>
      </c>
      <c r="Q482" s="6" t="s">
        <v>46</v>
      </c>
      <c r="R482" s="6" t="s">
        <v>46</v>
      </c>
      <c r="S482" s="6" t="s">
        <v>46</v>
      </c>
      <c r="T482" s="6" t="s">
        <v>46</v>
      </c>
      <c r="U482" s="6" t="s">
        <v>46</v>
      </c>
      <c r="V482" s="6" t="n">
        <v>1</v>
      </c>
      <c r="X482" s="6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3.8" hidden="false" customHeight="false" outlineLevel="0" collapsed="false">
      <c r="A483" s="4" t="s">
        <v>897</v>
      </c>
      <c r="B483" s="5"/>
      <c r="C483" s="4" t="s">
        <v>898</v>
      </c>
      <c r="D483" s="6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6" t="s">
        <v>66</v>
      </c>
      <c r="L483" s="6" t="s">
        <v>46</v>
      </c>
      <c r="M483" s="13" t="s">
        <v>46</v>
      </c>
      <c r="N483" s="6" t="s">
        <v>65</v>
      </c>
      <c r="O483" s="6" t="s">
        <v>46</v>
      </c>
      <c r="P483" s="6" t="s">
        <v>46</v>
      </c>
      <c r="Q483" s="6" t="s">
        <v>46</v>
      </c>
      <c r="R483" s="6" t="s">
        <v>46</v>
      </c>
      <c r="S483" s="6" t="s">
        <v>46</v>
      </c>
      <c r="T483" s="6" t="s">
        <v>46</v>
      </c>
      <c r="U483" s="6" t="s">
        <v>46</v>
      </c>
      <c r="V483" s="6" t="n">
        <v>2</v>
      </c>
      <c r="X483" s="6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3.8" hidden="false" customHeight="false" outlineLevel="0" collapsed="false">
      <c r="A484" s="4" t="s">
        <v>897</v>
      </c>
      <c r="B484" s="5"/>
      <c r="C484" s="4" t="s">
        <v>898</v>
      </c>
      <c r="D484" s="6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6" t="s">
        <v>67</v>
      </c>
      <c r="L484" s="6" t="s">
        <v>46</v>
      </c>
      <c r="M484" s="13" t="s">
        <v>46</v>
      </c>
      <c r="N484" s="6" t="s">
        <v>65</v>
      </c>
      <c r="O484" s="6" t="s">
        <v>46</v>
      </c>
      <c r="P484" s="6" t="s">
        <v>46</v>
      </c>
      <c r="Q484" s="6" t="s">
        <v>46</v>
      </c>
      <c r="R484" s="6" t="s">
        <v>46</v>
      </c>
      <c r="S484" s="6" t="s">
        <v>46</v>
      </c>
      <c r="T484" s="6" t="s">
        <v>46</v>
      </c>
      <c r="U484" s="6" t="s">
        <v>46</v>
      </c>
      <c r="V484" s="6" t="n">
        <v>3</v>
      </c>
      <c r="X484" s="6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3.8" hidden="false" customHeight="false" outlineLevel="0" collapsed="false">
      <c r="A485" s="4" t="s">
        <v>897</v>
      </c>
      <c r="B485" s="5"/>
      <c r="C485" s="4" t="s">
        <v>898</v>
      </c>
      <c r="D485" s="6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6" t="s">
        <v>221</v>
      </c>
      <c r="L485" s="6" t="s">
        <v>46</v>
      </c>
      <c r="M485" s="13" t="s">
        <v>46</v>
      </c>
      <c r="N485" s="6" t="s">
        <v>65</v>
      </c>
      <c r="O485" s="6" t="s">
        <v>46</v>
      </c>
      <c r="P485" s="6" t="s">
        <v>46</v>
      </c>
      <c r="Q485" s="6" t="s">
        <v>46</v>
      </c>
      <c r="R485" s="6" t="s">
        <v>46</v>
      </c>
      <c r="S485" s="6" t="s">
        <v>46</v>
      </c>
      <c r="T485" s="6" t="s">
        <v>46</v>
      </c>
      <c r="U485" s="6" t="s">
        <v>46</v>
      </c>
      <c r="V485" s="6" t="n">
        <v>4</v>
      </c>
      <c r="X485" s="6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3.8" hidden="false" customHeight="false" outlineLevel="0" collapsed="false">
      <c r="A486" s="4" t="s">
        <v>897</v>
      </c>
      <c r="B486" s="5"/>
      <c r="C486" s="4" t="s">
        <v>898</v>
      </c>
      <c r="D486" s="6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6" t="s">
        <v>463</v>
      </c>
      <c r="L486" s="6" t="s">
        <v>69</v>
      </c>
      <c r="M486" s="13" t="s">
        <v>46</v>
      </c>
      <c r="N486" s="6" t="s">
        <v>465</v>
      </c>
      <c r="O486" s="6" t="s">
        <v>81</v>
      </c>
      <c r="P486" s="6" t="s">
        <v>81</v>
      </c>
      <c r="Q486" s="6" t="s">
        <v>81</v>
      </c>
      <c r="R486" s="6" t="s">
        <v>81</v>
      </c>
      <c r="S486" s="6" t="s">
        <v>46</v>
      </c>
      <c r="T486" s="6" t="s">
        <v>81</v>
      </c>
      <c r="U486" s="6" t="s">
        <v>46</v>
      </c>
      <c r="V486" s="6" t="n">
        <v>1</v>
      </c>
      <c r="X486" s="6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3.8" hidden="false" customHeight="false" outlineLevel="0" collapsed="false">
      <c r="A487" s="4" t="s">
        <v>897</v>
      </c>
      <c r="B487" s="5"/>
      <c r="C487" s="4" t="s">
        <v>898</v>
      </c>
      <c r="D487" s="6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6" t="s">
        <v>468</v>
      </c>
      <c r="L487" s="6" t="s">
        <v>69</v>
      </c>
      <c r="M487" s="13" t="s">
        <v>46</v>
      </c>
      <c r="N487" s="6" t="s">
        <v>465</v>
      </c>
      <c r="O487" s="6" t="s">
        <v>81</v>
      </c>
      <c r="P487" s="6" t="s">
        <v>81</v>
      </c>
      <c r="Q487" s="6" t="s">
        <v>81</v>
      </c>
      <c r="R487" s="6" t="s">
        <v>81</v>
      </c>
      <c r="S487" s="6" t="s">
        <v>46</v>
      </c>
      <c r="T487" s="6" t="s">
        <v>81</v>
      </c>
      <c r="U487" s="6" t="s">
        <v>46</v>
      </c>
      <c r="V487" s="6" t="n">
        <v>2</v>
      </c>
      <c r="X487" s="6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3.8" hidden="false" customHeight="false" outlineLevel="0" collapsed="false">
      <c r="A488" s="4" t="s">
        <v>897</v>
      </c>
      <c r="B488" s="5"/>
      <c r="C488" s="4" t="s">
        <v>898</v>
      </c>
      <c r="D488" s="6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6" t="s">
        <v>472</v>
      </c>
      <c r="L488" s="6" t="s">
        <v>69</v>
      </c>
      <c r="M488" s="13" t="s">
        <v>46</v>
      </c>
      <c r="N488" s="6" t="s">
        <v>465</v>
      </c>
      <c r="O488" s="6" t="s">
        <v>81</v>
      </c>
      <c r="P488" s="6" t="s">
        <v>81</v>
      </c>
      <c r="Q488" s="6" t="s">
        <v>81</v>
      </c>
      <c r="R488" s="6" t="s">
        <v>81</v>
      </c>
      <c r="S488" s="6" t="s">
        <v>46</v>
      </c>
      <c r="T488" s="6" t="s">
        <v>81</v>
      </c>
      <c r="U488" s="6" t="s">
        <v>46</v>
      </c>
      <c r="V488" s="6" t="n">
        <v>3</v>
      </c>
      <c r="X488" s="6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3.8" hidden="false" customHeight="false" outlineLevel="0" collapsed="false">
      <c r="A489" s="4" t="s">
        <v>897</v>
      </c>
      <c r="B489" s="5"/>
      <c r="C489" s="4" t="s">
        <v>898</v>
      </c>
      <c r="D489" s="6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6" t="s">
        <v>476</v>
      </c>
      <c r="L489" s="6" t="s">
        <v>69</v>
      </c>
      <c r="M489" s="13" t="s">
        <v>46</v>
      </c>
      <c r="N489" s="6" t="s">
        <v>465</v>
      </c>
      <c r="O489" s="6" t="s">
        <v>81</v>
      </c>
      <c r="P489" s="6" t="s">
        <v>81</v>
      </c>
      <c r="Q489" s="6" t="s">
        <v>81</v>
      </c>
      <c r="R489" s="6" t="s">
        <v>81</v>
      </c>
      <c r="S489" s="6" t="s">
        <v>46</v>
      </c>
      <c r="T489" s="6" t="s">
        <v>81</v>
      </c>
      <c r="U489" s="6" t="s">
        <v>46</v>
      </c>
      <c r="V489" s="6" t="n">
        <v>4</v>
      </c>
      <c r="X489" s="6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3.8" hidden="false" customHeight="false" outlineLevel="0" collapsed="false">
      <c r="A490" s="4" t="s">
        <v>897</v>
      </c>
      <c r="B490" s="5"/>
      <c r="C490" s="4" t="s">
        <v>898</v>
      </c>
      <c r="D490" s="6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6" t="s">
        <v>348</v>
      </c>
      <c r="L490" s="6" t="s">
        <v>69</v>
      </c>
      <c r="M490" s="13" t="s">
        <v>46</v>
      </c>
      <c r="N490" s="6" t="s">
        <v>70</v>
      </c>
      <c r="O490" s="6" t="s">
        <v>46</v>
      </c>
      <c r="P490" s="6" t="s">
        <v>71</v>
      </c>
      <c r="Q490" s="6" t="s">
        <v>71</v>
      </c>
      <c r="R490" s="6" t="s">
        <v>72</v>
      </c>
      <c r="S490" s="6" t="s">
        <v>73</v>
      </c>
      <c r="T490" s="6" t="s">
        <v>46</v>
      </c>
      <c r="U490" s="6" t="n">
        <v>1000</v>
      </c>
      <c r="V490" s="6" t="n">
        <v>1</v>
      </c>
      <c r="X490" s="6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3.8" hidden="false" customHeight="false" outlineLevel="0" collapsed="false">
      <c r="A491" s="4" t="s">
        <v>897</v>
      </c>
      <c r="B491" s="5"/>
      <c r="C491" s="4" t="s">
        <v>898</v>
      </c>
      <c r="D491" s="6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3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6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6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3.8" hidden="false" customHeight="false" outlineLevel="0" collapsed="false">
      <c r="A492" s="4" t="s">
        <v>897</v>
      </c>
      <c r="B492" s="5"/>
      <c r="C492" s="4" t="s">
        <v>898</v>
      </c>
      <c r="D492" s="6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3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6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6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3.8" hidden="false" customHeight="false" outlineLevel="0" collapsed="false">
      <c r="A493" s="4" t="s">
        <v>897</v>
      </c>
      <c r="B493" s="5"/>
      <c r="C493" s="4" t="s">
        <v>898</v>
      </c>
      <c r="D493" s="6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3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6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6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3.8" hidden="false" customHeight="false" outlineLevel="0" collapsed="false">
      <c r="A494" s="4" t="s">
        <v>897</v>
      </c>
      <c r="B494" s="5"/>
      <c r="C494" s="4" t="s">
        <v>898</v>
      </c>
      <c r="D494" s="6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6" t="s">
        <v>955</v>
      </c>
      <c r="L494" s="6" t="s">
        <v>69</v>
      </c>
      <c r="M494" s="13" t="s">
        <v>46</v>
      </c>
      <c r="N494" s="6" t="s">
        <v>404</v>
      </c>
      <c r="O494" s="6" t="s">
        <v>42</v>
      </c>
      <c r="P494" s="6" t="s">
        <v>901</v>
      </c>
      <c r="Q494" s="6" t="s">
        <v>46</v>
      </c>
      <c r="R494" s="6" t="s">
        <v>44</v>
      </c>
      <c r="S494" s="6" t="s">
        <v>46</v>
      </c>
      <c r="T494" s="6" t="s">
        <v>406</v>
      </c>
      <c r="U494" s="6" t="s">
        <v>46</v>
      </c>
      <c r="V494" s="6" t="n">
        <v>1</v>
      </c>
      <c r="W494" s="1" t="s">
        <v>582</v>
      </c>
      <c r="X494" s="6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3.8" hidden="false" customHeight="false" outlineLevel="0" collapsed="false">
      <c r="A495" s="4" t="s">
        <v>897</v>
      </c>
      <c r="B495" s="5"/>
      <c r="C495" s="4" t="s">
        <v>898</v>
      </c>
      <c r="D495" s="6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6" t="s">
        <v>166</v>
      </c>
      <c r="K495" s="6" t="s">
        <v>960</v>
      </c>
      <c r="L495" s="6" t="s">
        <v>69</v>
      </c>
      <c r="M495" s="13" t="s">
        <v>46</v>
      </c>
      <c r="N495" s="6" t="s">
        <v>404</v>
      </c>
      <c r="O495" s="6" t="s">
        <v>418</v>
      </c>
      <c r="P495" s="6" t="s">
        <v>901</v>
      </c>
      <c r="Q495" s="6" t="s">
        <v>46</v>
      </c>
      <c r="R495" s="6" t="s">
        <v>72</v>
      </c>
      <c r="S495" s="6" t="s">
        <v>46</v>
      </c>
      <c r="T495" s="6" t="s">
        <v>419</v>
      </c>
      <c r="U495" s="6" t="s">
        <v>46</v>
      </c>
      <c r="V495" s="6" t="n">
        <v>1</v>
      </c>
      <c r="W495" s="6" t="s">
        <v>520</v>
      </c>
      <c r="X495" s="6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3.8" hidden="false" customHeight="false" outlineLevel="0" collapsed="false">
      <c r="A496" s="4" t="s">
        <v>897</v>
      </c>
      <c r="B496" s="5"/>
      <c r="C496" s="4" t="s">
        <v>898</v>
      </c>
      <c r="D496" s="6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3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6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6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3.8" hidden="false" customHeight="false" outlineLevel="0" collapsed="false">
      <c r="A497" s="4" t="s">
        <v>897</v>
      </c>
      <c r="B497" s="5"/>
      <c r="C497" s="4" t="s">
        <v>898</v>
      </c>
      <c r="D497" s="6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3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6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6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3.8" hidden="false" customHeight="false" outlineLevel="0" collapsed="false">
      <c r="A498" s="4" t="s">
        <v>897</v>
      </c>
      <c r="B498" s="5"/>
      <c r="C498" s="4" t="s">
        <v>898</v>
      </c>
      <c r="D498" s="6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3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6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6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3.8" hidden="false" customHeight="false" outlineLevel="0" collapsed="false">
      <c r="A499" s="4" t="s">
        <v>897</v>
      </c>
      <c r="B499" s="5"/>
      <c r="C499" s="4" t="s">
        <v>898</v>
      </c>
      <c r="D499" s="6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3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6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6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3.8" hidden="false" customHeight="false" outlineLevel="0" collapsed="false">
      <c r="A500" s="4" t="s">
        <v>897</v>
      </c>
      <c r="B500" s="5"/>
      <c r="C500" s="4" t="s">
        <v>898</v>
      </c>
      <c r="D500" s="6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3" t="s">
        <v>46</v>
      </c>
      <c r="N500" s="6" t="s">
        <v>465</v>
      </c>
      <c r="O500" s="1" t="s">
        <v>81</v>
      </c>
      <c r="P500" s="1" t="s">
        <v>81</v>
      </c>
      <c r="Q500" s="1" t="s">
        <v>81</v>
      </c>
      <c r="R500" s="6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6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3.8" hidden="false" customHeight="false" outlineLevel="0" collapsed="false">
      <c r="A501" s="4" t="s">
        <v>897</v>
      </c>
      <c r="B501" s="5"/>
      <c r="C501" s="4" t="s">
        <v>898</v>
      </c>
      <c r="D501" s="6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3" t="s">
        <v>46</v>
      </c>
      <c r="N501" s="6" t="s">
        <v>465</v>
      </c>
      <c r="O501" s="1" t="s">
        <v>81</v>
      </c>
      <c r="P501" s="1" t="s">
        <v>81</v>
      </c>
      <c r="Q501" s="1" t="s">
        <v>81</v>
      </c>
      <c r="R501" s="6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6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3.8" hidden="false" customHeight="false" outlineLevel="0" collapsed="false">
      <c r="A502" s="4" t="s">
        <v>897</v>
      </c>
      <c r="B502" s="5"/>
      <c r="C502" s="4" t="s">
        <v>898</v>
      </c>
      <c r="D502" s="6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3" t="s">
        <v>46</v>
      </c>
      <c r="N502" s="6" t="s">
        <v>465</v>
      </c>
      <c r="O502" s="1" t="s">
        <v>81</v>
      </c>
      <c r="P502" s="1" t="s">
        <v>81</v>
      </c>
      <c r="Q502" s="1" t="s">
        <v>81</v>
      </c>
      <c r="R502" s="6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6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3.8" hidden="false" customHeight="false" outlineLevel="0" collapsed="false">
      <c r="A503" s="4" t="s">
        <v>897</v>
      </c>
      <c r="B503" s="5"/>
      <c r="C503" s="4" t="s">
        <v>898</v>
      </c>
      <c r="D503" s="6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3" t="s">
        <v>46</v>
      </c>
      <c r="N503" s="6" t="s">
        <v>465</v>
      </c>
      <c r="O503" s="1" t="s">
        <v>81</v>
      </c>
      <c r="P503" s="1" t="s">
        <v>81</v>
      </c>
      <c r="Q503" s="1" t="s">
        <v>81</v>
      </c>
      <c r="R503" s="6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6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3.8" hidden="false" customHeight="false" outlineLevel="0" collapsed="false">
      <c r="A504" s="4" t="s">
        <v>897</v>
      </c>
      <c r="B504" s="5"/>
      <c r="C504" s="4" t="s">
        <v>898</v>
      </c>
      <c r="D504" s="6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3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6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6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3.8" hidden="false" customHeight="false" outlineLevel="0" collapsed="false">
      <c r="A505" s="4" t="s">
        <v>897</v>
      </c>
      <c r="B505" s="5"/>
      <c r="C505" s="4" t="s">
        <v>898</v>
      </c>
      <c r="D505" s="6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3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6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6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3.8" hidden="false" customHeight="false" outlineLevel="0" collapsed="false">
      <c r="A506" s="4" t="s">
        <v>897</v>
      </c>
      <c r="B506" s="5"/>
      <c r="C506" s="4" t="s">
        <v>898</v>
      </c>
      <c r="D506" s="6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3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6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6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3.8" hidden="false" customHeight="false" outlineLevel="0" collapsed="false">
      <c r="A507" s="4" t="s">
        <v>897</v>
      </c>
      <c r="B507" s="5"/>
      <c r="C507" s="4" t="s">
        <v>898</v>
      </c>
      <c r="D507" s="6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3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6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6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3.8" hidden="false" customHeight="false" outlineLevel="0" collapsed="false">
      <c r="A508" s="4" t="s">
        <v>897</v>
      </c>
      <c r="B508" s="5"/>
      <c r="C508" s="4" t="s">
        <v>898</v>
      </c>
      <c r="D508" s="6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6" t="s">
        <v>166</v>
      </c>
      <c r="K508" s="6" t="s">
        <v>964</v>
      </c>
      <c r="L508" s="6" t="s">
        <v>69</v>
      </c>
      <c r="M508" s="13" t="s">
        <v>46</v>
      </c>
      <c r="N508" s="6" t="s">
        <v>404</v>
      </c>
      <c r="O508" s="6" t="s">
        <v>42</v>
      </c>
      <c r="P508" s="6" t="s">
        <v>901</v>
      </c>
      <c r="Q508" s="6" t="s">
        <v>46</v>
      </c>
      <c r="R508" s="6" t="s">
        <v>44</v>
      </c>
      <c r="S508" s="6" t="s">
        <v>46</v>
      </c>
      <c r="T508" s="6" t="s">
        <v>419</v>
      </c>
      <c r="U508" s="6" t="s">
        <v>46</v>
      </c>
      <c r="V508" s="6" t="n">
        <v>1</v>
      </c>
      <c r="W508" s="6" t="s">
        <v>527</v>
      </c>
      <c r="X508" s="6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3.8" hidden="false" customHeight="false" outlineLevel="0" collapsed="false">
      <c r="A509" s="4" t="s">
        <v>897</v>
      </c>
      <c r="B509" s="5"/>
      <c r="C509" s="4" t="s">
        <v>898</v>
      </c>
      <c r="D509" s="6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6" t="s">
        <v>158</v>
      </c>
      <c r="K509" s="6" t="s">
        <v>968</v>
      </c>
      <c r="L509" s="6" t="s">
        <v>69</v>
      </c>
      <c r="M509" s="13" t="s">
        <v>46</v>
      </c>
      <c r="N509" s="6" t="s">
        <v>404</v>
      </c>
      <c r="O509" s="6" t="s">
        <v>42</v>
      </c>
      <c r="P509" s="6" t="s">
        <v>901</v>
      </c>
      <c r="Q509" s="6" t="s">
        <v>46</v>
      </c>
      <c r="R509" s="6" t="s">
        <v>44</v>
      </c>
      <c r="S509" s="6" t="s">
        <v>46</v>
      </c>
      <c r="T509" s="6" t="s">
        <v>406</v>
      </c>
      <c r="U509" s="6" t="s">
        <v>46</v>
      </c>
      <c r="V509" s="6" t="n">
        <v>1</v>
      </c>
      <c r="W509" s="6" t="s">
        <v>588</v>
      </c>
      <c r="X509" s="6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3.8" hidden="false" customHeight="false" outlineLevel="0" collapsed="false">
      <c r="A510" s="4" t="s">
        <v>897</v>
      </c>
      <c r="B510" s="5"/>
      <c r="C510" s="4" t="s">
        <v>898</v>
      </c>
      <c r="D510" s="6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3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6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6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3.8" hidden="false" customHeight="false" outlineLevel="0" collapsed="false">
      <c r="A511" s="4" t="s">
        <v>897</v>
      </c>
      <c r="B511" s="5"/>
      <c r="C511" s="4" t="s">
        <v>898</v>
      </c>
      <c r="D511" s="6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3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6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6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3.8" hidden="false" customHeight="false" outlineLevel="0" collapsed="false">
      <c r="A512" s="4" t="s">
        <v>897</v>
      </c>
      <c r="B512" s="5"/>
      <c r="C512" s="4" t="s">
        <v>898</v>
      </c>
      <c r="D512" s="6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3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6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6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3.8" hidden="false" customHeight="false" outlineLevel="0" collapsed="false">
      <c r="A513" s="4" t="s">
        <v>897</v>
      </c>
      <c r="B513" s="5"/>
      <c r="C513" s="4" t="s">
        <v>898</v>
      </c>
      <c r="D513" s="6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3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6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6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3.8" hidden="false" customHeight="false" outlineLevel="0" collapsed="false">
      <c r="A514" s="4" t="s">
        <v>897</v>
      </c>
      <c r="B514" s="5"/>
      <c r="C514" s="4" t="s">
        <v>898</v>
      </c>
      <c r="D514" s="6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3" t="s">
        <v>46</v>
      </c>
      <c r="N514" s="6" t="s">
        <v>465</v>
      </c>
      <c r="O514" s="1" t="s">
        <v>81</v>
      </c>
      <c r="P514" s="1" t="s">
        <v>81</v>
      </c>
      <c r="Q514" s="1" t="s">
        <v>81</v>
      </c>
      <c r="R514" s="6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6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3.8" hidden="false" customHeight="false" outlineLevel="0" collapsed="false">
      <c r="A515" s="4" t="s">
        <v>897</v>
      </c>
      <c r="B515" s="5"/>
      <c r="C515" s="4" t="s">
        <v>898</v>
      </c>
      <c r="D515" s="6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3" t="s">
        <v>46</v>
      </c>
      <c r="N515" s="6" t="s">
        <v>465</v>
      </c>
      <c r="O515" s="1" t="s">
        <v>81</v>
      </c>
      <c r="P515" s="1" t="s">
        <v>81</v>
      </c>
      <c r="Q515" s="1" t="s">
        <v>81</v>
      </c>
      <c r="R515" s="6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6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3.8" hidden="false" customHeight="false" outlineLevel="0" collapsed="false">
      <c r="A516" s="4" t="s">
        <v>897</v>
      </c>
      <c r="B516" s="5"/>
      <c r="C516" s="4" t="s">
        <v>898</v>
      </c>
      <c r="D516" s="6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3" t="s">
        <v>46</v>
      </c>
      <c r="N516" s="6" t="s">
        <v>465</v>
      </c>
      <c r="O516" s="1" t="s">
        <v>81</v>
      </c>
      <c r="P516" s="1" t="s">
        <v>81</v>
      </c>
      <c r="Q516" s="1" t="s">
        <v>81</v>
      </c>
      <c r="R516" s="6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6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3.8" hidden="false" customHeight="false" outlineLevel="0" collapsed="false">
      <c r="A517" s="4" t="s">
        <v>897</v>
      </c>
      <c r="B517" s="5"/>
      <c r="C517" s="4" t="s">
        <v>898</v>
      </c>
      <c r="D517" s="6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3" t="s">
        <v>46</v>
      </c>
      <c r="N517" s="6" t="s">
        <v>465</v>
      </c>
      <c r="O517" s="1" t="s">
        <v>81</v>
      </c>
      <c r="P517" s="1" t="s">
        <v>81</v>
      </c>
      <c r="Q517" s="1" t="s">
        <v>81</v>
      </c>
      <c r="R517" s="6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6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3.8" hidden="false" customHeight="false" outlineLevel="0" collapsed="false">
      <c r="A518" s="4" t="s">
        <v>897</v>
      </c>
      <c r="B518" s="5"/>
      <c r="C518" s="4" t="s">
        <v>898</v>
      </c>
      <c r="D518" s="6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3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6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6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3.8" hidden="false" customHeight="false" outlineLevel="0" collapsed="false">
      <c r="A519" s="4" t="s">
        <v>897</v>
      </c>
      <c r="B519" s="5"/>
      <c r="C519" s="4" t="s">
        <v>898</v>
      </c>
      <c r="D519" s="6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3" t="s">
        <v>46</v>
      </c>
      <c r="N519" s="6" t="s">
        <v>70</v>
      </c>
      <c r="O519" s="1" t="s">
        <v>46</v>
      </c>
      <c r="P519" s="1" t="s">
        <v>71</v>
      </c>
      <c r="Q519" s="1" t="s">
        <v>71</v>
      </c>
      <c r="R519" s="6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6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3.8" hidden="false" customHeight="false" outlineLevel="0" collapsed="false">
      <c r="A520" s="4" t="s">
        <v>897</v>
      </c>
      <c r="B520" s="5"/>
      <c r="C520" s="4" t="s">
        <v>898</v>
      </c>
      <c r="D520" s="6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3" t="s">
        <v>46</v>
      </c>
      <c r="N520" s="6" t="s">
        <v>70</v>
      </c>
      <c r="O520" s="1" t="s">
        <v>46</v>
      </c>
      <c r="P520" s="1" t="s">
        <v>71</v>
      </c>
      <c r="Q520" s="1" t="s">
        <v>71</v>
      </c>
      <c r="R520" s="6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6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3.8" hidden="false" customHeight="false" outlineLevel="0" collapsed="false">
      <c r="A521" s="4" t="s">
        <v>897</v>
      </c>
      <c r="B521" s="5"/>
      <c r="C521" s="4" t="s">
        <v>898</v>
      </c>
      <c r="D521" s="6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3" t="s">
        <v>46</v>
      </c>
      <c r="N521" s="6" t="s">
        <v>70</v>
      </c>
      <c r="O521" s="1" t="s">
        <v>46</v>
      </c>
      <c r="P521" s="1" t="s">
        <v>71</v>
      </c>
      <c r="Q521" s="1" t="s">
        <v>71</v>
      </c>
      <c r="R521" s="6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6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3.8" hidden="false" customHeight="false" outlineLevel="0" collapsed="false">
      <c r="A522" s="4" t="s">
        <v>897</v>
      </c>
      <c r="B522" s="5"/>
      <c r="C522" s="4" t="s">
        <v>898</v>
      </c>
      <c r="D522" s="6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6" t="s">
        <v>972</v>
      </c>
      <c r="L522" s="6" t="s">
        <v>69</v>
      </c>
      <c r="M522" s="13" t="s">
        <v>46</v>
      </c>
      <c r="N522" s="6" t="s">
        <v>404</v>
      </c>
      <c r="O522" s="6" t="s">
        <v>665</v>
      </c>
      <c r="P522" s="6" t="s">
        <v>901</v>
      </c>
      <c r="Q522" s="6" t="s">
        <v>46</v>
      </c>
      <c r="R522" s="6" t="s">
        <v>72</v>
      </c>
      <c r="S522" s="6" t="s">
        <v>46</v>
      </c>
      <c r="T522" s="6" t="s">
        <v>419</v>
      </c>
      <c r="U522" s="6" t="s">
        <v>46</v>
      </c>
      <c r="V522" s="6" t="n">
        <v>1</v>
      </c>
      <c r="W522" s="1" t="s">
        <v>640</v>
      </c>
      <c r="X522" s="6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3.8" hidden="false" customHeight="false" outlineLevel="0" collapsed="false">
      <c r="A523" s="4" t="s">
        <v>897</v>
      </c>
      <c r="B523" s="5"/>
      <c r="C523" s="4" t="s">
        <v>898</v>
      </c>
      <c r="D523" s="6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6" t="s">
        <v>158</v>
      </c>
      <c r="K523" s="31" t="s">
        <v>976</v>
      </c>
      <c r="L523" s="6" t="s">
        <v>69</v>
      </c>
      <c r="M523" s="13" t="s">
        <v>46</v>
      </c>
      <c r="N523" s="6" t="s">
        <v>404</v>
      </c>
      <c r="O523" s="6" t="s">
        <v>54</v>
      </c>
      <c r="P523" s="6" t="s">
        <v>901</v>
      </c>
      <c r="Q523" s="6" t="s">
        <v>46</v>
      </c>
      <c r="R523" s="6" t="s">
        <v>72</v>
      </c>
      <c r="S523" s="6" t="s">
        <v>46</v>
      </c>
      <c r="T523" s="6" t="s">
        <v>406</v>
      </c>
      <c r="U523" s="6" t="s">
        <v>46</v>
      </c>
      <c r="V523" s="1" t="n">
        <v>1</v>
      </c>
      <c r="W523" s="32" t="s">
        <v>594</v>
      </c>
      <c r="X523" s="6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3.8" hidden="false" customHeight="false" outlineLevel="0" collapsed="false">
      <c r="A524" s="4" t="s">
        <v>897</v>
      </c>
      <c r="B524" s="5"/>
      <c r="C524" s="4" t="s">
        <v>898</v>
      </c>
      <c r="D524" s="6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6" t="s">
        <v>158</v>
      </c>
      <c r="K524" s="31" t="s">
        <v>980</v>
      </c>
      <c r="L524" s="6" t="s">
        <v>69</v>
      </c>
      <c r="M524" s="13" t="s">
        <v>46</v>
      </c>
      <c r="N524" s="6" t="s">
        <v>404</v>
      </c>
      <c r="O524" s="6" t="s">
        <v>54</v>
      </c>
      <c r="P524" s="6" t="s">
        <v>901</v>
      </c>
      <c r="Q524" s="6" t="s">
        <v>46</v>
      </c>
      <c r="R524" s="6" t="s">
        <v>44</v>
      </c>
      <c r="S524" s="6" t="s">
        <v>46</v>
      </c>
      <c r="T524" s="6" t="s">
        <v>406</v>
      </c>
      <c r="U524" s="6" t="s">
        <v>46</v>
      </c>
      <c r="V524" s="1" t="n">
        <v>1</v>
      </c>
      <c r="W524" s="32" t="s">
        <v>650</v>
      </c>
      <c r="X524" s="6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3.8" hidden="false" customHeight="false" outlineLevel="0" collapsed="false">
      <c r="A525" s="4" t="s">
        <v>897</v>
      </c>
      <c r="B525" s="5"/>
      <c r="C525" s="4" t="s">
        <v>898</v>
      </c>
      <c r="D525" s="6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6" t="s">
        <v>158</v>
      </c>
      <c r="K525" s="31" t="s">
        <v>984</v>
      </c>
      <c r="L525" s="6" t="s">
        <v>69</v>
      </c>
      <c r="M525" s="13" t="s">
        <v>46</v>
      </c>
      <c r="N525" s="6" t="s">
        <v>404</v>
      </c>
      <c r="O525" s="6" t="s">
        <v>42</v>
      </c>
      <c r="P525" s="6" t="s">
        <v>901</v>
      </c>
      <c r="Q525" s="6" t="s">
        <v>46</v>
      </c>
      <c r="R525" s="6" t="s">
        <v>72</v>
      </c>
      <c r="S525" s="6" t="s">
        <v>46</v>
      </c>
      <c r="T525" s="6" t="s">
        <v>406</v>
      </c>
      <c r="U525" s="6" t="s">
        <v>46</v>
      </c>
      <c r="V525" s="1" t="n">
        <v>1</v>
      </c>
      <c r="W525" s="32" t="s">
        <v>660</v>
      </c>
      <c r="X525" s="6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3.8" hidden="false" customHeight="false" outlineLevel="0" collapsed="false">
      <c r="A526" s="4" t="s">
        <v>897</v>
      </c>
      <c r="B526" s="5"/>
      <c r="C526" s="4" t="s">
        <v>898</v>
      </c>
      <c r="D526" s="6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6" t="s">
        <v>166</v>
      </c>
      <c r="K526" s="6" t="s">
        <v>988</v>
      </c>
      <c r="L526" s="6" t="s">
        <v>69</v>
      </c>
      <c r="M526" s="13" t="s">
        <v>46</v>
      </c>
      <c r="N526" s="6" t="s">
        <v>404</v>
      </c>
      <c r="O526" s="6" t="s">
        <v>526</v>
      </c>
      <c r="P526" s="6" t="s">
        <v>901</v>
      </c>
      <c r="Q526" s="6" t="s">
        <v>46</v>
      </c>
      <c r="R526" s="6" t="s">
        <v>72</v>
      </c>
      <c r="S526" s="6" t="s">
        <v>46</v>
      </c>
      <c r="T526" s="6" t="s">
        <v>419</v>
      </c>
      <c r="U526" s="6" t="s">
        <v>46</v>
      </c>
      <c r="V526" s="6" t="n">
        <v>1</v>
      </c>
      <c r="W526" s="6" t="s">
        <v>655</v>
      </c>
      <c r="X526" s="6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3.8" hidden="false" customHeight="false" outlineLevel="0" collapsed="false">
      <c r="A527" s="4" t="s">
        <v>897</v>
      </c>
      <c r="B527" s="5"/>
      <c r="C527" s="4" t="s">
        <v>898</v>
      </c>
      <c r="D527" s="6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3" t="s">
        <v>46</v>
      </c>
      <c r="N527" s="6" t="s">
        <v>65</v>
      </c>
      <c r="O527" s="1" t="s">
        <v>46</v>
      </c>
      <c r="P527" s="1" t="s">
        <v>46</v>
      </c>
      <c r="Q527" s="1" t="s">
        <v>46</v>
      </c>
      <c r="R527" s="6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6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3.8" hidden="false" customHeight="false" outlineLevel="0" collapsed="false">
      <c r="A528" s="4" t="s">
        <v>897</v>
      </c>
      <c r="B528" s="5"/>
      <c r="C528" s="4" t="s">
        <v>898</v>
      </c>
      <c r="D528" s="6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3" t="s">
        <v>46</v>
      </c>
      <c r="N528" s="6" t="s">
        <v>65</v>
      </c>
      <c r="O528" s="1" t="s">
        <v>46</v>
      </c>
      <c r="P528" s="1" t="s">
        <v>46</v>
      </c>
      <c r="Q528" s="1" t="s">
        <v>46</v>
      </c>
      <c r="R528" s="6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6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3.8" hidden="false" customHeight="false" outlineLevel="0" collapsed="false">
      <c r="A529" s="4" t="s">
        <v>897</v>
      </c>
      <c r="B529" s="5"/>
      <c r="C529" s="4" t="s">
        <v>898</v>
      </c>
      <c r="D529" s="6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3" t="s">
        <v>46</v>
      </c>
      <c r="N529" s="6" t="s">
        <v>65</v>
      </c>
      <c r="O529" s="1" t="s">
        <v>46</v>
      </c>
      <c r="P529" s="1" t="s">
        <v>46</v>
      </c>
      <c r="Q529" s="1" t="s">
        <v>46</v>
      </c>
      <c r="R529" s="6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6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3.8" hidden="false" customHeight="false" outlineLevel="0" collapsed="false">
      <c r="A530" s="4" t="s">
        <v>897</v>
      </c>
      <c r="B530" s="5"/>
      <c r="C530" s="4" t="s">
        <v>898</v>
      </c>
      <c r="D530" s="6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3" t="s">
        <v>46</v>
      </c>
      <c r="N530" s="6" t="s">
        <v>65</v>
      </c>
      <c r="O530" s="1" t="s">
        <v>46</v>
      </c>
      <c r="P530" s="1" t="s">
        <v>46</v>
      </c>
      <c r="Q530" s="1" t="s">
        <v>46</v>
      </c>
      <c r="R530" s="6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6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3.8" hidden="false" customHeight="false" outlineLevel="0" collapsed="false">
      <c r="A531" s="4" t="s">
        <v>897</v>
      </c>
      <c r="B531" s="5"/>
      <c r="C531" s="4" t="s">
        <v>898</v>
      </c>
      <c r="D531" s="6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3" t="s">
        <v>46</v>
      </c>
      <c r="N531" s="6" t="s">
        <v>465</v>
      </c>
      <c r="O531" s="1" t="s">
        <v>81</v>
      </c>
      <c r="P531" s="1" t="s">
        <v>81</v>
      </c>
      <c r="Q531" s="1" t="s">
        <v>81</v>
      </c>
      <c r="R531" s="6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6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3.8" hidden="false" customHeight="false" outlineLevel="0" collapsed="false">
      <c r="A532" s="4" t="s">
        <v>897</v>
      </c>
      <c r="B532" s="5"/>
      <c r="C532" s="4" t="s">
        <v>898</v>
      </c>
      <c r="D532" s="6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3" t="s">
        <v>46</v>
      </c>
      <c r="N532" s="6" t="s">
        <v>465</v>
      </c>
      <c r="O532" s="1" t="s">
        <v>81</v>
      </c>
      <c r="P532" s="1" t="s">
        <v>81</v>
      </c>
      <c r="Q532" s="1" t="s">
        <v>81</v>
      </c>
      <c r="R532" s="6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6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3.8" hidden="false" customHeight="false" outlineLevel="0" collapsed="false">
      <c r="A533" s="4" t="s">
        <v>897</v>
      </c>
      <c r="B533" s="5"/>
      <c r="C533" s="4" t="s">
        <v>898</v>
      </c>
      <c r="D533" s="6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3" t="s">
        <v>46</v>
      </c>
      <c r="N533" s="6" t="s">
        <v>465</v>
      </c>
      <c r="O533" s="1" t="s">
        <v>81</v>
      </c>
      <c r="P533" s="1" t="s">
        <v>81</v>
      </c>
      <c r="Q533" s="1" t="s">
        <v>81</v>
      </c>
      <c r="R533" s="6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6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3.8" hidden="false" customHeight="false" outlineLevel="0" collapsed="false">
      <c r="A534" s="4" t="s">
        <v>897</v>
      </c>
      <c r="B534" s="5"/>
      <c r="C534" s="4" t="s">
        <v>898</v>
      </c>
      <c r="D534" s="6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3" t="s">
        <v>46</v>
      </c>
      <c r="N534" s="6" t="s">
        <v>465</v>
      </c>
      <c r="O534" s="1" t="s">
        <v>81</v>
      </c>
      <c r="P534" s="1" t="s">
        <v>81</v>
      </c>
      <c r="Q534" s="1" t="s">
        <v>81</v>
      </c>
      <c r="R534" s="6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6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3.8" hidden="false" customHeight="false" outlineLevel="0" collapsed="false">
      <c r="A535" s="4" t="s">
        <v>897</v>
      </c>
      <c r="B535" s="5"/>
      <c r="C535" s="4" t="s">
        <v>898</v>
      </c>
      <c r="D535" s="6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3" t="s">
        <v>46</v>
      </c>
      <c r="N535" s="6" t="s">
        <v>70</v>
      </c>
      <c r="O535" s="1" t="s">
        <v>46</v>
      </c>
      <c r="P535" s="1" t="s">
        <v>71</v>
      </c>
      <c r="Q535" s="1" t="s">
        <v>71</v>
      </c>
      <c r="R535" s="6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6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3.8" hidden="false" customHeight="false" outlineLevel="0" collapsed="false">
      <c r="A536" s="4" t="s">
        <v>897</v>
      </c>
      <c r="B536" s="5"/>
      <c r="C536" s="4" t="s">
        <v>898</v>
      </c>
      <c r="D536" s="6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3" t="s">
        <v>46</v>
      </c>
      <c r="N536" s="6" t="s">
        <v>70</v>
      </c>
      <c r="O536" s="1" t="s">
        <v>46</v>
      </c>
      <c r="P536" s="1" t="s">
        <v>71</v>
      </c>
      <c r="Q536" s="1" t="s">
        <v>71</v>
      </c>
      <c r="R536" s="6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6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3.8" hidden="false" customHeight="false" outlineLevel="0" collapsed="false">
      <c r="A537" s="4" t="s">
        <v>897</v>
      </c>
      <c r="B537" s="5"/>
      <c r="C537" s="4" t="s">
        <v>898</v>
      </c>
      <c r="D537" s="6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3" t="s">
        <v>46</v>
      </c>
      <c r="N537" s="6" t="s">
        <v>70</v>
      </c>
      <c r="O537" s="1" t="s">
        <v>46</v>
      </c>
      <c r="P537" s="1" t="s">
        <v>71</v>
      </c>
      <c r="Q537" s="1" t="s">
        <v>71</v>
      </c>
      <c r="R537" s="6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6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3.8" hidden="false" customHeight="false" outlineLevel="0" collapsed="false">
      <c r="A538" s="4" t="s">
        <v>897</v>
      </c>
      <c r="B538" s="5"/>
      <c r="C538" s="4" t="s">
        <v>898</v>
      </c>
      <c r="D538" s="6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3" t="s">
        <v>46</v>
      </c>
      <c r="N538" s="6" t="s">
        <v>70</v>
      </c>
      <c r="O538" s="1" t="s">
        <v>46</v>
      </c>
      <c r="P538" s="1" t="s">
        <v>71</v>
      </c>
      <c r="Q538" s="1" t="s">
        <v>71</v>
      </c>
      <c r="R538" s="6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6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3.8" hidden="false" customHeight="false" outlineLevel="0" collapsed="false">
      <c r="A539" s="4" t="s">
        <v>897</v>
      </c>
      <c r="B539" s="5"/>
      <c r="C539" s="4" t="s">
        <v>898</v>
      </c>
      <c r="D539" s="6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6" t="s">
        <v>158</v>
      </c>
      <c r="K539" s="31" t="s">
        <v>993</v>
      </c>
      <c r="L539" s="6" t="s">
        <v>69</v>
      </c>
      <c r="M539" s="13" t="s">
        <v>46</v>
      </c>
      <c r="N539" s="6" t="s">
        <v>404</v>
      </c>
      <c r="O539" s="6" t="s">
        <v>54</v>
      </c>
      <c r="P539" s="6" t="s">
        <v>901</v>
      </c>
      <c r="Q539" s="6" t="s">
        <v>46</v>
      </c>
      <c r="R539" s="6" t="s">
        <v>44</v>
      </c>
      <c r="S539" s="6" t="s">
        <v>46</v>
      </c>
      <c r="T539" s="6" t="s">
        <v>406</v>
      </c>
      <c r="U539" s="6" t="s">
        <v>46</v>
      </c>
      <c r="V539" s="1" t="n">
        <v>1</v>
      </c>
      <c r="W539" s="6" t="s">
        <v>709</v>
      </c>
      <c r="X539" s="6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3.8" hidden="false" customHeight="false" outlineLevel="0" collapsed="false">
      <c r="A540" s="4" t="s">
        <v>897</v>
      </c>
      <c r="B540" s="5"/>
      <c r="C540" s="4" t="s">
        <v>898</v>
      </c>
      <c r="D540" s="6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6" t="s">
        <v>158</v>
      </c>
      <c r="K540" s="6" t="s">
        <v>998</v>
      </c>
      <c r="L540" s="6" t="s">
        <v>69</v>
      </c>
      <c r="M540" s="13" t="s">
        <v>46</v>
      </c>
      <c r="N540" s="6" t="s">
        <v>404</v>
      </c>
      <c r="O540" s="6" t="s">
        <v>42</v>
      </c>
      <c r="P540" s="6" t="s">
        <v>901</v>
      </c>
      <c r="Q540" s="6" t="s">
        <v>46</v>
      </c>
      <c r="R540" s="6" t="s">
        <v>72</v>
      </c>
      <c r="S540" s="6" t="s">
        <v>46</v>
      </c>
      <c r="T540" s="6" t="s">
        <v>406</v>
      </c>
      <c r="U540" s="6" t="s">
        <v>46</v>
      </c>
      <c r="V540" s="6" t="n">
        <v>1</v>
      </c>
      <c r="W540" s="6" t="s">
        <v>719</v>
      </c>
      <c r="X540" s="6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3.8" hidden="false" customHeight="false" outlineLevel="0" collapsed="false">
      <c r="A541" s="4" t="s">
        <v>897</v>
      </c>
      <c r="B541" s="5"/>
      <c r="C541" s="4" t="s">
        <v>898</v>
      </c>
      <c r="D541" s="6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6" t="s">
        <v>158</v>
      </c>
      <c r="K541" s="6" t="s">
        <v>1003</v>
      </c>
      <c r="L541" s="6" t="s">
        <v>69</v>
      </c>
      <c r="M541" s="13" t="s">
        <v>46</v>
      </c>
      <c r="N541" s="6" t="s">
        <v>404</v>
      </c>
      <c r="O541" s="6" t="s">
        <v>42</v>
      </c>
      <c r="P541" s="6" t="s">
        <v>901</v>
      </c>
      <c r="Q541" s="6" t="s">
        <v>46</v>
      </c>
      <c r="R541" s="6" t="s">
        <v>72</v>
      </c>
      <c r="S541" s="6" t="s">
        <v>46</v>
      </c>
      <c r="T541" s="6" t="s">
        <v>406</v>
      </c>
      <c r="U541" s="6" t="s">
        <v>46</v>
      </c>
      <c r="V541" s="6" t="n">
        <v>1</v>
      </c>
      <c r="W541" s="6" t="s">
        <v>762</v>
      </c>
      <c r="X541" s="6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3.8" hidden="false" customHeight="false" outlineLevel="0" collapsed="false">
      <c r="A542" s="4" t="s">
        <v>897</v>
      </c>
      <c r="B542" s="5"/>
      <c r="C542" s="4" t="s">
        <v>898</v>
      </c>
      <c r="D542" s="6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6" t="s">
        <v>166</v>
      </c>
      <c r="K542" s="31" t="s">
        <v>1008</v>
      </c>
      <c r="L542" s="6" t="s">
        <v>69</v>
      </c>
      <c r="M542" s="13" t="s">
        <v>46</v>
      </c>
      <c r="N542" s="6" t="s">
        <v>404</v>
      </c>
      <c r="O542" s="6" t="s">
        <v>42</v>
      </c>
      <c r="P542" s="6" t="s">
        <v>901</v>
      </c>
      <c r="Q542" s="6" t="s">
        <v>46</v>
      </c>
      <c r="R542" s="6" t="s">
        <v>44</v>
      </c>
      <c r="S542" s="6" t="s">
        <v>46</v>
      </c>
      <c r="T542" s="6" t="s">
        <v>419</v>
      </c>
      <c r="U542" s="6" t="s">
        <v>46</v>
      </c>
      <c r="V542" s="1" t="n">
        <v>1</v>
      </c>
      <c r="W542" s="6" t="s">
        <v>666</v>
      </c>
      <c r="X542" s="6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3.8" hidden="false" customHeight="false" outlineLevel="0" collapsed="false">
      <c r="A543" s="4" t="s">
        <v>897</v>
      </c>
      <c r="B543" s="5"/>
      <c r="C543" s="4" t="s">
        <v>898</v>
      </c>
      <c r="D543" s="6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6" t="s">
        <v>1013</v>
      </c>
      <c r="L543" s="6" t="s">
        <v>69</v>
      </c>
      <c r="M543" s="13" t="s">
        <v>46</v>
      </c>
      <c r="N543" s="6" t="s">
        <v>404</v>
      </c>
      <c r="O543" s="6" t="s">
        <v>54</v>
      </c>
      <c r="P543" s="6" t="s">
        <v>901</v>
      </c>
      <c r="Q543" s="6" t="s">
        <v>46</v>
      </c>
      <c r="R543" s="6" t="s">
        <v>44</v>
      </c>
      <c r="S543" s="6" t="s">
        <v>46</v>
      </c>
      <c r="T543" s="6" t="s">
        <v>406</v>
      </c>
      <c r="U543" s="6" t="s">
        <v>46</v>
      </c>
      <c r="V543" s="6" t="n">
        <v>1</v>
      </c>
      <c r="W543" s="1" t="s">
        <v>785</v>
      </c>
      <c r="X543" s="6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3.8" hidden="false" customHeight="false" outlineLevel="0" collapsed="false">
      <c r="A544" s="4" t="s">
        <v>897</v>
      </c>
      <c r="B544" s="5"/>
      <c r="C544" s="4" t="s">
        <v>898</v>
      </c>
      <c r="D544" s="6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6" t="s">
        <v>1018</v>
      </c>
      <c r="L544" s="6" t="s">
        <v>69</v>
      </c>
      <c r="M544" s="13" t="s">
        <v>46</v>
      </c>
      <c r="N544" s="6" t="s">
        <v>404</v>
      </c>
      <c r="O544" s="6" t="s">
        <v>665</v>
      </c>
      <c r="P544" s="6" t="s">
        <v>901</v>
      </c>
      <c r="Q544" s="6" t="s">
        <v>46</v>
      </c>
      <c r="R544" s="6" t="s">
        <v>44</v>
      </c>
      <c r="S544" s="6" t="s">
        <v>46</v>
      </c>
      <c r="T544" s="6" t="s">
        <v>419</v>
      </c>
      <c r="U544" s="6" t="s">
        <v>46</v>
      </c>
      <c r="V544" s="6" t="n">
        <v>1</v>
      </c>
      <c r="W544" s="1" t="s">
        <v>779</v>
      </c>
      <c r="X544" s="6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3.8" hidden="false" customHeight="false" outlineLevel="0" collapsed="false">
      <c r="A545" s="4" t="s">
        <v>897</v>
      </c>
      <c r="B545" s="5"/>
      <c r="C545" s="4" t="s">
        <v>898</v>
      </c>
      <c r="D545" s="6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6" t="s">
        <v>166</v>
      </c>
      <c r="K545" s="31" t="s">
        <v>1023</v>
      </c>
      <c r="L545" s="6" t="s">
        <v>69</v>
      </c>
      <c r="M545" s="13" t="s">
        <v>46</v>
      </c>
      <c r="N545" s="6" t="s">
        <v>404</v>
      </c>
      <c r="O545" s="6" t="s">
        <v>42</v>
      </c>
      <c r="P545" s="6" t="s">
        <v>901</v>
      </c>
      <c r="Q545" s="6" t="s">
        <v>46</v>
      </c>
      <c r="R545" s="6" t="s">
        <v>44</v>
      </c>
      <c r="S545" s="6" t="s">
        <v>46</v>
      </c>
      <c r="T545" s="6" t="s">
        <v>419</v>
      </c>
      <c r="U545" s="6" t="s">
        <v>46</v>
      </c>
      <c r="V545" s="1" t="n">
        <v>1</v>
      </c>
      <c r="W545" s="6" t="s">
        <v>846</v>
      </c>
      <c r="X545" s="6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3.8" hidden="false" customHeight="false" outlineLevel="0" collapsed="false">
      <c r="A546" s="4" t="s">
        <v>897</v>
      </c>
      <c r="B546" s="5"/>
      <c r="C546" s="4" t="s">
        <v>898</v>
      </c>
      <c r="D546" s="6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3" t="s">
        <v>46</v>
      </c>
      <c r="N546" s="6" t="s">
        <v>65</v>
      </c>
      <c r="O546" s="1" t="s">
        <v>46</v>
      </c>
      <c r="P546" s="1" t="s">
        <v>46</v>
      </c>
      <c r="Q546" s="1" t="s">
        <v>46</v>
      </c>
      <c r="R546" s="6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6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3.8" hidden="false" customHeight="false" outlineLevel="0" collapsed="false">
      <c r="A547" s="4" t="s">
        <v>897</v>
      </c>
      <c r="B547" s="5"/>
      <c r="C547" s="4" t="s">
        <v>898</v>
      </c>
      <c r="D547" s="6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3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6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6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3.8" hidden="false" customHeight="false" outlineLevel="0" collapsed="false">
      <c r="A548" s="4" t="s">
        <v>897</v>
      </c>
      <c r="B548" s="5"/>
      <c r="C548" s="4" t="s">
        <v>898</v>
      </c>
      <c r="D548" s="6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3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6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6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3.8" hidden="false" customHeight="false" outlineLevel="0" collapsed="false">
      <c r="A549" s="4" t="s">
        <v>897</v>
      </c>
      <c r="B549" s="5"/>
      <c r="C549" s="4" t="s">
        <v>898</v>
      </c>
      <c r="D549" s="6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3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6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6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3.8" hidden="false" customHeight="false" outlineLevel="0" collapsed="false">
      <c r="A550" s="4" t="s">
        <v>897</v>
      </c>
      <c r="B550" s="5"/>
      <c r="C550" s="4" t="s">
        <v>898</v>
      </c>
      <c r="D550" s="6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3" t="s">
        <v>46</v>
      </c>
      <c r="N550" s="6" t="s">
        <v>465</v>
      </c>
      <c r="O550" s="1" t="s">
        <v>81</v>
      </c>
      <c r="P550" s="1" t="s">
        <v>81</v>
      </c>
      <c r="Q550" s="1" t="s">
        <v>81</v>
      </c>
      <c r="R550" s="6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6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3.8" hidden="false" customHeight="false" outlineLevel="0" collapsed="false">
      <c r="A551" s="4" t="s">
        <v>897</v>
      </c>
      <c r="B551" s="5"/>
      <c r="C551" s="4" t="s">
        <v>898</v>
      </c>
      <c r="D551" s="6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3" t="s">
        <v>46</v>
      </c>
      <c r="N551" s="6" t="s">
        <v>465</v>
      </c>
      <c r="O551" s="1" t="s">
        <v>81</v>
      </c>
      <c r="P551" s="1" t="s">
        <v>81</v>
      </c>
      <c r="Q551" s="1" t="s">
        <v>81</v>
      </c>
      <c r="R551" s="6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6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3.8" hidden="false" customHeight="false" outlineLevel="0" collapsed="false">
      <c r="A552" s="4" t="s">
        <v>897</v>
      </c>
      <c r="B552" s="5"/>
      <c r="C552" s="4" t="s">
        <v>898</v>
      </c>
      <c r="D552" s="6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3" t="s">
        <v>46</v>
      </c>
      <c r="N552" s="6" t="s">
        <v>465</v>
      </c>
      <c r="O552" s="1" t="s">
        <v>81</v>
      </c>
      <c r="P552" s="1" t="s">
        <v>81</v>
      </c>
      <c r="Q552" s="1" t="s">
        <v>81</v>
      </c>
      <c r="R552" s="6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6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3.8" hidden="false" customHeight="false" outlineLevel="0" collapsed="false">
      <c r="A553" s="4" t="s">
        <v>897</v>
      </c>
      <c r="B553" s="5"/>
      <c r="C553" s="4" t="s">
        <v>898</v>
      </c>
      <c r="D553" s="6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3" t="s">
        <v>46</v>
      </c>
      <c r="N553" s="6" t="s">
        <v>465</v>
      </c>
      <c r="O553" s="1" t="s">
        <v>81</v>
      </c>
      <c r="P553" s="1" t="s">
        <v>81</v>
      </c>
      <c r="Q553" s="1" t="s">
        <v>81</v>
      </c>
      <c r="R553" s="6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6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3.8" hidden="false" customHeight="false" outlineLevel="0" collapsed="false">
      <c r="A554" s="4" t="s">
        <v>897</v>
      </c>
      <c r="B554" s="5"/>
      <c r="C554" s="4" t="s">
        <v>898</v>
      </c>
      <c r="D554" s="6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3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6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6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3.8" hidden="false" customHeight="false" outlineLevel="0" collapsed="false">
      <c r="A555" s="4" t="s">
        <v>897</v>
      </c>
      <c r="B555" s="5"/>
      <c r="C555" s="4" t="s">
        <v>898</v>
      </c>
      <c r="D555" s="6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3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6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6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3.8" hidden="false" customHeight="false" outlineLevel="0" collapsed="false">
      <c r="A556" s="4" t="s">
        <v>897</v>
      </c>
      <c r="B556" s="5"/>
      <c r="C556" s="4" t="s">
        <v>898</v>
      </c>
      <c r="D556" s="6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3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6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6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3.8" hidden="false" customHeight="false" outlineLevel="0" collapsed="false">
      <c r="A557" s="4" t="s">
        <v>897</v>
      </c>
      <c r="B557" s="5"/>
      <c r="C557" s="4" t="s">
        <v>898</v>
      </c>
      <c r="D557" s="6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3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6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6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3.8" hidden="false" customHeight="false" outlineLevel="0" collapsed="false">
      <c r="A558" s="4" t="s">
        <v>897</v>
      </c>
      <c r="B558" s="5"/>
      <c r="C558" s="4" t="s">
        <v>898</v>
      </c>
      <c r="D558" s="6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6" t="s">
        <v>1028</v>
      </c>
      <c r="L558" s="6" t="s">
        <v>69</v>
      </c>
      <c r="M558" s="13" t="s">
        <v>46</v>
      </c>
      <c r="N558" s="6" t="s">
        <v>404</v>
      </c>
      <c r="O558" s="6" t="s">
        <v>42</v>
      </c>
      <c r="P558" s="6" t="s">
        <v>901</v>
      </c>
      <c r="Q558" s="6" t="s">
        <v>46</v>
      </c>
      <c r="R558" s="6" t="s">
        <v>44</v>
      </c>
      <c r="S558" s="6" t="s">
        <v>46</v>
      </c>
      <c r="T558" s="6" t="s">
        <v>406</v>
      </c>
      <c r="U558" s="6" t="s">
        <v>46</v>
      </c>
      <c r="V558" s="6" t="n">
        <v>1</v>
      </c>
      <c r="W558" s="1" t="s">
        <v>829</v>
      </c>
      <c r="X558" s="6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3.8" hidden="false" customHeight="false" outlineLevel="0" collapsed="false">
      <c r="A559" s="4" t="s">
        <v>897</v>
      </c>
      <c r="B559" s="5"/>
      <c r="C559" s="4" t="s">
        <v>898</v>
      </c>
      <c r="D559" s="6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6" t="s">
        <v>1033</v>
      </c>
      <c r="L559" s="6" t="s">
        <v>69</v>
      </c>
      <c r="M559" s="13" t="s">
        <v>46</v>
      </c>
      <c r="N559" s="6" t="s">
        <v>404</v>
      </c>
      <c r="O559" s="6" t="s">
        <v>54</v>
      </c>
      <c r="P559" s="6" t="s">
        <v>901</v>
      </c>
      <c r="Q559" s="6" t="s">
        <v>46</v>
      </c>
      <c r="R559" s="6" t="s">
        <v>72</v>
      </c>
      <c r="S559" s="6" t="s">
        <v>46</v>
      </c>
      <c r="T559" s="6" t="s">
        <v>406</v>
      </c>
      <c r="U559" s="6" t="s">
        <v>46</v>
      </c>
      <c r="V559" s="6" t="n">
        <v>1</v>
      </c>
      <c r="W559" s="1" t="s">
        <v>840</v>
      </c>
      <c r="X559" s="6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3.8" hidden="false" customHeight="false" outlineLevel="0" collapsed="false">
      <c r="A560" s="4" t="s">
        <v>897</v>
      </c>
      <c r="B560" s="5"/>
      <c r="C560" s="4" t="s">
        <v>898</v>
      </c>
      <c r="D560" s="6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6" t="s">
        <v>1038</v>
      </c>
      <c r="L560" s="6" t="s">
        <v>69</v>
      </c>
      <c r="M560" s="13" t="s">
        <v>46</v>
      </c>
      <c r="N560" s="6" t="s">
        <v>404</v>
      </c>
      <c r="O560" s="6" t="s">
        <v>42</v>
      </c>
      <c r="P560" s="6" t="s">
        <v>901</v>
      </c>
      <c r="Q560" s="6" t="s">
        <v>46</v>
      </c>
      <c r="R560" s="6" t="s">
        <v>44</v>
      </c>
      <c r="S560" s="6" t="s">
        <v>46</v>
      </c>
      <c r="T560" s="6" t="s">
        <v>419</v>
      </c>
      <c r="U560" s="6" t="s">
        <v>46</v>
      </c>
      <c r="V560" s="6" t="n">
        <v>1</v>
      </c>
      <c r="W560" s="1" t="s">
        <v>1039</v>
      </c>
      <c r="X560" s="6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3.8" hidden="false" customHeight="false" outlineLevel="0" collapsed="false">
      <c r="A561" s="4" t="s">
        <v>897</v>
      </c>
      <c r="B561" s="5"/>
      <c r="C561" s="4" t="s">
        <v>898</v>
      </c>
      <c r="D561" s="6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6" t="s">
        <v>1044</v>
      </c>
      <c r="L561" s="6" t="s">
        <v>69</v>
      </c>
      <c r="M561" s="13" t="s">
        <v>46</v>
      </c>
      <c r="N561" s="6" t="s">
        <v>404</v>
      </c>
      <c r="O561" s="6" t="s">
        <v>430</v>
      </c>
      <c r="P561" s="6" t="s">
        <v>901</v>
      </c>
      <c r="Q561" s="6" t="s">
        <v>46</v>
      </c>
      <c r="R561" s="6" t="s">
        <v>44</v>
      </c>
      <c r="S561" s="6" t="s">
        <v>46</v>
      </c>
      <c r="T561" s="6" t="s">
        <v>419</v>
      </c>
      <c r="U561" s="6" t="s">
        <v>46</v>
      </c>
      <c r="V561" s="6" t="n">
        <v>1</v>
      </c>
      <c r="W561" s="1" t="s">
        <v>858</v>
      </c>
      <c r="X561" s="6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3.8" hidden="false" customHeight="false" outlineLevel="0" collapsed="false">
      <c r="A562" s="4" t="s">
        <v>897</v>
      </c>
      <c r="B562" s="5"/>
      <c r="C562" s="4" t="s">
        <v>898</v>
      </c>
      <c r="D562" s="6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6" t="s">
        <v>1049</v>
      </c>
      <c r="L562" s="6" t="s">
        <v>69</v>
      </c>
      <c r="M562" s="13" t="s">
        <v>46</v>
      </c>
      <c r="N562" s="6" t="s">
        <v>404</v>
      </c>
      <c r="O562" s="6" t="s">
        <v>54</v>
      </c>
      <c r="P562" s="6" t="s">
        <v>901</v>
      </c>
      <c r="Q562" s="6" t="s">
        <v>46</v>
      </c>
      <c r="R562" s="6" t="s">
        <v>72</v>
      </c>
      <c r="S562" s="6" t="s">
        <v>46</v>
      </c>
      <c r="T562" s="6" t="s">
        <v>406</v>
      </c>
      <c r="U562" s="6" t="s">
        <v>46</v>
      </c>
      <c r="V562" s="6" t="n">
        <v>1</v>
      </c>
      <c r="W562" s="1" t="s">
        <v>852</v>
      </c>
      <c r="X562" s="6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3.8" hidden="false" customHeight="false" outlineLevel="0" collapsed="false">
      <c r="A563" s="4" t="s">
        <v>897</v>
      </c>
      <c r="B563" s="5"/>
      <c r="C563" s="4" t="s">
        <v>898</v>
      </c>
      <c r="D563" s="6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3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6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6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3.8" hidden="false" customHeight="false" outlineLevel="0" collapsed="false">
      <c r="A564" s="4" t="s">
        <v>897</v>
      </c>
      <c r="B564" s="5"/>
      <c r="C564" s="4" t="s">
        <v>898</v>
      </c>
      <c r="D564" s="6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3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6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6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3.8" hidden="false" customHeight="false" outlineLevel="0" collapsed="false">
      <c r="A565" s="4" t="s">
        <v>897</v>
      </c>
      <c r="B565" s="5"/>
      <c r="C565" s="4" t="s">
        <v>898</v>
      </c>
      <c r="D565" s="6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3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6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6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3.8" hidden="false" customHeight="false" outlineLevel="0" collapsed="false">
      <c r="A566" s="4" t="s">
        <v>897</v>
      </c>
      <c r="B566" s="5"/>
      <c r="C566" s="4" t="s">
        <v>898</v>
      </c>
      <c r="D566" s="6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3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6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6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3.8" hidden="false" customHeight="false" outlineLevel="0" collapsed="false">
      <c r="A567" s="4" t="s">
        <v>897</v>
      </c>
      <c r="B567" s="5"/>
      <c r="C567" s="4" t="s">
        <v>898</v>
      </c>
      <c r="D567" s="6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3" t="s">
        <v>46</v>
      </c>
      <c r="N567" s="6" t="s">
        <v>465</v>
      </c>
      <c r="O567" s="1" t="s">
        <v>81</v>
      </c>
      <c r="P567" s="1" t="s">
        <v>81</v>
      </c>
      <c r="Q567" s="1" t="s">
        <v>81</v>
      </c>
      <c r="R567" s="6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6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3.8" hidden="false" customHeight="false" outlineLevel="0" collapsed="false">
      <c r="A568" s="4" t="s">
        <v>897</v>
      </c>
      <c r="B568" s="5"/>
      <c r="C568" s="4" t="s">
        <v>898</v>
      </c>
      <c r="D568" s="6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3" t="s">
        <v>46</v>
      </c>
      <c r="N568" s="6" t="s">
        <v>465</v>
      </c>
      <c r="O568" s="1" t="s">
        <v>81</v>
      </c>
      <c r="P568" s="1" t="s">
        <v>81</v>
      </c>
      <c r="Q568" s="1" t="s">
        <v>81</v>
      </c>
      <c r="R568" s="6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6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3.8" hidden="false" customHeight="false" outlineLevel="0" collapsed="false">
      <c r="A569" s="4" t="s">
        <v>897</v>
      </c>
      <c r="B569" s="5"/>
      <c r="C569" s="4" t="s">
        <v>898</v>
      </c>
      <c r="D569" s="6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3" t="s">
        <v>46</v>
      </c>
      <c r="N569" s="6" t="s">
        <v>465</v>
      </c>
      <c r="O569" s="1" t="s">
        <v>81</v>
      </c>
      <c r="P569" s="1" t="s">
        <v>81</v>
      </c>
      <c r="Q569" s="1" t="s">
        <v>81</v>
      </c>
      <c r="R569" s="6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6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3.8" hidden="false" customHeight="false" outlineLevel="0" collapsed="false">
      <c r="A570" s="4" t="s">
        <v>897</v>
      </c>
      <c r="B570" s="5"/>
      <c r="C570" s="4" t="s">
        <v>898</v>
      </c>
      <c r="D570" s="6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3" t="s">
        <v>46</v>
      </c>
      <c r="N570" s="6" t="s">
        <v>465</v>
      </c>
      <c r="O570" s="1" t="s">
        <v>81</v>
      </c>
      <c r="P570" s="1" t="s">
        <v>81</v>
      </c>
      <c r="Q570" s="1" t="s">
        <v>81</v>
      </c>
      <c r="R570" s="6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6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3.8" hidden="false" customHeight="false" outlineLevel="0" collapsed="false">
      <c r="A571" s="4" t="s">
        <v>897</v>
      </c>
      <c r="B571" s="5"/>
      <c r="C571" s="4" t="s">
        <v>898</v>
      </c>
      <c r="D571" s="6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3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6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6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3.8" hidden="false" customHeight="false" outlineLevel="0" collapsed="false">
      <c r="A572" s="4" t="s">
        <v>897</v>
      </c>
      <c r="B572" s="5"/>
      <c r="C572" s="4" t="s">
        <v>898</v>
      </c>
      <c r="D572" s="6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3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6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6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3.8" hidden="false" customHeight="false" outlineLevel="0" collapsed="false">
      <c r="A573" s="4" t="s">
        <v>897</v>
      </c>
      <c r="B573" s="5"/>
      <c r="C573" s="4" t="s">
        <v>898</v>
      </c>
      <c r="D573" s="6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3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6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6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3.8" hidden="false" customHeight="false" outlineLevel="0" collapsed="false">
      <c r="A574" s="4" t="s">
        <v>897</v>
      </c>
      <c r="B574" s="5"/>
      <c r="C574" s="4" t="s">
        <v>898</v>
      </c>
      <c r="D574" s="6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3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6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6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3.8" hidden="false" customHeight="false" outlineLevel="0" collapsed="false">
      <c r="A575" s="4" t="s">
        <v>1052</v>
      </c>
      <c r="B575" s="5"/>
      <c r="C575" s="4" t="s">
        <v>1053</v>
      </c>
      <c r="D575" s="6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6" t="s">
        <v>1055</v>
      </c>
      <c r="L575" s="6" t="s">
        <v>69</v>
      </c>
      <c r="M575" s="13" t="s">
        <v>46</v>
      </c>
      <c r="N575" s="6" t="s">
        <v>404</v>
      </c>
      <c r="O575" s="6" t="s">
        <v>42</v>
      </c>
      <c r="P575" s="6" t="s">
        <v>1056</v>
      </c>
      <c r="Q575" s="6" t="s">
        <v>46</v>
      </c>
      <c r="R575" s="6" t="s">
        <v>44</v>
      </c>
      <c r="S575" s="6" t="s">
        <v>46</v>
      </c>
      <c r="T575" s="6" t="s">
        <v>419</v>
      </c>
      <c r="U575" s="6" t="s">
        <v>46</v>
      </c>
      <c r="V575" s="6" t="n">
        <v>1</v>
      </c>
      <c r="W575" s="1" t="s">
        <v>420</v>
      </c>
      <c r="X575" s="6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3.8" hidden="false" customHeight="false" outlineLevel="0" collapsed="false">
      <c r="A576" s="4" t="s">
        <v>1052</v>
      </c>
      <c r="B576" s="5"/>
      <c r="C576" s="4" t="s">
        <v>1053</v>
      </c>
      <c r="D576" s="6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6" t="s">
        <v>1060</v>
      </c>
      <c r="L576" s="6" t="s">
        <v>69</v>
      </c>
      <c r="M576" s="13" t="s">
        <v>46</v>
      </c>
      <c r="N576" s="6" t="s">
        <v>404</v>
      </c>
      <c r="O576" s="6" t="s">
        <v>42</v>
      </c>
      <c r="P576" s="6" t="s">
        <v>1056</v>
      </c>
      <c r="Q576" s="6" t="s">
        <v>46</v>
      </c>
      <c r="R576" s="6" t="s">
        <v>72</v>
      </c>
      <c r="S576" s="6" t="s">
        <v>46</v>
      </c>
      <c r="T576" s="6" t="s">
        <v>419</v>
      </c>
      <c r="U576" s="6" t="s">
        <v>46</v>
      </c>
      <c r="V576" s="6" t="n">
        <v>1</v>
      </c>
      <c r="W576" s="1" t="s">
        <v>431</v>
      </c>
      <c r="X576" s="6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3.8" hidden="false" customHeight="false" outlineLevel="0" collapsed="false">
      <c r="A577" s="4" t="s">
        <v>1052</v>
      </c>
      <c r="B577" s="5"/>
      <c r="C577" s="4" t="s">
        <v>1053</v>
      </c>
      <c r="D577" s="6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6" t="s">
        <v>1065</v>
      </c>
      <c r="L577" s="6" t="s">
        <v>69</v>
      </c>
      <c r="M577" s="13" t="s">
        <v>46</v>
      </c>
      <c r="N577" s="6" t="s">
        <v>404</v>
      </c>
      <c r="O577" s="6" t="s">
        <v>418</v>
      </c>
      <c r="P577" s="6" t="s">
        <v>1056</v>
      </c>
      <c r="Q577" s="6" t="s">
        <v>46</v>
      </c>
      <c r="R577" s="6" t="s">
        <v>72</v>
      </c>
      <c r="S577" s="6" t="s">
        <v>46</v>
      </c>
      <c r="T577" s="6" t="s">
        <v>419</v>
      </c>
      <c r="U577" s="6" t="s">
        <v>46</v>
      </c>
      <c r="V577" s="6" t="n">
        <v>1</v>
      </c>
      <c r="W577" s="1" t="s">
        <v>436</v>
      </c>
      <c r="X577" s="6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3.8" hidden="false" customHeight="false" outlineLevel="0" collapsed="false">
      <c r="A578" s="4" t="s">
        <v>1052</v>
      </c>
      <c r="B578" s="5"/>
      <c r="C578" s="4" t="s">
        <v>1053</v>
      </c>
      <c r="D578" s="6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6" t="s">
        <v>64</v>
      </c>
      <c r="L578" s="6" t="s">
        <v>46</v>
      </c>
      <c r="M578" s="13" t="s">
        <v>46</v>
      </c>
      <c r="N578" s="6" t="s">
        <v>65</v>
      </c>
      <c r="O578" s="6" t="s">
        <v>46</v>
      </c>
      <c r="P578" s="6" t="s">
        <v>46</v>
      </c>
      <c r="Q578" s="6" t="s">
        <v>46</v>
      </c>
      <c r="R578" s="6" t="s">
        <v>46</v>
      </c>
      <c r="S578" s="6" t="s">
        <v>46</v>
      </c>
      <c r="T578" s="6" t="s">
        <v>46</v>
      </c>
      <c r="U578" s="6" t="s">
        <v>46</v>
      </c>
      <c r="V578" s="6" t="n">
        <v>1</v>
      </c>
      <c r="X578" s="6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3.8" hidden="false" customHeight="false" outlineLevel="0" collapsed="false">
      <c r="A579" s="4" t="s">
        <v>1052</v>
      </c>
      <c r="B579" s="5"/>
      <c r="C579" s="4" t="s">
        <v>1053</v>
      </c>
      <c r="D579" s="6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6" t="s">
        <v>66</v>
      </c>
      <c r="L579" s="6" t="s">
        <v>46</v>
      </c>
      <c r="M579" s="13" t="s">
        <v>46</v>
      </c>
      <c r="N579" s="6" t="s">
        <v>65</v>
      </c>
      <c r="O579" s="6" t="s">
        <v>46</v>
      </c>
      <c r="P579" s="6" t="s">
        <v>46</v>
      </c>
      <c r="Q579" s="6" t="s">
        <v>46</v>
      </c>
      <c r="R579" s="6" t="s">
        <v>46</v>
      </c>
      <c r="S579" s="6" t="s">
        <v>46</v>
      </c>
      <c r="T579" s="6" t="s">
        <v>46</v>
      </c>
      <c r="U579" s="6" t="s">
        <v>46</v>
      </c>
      <c r="V579" s="6" t="n">
        <v>2</v>
      </c>
      <c r="X579" s="6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3.8" hidden="false" customHeight="false" outlineLevel="0" collapsed="false">
      <c r="A580" s="4" t="s">
        <v>1052</v>
      </c>
      <c r="B580" s="5"/>
      <c r="C580" s="4" t="s">
        <v>1053</v>
      </c>
      <c r="D580" s="6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6" t="s">
        <v>67</v>
      </c>
      <c r="L580" s="6" t="s">
        <v>46</v>
      </c>
      <c r="M580" s="13" t="s">
        <v>46</v>
      </c>
      <c r="N580" s="6" t="s">
        <v>65</v>
      </c>
      <c r="O580" s="6" t="s">
        <v>46</v>
      </c>
      <c r="P580" s="6" t="s">
        <v>46</v>
      </c>
      <c r="Q580" s="6" t="s">
        <v>46</v>
      </c>
      <c r="R580" s="6" t="s">
        <v>46</v>
      </c>
      <c r="S580" s="6" t="s">
        <v>46</v>
      </c>
      <c r="T580" s="6" t="s">
        <v>46</v>
      </c>
      <c r="U580" s="6" t="s">
        <v>46</v>
      </c>
      <c r="V580" s="6" t="n">
        <v>3</v>
      </c>
      <c r="X580" s="6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3.8" hidden="false" customHeight="false" outlineLevel="0" collapsed="false">
      <c r="A581" s="4" t="s">
        <v>1052</v>
      </c>
      <c r="B581" s="5"/>
      <c r="C581" s="4" t="s">
        <v>1053</v>
      </c>
      <c r="D581" s="6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6" t="s">
        <v>221</v>
      </c>
      <c r="L581" s="6" t="s">
        <v>46</v>
      </c>
      <c r="M581" s="13" t="s">
        <v>46</v>
      </c>
      <c r="N581" s="6" t="s">
        <v>65</v>
      </c>
      <c r="O581" s="6" t="s">
        <v>46</v>
      </c>
      <c r="P581" s="6" t="s">
        <v>46</v>
      </c>
      <c r="Q581" s="6" t="s">
        <v>46</v>
      </c>
      <c r="R581" s="6" t="s">
        <v>46</v>
      </c>
      <c r="S581" s="6" t="s">
        <v>46</v>
      </c>
      <c r="T581" s="6" t="s">
        <v>46</v>
      </c>
      <c r="U581" s="6" t="s">
        <v>46</v>
      </c>
      <c r="V581" s="6" t="n">
        <v>4</v>
      </c>
      <c r="X581" s="6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3.8" hidden="false" customHeight="false" outlineLevel="0" collapsed="false">
      <c r="A582" s="4" t="s">
        <v>1052</v>
      </c>
      <c r="B582" s="5"/>
      <c r="C582" s="4" t="s">
        <v>1053</v>
      </c>
      <c r="D582" s="6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6" t="s">
        <v>463</v>
      </c>
      <c r="L582" s="6" t="s">
        <v>69</v>
      </c>
      <c r="M582" s="13" t="s">
        <v>46</v>
      </c>
      <c r="N582" s="6" t="s">
        <v>465</v>
      </c>
      <c r="O582" s="6" t="s">
        <v>81</v>
      </c>
      <c r="P582" s="6" t="s">
        <v>81</v>
      </c>
      <c r="Q582" s="6" t="s">
        <v>81</v>
      </c>
      <c r="R582" s="6" t="s">
        <v>81</v>
      </c>
      <c r="S582" s="6" t="s">
        <v>46</v>
      </c>
      <c r="T582" s="6" t="s">
        <v>81</v>
      </c>
      <c r="U582" s="6" t="s">
        <v>46</v>
      </c>
      <c r="V582" s="6" t="n">
        <v>1</v>
      </c>
      <c r="X582" s="6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3.8" hidden="false" customHeight="false" outlineLevel="0" collapsed="false">
      <c r="A583" s="4" t="s">
        <v>1052</v>
      </c>
      <c r="B583" s="5"/>
      <c r="C583" s="4" t="s">
        <v>1053</v>
      </c>
      <c r="D583" s="6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6" t="s">
        <v>158</v>
      </c>
      <c r="K583" s="6" t="s">
        <v>468</v>
      </c>
      <c r="L583" s="6" t="s">
        <v>69</v>
      </c>
      <c r="M583" s="13" t="s">
        <v>46</v>
      </c>
      <c r="N583" s="6" t="s">
        <v>465</v>
      </c>
      <c r="O583" s="6" t="s">
        <v>81</v>
      </c>
      <c r="P583" s="6" t="s">
        <v>81</v>
      </c>
      <c r="Q583" s="6" t="s">
        <v>81</v>
      </c>
      <c r="R583" s="6" t="s">
        <v>81</v>
      </c>
      <c r="S583" s="6" t="s">
        <v>46</v>
      </c>
      <c r="T583" s="6" t="s">
        <v>81</v>
      </c>
      <c r="U583" s="6" t="s">
        <v>46</v>
      </c>
      <c r="V583" s="6" t="n">
        <v>2</v>
      </c>
      <c r="W583" s="6"/>
      <c r="X583" s="6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3.8" hidden="false" customHeight="false" outlineLevel="0" collapsed="false">
      <c r="A584" s="4" t="s">
        <v>1052</v>
      </c>
      <c r="B584" s="5"/>
      <c r="C584" s="4" t="s">
        <v>1053</v>
      </c>
      <c r="D584" s="6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6" t="s">
        <v>158</v>
      </c>
      <c r="K584" s="6" t="s">
        <v>472</v>
      </c>
      <c r="L584" s="6" t="s">
        <v>69</v>
      </c>
      <c r="M584" s="13" t="s">
        <v>46</v>
      </c>
      <c r="N584" s="6" t="s">
        <v>465</v>
      </c>
      <c r="O584" s="6" t="s">
        <v>81</v>
      </c>
      <c r="P584" s="6" t="s">
        <v>81</v>
      </c>
      <c r="Q584" s="6" t="s">
        <v>81</v>
      </c>
      <c r="R584" s="6" t="s">
        <v>81</v>
      </c>
      <c r="S584" s="6" t="s">
        <v>46</v>
      </c>
      <c r="T584" s="6" t="s">
        <v>81</v>
      </c>
      <c r="U584" s="6" t="s">
        <v>46</v>
      </c>
      <c r="V584" s="6" t="n">
        <v>3</v>
      </c>
      <c r="W584" s="6"/>
      <c r="X584" s="6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3.8" hidden="false" customHeight="false" outlineLevel="0" collapsed="false">
      <c r="A585" s="4" t="s">
        <v>1052</v>
      </c>
      <c r="B585" s="5"/>
      <c r="C585" s="4" t="s">
        <v>1053</v>
      </c>
      <c r="D585" s="6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6" t="s">
        <v>158</v>
      </c>
      <c r="K585" s="6" t="s">
        <v>476</v>
      </c>
      <c r="L585" s="6" t="s">
        <v>69</v>
      </c>
      <c r="M585" s="13" t="s">
        <v>46</v>
      </c>
      <c r="N585" s="6" t="s">
        <v>465</v>
      </c>
      <c r="O585" s="6" t="s">
        <v>81</v>
      </c>
      <c r="P585" s="6" t="s">
        <v>81</v>
      </c>
      <c r="Q585" s="6" t="s">
        <v>81</v>
      </c>
      <c r="R585" s="6" t="s">
        <v>81</v>
      </c>
      <c r="S585" s="6" t="s">
        <v>46</v>
      </c>
      <c r="T585" s="6" t="s">
        <v>81</v>
      </c>
      <c r="U585" s="6" t="s">
        <v>46</v>
      </c>
      <c r="V585" s="6" t="n">
        <v>4</v>
      </c>
      <c r="W585" s="6"/>
      <c r="X585" s="6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3.8" hidden="false" customHeight="false" outlineLevel="0" collapsed="false">
      <c r="A586" s="4" t="s">
        <v>1052</v>
      </c>
      <c r="B586" s="5"/>
      <c r="C586" s="4" t="s">
        <v>1053</v>
      </c>
      <c r="D586" s="6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6" t="s">
        <v>158</v>
      </c>
      <c r="K586" s="6" t="s">
        <v>348</v>
      </c>
      <c r="L586" s="6" t="s">
        <v>69</v>
      </c>
      <c r="M586" s="13" t="s">
        <v>46</v>
      </c>
      <c r="N586" s="6" t="s">
        <v>70</v>
      </c>
      <c r="O586" s="6" t="s">
        <v>46</v>
      </c>
      <c r="P586" s="6" t="s">
        <v>71</v>
      </c>
      <c r="Q586" s="6" t="s">
        <v>71</v>
      </c>
      <c r="R586" s="6" t="s">
        <v>72</v>
      </c>
      <c r="S586" s="6" t="s">
        <v>73</v>
      </c>
      <c r="T586" s="6" t="s">
        <v>46</v>
      </c>
      <c r="U586" s="6" t="n">
        <v>1000</v>
      </c>
      <c r="V586" s="6" t="n">
        <v>1</v>
      </c>
      <c r="W586" s="6"/>
      <c r="X586" s="6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3.8" hidden="false" customHeight="false" outlineLevel="0" collapsed="false">
      <c r="A587" s="4" t="s">
        <v>1052</v>
      </c>
      <c r="B587" s="5"/>
      <c r="C587" s="4" t="s">
        <v>1053</v>
      </c>
      <c r="D587" s="6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6" t="s">
        <v>349</v>
      </c>
      <c r="L587" s="6" t="s">
        <v>69</v>
      </c>
      <c r="M587" s="13" t="s">
        <v>46</v>
      </c>
      <c r="N587" s="6" t="s">
        <v>70</v>
      </c>
      <c r="O587" s="6" t="s">
        <v>46</v>
      </c>
      <c r="P587" s="6" t="s">
        <v>71</v>
      </c>
      <c r="Q587" s="6" t="s">
        <v>71</v>
      </c>
      <c r="R587" s="6" t="s">
        <v>72</v>
      </c>
      <c r="S587" s="6" t="s">
        <v>73</v>
      </c>
      <c r="T587" s="6" t="s">
        <v>46</v>
      </c>
      <c r="U587" s="6" t="n">
        <v>1000</v>
      </c>
      <c r="V587" s="6" t="n">
        <v>2</v>
      </c>
      <c r="X587" s="6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3.8" hidden="false" customHeight="false" outlineLevel="0" collapsed="false">
      <c r="A588" s="4" t="s">
        <v>1052</v>
      </c>
      <c r="B588" s="5"/>
      <c r="C588" s="4" t="s">
        <v>1053</v>
      </c>
      <c r="D588" s="6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6" t="s">
        <v>350</v>
      </c>
      <c r="L588" s="6" t="s">
        <v>69</v>
      </c>
      <c r="M588" s="13" t="s">
        <v>46</v>
      </c>
      <c r="N588" s="6" t="s">
        <v>70</v>
      </c>
      <c r="O588" s="6" t="s">
        <v>46</v>
      </c>
      <c r="P588" s="6" t="s">
        <v>71</v>
      </c>
      <c r="Q588" s="6" t="s">
        <v>71</v>
      </c>
      <c r="R588" s="6" t="s">
        <v>72</v>
      </c>
      <c r="S588" s="6" t="s">
        <v>73</v>
      </c>
      <c r="T588" s="6" t="s">
        <v>46</v>
      </c>
      <c r="U588" s="6" t="n">
        <v>1000</v>
      </c>
      <c r="V588" s="6" t="n">
        <v>3</v>
      </c>
      <c r="X588" s="6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3.8" hidden="false" customHeight="false" outlineLevel="0" collapsed="false">
      <c r="A589" s="4" t="s">
        <v>1052</v>
      </c>
      <c r="B589" s="5"/>
      <c r="C589" s="4" t="s">
        <v>1053</v>
      </c>
      <c r="D589" s="6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6" t="s">
        <v>351</v>
      </c>
      <c r="L589" s="6" t="s">
        <v>69</v>
      </c>
      <c r="M589" s="13" t="s">
        <v>46</v>
      </c>
      <c r="N589" s="6" t="s">
        <v>70</v>
      </c>
      <c r="O589" s="6" t="s">
        <v>46</v>
      </c>
      <c r="P589" s="6" t="s">
        <v>71</v>
      </c>
      <c r="Q589" s="6" t="s">
        <v>71</v>
      </c>
      <c r="R589" s="6" t="s">
        <v>72</v>
      </c>
      <c r="S589" s="6" t="s">
        <v>73</v>
      </c>
      <c r="T589" s="6" t="s">
        <v>46</v>
      </c>
      <c r="U589" s="6" t="n">
        <v>1000</v>
      </c>
      <c r="V589" s="6" t="n">
        <v>4</v>
      </c>
      <c r="X589" s="6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3.8" hidden="false" customHeight="false" outlineLevel="0" collapsed="false">
      <c r="A590" s="4" t="s">
        <v>1052</v>
      </c>
      <c r="B590" s="5"/>
      <c r="C590" s="4" t="s">
        <v>1053</v>
      </c>
      <c r="D590" s="6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6" t="s">
        <v>1070</v>
      </c>
      <c r="L590" s="6" t="s">
        <v>69</v>
      </c>
      <c r="M590" s="13" t="s">
        <v>46</v>
      </c>
      <c r="N590" s="6" t="s">
        <v>404</v>
      </c>
      <c r="O590" s="6" t="s">
        <v>42</v>
      </c>
      <c r="P590" s="6" t="s">
        <v>1056</v>
      </c>
      <c r="Q590" s="6" t="s">
        <v>46</v>
      </c>
      <c r="R590" s="6" t="s">
        <v>44</v>
      </c>
      <c r="S590" s="6" t="s">
        <v>46</v>
      </c>
      <c r="T590" s="6" t="s">
        <v>406</v>
      </c>
      <c r="U590" s="6" t="s">
        <v>46</v>
      </c>
      <c r="V590" s="6" t="n">
        <v>1</v>
      </c>
      <c r="W590" s="1" t="s">
        <v>407</v>
      </c>
      <c r="X590" s="6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3.8" hidden="false" customHeight="false" outlineLevel="0" collapsed="false">
      <c r="A591" s="4" t="s">
        <v>1052</v>
      </c>
      <c r="B591" s="5"/>
      <c r="C591" s="4" t="s">
        <v>1053</v>
      </c>
      <c r="D591" s="6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6" t="s">
        <v>1075</v>
      </c>
      <c r="L591" s="6" t="s">
        <v>69</v>
      </c>
      <c r="M591" s="13" t="s">
        <v>46</v>
      </c>
      <c r="N591" s="6" t="s">
        <v>404</v>
      </c>
      <c r="O591" s="6" t="s">
        <v>665</v>
      </c>
      <c r="P591" s="6" t="s">
        <v>1056</v>
      </c>
      <c r="Q591" s="6" t="s">
        <v>46</v>
      </c>
      <c r="R591" s="6" t="s">
        <v>44</v>
      </c>
      <c r="S591" s="6" t="s">
        <v>46</v>
      </c>
      <c r="T591" s="6" t="s">
        <v>419</v>
      </c>
      <c r="U591" s="6" t="s">
        <v>46</v>
      </c>
      <c r="V591" s="6" t="n">
        <v>1</v>
      </c>
      <c r="W591" s="1" t="s">
        <v>442</v>
      </c>
      <c r="X591" s="6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3.8" hidden="false" customHeight="false" outlineLevel="0" collapsed="false">
      <c r="A592" s="4" t="s">
        <v>1052</v>
      </c>
      <c r="B592" s="5"/>
      <c r="C592" s="4" t="s">
        <v>1053</v>
      </c>
      <c r="D592" s="6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6" t="s">
        <v>158</v>
      </c>
      <c r="K592" s="6" t="s">
        <v>1080</v>
      </c>
      <c r="L592" s="6" t="s">
        <v>69</v>
      </c>
      <c r="M592" s="13" t="s">
        <v>46</v>
      </c>
      <c r="N592" s="6" t="s">
        <v>404</v>
      </c>
      <c r="O592" s="6" t="s">
        <v>42</v>
      </c>
      <c r="P592" s="6" t="s">
        <v>1056</v>
      </c>
      <c r="Q592" s="6" t="s">
        <v>46</v>
      </c>
      <c r="R592" s="6" t="s">
        <v>72</v>
      </c>
      <c r="S592" s="6" t="s">
        <v>46</v>
      </c>
      <c r="T592" s="6" t="s">
        <v>406</v>
      </c>
      <c r="U592" s="6" t="s">
        <v>46</v>
      </c>
      <c r="V592" s="6" t="n">
        <v>1</v>
      </c>
      <c r="W592" s="6" t="s">
        <v>425</v>
      </c>
      <c r="X592" s="6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3.8" hidden="false" customHeight="false" outlineLevel="0" collapsed="false">
      <c r="A593" s="4" t="s">
        <v>1052</v>
      </c>
      <c r="B593" s="5"/>
      <c r="C593" s="4" t="s">
        <v>1053</v>
      </c>
      <c r="D593" s="6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6" t="s">
        <v>158</v>
      </c>
      <c r="K593" s="6" t="s">
        <v>1085</v>
      </c>
      <c r="L593" s="6" t="s">
        <v>69</v>
      </c>
      <c r="M593" s="13" t="s">
        <v>46</v>
      </c>
      <c r="N593" s="6" t="s">
        <v>404</v>
      </c>
      <c r="O593" s="6" t="s">
        <v>42</v>
      </c>
      <c r="P593" s="6" t="s">
        <v>1056</v>
      </c>
      <c r="Q593" s="6" t="s">
        <v>46</v>
      </c>
      <c r="R593" s="6" t="s">
        <v>44</v>
      </c>
      <c r="S593" s="6" t="s">
        <v>46</v>
      </c>
      <c r="T593" s="6" t="s">
        <v>406</v>
      </c>
      <c r="U593" s="6" t="s">
        <v>46</v>
      </c>
      <c r="V593" s="6" t="n">
        <v>1</v>
      </c>
      <c r="W593" s="6" t="s">
        <v>448</v>
      </c>
      <c r="X593" s="6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3.8" hidden="false" customHeight="false" outlineLevel="0" collapsed="false">
      <c r="A594" s="4" t="s">
        <v>1052</v>
      </c>
      <c r="B594" s="5"/>
      <c r="C594" s="4" t="s">
        <v>1053</v>
      </c>
      <c r="D594" s="6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6" t="s">
        <v>166</v>
      </c>
      <c r="K594" s="6" t="s">
        <v>1090</v>
      </c>
      <c r="L594" s="6" t="s">
        <v>69</v>
      </c>
      <c r="M594" s="13" t="s">
        <v>46</v>
      </c>
      <c r="N594" s="6" t="s">
        <v>404</v>
      </c>
      <c r="O594" s="6" t="s">
        <v>665</v>
      </c>
      <c r="P594" s="6" t="s">
        <v>1056</v>
      </c>
      <c r="Q594" s="6" t="s">
        <v>46</v>
      </c>
      <c r="R594" s="6" t="s">
        <v>72</v>
      </c>
      <c r="S594" s="6" t="s">
        <v>46</v>
      </c>
      <c r="T594" s="6" t="s">
        <v>419</v>
      </c>
      <c r="U594" s="6" t="s">
        <v>46</v>
      </c>
      <c r="V594" s="6" t="n">
        <v>1</v>
      </c>
      <c r="W594" s="6" t="s">
        <v>520</v>
      </c>
      <c r="X594" s="6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3.8" hidden="false" customHeight="false" outlineLevel="0" collapsed="false">
      <c r="A595" s="4" t="s">
        <v>1052</v>
      </c>
      <c r="B595" s="5"/>
      <c r="C595" s="4" t="s">
        <v>1053</v>
      </c>
      <c r="D595" s="6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6" t="s">
        <v>64</v>
      </c>
      <c r="L595" s="6" t="s">
        <v>46</v>
      </c>
      <c r="M595" s="13" t="s">
        <v>46</v>
      </c>
      <c r="N595" s="6" t="s">
        <v>65</v>
      </c>
      <c r="O595" s="6" t="s">
        <v>46</v>
      </c>
      <c r="P595" s="6" t="s">
        <v>46</v>
      </c>
      <c r="Q595" s="6" t="s">
        <v>46</v>
      </c>
      <c r="R595" s="6" t="s">
        <v>46</v>
      </c>
      <c r="S595" s="6" t="s">
        <v>46</v>
      </c>
      <c r="T595" s="6" t="s">
        <v>46</v>
      </c>
      <c r="U595" s="6" t="s">
        <v>46</v>
      </c>
      <c r="V595" s="6" t="n">
        <v>1</v>
      </c>
      <c r="X595" s="6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3.8" hidden="false" customHeight="false" outlineLevel="0" collapsed="false">
      <c r="A596" s="4" t="s">
        <v>1052</v>
      </c>
      <c r="B596" s="5"/>
      <c r="C596" s="4" t="s">
        <v>1053</v>
      </c>
      <c r="D596" s="6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6" t="s">
        <v>66</v>
      </c>
      <c r="L596" s="6" t="s">
        <v>46</v>
      </c>
      <c r="M596" s="13" t="s">
        <v>46</v>
      </c>
      <c r="N596" s="6" t="s">
        <v>65</v>
      </c>
      <c r="O596" s="6" t="s">
        <v>46</v>
      </c>
      <c r="P596" s="6" t="s">
        <v>46</v>
      </c>
      <c r="Q596" s="6" t="s">
        <v>46</v>
      </c>
      <c r="R596" s="6" t="s">
        <v>46</v>
      </c>
      <c r="S596" s="6" t="s">
        <v>46</v>
      </c>
      <c r="T596" s="6" t="s">
        <v>46</v>
      </c>
      <c r="U596" s="6" t="s">
        <v>46</v>
      </c>
      <c r="V596" s="6" t="n">
        <v>2</v>
      </c>
      <c r="X596" s="6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3.8" hidden="false" customHeight="false" outlineLevel="0" collapsed="false">
      <c r="A597" s="4" t="s">
        <v>1052</v>
      </c>
      <c r="B597" s="5"/>
      <c r="C597" s="4" t="s">
        <v>1053</v>
      </c>
      <c r="D597" s="6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6" t="s">
        <v>67</v>
      </c>
      <c r="L597" s="6" t="s">
        <v>46</v>
      </c>
      <c r="M597" s="13" t="s">
        <v>46</v>
      </c>
      <c r="N597" s="6" t="s">
        <v>65</v>
      </c>
      <c r="O597" s="6" t="s">
        <v>46</v>
      </c>
      <c r="P597" s="6" t="s">
        <v>46</v>
      </c>
      <c r="Q597" s="6" t="s">
        <v>46</v>
      </c>
      <c r="R597" s="6" t="s">
        <v>46</v>
      </c>
      <c r="S597" s="6" t="s">
        <v>46</v>
      </c>
      <c r="T597" s="6" t="s">
        <v>46</v>
      </c>
      <c r="U597" s="6" t="s">
        <v>46</v>
      </c>
      <c r="V597" s="6" t="n">
        <v>3</v>
      </c>
      <c r="X597" s="6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3.8" hidden="false" customHeight="false" outlineLevel="0" collapsed="false">
      <c r="A598" s="4" t="s">
        <v>1052</v>
      </c>
      <c r="B598" s="5"/>
      <c r="C598" s="4" t="s">
        <v>1053</v>
      </c>
      <c r="D598" s="6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6" t="s">
        <v>221</v>
      </c>
      <c r="L598" s="6" t="s">
        <v>46</v>
      </c>
      <c r="M598" s="13" t="s">
        <v>46</v>
      </c>
      <c r="N598" s="6" t="s">
        <v>65</v>
      </c>
      <c r="O598" s="6" t="s">
        <v>46</v>
      </c>
      <c r="P598" s="6" t="s">
        <v>46</v>
      </c>
      <c r="Q598" s="6" t="s">
        <v>46</v>
      </c>
      <c r="R598" s="6" t="s">
        <v>46</v>
      </c>
      <c r="S598" s="6" t="s">
        <v>46</v>
      </c>
      <c r="T598" s="6" t="s">
        <v>46</v>
      </c>
      <c r="U598" s="6" t="s">
        <v>46</v>
      </c>
      <c r="V598" s="6" t="n">
        <v>4</v>
      </c>
      <c r="X598" s="6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3.8" hidden="false" customHeight="false" outlineLevel="0" collapsed="false">
      <c r="A599" s="4" t="s">
        <v>1052</v>
      </c>
      <c r="B599" s="5"/>
      <c r="C599" s="4" t="s">
        <v>1053</v>
      </c>
      <c r="D599" s="6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6" t="s">
        <v>463</v>
      </c>
      <c r="L599" s="6" t="s">
        <v>69</v>
      </c>
      <c r="M599" s="13" t="s">
        <v>46</v>
      </c>
      <c r="N599" s="6" t="s">
        <v>465</v>
      </c>
      <c r="O599" s="6" t="s">
        <v>81</v>
      </c>
      <c r="P599" s="6" t="s">
        <v>81</v>
      </c>
      <c r="Q599" s="6" t="s">
        <v>81</v>
      </c>
      <c r="R599" s="6" t="s">
        <v>81</v>
      </c>
      <c r="S599" s="6" t="s">
        <v>46</v>
      </c>
      <c r="T599" s="6" t="s">
        <v>81</v>
      </c>
      <c r="U599" s="6" t="s">
        <v>46</v>
      </c>
      <c r="V599" s="6" t="n">
        <v>1</v>
      </c>
      <c r="X599" s="6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3.8" hidden="false" customHeight="false" outlineLevel="0" collapsed="false">
      <c r="A600" s="4" t="s">
        <v>1052</v>
      </c>
      <c r="B600" s="5"/>
      <c r="C600" s="4" t="s">
        <v>1053</v>
      </c>
      <c r="D600" s="6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6" t="s">
        <v>468</v>
      </c>
      <c r="L600" s="6" t="s">
        <v>69</v>
      </c>
      <c r="M600" s="13" t="s">
        <v>46</v>
      </c>
      <c r="N600" s="6" t="s">
        <v>465</v>
      </c>
      <c r="O600" s="6" t="s">
        <v>81</v>
      </c>
      <c r="P600" s="6" t="s">
        <v>81</v>
      </c>
      <c r="Q600" s="6" t="s">
        <v>81</v>
      </c>
      <c r="R600" s="6" t="s">
        <v>81</v>
      </c>
      <c r="S600" s="6" t="s">
        <v>46</v>
      </c>
      <c r="T600" s="6" t="s">
        <v>81</v>
      </c>
      <c r="U600" s="6" t="s">
        <v>46</v>
      </c>
      <c r="V600" s="6" t="n">
        <v>2</v>
      </c>
      <c r="X600" s="6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3.8" hidden="false" customHeight="false" outlineLevel="0" collapsed="false">
      <c r="A601" s="4" t="s">
        <v>1052</v>
      </c>
      <c r="B601" s="5"/>
      <c r="C601" s="4" t="s">
        <v>1053</v>
      </c>
      <c r="D601" s="6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6" t="s">
        <v>472</v>
      </c>
      <c r="L601" s="6" t="s">
        <v>69</v>
      </c>
      <c r="M601" s="13" t="s">
        <v>46</v>
      </c>
      <c r="N601" s="6" t="s">
        <v>465</v>
      </c>
      <c r="O601" s="6" t="s">
        <v>81</v>
      </c>
      <c r="P601" s="6" t="s">
        <v>81</v>
      </c>
      <c r="Q601" s="6" t="s">
        <v>81</v>
      </c>
      <c r="R601" s="6" t="s">
        <v>81</v>
      </c>
      <c r="S601" s="6" t="s">
        <v>46</v>
      </c>
      <c r="T601" s="6" t="s">
        <v>81</v>
      </c>
      <c r="U601" s="6" t="s">
        <v>46</v>
      </c>
      <c r="V601" s="6" t="n">
        <v>3</v>
      </c>
      <c r="X601" s="6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3.8" hidden="false" customHeight="false" outlineLevel="0" collapsed="false">
      <c r="A602" s="4" t="s">
        <v>1052</v>
      </c>
      <c r="B602" s="5"/>
      <c r="C602" s="4" t="s">
        <v>1053</v>
      </c>
      <c r="D602" s="6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6" t="s">
        <v>476</v>
      </c>
      <c r="L602" s="6" t="s">
        <v>69</v>
      </c>
      <c r="M602" s="13" t="s">
        <v>46</v>
      </c>
      <c r="N602" s="6" t="s">
        <v>465</v>
      </c>
      <c r="O602" s="6" t="s">
        <v>81</v>
      </c>
      <c r="P602" s="6" t="s">
        <v>81</v>
      </c>
      <c r="Q602" s="6" t="s">
        <v>81</v>
      </c>
      <c r="R602" s="6" t="s">
        <v>81</v>
      </c>
      <c r="S602" s="6" t="s">
        <v>46</v>
      </c>
      <c r="T602" s="6" t="s">
        <v>81</v>
      </c>
      <c r="U602" s="6" t="s">
        <v>46</v>
      </c>
      <c r="V602" s="6" t="n">
        <v>4</v>
      </c>
      <c r="X602" s="6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3.8" hidden="false" customHeight="false" outlineLevel="0" collapsed="false">
      <c r="A603" s="4" t="s">
        <v>1052</v>
      </c>
      <c r="B603" s="5"/>
      <c r="C603" s="4" t="s">
        <v>1053</v>
      </c>
      <c r="D603" s="6" t="s">
        <v>19</v>
      </c>
      <c r="E603" s="6" t="s">
        <v>492</v>
      </c>
      <c r="F603" s="6" t="s">
        <v>493</v>
      </c>
      <c r="G603" s="6" t="s">
        <v>492</v>
      </c>
      <c r="H603" s="7" t="s">
        <v>348</v>
      </c>
      <c r="I603" s="6" t="s">
        <v>554</v>
      </c>
      <c r="J603" s="1" t="s">
        <v>158</v>
      </c>
      <c r="K603" s="6" t="s">
        <v>348</v>
      </c>
      <c r="L603" s="6" t="s">
        <v>69</v>
      </c>
      <c r="M603" s="13" t="s">
        <v>46</v>
      </c>
      <c r="N603" s="6" t="s">
        <v>70</v>
      </c>
      <c r="O603" s="6" t="s">
        <v>46</v>
      </c>
      <c r="P603" s="6" t="s">
        <v>71</v>
      </c>
      <c r="Q603" s="6" t="s">
        <v>71</v>
      </c>
      <c r="R603" s="6" t="s">
        <v>72</v>
      </c>
      <c r="S603" s="6" t="s">
        <v>73</v>
      </c>
      <c r="T603" s="6" t="s">
        <v>46</v>
      </c>
      <c r="U603" s="6" t="n">
        <v>1000</v>
      </c>
      <c r="V603" s="6" t="n">
        <v>1</v>
      </c>
      <c r="X603" s="6" t="s">
        <v>408</v>
      </c>
      <c r="Y603" s="6" t="n">
        <v>5500</v>
      </c>
      <c r="Z603" s="6" t="s">
        <v>498</v>
      </c>
      <c r="AA603" s="6" t="s">
        <v>499</v>
      </c>
      <c r="AB603" s="6" t="s">
        <v>500</v>
      </c>
      <c r="AC603" s="6" t="s">
        <v>501</v>
      </c>
      <c r="AD603" s="1" t="s">
        <v>502</v>
      </c>
      <c r="AE603" s="6" t="s">
        <v>555</v>
      </c>
      <c r="AF603" s="6" t="s">
        <v>556</v>
      </c>
    </row>
    <row r="604" customFormat="false" ht="13.8" hidden="false" customHeight="false" outlineLevel="0" collapsed="false">
      <c r="A604" s="4" t="s">
        <v>1052</v>
      </c>
      <c r="B604" s="5"/>
      <c r="C604" s="4" t="s">
        <v>1053</v>
      </c>
      <c r="D604" s="6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6" t="s">
        <v>158</v>
      </c>
      <c r="K604" s="6" t="s">
        <v>349</v>
      </c>
      <c r="L604" s="6" t="s">
        <v>69</v>
      </c>
      <c r="M604" s="13" t="s">
        <v>46</v>
      </c>
      <c r="N604" s="6" t="s">
        <v>70</v>
      </c>
      <c r="O604" s="6" t="s">
        <v>46</v>
      </c>
      <c r="P604" s="6" t="s">
        <v>71</v>
      </c>
      <c r="Q604" s="6" t="s">
        <v>71</v>
      </c>
      <c r="R604" s="6" t="s">
        <v>72</v>
      </c>
      <c r="S604" s="6" t="s">
        <v>73</v>
      </c>
      <c r="T604" s="6" t="s">
        <v>46</v>
      </c>
      <c r="U604" s="6" t="n">
        <v>1000</v>
      </c>
      <c r="V604" s="6" t="n">
        <v>2</v>
      </c>
      <c r="W604" s="6"/>
      <c r="X604" s="6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3.8" hidden="false" customHeight="false" outlineLevel="0" collapsed="false">
      <c r="A605" s="4" t="s">
        <v>1052</v>
      </c>
      <c r="B605" s="5"/>
      <c r="C605" s="4" t="s">
        <v>1053</v>
      </c>
      <c r="D605" s="6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6" t="s">
        <v>350</v>
      </c>
      <c r="L605" s="6" t="s">
        <v>69</v>
      </c>
      <c r="M605" s="13" t="s">
        <v>46</v>
      </c>
      <c r="N605" s="6" t="s">
        <v>70</v>
      </c>
      <c r="O605" s="6" t="s">
        <v>46</v>
      </c>
      <c r="P605" s="6" t="s">
        <v>71</v>
      </c>
      <c r="Q605" s="6" t="s">
        <v>71</v>
      </c>
      <c r="R605" s="6" t="s">
        <v>72</v>
      </c>
      <c r="S605" s="6" t="s">
        <v>73</v>
      </c>
      <c r="T605" s="6" t="s">
        <v>46</v>
      </c>
      <c r="U605" s="6" t="n">
        <v>1000</v>
      </c>
      <c r="V605" s="6" t="n">
        <v>3</v>
      </c>
      <c r="X605" s="6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3.8" hidden="false" customHeight="false" outlineLevel="0" collapsed="false">
      <c r="A606" s="4" t="s">
        <v>1052</v>
      </c>
      <c r="B606" s="5"/>
      <c r="C606" s="4" t="s">
        <v>1053</v>
      </c>
      <c r="D606" s="6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6" t="s">
        <v>351</v>
      </c>
      <c r="L606" s="6" t="s">
        <v>69</v>
      </c>
      <c r="M606" s="13" t="s">
        <v>46</v>
      </c>
      <c r="N606" s="6" t="s">
        <v>70</v>
      </c>
      <c r="O606" s="6" t="s">
        <v>46</v>
      </c>
      <c r="P606" s="6" t="s">
        <v>71</v>
      </c>
      <c r="Q606" s="6" t="s">
        <v>71</v>
      </c>
      <c r="R606" s="6" t="s">
        <v>72</v>
      </c>
      <c r="S606" s="6" t="s">
        <v>73</v>
      </c>
      <c r="T606" s="6" t="s">
        <v>46</v>
      </c>
      <c r="U606" s="6" t="n">
        <v>1000</v>
      </c>
      <c r="V606" s="6" t="n">
        <v>4</v>
      </c>
      <c r="X606" s="6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3.8" hidden="false" customHeight="false" outlineLevel="0" collapsed="false">
      <c r="A607" s="4" t="s">
        <v>1052</v>
      </c>
      <c r="B607" s="5"/>
      <c r="C607" s="4" t="s">
        <v>1053</v>
      </c>
      <c r="D607" s="6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6" t="s">
        <v>158</v>
      </c>
      <c r="K607" s="6" t="s">
        <v>1095</v>
      </c>
      <c r="L607" s="6" t="s">
        <v>69</v>
      </c>
      <c r="M607" s="13" t="s">
        <v>46</v>
      </c>
      <c r="N607" s="6" t="s">
        <v>404</v>
      </c>
      <c r="O607" s="6" t="s">
        <v>42</v>
      </c>
      <c r="P607" s="6" t="s">
        <v>1056</v>
      </c>
      <c r="Q607" s="6" t="s">
        <v>46</v>
      </c>
      <c r="R607" s="6" t="s">
        <v>72</v>
      </c>
      <c r="S607" s="6" t="s">
        <v>46</v>
      </c>
      <c r="T607" s="6" t="s">
        <v>406</v>
      </c>
      <c r="U607" s="6" t="s">
        <v>46</v>
      </c>
      <c r="V607" s="6" t="n">
        <v>1</v>
      </c>
      <c r="W607" s="6" t="s">
        <v>497</v>
      </c>
      <c r="X607" s="6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3.8" hidden="false" customHeight="false" outlineLevel="0" collapsed="false">
      <c r="A608" s="4" t="s">
        <v>1052</v>
      </c>
      <c r="B608" s="5"/>
      <c r="C608" s="4" t="s">
        <v>1053</v>
      </c>
      <c r="D608" s="6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6" t="s">
        <v>166</v>
      </c>
      <c r="K608" s="31" t="s">
        <v>1100</v>
      </c>
      <c r="L608" s="6" t="s">
        <v>69</v>
      </c>
      <c r="M608" s="13" t="s">
        <v>46</v>
      </c>
      <c r="N608" s="6" t="s">
        <v>404</v>
      </c>
      <c r="O608" s="6" t="s">
        <v>42</v>
      </c>
      <c r="P608" s="6" t="s">
        <v>1056</v>
      </c>
      <c r="Q608" s="6" t="s">
        <v>46</v>
      </c>
      <c r="R608" s="6" t="s">
        <v>44</v>
      </c>
      <c r="S608" s="6" t="s">
        <v>46</v>
      </c>
      <c r="T608" s="6" t="s">
        <v>419</v>
      </c>
      <c r="U608" s="6" t="s">
        <v>46</v>
      </c>
      <c r="V608" s="6" t="n">
        <v>1</v>
      </c>
      <c r="W608" s="32" t="s">
        <v>527</v>
      </c>
      <c r="X608" s="6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3.8" hidden="false" customHeight="false" outlineLevel="0" collapsed="false">
      <c r="A609" s="4" t="s">
        <v>1052</v>
      </c>
      <c r="B609" s="5"/>
      <c r="C609" s="4" t="s">
        <v>1053</v>
      </c>
      <c r="D609" s="6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6" t="s">
        <v>158</v>
      </c>
      <c r="K609" s="31" t="s">
        <v>1105</v>
      </c>
      <c r="L609" s="6" t="s">
        <v>69</v>
      </c>
      <c r="M609" s="13" t="s">
        <v>46</v>
      </c>
      <c r="N609" s="6" t="s">
        <v>404</v>
      </c>
      <c r="O609" s="6" t="s">
        <v>54</v>
      </c>
      <c r="P609" s="6" t="s">
        <v>1056</v>
      </c>
      <c r="Q609" s="6" t="s">
        <v>46</v>
      </c>
      <c r="R609" s="6" t="s">
        <v>72</v>
      </c>
      <c r="S609" s="6" t="s">
        <v>46</v>
      </c>
      <c r="T609" s="6" t="s">
        <v>406</v>
      </c>
      <c r="U609" s="6" t="s">
        <v>46</v>
      </c>
      <c r="V609" s="6" t="n">
        <v>1</v>
      </c>
      <c r="W609" s="6" t="s">
        <v>508</v>
      </c>
      <c r="X609" s="6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3.8" hidden="false" customHeight="false" outlineLevel="0" collapsed="false">
      <c r="A610" s="4" t="s">
        <v>1052</v>
      </c>
      <c r="B610" s="5"/>
      <c r="C610" s="4" t="s">
        <v>1053</v>
      </c>
      <c r="D610" s="6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6" t="s">
        <v>158</v>
      </c>
      <c r="K610" s="31" t="s">
        <v>1110</v>
      </c>
      <c r="L610" s="6" t="s">
        <v>69</v>
      </c>
      <c r="M610" s="13" t="s">
        <v>46</v>
      </c>
      <c r="N610" s="6" t="s">
        <v>404</v>
      </c>
      <c r="O610" s="6" t="s">
        <v>54</v>
      </c>
      <c r="P610" s="6" t="s">
        <v>1056</v>
      </c>
      <c r="Q610" s="6" t="s">
        <v>46</v>
      </c>
      <c r="R610" s="6" t="s">
        <v>44</v>
      </c>
      <c r="S610" s="6" t="s">
        <v>46</v>
      </c>
      <c r="T610" s="6" t="s">
        <v>406</v>
      </c>
      <c r="U610" s="6" t="s">
        <v>46</v>
      </c>
      <c r="V610" s="6" t="n">
        <v>1</v>
      </c>
      <c r="W610" s="6" t="s">
        <v>514</v>
      </c>
      <c r="X610" s="6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3.8" hidden="false" customHeight="false" outlineLevel="0" collapsed="false">
      <c r="A611" s="4" t="s">
        <v>1052</v>
      </c>
      <c r="B611" s="5"/>
      <c r="C611" s="4" t="s">
        <v>1053</v>
      </c>
      <c r="D611" s="6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6" t="s">
        <v>158</v>
      </c>
      <c r="K611" s="31" t="s">
        <v>1115</v>
      </c>
      <c r="L611" s="6" t="s">
        <v>69</v>
      </c>
      <c r="M611" s="13" t="s">
        <v>46</v>
      </c>
      <c r="N611" s="6" t="s">
        <v>404</v>
      </c>
      <c r="O611" s="6" t="s">
        <v>54</v>
      </c>
      <c r="P611" s="6" t="s">
        <v>1056</v>
      </c>
      <c r="Q611" s="6" t="s">
        <v>46</v>
      </c>
      <c r="R611" s="6" t="s">
        <v>44</v>
      </c>
      <c r="S611" s="6" t="s">
        <v>46</v>
      </c>
      <c r="T611" s="6" t="s">
        <v>406</v>
      </c>
      <c r="U611" s="6" t="s">
        <v>46</v>
      </c>
      <c r="V611" s="6" t="n">
        <v>1</v>
      </c>
      <c r="W611" s="32" t="s">
        <v>571</v>
      </c>
      <c r="X611" s="6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3.8" hidden="false" customHeight="false" outlineLevel="0" collapsed="false">
      <c r="A612" s="4" t="s">
        <v>1052</v>
      </c>
      <c r="B612" s="5"/>
      <c r="C612" s="4" t="s">
        <v>1053</v>
      </c>
      <c r="D612" s="6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6" t="s">
        <v>1120</v>
      </c>
      <c r="L612" s="6" t="s">
        <v>69</v>
      </c>
      <c r="M612" s="13" t="s">
        <v>46</v>
      </c>
      <c r="N612" s="6" t="s">
        <v>404</v>
      </c>
      <c r="O612" s="6" t="s">
        <v>42</v>
      </c>
      <c r="P612" s="6" t="s">
        <v>1056</v>
      </c>
      <c r="Q612" s="6" t="s">
        <v>46</v>
      </c>
      <c r="R612" s="6" t="s">
        <v>44</v>
      </c>
      <c r="S612" s="6" t="s">
        <v>46</v>
      </c>
      <c r="T612" s="6" t="s">
        <v>419</v>
      </c>
      <c r="U612" s="6" t="s">
        <v>46</v>
      </c>
      <c r="V612" s="6" t="n">
        <v>1</v>
      </c>
      <c r="W612" s="1" t="s">
        <v>640</v>
      </c>
      <c r="X612" s="6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3.8" hidden="false" customHeight="false" outlineLevel="0" collapsed="false">
      <c r="A613" s="4" t="s">
        <v>1052</v>
      </c>
      <c r="B613" s="5"/>
      <c r="C613" s="4" t="s">
        <v>1053</v>
      </c>
      <c r="D613" s="6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3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6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6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3.8" hidden="false" customHeight="false" outlineLevel="0" collapsed="false">
      <c r="A614" s="4" t="s">
        <v>1052</v>
      </c>
      <c r="B614" s="5"/>
      <c r="C614" s="4" t="s">
        <v>1053</v>
      </c>
      <c r="D614" s="6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3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6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6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3.8" hidden="false" customHeight="false" outlineLevel="0" collapsed="false">
      <c r="A615" s="4" t="s">
        <v>1052</v>
      </c>
      <c r="B615" s="5"/>
      <c r="C615" s="4" t="s">
        <v>1053</v>
      </c>
      <c r="D615" s="6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3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6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6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3.8" hidden="false" customHeight="false" outlineLevel="0" collapsed="false">
      <c r="A616" s="4" t="s">
        <v>1052</v>
      </c>
      <c r="B616" s="5"/>
      <c r="C616" s="4" t="s">
        <v>1053</v>
      </c>
      <c r="D616" s="6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3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6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6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3.8" hidden="false" customHeight="false" outlineLevel="0" collapsed="false">
      <c r="A617" s="4" t="s">
        <v>1052</v>
      </c>
      <c r="B617" s="5"/>
      <c r="C617" s="4" t="s">
        <v>1053</v>
      </c>
      <c r="D617" s="6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3" t="s">
        <v>46</v>
      </c>
      <c r="N617" s="6" t="s">
        <v>465</v>
      </c>
      <c r="O617" s="1" t="s">
        <v>81</v>
      </c>
      <c r="P617" s="1" t="s">
        <v>81</v>
      </c>
      <c r="Q617" s="1" t="s">
        <v>81</v>
      </c>
      <c r="R617" s="6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6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3.8" hidden="false" customHeight="false" outlineLevel="0" collapsed="false">
      <c r="A618" s="4" t="s">
        <v>1052</v>
      </c>
      <c r="B618" s="5"/>
      <c r="C618" s="4" t="s">
        <v>1053</v>
      </c>
      <c r="D618" s="6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3" t="s">
        <v>46</v>
      </c>
      <c r="N618" s="6" t="s">
        <v>465</v>
      </c>
      <c r="O618" s="1" t="s">
        <v>81</v>
      </c>
      <c r="P618" s="1" t="s">
        <v>81</v>
      </c>
      <c r="Q618" s="1" t="s">
        <v>81</v>
      </c>
      <c r="R618" s="6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6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3.8" hidden="false" customHeight="false" outlineLevel="0" collapsed="false">
      <c r="A619" s="4" t="s">
        <v>1052</v>
      </c>
      <c r="B619" s="5"/>
      <c r="C619" s="4" t="s">
        <v>1053</v>
      </c>
      <c r="D619" s="6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3" t="s">
        <v>46</v>
      </c>
      <c r="N619" s="6" t="s">
        <v>465</v>
      </c>
      <c r="O619" s="1" t="s">
        <v>81</v>
      </c>
      <c r="P619" s="1" t="s">
        <v>81</v>
      </c>
      <c r="Q619" s="1" t="s">
        <v>81</v>
      </c>
      <c r="R619" s="6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6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3.8" hidden="false" customHeight="false" outlineLevel="0" collapsed="false">
      <c r="A620" s="4" t="s">
        <v>1052</v>
      </c>
      <c r="B620" s="5"/>
      <c r="C620" s="4" t="s">
        <v>1053</v>
      </c>
      <c r="D620" s="6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3" t="s">
        <v>46</v>
      </c>
      <c r="N620" s="6" t="s">
        <v>465</v>
      </c>
      <c r="O620" s="1" t="s">
        <v>81</v>
      </c>
      <c r="P620" s="1" t="s">
        <v>81</v>
      </c>
      <c r="Q620" s="1" t="s">
        <v>81</v>
      </c>
      <c r="R620" s="6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6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3.8" hidden="false" customHeight="false" outlineLevel="0" collapsed="false">
      <c r="A621" s="4" t="s">
        <v>1052</v>
      </c>
      <c r="B621" s="5"/>
      <c r="C621" s="4" t="s">
        <v>1053</v>
      </c>
      <c r="D621" s="6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3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6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6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3.8" hidden="false" customHeight="false" outlineLevel="0" collapsed="false">
      <c r="A622" s="4" t="s">
        <v>1052</v>
      </c>
      <c r="B622" s="5"/>
      <c r="C622" s="4" t="s">
        <v>1053</v>
      </c>
      <c r="D622" s="6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3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6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6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3.8" hidden="false" customHeight="false" outlineLevel="0" collapsed="false">
      <c r="A623" s="4" t="s">
        <v>1052</v>
      </c>
      <c r="B623" s="5"/>
      <c r="C623" s="4" t="s">
        <v>1053</v>
      </c>
      <c r="D623" s="6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3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6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6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3.8" hidden="false" customHeight="false" outlineLevel="0" collapsed="false">
      <c r="A624" s="4" t="s">
        <v>1052</v>
      </c>
      <c r="B624" s="5"/>
      <c r="C624" s="4" t="s">
        <v>1053</v>
      </c>
      <c r="D624" s="6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3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6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6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3.8" hidden="false" customHeight="false" outlineLevel="0" collapsed="false">
      <c r="A625" s="4" t="s">
        <v>1052</v>
      </c>
      <c r="B625" s="5"/>
      <c r="C625" s="4" t="s">
        <v>1053</v>
      </c>
      <c r="D625" s="6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6" t="s">
        <v>1124</v>
      </c>
      <c r="L625" s="6" t="s">
        <v>69</v>
      </c>
      <c r="M625" s="3" t="s">
        <v>46</v>
      </c>
      <c r="N625" s="6" t="s">
        <v>404</v>
      </c>
      <c r="O625" s="6" t="s">
        <v>54</v>
      </c>
      <c r="P625" s="6" t="s">
        <v>1056</v>
      </c>
      <c r="Q625" s="6" t="s">
        <v>46</v>
      </c>
      <c r="R625" s="6" t="s">
        <v>72</v>
      </c>
      <c r="S625" s="6" t="s">
        <v>46</v>
      </c>
      <c r="T625" s="6" t="s">
        <v>406</v>
      </c>
      <c r="U625" s="6" t="s">
        <v>46</v>
      </c>
      <c r="V625" s="6" t="n">
        <v>1</v>
      </c>
      <c r="W625" s="1" t="s">
        <v>582</v>
      </c>
      <c r="X625" s="6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3.8" hidden="false" customHeight="false" outlineLevel="0" collapsed="false">
      <c r="A626" s="4" t="s">
        <v>1052</v>
      </c>
      <c r="B626" s="5"/>
      <c r="C626" s="4" t="s">
        <v>1053</v>
      </c>
      <c r="D626" s="6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6" t="s">
        <v>1128</v>
      </c>
      <c r="L626" s="6" t="s">
        <v>69</v>
      </c>
      <c r="M626" s="3" t="s">
        <v>46</v>
      </c>
      <c r="N626" s="6" t="s">
        <v>404</v>
      </c>
      <c r="O626" s="6" t="s">
        <v>42</v>
      </c>
      <c r="P626" s="6" t="s">
        <v>1056</v>
      </c>
      <c r="Q626" s="6" t="s">
        <v>46</v>
      </c>
      <c r="R626" s="6" t="s">
        <v>44</v>
      </c>
      <c r="S626" s="6" t="s">
        <v>46</v>
      </c>
      <c r="T626" s="6" t="s">
        <v>419</v>
      </c>
      <c r="U626" s="6" t="s">
        <v>46</v>
      </c>
      <c r="V626" s="6" t="n">
        <v>1</v>
      </c>
      <c r="W626" s="1" t="s">
        <v>655</v>
      </c>
      <c r="X626" s="6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3.8" hidden="false" customHeight="false" outlineLevel="0" collapsed="false">
      <c r="A627" s="4" t="s">
        <v>1052</v>
      </c>
      <c r="B627" s="5"/>
      <c r="C627" s="4" t="s">
        <v>1053</v>
      </c>
      <c r="D627" s="6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6" t="s">
        <v>1132</v>
      </c>
      <c r="L627" s="6" t="s">
        <v>69</v>
      </c>
      <c r="M627" s="3" t="s">
        <v>46</v>
      </c>
      <c r="N627" s="6" t="s">
        <v>404</v>
      </c>
      <c r="O627" s="6" t="s">
        <v>430</v>
      </c>
      <c r="P627" s="6" t="s">
        <v>1056</v>
      </c>
      <c r="Q627" s="6" t="s">
        <v>46</v>
      </c>
      <c r="R627" s="6" t="s">
        <v>44</v>
      </c>
      <c r="S627" s="6" t="s">
        <v>46</v>
      </c>
      <c r="T627" s="6" t="s">
        <v>419</v>
      </c>
      <c r="U627" s="6" t="s">
        <v>46</v>
      </c>
      <c r="V627" s="6" t="n">
        <v>1</v>
      </c>
      <c r="W627" s="1" t="s">
        <v>666</v>
      </c>
      <c r="X627" s="6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3.8" hidden="false" customHeight="false" outlineLevel="0" collapsed="false">
      <c r="A628" s="4" t="s">
        <v>1052</v>
      </c>
      <c r="B628" s="5"/>
      <c r="C628" s="4" t="s">
        <v>1053</v>
      </c>
      <c r="D628" s="6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6" t="s">
        <v>1136</v>
      </c>
      <c r="L628" s="6" t="s">
        <v>69</v>
      </c>
      <c r="M628" s="3" t="s">
        <v>46</v>
      </c>
      <c r="N628" s="6" t="s">
        <v>404</v>
      </c>
      <c r="O628" s="6" t="s">
        <v>526</v>
      </c>
      <c r="P628" s="6" t="s">
        <v>1056</v>
      </c>
      <c r="Q628" s="6" t="s">
        <v>46</v>
      </c>
      <c r="R628" s="6" t="s">
        <v>72</v>
      </c>
      <c r="S628" s="6" t="s">
        <v>46</v>
      </c>
      <c r="T628" s="6" t="s">
        <v>419</v>
      </c>
      <c r="U628" s="6" t="s">
        <v>46</v>
      </c>
      <c r="V628" s="6" t="n">
        <v>1</v>
      </c>
      <c r="W628" s="1" t="s">
        <v>779</v>
      </c>
      <c r="X628" s="6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3.8" hidden="false" customHeight="false" outlineLevel="0" collapsed="false">
      <c r="A629" s="4" t="s">
        <v>1052</v>
      </c>
      <c r="B629" s="5"/>
      <c r="C629" s="4" t="s">
        <v>1053</v>
      </c>
      <c r="D629" s="6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6" t="s">
        <v>1140</v>
      </c>
      <c r="L629" s="6" t="s">
        <v>69</v>
      </c>
      <c r="M629" s="3" t="s">
        <v>46</v>
      </c>
      <c r="N629" s="6" t="s">
        <v>404</v>
      </c>
      <c r="O629" s="6" t="s">
        <v>54</v>
      </c>
      <c r="P629" s="6" t="s">
        <v>1056</v>
      </c>
      <c r="Q629" s="6" t="s">
        <v>46</v>
      </c>
      <c r="R629" s="6" t="s">
        <v>44</v>
      </c>
      <c r="S629" s="6" t="s">
        <v>46</v>
      </c>
      <c r="T629" s="6" t="s">
        <v>406</v>
      </c>
      <c r="U629" s="6" t="s">
        <v>46</v>
      </c>
      <c r="V629" s="6" t="n">
        <v>1</v>
      </c>
      <c r="W629" s="1" t="s">
        <v>588</v>
      </c>
      <c r="X629" s="6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3.8" hidden="false" customHeight="false" outlineLevel="0" collapsed="false">
      <c r="A630" s="4" t="s">
        <v>1052</v>
      </c>
      <c r="B630" s="5"/>
      <c r="C630" s="4" t="s">
        <v>1053</v>
      </c>
      <c r="D630" s="6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6" t="s">
        <v>1144</v>
      </c>
      <c r="L630" s="6" t="s">
        <v>69</v>
      </c>
      <c r="M630" s="3" t="s">
        <v>46</v>
      </c>
      <c r="N630" s="6" t="s">
        <v>404</v>
      </c>
      <c r="O630" s="6" t="s">
        <v>42</v>
      </c>
      <c r="P630" s="6" t="s">
        <v>1056</v>
      </c>
      <c r="Q630" s="6" t="s">
        <v>46</v>
      </c>
      <c r="R630" s="6" t="s">
        <v>44</v>
      </c>
      <c r="S630" s="6" t="s">
        <v>46</v>
      </c>
      <c r="T630" s="6" t="s">
        <v>406</v>
      </c>
      <c r="U630" s="6" t="s">
        <v>46</v>
      </c>
      <c r="V630" s="6" t="n">
        <v>1</v>
      </c>
      <c r="W630" s="1" t="s">
        <v>594</v>
      </c>
      <c r="X630" s="6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3.8" hidden="false" customHeight="false" outlineLevel="0" collapsed="false">
      <c r="A631" s="4" t="s">
        <v>1052</v>
      </c>
      <c r="B631" s="5"/>
      <c r="C631" s="4" t="s">
        <v>1053</v>
      </c>
      <c r="D631" s="6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6" t="s">
        <v>1148</v>
      </c>
      <c r="L631" s="6" t="s">
        <v>69</v>
      </c>
      <c r="M631" s="3" t="s">
        <v>46</v>
      </c>
      <c r="N631" s="6" t="s">
        <v>404</v>
      </c>
      <c r="O631" s="6" t="s">
        <v>54</v>
      </c>
      <c r="P631" s="6" t="s">
        <v>1056</v>
      </c>
      <c r="Q631" s="6" t="s">
        <v>46</v>
      </c>
      <c r="R631" s="6" t="s">
        <v>44</v>
      </c>
      <c r="S631" s="6" t="s">
        <v>46</v>
      </c>
      <c r="T631" s="6" t="s">
        <v>406</v>
      </c>
      <c r="U631" s="6" t="s">
        <v>46</v>
      </c>
      <c r="V631" s="6" t="n">
        <v>1</v>
      </c>
      <c r="W631" s="1" t="s">
        <v>650</v>
      </c>
      <c r="X631" s="6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3.8" hidden="false" customHeight="false" outlineLevel="0" collapsed="false">
      <c r="A632" s="4" t="s">
        <v>1052</v>
      </c>
      <c r="B632" s="5"/>
      <c r="C632" s="4" t="s">
        <v>1053</v>
      </c>
      <c r="D632" s="6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6" t="s">
        <v>1152</v>
      </c>
      <c r="L632" s="6" t="s">
        <v>69</v>
      </c>
      <c r="M632" s="3" t="s">
        <v>46</v>
      </c>
      <c r="N632" s="6" t="s">
        <v>404</v>
      </c>
      <c r="O632" s="6" t="s">
        <v>42</v>
      </c>
      <c r="P632" s="6" t="s">
        <v>1056</v>
      </c>
      <c r="Q632" s="6" t="s">
        <v>46</v>
      </c>
      <c r="R632" s="6" t="s">
        <v>72</v>
      </c>
      <c r="S632" s="6" t="s">
        <v>46</v>
      </c>
      <c r="T632" s="6" t="s">
        <v>406</v>
      </c>
      <c r="U632" s="6" t="s">
        <v>46</v>
      </c>
      <c r="V632" s="6" t="n">
        <v>1</v>
      </c>
      <c r="W632" s="1" t="s">
        <v>660</v>
      </c>
      <c r="X632" s="6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3.8" hidden="false" customHeight="false" outlineLevel="0" collapsed="false">
      <c r="A633" s="4" t="s">
        <v>1052</v>
      </c>
      <c r="B633" s="5"/>
      <c r="C633" s="4" t="s">
        <v>1053</v>
      </c>
      <c r="D633" s="6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3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6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6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3.8" hidden="false" customHeight="false" outlineLevel="0" collapsed="false">
      <c r="A634" s="4" t="s">
        <v>1052</v>
      </c>
      <c r="B634" s="5"/>
      <c r="C634" s="4" t="s">
        <v>1053</v>
      </c>
      <c r="D634" s="6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3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6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6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3.8" hidden="false" customHeight="false" outlineLevel="0" collapsed="false">
      <c r="A635" s="4" t="s">
        <v>1052</v>
      </c>
      <c r="B635" s="5"/>
      <c r="C635" s="4" t="s">
        <v>1053</v>
      </c>
      <c r="D635" s="6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3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6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6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3.8" hidden="false" customHeight="false" outlineLevel="0" collapsed="false">
      <c r="A636" s="4" t="s">
        <v>1052</v>
      </c>
      <c r="B636" s="5"/>
      <c r="C636" s="4" t="s">
        <v>1053</v>
      </c>
      <c r="D636" s="6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3" t="s">
        <v>46</v>
      </c>
      <c r="N636" s="6" t="s">
        <v>65</v>
      </c>
      <c r="O636" s="1" t="s">
        <v>46</v>
      </c>
      <c r="P636" s="1" t="s">
        <v>46</v>
      </c>
      <c r="Q636" s="1" t="s">
        <v>46</v>
      </c>
      <c r="R636" s="6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6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3.8" hidden="false" customHeight="false" outlineLevel="0" collapsed="false">
      <c r="A637" s="4" t="s">
        <v>1052</v>
      </c>
      <c r="B637" s="5"/>
      <c r="C637" s="4" t="s">
        <v>1053</v>
      </c>
      <c r="D637" s="6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3" t="s">
        <v>46</v>
      </c>
      <c r="N637" s="6" t="s">
        <v>465</v>
      </c>
      <c r="O637" s="1" t="s">
        <v>81</v>
      </c>
      <c r="P637" s="1" t="s">
        <v>81</v>
      </c>
      <c r="Q637" s="1" t="s">
        <v>81</v>
      </c>
      <c r="R637" s="6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6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3.8" hidden="false" customHeight="false" outlineLevel="0" collapsed="false">
      <c r="A638" s="4" t="s">
        <v>1052</v>
      </c>
      <c r="B638" s="5"/>
      <c r="C638" s="4" t="s">
        <v>1053</v>
      </c>
      <c r="D638" s="6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3" t="s">
        <v>46</v>
      </c>
      <c r="N638" s="6" t="s">
        <v>465</v>
      </c>
      <c r="O638" s="1" t="s">
        <v>81</v>
      </c>
      <c r="P638" s="1" t="s">
        <v>81</v>
      </c>
      <c r="Q638" s="1" t="s">
        <v>81</v>
      </c>
      <c r="R638" s="6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6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3.8" hidden="false" customHeight="false" outlineLevel="0" collapsed="false">
      <c r="A639" s="4" t="s">
        <v>1052</v>
      </c>
      <c r="B639" s="5"/>
      <c r="C639" s="4" t="s">
        <v>1053</v>
      </c>
      <c r="D639" s="6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3" t="s">
        <v>46</v>
      </c>
      <c r="N639" s="6" t="s">
        <v>465</v>
      </c>
      <c r="O639" s="1" t="s">
        <v>81</v>
      </c>
      <c r="P639" s="1" t="s">
        <v>81</v>
      </c>
      <c r="Q639" s="1" t="s">
        <v>81</v>
      </c>
      <c r="R639" s="6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6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3.8" hidden="false" customHeight="false" outlineLevel="0" collapsed="false">
      <c r="A640" s="4" t="s">
        <v>1052</v>
      </c>
      <c r="B640" s="5"/>
      <c r="C640" s="4" t="s">
        <v>1053</v>
      </c>
      <c r="D640" s="6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3" t="s">
        <v>46</v>
      </c>
      <c r="N640" s="6" t="s">
        <v>465</v>
      </c>
      <c r="O640" s="1" t="s">
        <v>81</v>
      </c>
      <c r="P640" s="1" t="s">
        <v>81</v>
      </c>
      <c r="Q640" s="1" t="s">
        <v>81</v>
      </c>
      <c r="R640" s="6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6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3.8" hidden="false" customHeight="false" outlineLevel="0" collapsed="false">
      <c r="A641" s="4" t="s">
        <v>1052</v>
      </c>
      <c r="B641" s="5"/>
      <c r="C641" s="4" t="s">
        <v>1053</v>
      </c>
      <c r="D641" s="6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3" t="s">
        <v>46</v>
      </c>
      <c r="N641" s="6" t="s">
        <v>70</v>
      </c>
      <c r="O641" s="1" t="s">
        <v>46</v>
      </c>
      <c r="P641" s="1" t="s">
        <v>71</v>
      </c>
      <c r="Q641" s="1" t="s">
        <v>71</v>
      </c>
      <c r="R641" s="6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6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3.8" hidden="false" customHeight="false" outlineLevel="0" collapsed="false">
      <c r="A642" s="4" t="s">
        <v>1052</v>
      </c>
      <c r="B642" s="5"/>
      <c r="C642" s="4" t="s">
        <v>1053</v>
      </c>
      <c r="D642" s="6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3" t="s">
        <v>46</v>
      </c>
      <c r="N642" s="6" t="s">
        <v>70</v>
      </c>
      <c r="O642" s="1" t="s">
        <v>46</v>
      </c>
      <c r="P642" s="1" t="s">
        <v>71</v>
      </c>
      <c r="Q642" s="1" t="s">
        <v>71</v>
      </c>
      <c r="R642" s="6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6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3.8" hidden="false" customHeight="false" outlineLevel="0" collapsed="false">
      <c r="A643" s="4" t="s">
        <v>1052</v>
      </c>
      <c r="B643" s="5"/>
      <c r="C643" s="4" t="s">
        <v>1053</v>
      </c>
      <c r="D643" s="6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3" t="s">
        <v>46</v>
      </c>
      <c r="N643" s="6" t="s">
        <v>70</v>
      </c>
      <c r="O643" s="1" t="s">
        <v>46</v>
      </c>
      <c r="P643" s="1" t="s">
        <v>71</v>
      </c>
      <c r="Q643" s="1" t="s">
        <v>71</v>
      </c>
      <c r="R643" s="6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6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3.8" hidden="false" customHeight="false" outlineLevel="0" collapsed="false">
      <c r="A644" s="4" t="s">
        <v>1052</v>
      </c>
      <c r="B644" s="5"/>
      <c r="C644" s="4" t="s">
        <v>1053</v>
      </c>
      <c r="D644" s="6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3" t="s">
        <v>46</v>
      </c>
      <c r="N644" s="6" t="s">
        <v>70</v>
      </c>
      <c r="O644" s="1" t="s">
        <v>46</v>
      </c>
      <c r="P644" s="1" t="s">
        <v>71</v>
      </c>
      <c r="Q644" s="1" t="s">
        <v>71</v>
      </c>
      <c r="R644" s="6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6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3.8" hidden="false" customHeight="false" outlineLevel="0" collapsed="false">
      <c r="A645" s="4" t="s">
        <v>1052</v>
      </c>
      <c r="B645" s="5"/>
      <c r="C645" s="4" t="s">
        <v>1053</v>
      </c>
      <c r="D645" s="6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6" t="s">
        <v>1156</v>
      </c>
      <c r="L645" s="6" t="s">
        <v>69</v>
      </c>
      <c r="M645" s="3" t="s">
        <v>46</v>
      </c>
      <c r="N645" s="6" t="s">
        <v>404</v>
      </c>
      <c r="O645" s="6" t="s">
        <v>418</v>
      </c>
      <c r="P645" s="6" t="s">
        <v>1056</v>
      </c>
      <c r="Q645" s="6" t="s">
        <v>46</v>
      </c>
      <c r="R645" s="6" t="s">
        <v>72</v>
      </c>
      <c r="S645" s="6" t="s">
        <v>46</v>
      </c>
      <c r="T645" s="6" t="s">
        <v>419</v>
      </c>
      <c r="U645" s="6" t="s">
        <v>46</v>
      </c>
      <c r="V645" s="6" t="n">
        <v>1</v>
      </c>
      <c r="W645" s="1" t="s">
        <v>846</v>
      </c>
      <c r="X645" s="6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3.8" hidden="false" customHeight="false" outlineLevel="0" collapsed="false">
      <c r="A646" s="4" t="s">
        <v>1052</v>
      </c>
      <c r="B646" s="5"/>
      <c r="C646" s="4" t="s">
        <v>1053</v>
      </c>
      <c r="D646" s="6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6" t="s">
        <v>1160</v>
      </c>
      <c r="L646" s="6" t="s">
        <v>69</v>
      </c>
      <c r="M646" s="3" t="s">
        <v>46</v>
      </c>
      <c r="N646" s="6" t="s">
        <v>404</v>
      </c>
      <c r="O646" s="6" t="s">
        <v>54</v>
      </c>
      <c r="P646" s="6" t="s">
        <v>1056</v>
      </c>
      <c r="Q646" s="6" t="s">
        <v>46</v>
      </c>
      <c r="R646" s="6" t="s">
        <v>72</v>
      </c>
      <c r="S646" s="6" t="s">
        <v>46</v>
      </c>
      <c r="T646" s="6" t="s">
        <v>406</v>
      </c>
      <c r="U646" s="6" t="s">
        <v>46</v>
      </c>
      <c r="V646" s="6" t="n">
        <v>1</v>
      </c>
      <c r="W646" s="1" t="s">
        <v>709</v>
      </c>
      <c r="X646" s="6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3.8" hidden="false" customHeight="false" outlineLevel="0" collapsed="false">
      <c r="A647" s="4" t="s">
        <v>1052</v>
      </c>
      <c r="B647" s="5"/>
      <c r="C647" s="4" t="s">
        <v>1053</v>
      </c>
      <c r="D647" s="6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6" t="s">
        <v>1164</v>
      </c>
      <c r="L647" s="6" t="s">
        <v>69</v>
      </c>
      <c r="M647" s="3" t="s">
        <v>46</v>
      </c>
      <c r="N647" s="6" t="s">
        <v>404</v>
      </c>
      <c r="O647" s="6" t="s">
        <v>54</v>
      </c>
      <c r="P647" s="6" t="s">
        <v>1056</v>
      </c>
      <c r="Q647" s="6" t="s">
        <v>46</v>
      </c>
      <c r="R647" s="6" t="s">
        <v>72</v>
      </c>
      <c r="S647" s="6" t="s">
        <v>46</v>
      </c>
      <c r="T647" s="6" t="s">
        <v>406</v>
      </c>
      <c r="U647" s="6" t="s">
        <v>46</v>
      </c>
      <c r="V647" s="6" t="n">
        <v>1</v>
      </c>
      <c r="W647" s="1" t="s">
        <v>719</v>
      </c>
      <c r="X647" s="6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3.8" hidden="false" customHeight="false" outlineLevel="0" collapsed="false">
      <c r="A648" s="4" t="s">
        <v>1052</v>
      </c>
      <c r="B648" s="5"/>
      <c r="C648" s="4" t="s">
        <v>1053</v>
      </c>
      <c r="D648" s="6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3" t="s">
        <v>46</v>
      </c>
      <c r="N648" s="6" t="s">
        <v>65</v>
      </c>
      <c r="O648" s="1" t="s">
        <v>46</v>
      </c>
      <c r="P648" s="1" t="s">
        <v>46</v>
      </c>
      <c r="Q648" s="1" t="s">
        <v>46</v>
      </c>
      <c r="R648" s="6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6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3.8" hidden="false" customHeight="false" outlineLevel="0" collapsed="false">
      <c r="A649" s="4" t="s">
        <v>1052</v>
      </c>
      <c r="B649" s="5"/>
      <c r="C649" s="4" t="s">
        <v>1053</v>
      </c>
      <c r="D649" s="6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3" t="s">
        <v>46</v>
      </c>
      <c r="N649" s="6" t="s">
        <v>65</v>
      </c>
      <c r="O649" s="1" t="s">
        <v>46</v>
      </c>
      <c r="P649" s="1" t="s">
        <v>46</v>
      </c>
      <c r="Q649" s="1" t="s">
        <v>46</v>
      </c>
      <c r="R649" s="6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6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3.8" hidden="false" customHeight="false" outlineLevel="0" collapsed="false">
      <c r="A650" s="4" t="s">
        <v>1052</v>
      </c>
      <c r="B650" s="5"/>
      <c r="C650" s="4" t="s">
        <v>1053</v>
      </c>
      <c r="D650" s="6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3" t="s">
        <v>46</v>
      </c>
      <c r="N650" s="6" t="s">
        <v>65</v>
      </c>
      <c r="O650" s="1" t="s">
        <v>46</v>
      </c>
      <c r="P650" s="1" t="s">
        <v>46</v>
      </c>
      <c r="Q650" s="1" t="s">
        <v>46</v>
      </c>
      <c r="R650" s="6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6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3.8" hidden="false" customHeight="false" outlineLevel="0" collapsed="false">
      <c r="A651" s="4" t="s">
        <v>1052</v>
      </c>
      <c r="B651" s="5"/>
      <c r="C651" s="4" t="s">
        <v>1053</v>
      </c>
      <c r="D651" s="6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3" t="s">
        <v>46</v>
      </c>
      <c r="N651" s="6" t="s">
        <v>65</v>
      </c>
      <c r="O651" s="1" t="s">
        <v>46</v>
      </c>
      <c r="P651" s="1" t="s">
        <v>46</v>
      </c>
      <c r="Q651" s="1" t="s">
        <v>46</v>
      </c>
      <c r="R651" s="6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6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3.8" hidden="false" customHeight="false" outlineLevel="0" collapsed="false">
      <c r="A652" s="4" t="s">
        <v>1052</v>
      </c>
      <c r="B652" s="5"/>
      <c r="C652" s="4" t="s">
        <v>1053</v>
      </c>
      <c r="D652" s="6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3" t="s">
        <v>46</v>
      </c>
      <c r="N652" s="6" t="s">
        <v>465</v>
      </c>
      <c r="O652" s="1" t="s">
        <v>81</v>
      </c>
      <c r="P652" s="1" t="s">
        <v>81</v>
      </c>
      <c r="Q652" s="1" t="s">
        <v>81</v>
      </c>
      <c r="R652" s="6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6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3.8" hidden="false" customHeight="false" outlineLevel="0" collapsed="false">
      <c r="A653" s="4" t="s">
        <v>1052</v>
      </c>
      <c r="B653" s="5"/>
      <c r="C653" s="4" t="s">
        <v>1053</v>
      </c>
      <c r="D653" s="6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3" t="s">
        <v>46</v>
      </c>
      <c r="N653" s="6" t="s">
        <v>465</v>
      </c>
      <c r="O653" s="1" t="s">
        <v>81</v>
      </c>
      <c r="P653" s="1" t="s">
        <v>81</v>
      </c>
      <c r="Q653" s="1" t="s">
        <v>81</v>
      </c>
      <c r="R653" s="6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6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3.8" hidden="false" customHeight="false" outlineLevel="0" collapsed="false">
      <c r="A654" s="4" t="s">
        <v>1052</v>
      </c>
      <c r="B654" s="5"/>
      <c r="C654" s="4" t="s">
        <v>1053</v>
      </c>
      <c r="D654" s="6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3" t="s">
        <v>46</v>
      </c>
      <c r="N654" s="6" t="s">
        <v>465</v>
      </c>
      <c r="O654" s="1" t="s">
        <v>81</v>
      </c>
      <c r="P654" s="1" t="s">
        <v>81</v>
      </c>
      <c r="Q654" s="1" t="s">
        <v>81</v>
      </c>
      <c r="R654" s="6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6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3.8" hidden="false" customHeight="false" outlineLevel="0" collapsed="false">
      <c r="A655" s="4" t="s">
        <v>1052</v>
      </c>
      <c r="B655" s="5"/>
      <c r="C655" s="4" t="s">
        <v>1053</v>
      </c>
      <c r="D655" s="6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3" t="s">
        <v>46</v>
      </c>
      <c r="N655" s="6" t="s">
        <v>465</v>
      </c>
      <c r="O655" s="1" t="s">
        <v>81</v>
      </c>
      <c r="P655" s="1" t="s">
        <v>81</v>
      </c>
      <c r="Q655" s="1" t="s">
        <v>81</v>
      </c>
      <c r="R655" s="6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6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3.8" hidden="false" customHeight="false" outlineLevel="0" collapsed="false">
      <c r="A656" s="4" t="s">
        <v>1052</v>
      </c>
      <c r="B656" s="5"/>
      <c r="C656" s="4" t="s">
        <v>1053</v>
      </c>
      <c r="D656" s="6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3" t="s">
        <v>46</v>
      </c>
      <c r="N656" s="6" t="s">
        <v>70</v>
      </c>
      <c r="O656" s="1" t="s">
        <v>46</v>
      </c>
      <c r="P656" s="1" t="s">
        <v>71</v>
      </c>
      <c r="Q656" s="1" t="s">
        <v>71</v>
      </c>
      <c r="R656" s="6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6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3.8" hidden="false" customHeight="false" outlineLevel="0" collapsed="false">
      <c r="A657" s="4" t="s">
        <v>1052</v>
      </c>
      <c r="B657" s="5"/>
      <c r="C657" s="4" t="s">
        <v>1053</v>
      </c>
      <c r="D657" s="6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3" t="s">
        <v>46</v>
      </c>
      <c r="N657" s="6" t="s">
        <v>70</v>
      </c>
      <c r="O657" s="1" t="s">
        <v>46</v>
      </c>
      <c r="P657" s="1" t="s">
        <v>71</v>
      </c>
      <c r="Q657" s="1" t="s">
        <v>71</v>
      </c>
      <c r="R657" s="6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6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3.8" hidden="false" customHeight="false" outlineLevel="0" collapsed="false">
      <c r="A658" s="4" t="s">
        <v>1052</v>
      </c>
      <c r="B658" s="5"/>
      <c r="C658" s="4" t="s">
        <v>1053</v>
      </c>
      <c r="D658" s="6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3" t="s">
        <v>46</v>
      </c>
      <c r="N658" s="6" t="s">
        <v>70</v>
      </c>
      <c r="O658" s="1" t="s">
        <v>46</v>
      </c>
      <c r="P658" s="1" t="s">
        <v>71</v>
      </c>
      <c r="Q658" s="1" t="s">
        <v>71</v>
      </c>
      <c r="R658" s="6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6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3.8" hidden="false" customHeight="false" outlineLevel="0" collapsed="false">
      <c r="A659" s="4" t="s">
        <v>1052</v>
      </c>
      <c r="B659" s="5"/>
      <c r="C659" s="4" t="s">
        <v>1053</v>
      </c>
      <c r="D659" s="6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3" t="s">
        <v>46</v>
      </c>
      <c r="N659" s="6" t="s">
        <v>70</v>
      </c>
      <c r="O659" s="1" t="s">
        <v>46</v>
      </c>
      <c r="P659" s="1" t="s">
        <v>71</v>
      </c>
      <c r="Q659" s="1" t="s">
        <v>71</v>
      </c>
      <c r="R659" s="6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6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3.8" hidden="false" customHeight="false" outlineLevel="0" collapsed="false">
      <c r="A660" s="4" t="s">
        <v>1052</v>
      </c>
      <c r="B660" s="5"/>
      <c r="C660" s="4" t="s">
        <v>1053</v>
      </c>
      <c r="D660" s="6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6" t="s">
        <v>1169</v>
      </c>
      <c r="L660" s="6" t="s">
        <v>69</v>
      </c>
      <c r="M660" s="3" t="s">
        <v>46</v>
      </c>
      <c r="N660" s="6" t="s">
        <v>404</v>
      </c>
      <c r="O660" s="6" t="s">
        <v>42</v>
      </c>
      <c r="P660" s="6" t="s">
        <v>1056</v>
      </c>
      <c r="Q660" s="6" t="s">
        <v>46</v>
      </c>
      <c r="R660" s="6" t="s">
        <v>72</v>
      </c>
      <c r="S660" s="6" t="s">
        <v>46</v>
      </c>
      <c r="T660" s="6" t="s">
        <v>406</v>
      </c>
      <c r="U660" s="6" t="s">
        <v>46</v>
      </c>
      <c r="V660" s="6" t="n">
        <v>1</v>
      </c>
      <c r="W660" s="1" t="s">
        <v>762</v>
      </c>
      <c r="X660" s="6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3.8" hidden="false" customHeight="false" outlineLevel="0" collapsed="false">
      <c r="A661" s="4" t="s">
        <v>1052</v>
      </c>
      <c r="B661" s="5"/>
      <c r="C661" s="4" t="s">
        <v>1053</v>
      </c>
      <c r="D661" s="6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6" t="s">
        <v>1174</v>
      </c>
      <c r="L661" s="6" t="s">
        <v>69</v>
      </c>
      <c r="M661" s="3" t="s">
        <v>46</v>
      </c>
      <c r="N661" s="6" t="s">
        <v>404</v>
      </c>
      <c r="O661" s="6" t="s">
        <v>42</v>
      </c>
      <c r="P661" s="6" t="s">
        <v>1056</v>
      </c>
      <c r="Q661" s="6" t="s">
        <v>46</v>
      </c>
      <c r="R661" s="6" t="s">
        <v>44</v>
      </c>
      <c r="S661" s="6" t="s">
        <v>46</v>
      </c>
      <c r="T661" s="6" t="s">
        <v>406</v>
      </c>
      <c r="U661" s="6" t="s">
        <v>46</v>
      </c>
      <c r="V661" s="6" t="n">
        <v>1</v>
      </c>
      <c r="W661" s="1" t="s">
        <v>785</v>
      </c>
      <c r="X661" s="6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3.8" hidden="false" customHeight="false" outlineLevel="0" collapsed="false">
      <c r="A662" s="4" t="s">
        <v>1052</v>
      </c>
      <c r="B662" s="5"/>
      <c r="C662" s="4" t="s">
        <v>1053</v>
      </c>
      <c r="D662" s="6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6" t="s">
        <v>1179</v>
      </c>
      <c r="L662" s="6" t="s">
        <v>69</v>
      </c>
      <c r="M662" s="3" t="s">
        <v>46</v>
      </c>
      <c r="N662" s="6" t="s">
        <v>404</v>
      </c>
      <c r="O662" s="6" t="s">
        <v>42</v>
      </c>
      <c r="P662" s="6" t="s">
        <v>1056</v>
      </c>
      <c r="Q662" s="6" t="s">
        <v>46</v>
      </c>
      <c r="R662" s="6" t="s">
        <v>44</v>
      </c>
      <c r="S662" s="6" t="s">
        <v>46</v>
      </c>
      <c r="T662" s="6" t="s">
        <v>406</v>
      </c>
      <c r="U662" s="6" t="s">
        <v>46</v>
      </c>
      <c r="V662" s="6" t="n">
        <v>1</v>
      </c>
      <c r="W662" s="1" t="s">
        <v>829</v>
      </c>
      <c r="X662" s="6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3.8" hidden="false" customHeight="false" outlineLevel="0" collapsed="false">
      <c r="A663" s="4" t="s">
        <v>1052</v>
      </c>
      <c r="B663" s="5"/>
      <c r="C663" s="4" t="s">
        <v>1053</v>
      </c>
      <c r="D663" s="6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3" t="s">
        <v>46</v>
      </c>
      <c r="N663" s="6" t="s">
        <v>65</v>
      </c>
      <c r="O663" s="1" t="s">
        <v>46</v>
      </c>
      <c r="P663" s="1" t="s">
        <v>46</v>
      </c>
      <c r="Q663" s="1" t="s">
        <v>46</v>
      </c>
      <c r="R663" s="6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6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3.8" hidden="false" customHeight="false" outlineLevel="0" collapsed="false">
      <c r="A664" s="4" t="s">
        <v>1052</v>
      </c>
      <c r="B664" s="5"/>
      <c r="C664" s="4" t="s">
        <v>1053</v>
      </c>
      <c r="D664" s="6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3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6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6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3.8" hidden="false" customHeight="false" outlineLevel="0" collapsed="false">
      <c r="A665" s="4" t="s">
        <v>1052</v>
      </c>
      <c r="B665" s="5"/>
      <c r="C665" s="4" t="s">
        <v>1053</v>
      </c>
      <c r="D665" s="6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3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6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6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3.8" hidden="false" customHeight="false" outlineLevel="0" collapsed="false">
      <c r="A666" s="4" t="s">
        <v>1052</v>
      </c>
      <c r="B666" s="5"/>
      <c r="C666" s="4" t="s">
        <v>1053</v>
      </c>
      <c r="D666" s="6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3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6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6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3.8" hidden="false" customHeight="false" outlineLevel="0" collapsed="false">
      <c r="A667" s="4" t="s">
        <v>1052</v>
      </c>
      <c r="B667" s="5"/>
      <c r="C667" s="4" t="s">
        <v>1053</v>
      </c>
      <c r="D667" s="6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3" t="s">
        <v>46</v>
      </c>
      <c r="N667" s="6" t="s">
        <v>465</v>
      </c>
      <c r="O667" s="1" t="s">
        <v>81</v>
      </c>
      <c r="P667" s="1" t="s">
        <v>81</v>
      </c>
      <c r="Q667" s="1" t="s">
        <v>81</v>
      </c>
      <c r="R667" s="6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6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3.8" hidden="false" customHeight="false" outlineLevel="0" collapsed="false">
      <c r="A668" s="4" t="s">
        <v>1052</v>
      </c>
      <c r="B668" s="5"/>
      <c r="C668" s="4" t="s">
        <v>1053</v>
      </c>
      <c r="D668" s="6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3" t="s">
        <v>46</v>
      </c>
      <c r="N668" s="6" t="s">
        <v>465</v>
      </c>
      <c r="O668" s="1" t="s">
        <v>81</v>
      </c>
      <c r="P668" s="1" t="s">
        <v>81</v>
      </c>
      <c r="Q668" s="1" t="s">
        <v>81</v>
      </c>
      <c r="R668" s="6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6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3.8" hidden="false" customHeight="false" outlineLevel="0" collapsed="false">
      <c r="A669" s="4" t="s">
        <v>1052</v>
      </c>
      <c r="B669" s="5"/>
      <c r="C669" s="4" t="s">
        <v>1053</v>
      </c>
      <c r="D669" s="6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3" t="s">
        <v>46</v>
      </c>
      <c r="N669" s="6" t="s">
        <v>465</v>
      </c>
      <c r="O669" s="1" t="s">
        <v>81</v>
      </c>
      <c r="P669" s="1" t="s">
        <v>81</v>
      </c>
      <c r="Q669" s="1" t="s">
        <v>81</v>
      </c>
      <c r="R669" s="6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6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3.8" hidden="false" customHeight="false" outlineLevel="0" collapsed="false">
      <c r="A670" s="4" t="s">
        <v>1052</v>
      </c>
      <c r="B670" s="5"/>
      <c r="C670" s="4" t="s">
        <v>1053</v>
      </c>
      <c r="D670" s="6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3" t="s">
        <v>46</v>
      </c>
      <c r="N670" s="6" t="s">
        <v>465</v>
      </c>
      <c r="O670" s="1" t="s">
        <v>81</v>
      </c>
      <c r="P670" s="1" t="s">
        <v>81</v>
      </c>
      <c r="Q670" s="1" t="s">
        <v>81</v>
      </c>
      <c r="R670" s="6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6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3.8" hidden="false" customHeight="false" outlineLevel="0" collapsed="false">
      <c r="A671" s="4" t="s">
        <v>1052</v>
      </c>
      <c r="B671" s="5"/>
      <c r="C671" s="4" t="s">
        <v>1053</v>
      </c>
      <c r="D671" s="6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3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6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6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3.8" hidden="false" customHeight="false" outlineLevel="0" collapsed="false">
      <c r="A672" s="4" t="s">
        <v>1052</v>
      </c>
      <c r="B672" s="5"/>
      <c r="C672" s="4" t="s">
        <v>1053</v>
      </c>
      <c r="D672" s="6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3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6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6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3.8" hidden="false" customHeight="false" outlineLevel="0" collapsed="false">
      <c r="A673" s="4" t="s">
        <v>1052</v>
      </c>
      <c r="B673" s="5"/>
      <c r="C673" s="4" t="s">
        <v>1053</v>
      </c>
      <c r="D673" s="6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3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6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6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3.8" hidden="false" customHeight="false" outlineLevel="0" collapsed="false">
      <c r="A674" s="4" t="s">
        <v>1052</v>
      </c>
      <c r="B674" s="5"/>
      <c r="C674" s="4" t="s">
        <v>1053</v>
      </c>
      <c r="D674" s="6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3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6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6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3.8" hidden="false" customHeight="false" outlineLevel="0" collapsed="false">
      <c r="A675" s="4" t="s">
        <v>1052</v>
      </c>
      <c r="B675" s="5"/>
      <c r="C675" s="4" t="s">
        <v>1053</v>
      </c>
      <c r="D675" s="6" t="s">
        <v>19</v>
      </c>
      <c r="E675" s="6" t="s">
        <v>824</v>
      </c>
      <c r="F675" s="6" t="s">
        <v>825</v>
      </c>
      <c r="G675" s="6" t="s">
        <v>401</v>
      </c>
      <c r="H675" s="7" t="s">
        <v>1182</v>
      </c>
      <c r="I675" s="6" t="s">
        <v>1183</v>
      </c>
      <c r="J675" s="1" t="s">
        <v>166</v>
      </c>
      <c r="K675" s="6" t="s">
        <v>1184</v>
      </c>
      <c r="L675" s="6" t="s">
        <v>69</v>
      </c>
      <c r="M675" s="3" t="s">
        <v>46</v>
      </c>
      <c r="N675" s="6" t="s">
        <v>404</v>
      </c>
      <c r="O675" s="6" t="s">
        <v>42</v>
      </c>
      <c r="P675" s="6" t="s">
        <v>1056</v>
      </c>
      <c r="Q675" s="6" t="s">
        <v>46</v>
      </c>
      <c r="R675" s="6" t="s">
        <v>72</v>
      </c>
      <c r="S675" s="6" t="s">
        <v>46</v>
      </c>
      <c r="T675" s="6" t="s">
        <v>419</v>
      </c>
      <c r="U675" s="6" t="s">
        <v>46</v>
      </c>
      <c r="V675" s="6" t="n">
        <v>1</v>
      </c>
      <c r="W675" s="1" t="s">
        <v>858</v>
      </c>
      <c r="X675" s="6" t="s">
        <v>408</v>
      </c>
      <c r="Y675" s="6" t="n">
        <v>5500</v>
      </c>
      <c r="Z675" s="6" t="s">
        <v>830</v>
      </c>
      <c r="AA675" s="6" t="s">
        <v>831</v>
      </c>
      <c r="AB675" s="6" t="s">
        <v>832</v>
      </c>
      <c r="AC675" s="6" t="s">
        <v>833</v>
      </c>
      <c r="AD675" s="1" t="s">
        <v>834</v>
      </c>
      <c r="AE675" s="6" t="s">
        <v>1185</v>
      </c>
      <c r="AF675" s="6" t="s">
        <v>1186</v>
      </c>
    </row>
    <row r="676" customFormat="false" ht="15" hidden="false" customHeight="false" outlineLevel="0" collapsed="false">
      <c r="A676" s="4" t="s">
        <v>1052</v>
      </c>
      <c r="B676" s="5"/>
      <c r="C676" s="4" t="s">
        <v>1053</v>
      </c>
      <c r="D676" s="6" t="s">
        <v>19</v>
      </c>
      <c r="E676" s="6" t="s">
        <v>824</v>
      </c>
      <c r="F676" s="7" t="s">
        <v>825</v>
      </c>
      <c r="G676" s="6" t="s">
        <v>401</v>
      </c>
      <c r="H676" s="16" t="s">
        <v>1187</v>
      </c>
      <c r="I676" s="6" t="str">
        <f aca="false">CONCATENATE(E676, "_",H676)</f>
        <v>NLA_2022_020_223</v>
      </c>
      <c r="J676" s="6" t="s">
        <v>158</v>
      </c>
      <c r="K676" s="6" t="s">
        <v>1188</v>
      </c>
      <c r="L676" s="6" t="s">
        <v>69</v>
      </c>
      <c r="M676" s="3" t="s">
        <v>46</v>
      </c>
      <c r="N676" s="6" t="s">
        <v>404</v>
      </c>
      <c r="O676" s="6" t="s">
        <v>54</v>
      </c>
      <c r="P676" s="6" t="s">
        <v>1056</v>
      </c>
      <c r="Q676" s="6" t="s">
        <v>46</v>
      </c>
      <c r="R676" s="6" t="s">
        <v>44</v>
      </c>
      <c r="S676" s="6" t="s">
        <v>46</v>
      </c>
      <c r="T676" s="6" t="s">
        <v>406</v>
      </c>
      <c r="U676" s="6" t="s">
        <v>46</v>
      </c>
      <c r="V676" s="6" t="n">
        <v>1</v>
      </c>
      <c r="W676" s="6" t="s">
        <v>599</v>
      </c>
      <c r="X676" s="6" t="s">
        <v>408</v>
      </c>
      <c r="Y676" s="6" t="n">
        <v>5500</v>
      </c>
      <c r="Z676" s="6" t="s">
        <v>830</v>
      </c>
      <c r="AA676" s="6" t="s">
        <v>831</v>
      </c>
      <c r="AB676" s="15" t="str">
        <f aca="true" t="array" ref="AB676:AB676">LEFT(AA676,LOOKUP(2^15,FIND(".",AA676,ROW(INDIRECT("1:"&amp;LEN(AA676)))))-1)</f>
        <v>NB_2022_047 - 12102022 - 1</v>
      </c>
      <c r="AC676" s="6" t="s">
        <v>833</v>
      </c>
      <c r="AD676" s="15" t="str">
        <f aca="true" t="array" ref="AD676:AD676">LEFT(AC676,LOOKUP(2^15,FIND(".",AC676,ROW(INDIRECT("1:"&amp;LEN(AC676)))))-1)</f>
        <v>NB_2022_047 - 12102022 - 2</v>
      </c>
      <c r="AE676" s="6" t="str">
        <f aca="false">CONCATENATE(AB676, "-",H676, ".mzML")</f>
        <v>NB_2022_047 - 12102022 - 1-223.mzML</v>
      </c>
      <c r="AF676" s="6" t="str">
        <f aca="false">CONCATENATE(AD676, "-",H676, ".mzML")</f>
        <v>NB_2022_047 - 12102022 - 2-223.mzML</v>
      </c>
    </row>
    <row r="677" customFormat="false" ht="13.8" hidden="false" customHeight="false" outlineLevel="0" collapsed="false">
      <c r="A677" s="4" t="s">
        <v>1052</v>
      </c>
      <c r="B677" s="5"/>
      <c r="C677" s="4" t="s">
        <v>1053</v>
      </c>
      <c r="D677" s="6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6" t="s">
        <v>166</v>
      </c>
      <c r="K677" s="31" t="s">
        <v>1191</v>
      </c>
      <c r="L677" s="6" t="s">
        <v>69</v>
      </c>
      <c r="M677" s="3" t="s">
        <v>46</v>
      </c>
      <c r="N677" s="6" t="s">
        <v>404</v>
      </c>
      <c r="O677" s="6" t="s">
        <v>42</v>
      </c>
      <c r="P677" s="6" t="s">
        <v>1056</v>
      </c>
      <c r="Q677" s="6" t="s">
        <v>46</v>
      </c>
      <c r="R677" s="6" t="s">
        <v>44</v>
      </c>
      <c r="S677" s="6" t="s">
        <v>46</v>
      </c>
      <c r="T677" s="6" t="s">
        <v>419</v>
      </c>
      <c r="U677" s="6" t="s">
        <v>46</v>
      </c>
      <c r="V677" s="6" t="n">
        <v>1</v>
      </c>
      <c r="W677" s="6" t="s">
        <v>773</v>
      </c>
      <c r="X677" s="6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3.8" hidden="false" customHeight="false" outlineLevel="0" collapsed="false">
      <c r="A678" s="4" t="s">
        <v>1052</v>
      </c>
      <c r="B678" s="5"/>
      <c r="C678" s="4" t="s">
        <v>1053</v>
      </c>
      <c r="D678" s="6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6" t="s">
        <v>1196</v>
      </c>
      <c r="L678" s="6" t="s">
        <v>69</v>
      </c>
      <c r="M678" s="3" t="s">
        <v>46</v>
      </c>
      <c r="N678" s="6" t="s">
        <v>404</v>
      </c>
      <c r="O678" s="6" t="s">
        <v>42</v>
      </c>
      <c r="P678" s="6" t="s">
        <v>1056</v>
      </c>
      <c r="Q678" s="6" t="s">
        <v>46</v>
      </c>
      <c r="R678" s="6" t="s">
        <v>44</v>
      </c>
      <c r="S678" s="6" t="s">
        <v>46</v>
      </c>
      <c r="T678" s="6" t="s">
        <v>406</v>
      </c>
      <c r="U678" s="6" t="s">
        <v>46</v>
      </c>
      <c r="V678" s="6" t="n">
        <v>1</v>
      </c>
      <c r="W678" s="1" t="s">
        <v>840</v>
      </c>
      <c r="X678" s="6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3.8" hidden="false" customHeight="false" outlineLevel="0" collapsed="false">
      <c r="A679" s="4" t="s">
        <v>1052</v>
      </c>
      <c r="B679" s="5"/>
      <c r="C679" s="4" t="s">
        <v>1053</v>
      </c>
      <c r="D679" s="6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6" t="s">
        <v>1201</v>
      </c>
      <c r="L679" s="6" t="s">
        <v>69</v>
      </c>
      <c r="M679" s="3" t="s">
        <v>46</v>
      </c>
      <c r="N679" s="6" t="s">
        <v>404</v>
      </c>
      <c r="O679" s="6" t="s">
        <v>42</v>
      </c>
      <c r="P679" s="6" t="s">
        <v>1056</v>
      </c>
      <c r="Q679" s="6" t="s">
        <v>46</v>
      </c>
      <c r="R679" s="6" t="s">
        <v>72</v>
      </c>
      <c r="S679" s="6" t="s">
        <v>46</v>
      </c>
      <c r="T679" s="6" t="s">
        <v>406</v>
      </c>
      <c r="U679" s="6" t="s">
        <v>46</v>
      </c>
      <c r="V679" s="6" t="n">
        <v>1</v>
      </c>
      <c r="W679" s="1" t="s">
        <v>852</v>
      </c>
      <c r="X679" s="6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3.8" hidden="false" customHeight="false" outlineLevel="0" collapsed="false">
      <c r="A680" s="4" t="s">
        <v>1052</v>
      </c>
      <c r="B680" s="5"/>
      <c r="C680" s="4" t="s">
        <v>1053</v>
      </c>
      <c r="D680" s="6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3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6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6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3.8" hidden="false" customHeight="false" outlineLevel="0" collapsed="false">
      <c r="A681" s="4" t="s">
        <v>1052</v>
      </c>
      <c r="B681" s="5"/>
      <c r="C681" s="4" t="s">
        <v>1053</v>
      </c>
      <c r="D681" s="6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3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6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6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3.8" hidden="false" customHeight="false" outlineLevel="0" collapsed="false">
      <c r="A682" s="4" t="s">
        <v>1052</v>
      </c>
      <c r="B682" s="5"/>
      <c r="C682" s="4" t="s">
        <v>1053</v>
      </c>
      <c r="D682" s="6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3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6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6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3.8" hidden="false" customHeight="false" outlineLevel="0" collapsed="false">
      <c r="A683" s="4" t="s">
        <v>1052</v>
      </c>
      <c r="B683" s="5"/>
      <c r="C683" s="4" t="s">
        <v>1053</v>
      </c>
      <c r="D683" s="6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3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6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6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3.8" hidden="false" customHeight="false" outlineLevel="0" collapsed="false">
      <c r="A684" s="4" t="s">
        <v>1052</v>
      </c>
      <c r="B684" s="5"/>
      <c r="C684" s="4" t="s">
        <v>1053</v>
      </c>
      <c r="D684" s="6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3" t="s">
        <v>46</v>
      </c>
      <c r="N684" s="6" t="s">
        <v>465</v>
      </c>
      <c r="O684" s="1" t="s">
        <v>81</v>
      </c>
      <c r="P684" s="1" t="s">
        <v>81</v>
      </c>
      <c r="Q684" s="1" t="s">
        <v>81</v>
      </c>
      <c r="R684" s="6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6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3.8" hidden="false" customHeight="false" outlineLevel="0" collapsed="false">
      <c r="A685" s="4" t="s">
        <v>1052</v>
      </c>
      <c r="B685" s="5"/>
      <c r="C685" s="4" t="s">
        <v>1053</v>
      </c>
      <c r="D685" s="6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3" t="s">
        <v>46</v>
      </c>
      <c r="N685" s="6" t="s">
        <v>465</v>
      </c>
      <c r="O685" s="1" t="s">
        <v>81</v>
      </c>
      <c r="P685" s="1" t="s">
        <v>81</v>
      </c>
      <c r="Q685" s="1" t="s">
        <v>81</v>
      </c>
      <c r="R685" s="6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6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3.8" hidden="false" customHeight="false" outlineLevel="0" collapsed="false">
      <c r="A686" s="4" t="s">
        <v>1052</v>
      </c>
      <c r="B686" s="5"/>
      <c r="C686" s="4" t="s">
        <v>1053</v>
      </c>
      <c r="D686" s="6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3" t="s">
        <v>46</v>
      </c>
      <c r="N686" s="6" t="s">
        <v>465</v>
      </c>
      <c r="O686" s="1" t="s">
        <v>81</v>
      </c>
      <c r="P686" s="1" t="s">
        <v>81</v>
      </c>
      <c r="Q686" s="1" t="s">
        <v>81</v>
      </c>
      <c r="R686" s="6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6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3.8" hidden="false" customHeight="false" outlineLevel="0" collapsed="false">
      <c r="A687" s="4" t="s">
        <v>1052</v>
      </c>
      <c r="B687" s="5"/>
      <c r="C687" s="4" t="s">
        <v>1053</v>
      </c>
      <c r="D687" s="6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3" t="s">
        <v>46</v>
      </c>
      <c r="N687" s="6" t="s">
        <v>465</v>
      </c>
      <c r="O687" s="1" t="s">
        <v>81</v>
      </c>
      <c r="P687" s="1" t="s">
        <v>81</v>
      </c>
      <c r="Q687" s="1" t="s">
        <v>81</v>
      </c>
      <c r="R687" s="6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6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3.8" hidden="false" customHeight="false" outlineLevel="0" collapsed="false">
      <c r="A688" s="4" t="s">
        <v>1052</v>
      </c>
      <c r="B688" s="5"/>
      <c r="C688" s="4" t="s">
        <v>1053</v>
      </c>
      <c r="D688" s="6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3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6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6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3.8" hidden="false" customHeight="false" outlineLevel="0" collapsed="false">
      <c r="A689" s="4" t="s">
        <v>1052</v>
      </c>
      <c r="B689" s="5"/>
      <c r="C689" s="4" t="s">
        <v>1053</v>
      </c>
      <c r="D689" s="6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3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6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6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3.8" hidden="false" customHeight="false" outlineLevel="0" collapsed="false">
      <c r="A690" s="4" t="s">
        <v>1052</v>
      </c>
      <c r="B690" s="5"/>
      <c r="C690" s="4" t="s">
        <v>1053</v>
      </c>
      <c r="D690" s="6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3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6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6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3.8" hidden="false" customHeight="false" outlineLevel="0" collapsed="false">
      <c r="A691" s="4" t="s">
        <v>1052</v>
      </c>
      <c r="B691" s="5"/>
      <c r="C691" s="4" t="s">
        <v>1053</v>
      </c>
      <c r="D691" s="6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3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6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6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3" t="s">
        <v>1204</v>
      </c>
      <c r="B692" s="34"/>
      <c r="C692" s="4" t="s">
        <v>1205</v>
      </c>
      <c r="D692" s="6" t="s">
        <v>15</v>
      </c>
      <c r="E692" s="6" t="s">
        <v>399</v>
      </c>
      <c r="F692" s="7" t="s">
        <v>400</v>
      </c>
      <c r="G692" s="6" t="s">
        <v>401</v>
      </c>
      <c r="H692" s="16" t="s">
        <v>142</v>
      </c>
      <c r="I692" s="6" t="str">
        <f aca="false">CONCATENATE(E692, "_",H692)</f>
        <v>NLA_2022_014_008</v>
      </c>
      <c r="J692" s="1" t="s">
        <v>166</v>
      </c>
      <c r="K692" s="6" t="s">
        <v>417</v>
      </c>
      <c r="L692" s="6" t="s">
        <v>69</v>
      </c>
      <c r="M692" s="3" t="s">
        <v>46</v>
      </c>
      <c r="N692" s="6" t="s">
        <v>404</v>
      </c>
      <c r="O692" s="6" t="s">
        <v>418</v>
      </c>
      <c r="P692" s="6" t="s">
        <v>405</v>
      </c>
      <c r="Q692" s="6" t="s">
        <v>46</v>
      </c>
      <c r="R692" s="6" t="s">
        <v>72</v>
      </c>
      <c r="S692" s="6" t="s">
        <v>46</v>
      </c>
      <c r="T692" s="6" t="s">
        <v>419</v>
      </c>
      <c r="U692" s="6" t="s">
        <v>46</v>
      </c>
      <c r="V692" s="6" t="n">
        <v>1</v>
      </c>
      <c r="W692" s="1" t="s">
        <v>420</v>
      </c>
      <c r="X692" s="6" t="s">
        <v>408</v>
      </c>
      <c r="Y692" s="6" t="n">
        <v>5500</v>
      </c>
      <c r="Z692" s="6" t="s">
        <v>409</v>
      </c>
      <c r="AA692" s="6" t="s">
        <v>410</v>
      </c>
      <c r="AB692" s="15" t="str">
        <f aca="true" t="array" ref="AB692:AB692">LEFT(AA692,LOOKUP(2^15,FIND(".",AA692,ROW(INDIRECT("1:"&amp;LEN(AA692)))))-1)</f>
        <v>NB_2022_047 - 04102022 - 1</v>
      </c>
      <c r="AC692" s="6" t="s">
        <v>412</v>
      </c>
      <c r="AD692" s="15" t="str">
        <f aca="true" t="array" ref="AD692:AD692">LEFT(AC692,LOOKUP(2^15,FIND(".",AC692,ROW(INDIRECT("1:"&amp;LEN(AC692)))))-1)</f>
        <v>NB_2022_047 - 04102022 - 2</v>
      </c>
      <c r="AE692" s="6" t="str">
        <f aca="false">CONCATENATE(AB692, "-",H692, ".mzML")</f>
        <v>NB_2022_047 - 04102022 - 1-008.mzML</v>
      </c>
      <c r="AF692" s="6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3" t="s">
        <v>1204</v>
      </c>
      <c r="B693" s="34"/>
      <c r="C693" s="4" t="s">
        <v>1205</v>
      </c>
      <c r="D693" s="6" t="s">
        <v>15</v>
      </c>
      <c r="E693" s="6" t="s">
        <v>399</v>
      </c>
      <c r="F693" s="7" t="s">
        <v>400</v>
      </c>
      <c r="G693" s="6" t="s">
        <v>401</v>
      </c>
      <c r="H693" s="16" t="s">
        <v>56</v>
      </c>
      <c r="I693" s="6" t="str">
        <f aca="false">CONCATENATE(E693, "_",H693)</f>
        <v>NLA_2022_014_013</v>
      </c>
      <c r="J693" s="6" t="s">
        <v>166</v>
      </c>
      <c r="K693" s="31" t="s">
        <v>1055</v>
      </c>
      <c r="L693" s="6" t="s">
        <v>69</v>
      </c>
      <c r="M693" s="3" t="s">
        <v>46</v>
      </c>
      <c r="N693" s="6" t="s">
        <v>404</v>
      </c>
      <c r="O693" s="6" t="s">
        <v>42</v>
      </c>
      <c r="P693" s="6" t="s">
        <v>1056</v>
      </c>
      <c r="Q693" s="6" t="s">
        <v>46</v>
      </c>
      <c r="R693" s="6" t="s">
        <v>44</v>
      </c>
      <c r="S693" s="6" t="s">
        <v>46</v>
      </c>
      <c r="T693" s="6" t="s">
        <v>419</v>
      </c>
      <c r="U693" s="6" t="s">
        <v>46</v>
      </c>
      <c r="V693" s="6" t="n">
        <v>1</v>
      </c>
      <c r="W693" s="6" t="s">
        <v>420</v>
      </c>
      <c r="X693" s="6" t="s">
        <v>408</v>
      </c>
      <c r="Y693" s="1" t="n">
        <v>5500</v>
      </c>
      <c r="Z693" s="6" t="s">
        <v>409</v>
      </c>
      <c r="AA693" s="6" t="s">
        <v>410</v>
      </c>
      <c r="AB693" s="15" t="str">
        <f aca="true" t="array" ref="AB693:AB693">LEFT(AA693,LOOKUP(2^15,FIND(".",AA693,ROW(INDIRECT("1:"&amp;LEN(AA693)))))-1)</f>
        <v>NB_2022_047 - 04102022 - 1</v>
      </c>
      <c r="AC693" s="6" t="s">
        <v>412</v>
      </c>
      <c r="AD693" s="15" t="str">
        <f aca="true" t="array" ref="AD693:AD693">LEFT(AC693,LOOKUP(2^15,FIND(".",AC693,ROW(INDIRECT("1:"&amp;LEN(AC693)))))-1)</f>
        <v>NB_2022_047 - 04102022 - 2</v>
      </c>
      <c r="AE693" s="6" t="str">
        <f aca="false">CONCATENATE(AB693, "-",H693, ".mzML")</f>
        <v>NB_2022_047 - 04102022 - 1-013.mzML</v>
      </c>
      <c r="AF693" s="6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3" t="s">
        <v>1204</v>
      </c>
      <c r="B694" s="34"/>
      <c r="C694" s="4" t="s">
        <v>1205</v>
      </c>
      <c r="D694" s="6" t="s">
        <v>15</v>
      </c>
      <c r="E694" s="6" t="s">
        <v>399</v>
      </c>
      <c r="F694" s="7" t="s">
        <v>400</v>
      </c>
      <c r="G694" s="6" t="s">
        <v>401</v>
      </c>
      <c r="H694" s="16" t="s">
        <v>58</v>
      </c>
      <c r="I694" s="6" t="str">
        <f aca="false">CONCATENATE(E694, "_",H694)</f>
        <v>NLA_2022_014_014</v>
      </c>
      <c r="J694" s="6" t="s">
        <v>166</v>
      </c>
      <c r="K694" s="31" t="s">
        <v>1060</v>
      </c>
      <c r="L694" s="6" t="s">
        <v>69</v>
      </c>
      <c r="M694" s="3" t="s">
        <v>46</v>
      </c>
      <c r="N694" s="6" t="s">
        <v>404</v>
      </c>
      <c r="O694" s="6" t="s">
        <v>42</v>
      </c>
      <c r="P694" s="6" t="s">
        <v>1056</v>
      </c>
      <c r="Q694" s="6" t="s">
        <v>46</v>
      </c>
      <c r="R694" s="6" t="s">
        <v>72</v>
      </c>
      <c r="S694" s="6" t="s">
        <v>46</v>
      </c>
      <c r="T694" s="6" t="s">
        <v>419</v>
      </c>
      <c r="U694" s="6" t="s">
        <v>46</v>
      </c>
      <c r="V694" s="6" t="n">
        <v>1</v>
      </c>
      <c r="W694" s="6" t="s">
        <v>431</v>
      </c>
      <c r="X694" s="6" t="s">
        <v>408</v>
      </c>
      <c r="Y694" s="1" t="n">
        <v>5500</v>
      </c>
      <c r="Z694" s="6" t="s">
        <v>409</v>
      </c>
      <c r="AA694" s="6" t="s">
        <v>410</v>
      </c>
      <c r="AB694" s="15" t="str">
        <f aca="true" t="array" ref="AB694:AB694">LEFT(AA694,LOOKUP(2^15,FIND(".",AA694,ROW(INDIRECT("1:"&amp;LEN(AA694)))))-1)</f>
        <v>NB_2022_047 - 04102022 - 1</v>
      </c>
      <c r="AC694" s="6" t="s">
        <v>412</v>
      </c>
      <c r="AD694" s="15" t="str">
        <f aca="true" t="array" ref="AD694:AD694">LEFT(AC694,LOOKUP(2^15,FIND(".",AC694,ROW(INDIRECT("1:"&amp;LEN(AC694)))))-1)</f>
        <v>NB_2022_047 - 04102022 - 2</v>
      </c>
      <c r="AE694" s="6" t="str">
        <f aca="false">CONCATENATE(AB694, "-",H694, ".mzML")</f>
        <v>NB_2022_047 - 04102022 - 1-014.mzML</v>
      </c>
      <c r="AF694" s="6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3" t="s">
        <v>1204</v>
      </c>
      <c r="B695" s="34"/>
      <c r="C695" s="4" t="s">
        <v>1205</v>
      </c>
      <c r="D695" s="6" t="s">
        <v>15</v>
      </c>
      <c r="E695" s="6" t="s">
        <v>399</v>
      </c>
      <c r="F695" s="7" t="s">
        <v>400</v>
      </c>
      <c r="G695" s="6" t="s">
        <v>401</v>
      </c>
      <c r="H695" s="16" t="s">
        <v>172</v>
      </c>
      <c r="I695" s="6" t="str">
        <f aca="false">CONCATENATE(E695, "_",H695)</f>
        <v>NLA_2022_014_015</v>
      </c>
      <c r="J695" s="1" t="s">
        <v>166</v>
      </c>
      <c r="K695" s="6" t="s">
        <v>429</v>
      </c>
      <c r="L695" s="6" t="s">
        <v>69</v>
      </c>
      <c r="M695" s="3" t="s">
        <v>46</v>
      </c>
      <c r="N695" s="6" t="s">
        <v>404</v>
      </c>
      <c r="O695" s="6" t="s">
        <v>430</v>
      </c>
      <c r="P695" s="6" t="s">
        <v>405</v>
      </c>
      <c r="Q695" s="6" t="s">
        <v>46</v>
      </c>
      <c r="R695" s="6" t="s">
        <v>44</v>
      </c>
      <c r="S695" s="6" t="s">
        <v>46</v>
      </c>
      <c r="T695" s="6" t="s">
        <v>419</v>
      </c>
      <c r="U695" s="6" t="s">
        <v>46</v>
      </c>
      <c r="V695" s="6" t="n">
        <v>1</v>
      </c>
      <c r="W695" s="1" t="s">
        <v>431</v>
      </c>
      <c r="X695" s="6" t="s">
        <v>408</v>
      </c>
      <c r="Y695" s="6" t="n">
        <v>5500</v>
      </c>
      <c r="Z695" s="6" t="s">
        <v>409</v>
      </c>
      <c r="AA695" s="6" t="s">
        <v>410</v>
      </c>
      <c r="AB695" s="15" t="str">
        <f aca="true" t="array" ref="AB695:AB695">LEFT(AA695,LOOKUP(2^15,FIND(".",AA695,ROW(INDIRECT("1:"&amp;LEN(AA695)))))-1)</f>
        <v>NB_2022_047 - 04102022 - 1</v>
      </c>
      <c r="AC695" s="6" t="s">
        <v>412</v>
      </c>
      <c r="AD695" s="15" t="str">
        <f aca="true" t="array" ref="AD695:AD695">LEFT(AC695,LOOKUP(2^15,FIND(".",AC695,ROW(INDIRECT("1:"&amp;LEN(AC695)))))-1)</f>
        <v>NB_2022_047 - 04102022 - 2</v>
      </c>
      <c r="AE695" s="6" t="str">
        <f aca="false">CONCATENATE(AB695, "-",H695, ".mzML")</f>
        <v>NB_2022_047 - 04102022 - 1-015.mzML</v>
      </c>
      <c r="AF695" s="6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3" t="s">
        <v>1204</v>
      </c>
      <c r="B696" s="34"/>
      <c r="C696" s="4" t="s">
        <v>1205</v>
      </c>
      <c r="D696" s="6" t="s">
        <v>15</v>
      </c>
      <c r="E696" s="6" t="s">
        <v>399</v>
      </c>
      <c r="F696" s="7" t="s">
        <v>400</v>
      </c>
      <c r="G696" s="6" t="s">
        <v>401</v>
      </c>
      <c r="H696" s="16" t="s">
        <v>288</v>
      </c>
      <c r="I696" s="6" t="str">
        <f aca="false">CONCATENATE(E696, "_",H696)</f>
        <v>NLA_2022_014_022</v>
      </c>
      <c r="J696" s="1" t="s">
        <v>166</v>
      </c>
      <c r="K696" s="6" t="s">
        <v>435</v>
      </c>
      <c r="L696" s="6" t="s">
        <v>69</v>
      </c>
      <c r="M696" s="3" t="s">
        <v>46</v>
      </c>
      <c r="N696" s="6" t="s">
        <v>404</v>
      </c>
      <c r="O696" s="6" t="s">
        <v>418</v>
      </c>
      <c r="P696" s="6" t="s">
        <v>405</v>
      </c>
      <c r="Q696" s="6" t="s">
        <v>46</v>
      </c>
      <c r="R696" s="6" t="s">
        <v>72</v>
      </c>
      <c r="S696" s="6" t="s">
        <v>46</v>
      </c>
      <c r="T696" s="6" t="s">
        <v>419</v>
      </c>
      <c r="U696" s="6" t="s">
        <v>46</v>
      </c>
      <c r="V696" s="6" t="n">
        <v>1</v>
      </c>
      <c r="W696" s="1" t="s">
        <v>436</v>
      </c>
      <c r="X696" s="6" t="s">
        <v>408</v>
      </c>
      <c r="Y696" s="6" t="n">
        <v>5500</v>
      </c>
      <c r="Z696" s="6" t="s">
        <v>409</v>
      </c>
      <c r="AA696" s="6" t="s">
        <v>410</v>
      </c>
      <c r="AB696" s="15" t="str">
        <f aca="true" t="array" ref="AB696:AB696">LEFT(AA696,LOOKUP(2^15,FIND(".",AA696,ROW(INDIRECT("1:"&amp;LEN(AA696)))))-1)</f>
        <v>NB_2022_047 - 04102022 - 1</v>
      </c>
      <c r="AC696" s="6" t="s">
        <v>412</v>
      </c>
      <c r="AD696" s="15" t="str">
        <f aca="true" t="array" ref="AD696:AD696">LEFT(AC696,LOOKUP(2^15,FIND(".",AC696,ROW(INDIRECT("1:"&amp;LEN(AC696)))))-1)</f>
        <v>NB_2022_047 - 04102022 - 2</v>
      </c>
      <c r="AE696" s="6" t="str">
        <f aca="false">CONCATENATE(AB696, "-",H696, ".mzML")</f>
        <v>NB_2022_047 - 04102022 - 1-022.mzML</v>
      </c>
      <c r="AF696" s="6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3" t="s">
        <v>1204</v>
      </c>
      <c r="B697" s="34"/>
      <c r="C697" s="4" t="s">
        <v>1205</v>
      </c>
      <c r="D697" s="6" t="s">
        <v>15</v>
      </c>
      <c r="E697" s="6" t="s">
        <v>399</v>
      </c>
      <c r="F697" s="7" t="s">
        <v>400</v>
      </c>
      <c r="G697" s="6" t="s">
        <v>401</v>
      </c>
      <c r="H697" s="16" t="s">
        <v>237</v>
      </c>
      <c r="I697" s="6" t="str">
        <f aca="false">CONCATENATE(E697, "_",H697)</f>
        <v>NLA_2022_014_024</v>
      </c>
      <c r="J697" s="1" t="s">
        <v>166</v>
      </c>
      <c r="K697" s="6" t="s">
        <v>913</v>
      </c>
      <c r="L697" s="6" t="s">
        <v>69</v>
      </c>
      <c r="M697" s="3" t="s">
        <v>46</v>
      </c>
      <c r="N697" s="6" t="s">
        <v>404</v>
      </c>
      <c r="O697" s="6" t="s">
        <v>42</v>
      </c>
      <c r="P697" s="6" t="s">
        <v>901</v>
      </c>
      <c r="Q697" s="6" t="s">
        <v>46</v>
      </c>
      <c r="R697" s="6" t="s">
        <v>72</v>
      </c>
      <c r="S697" s="6" t="s">
        <v>46</v>
      </c>
      <c r="T697" s="6" t="s">
        <v>419</v>
      </c>
      <c r="U697" s="6" t="s">
        <v>46</v>
      </c>
      <c r="V697" s="6" t="n">
        <v>1</v>
      </c>
      <c r="W697" s="1" t="s">
        <v>420</v>
      </c>
      <c r="X697" s="6" t="s">
        <v>408</v>
      </c>
      <c r="Y697" s="6" t="n">
        <v>5500</v>
      </c>
      <c r="Z697" s="6" t="s">
        <v>409</v>
      </c>
      <c r="AA697" s="6" t="s">
        <v>410</v>
      </c>
      <c r="AB697" s="15" t="str">
        <f aca="true" t="array" ref="AB697:AB697">LEFT(AA697,LOOKUP(2^15,FIND(".",AA697,ROW(INDIRECT("1:"&amp;LEN(AA697)))))-1)</f>
        <v>NB_2022_047 - 04102022 - 1</v>
      </c>
      <c r="AC697" s="6" t="s">
        <v>412</v>
      </c>
      <c r="AD697" s="15" t="str">
        <f aca="true" t="array" ref="AD697:AD697">LEFT(AC697,LOOKUP(2^15,FIND(".",AC697,ROW(INDIRECT("1:"&amp;LEN(AC697)))))-1)</f>
        <v>NB_2022_047 - 04102022 - 2</v>
      </c>
      <c r="AE697" s="6" t="str">
        <f aca="false">CONCATENATE(AB697, "-",H697, ".mzML")</f>
        <v>NB_2022_047 - 04102022 - 1-024.mzML</v>
      </c>
      <c r="AF697" s="6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3" t="s">
        <v>1204</v>
      </c>
      <c r="B698" s="34"/>
      <c r="C698" s="4" t="s">
        <v>1205</v>
      </c>
      <c r="D698" s="6" t="s">
        <v>15</v>
      </c>
      <c r="E698" s="6" t="s">
        <v>399</v>
      </c>
      <c r="F698" s="7" t="s">
        <v>400</v>
      </c>
      <c r="G698" s="6" t="s">
        <v>401</v>
      </c>
      <c r="H698" s="16" t="s">
        <v>439</v>
      </c>
      <c r="I698" s="6" t="str">
        <f aca="false">CONCATENATE(E698, "_",H698)</f>
        <v>NLA_2022_014_029</v>
      </c>
      <c r="J698" s="1" t="s">
        <v>166</v>
      </c>
      <c r="K698" s="6" t="s">
        <v>441</v>
      </c>
      <c r="L698" s="6" t="s">
        <v>69</v>
      </c>
      <c r="M698" s="3" t="s">
        <v>46</v>
      </c>
      <c r="N698" s="6" t="s">
        <v>404</v>
      </c>
      <c r="O698" s="6" t="s">
        <v>42</v>
      </c>
      <c r="P698" s="6" t="s">
        <v>405</v>
      </c>
      <c r="Q698" s="6" t="s">
        <v>46</v>
      </c>
      <c r="R698" s="6" t="s">
        <v>72</v>
      </c>
      <c r="S698" s="6" t="s">
        <v>46</v>
      </c>
      <c r="T698" s="6" t="s">
        <v>419</v>
      </c>
      <c r="U698" s="6" t="s">
        <v>46</v>
      </c>
      <c r="V698" s="6" t="n">
        <v>1</v>
      </c>
      <c r="W698" s="1" t="s">
        <v>442</v>
      </c>
      <c r="X698" s="6" t="s">
        <v>408</v>
      </c>
      <c r="Y698" s="6" t="n">
        <v>5500</v>
      </c>
      <c r="Z698" s="6" t="s">
        <v>409</v>
      </c>
      <c r="AA698" s="6" t="s">
        <v>410</v>
      </c>
      <c r="AB698" s="15" t="str">
        <f aca="true" t="array" ref="AB698:AB698">LEFT(AA698,LOOKUP(2^15,FIND(".",AA698,ROW(INDIRECT("1:"&amp;LEN(AA698)))))-1)</f>
        <v>NB_2022_047 - 04102022 - 1</v>
      </c>
      <c r="AC698" s="6" t="s">
        <v>412</v>
      </c>
      <c r="AD698" s="15" t="str">
        <f aca="true" t="array" ref="AD698:AD698">LEFT(AC698,LOOKUP(2^15,FIND(".",AC698,ROW(INDIRECT("1:"&amp;LEN(AC698)))))-1)</f>
        <v>NB_2022_047 - 04102022 - 2</v>
      </c>
      <c r="AE698" s="6" t="str">
        <f aca="false">CONCATENATE(AB698, "-",H698, ".mzML")</f>
        <v>NB_2022_047 - 04102022 - 1-029.mzML</v>
      </c>
      <c r="AF698" s="6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3" t="s">
        <v>1204</v>
      </c>
      <c r="B699" s="34"/>
      <c r="C699" s="4" t="s">
        <v>1205</v>
      </c>
      <c r="D699" s="6" t="s">
        <v>15</v>
      </c>
      <c r="E699" s="6" t="s">
        <v>399</v>
      </c>
      <c r="F699" s="7" t="s">
        <v>400</v>
      </c>
      <c r="G699" s="6" t="s">
        <v>401</v>
      </c>
      <c r="H699" s="16" t="s">
        <v>385</v>
      </c>
      <c r="I699" s="6" t="str">
        <f aca="false">CONCATENATE(E699, "_",H699)</f>
        <v>NLA_2022_014_030</v>
      </c>
      <c r="J699" s="1" t="s">
        <v>166</v>
      </c>
      <c r="K699" s="6" t="s">
        <v>917</v>
      </c>
      <c r="L699" s="6" t="s">
        <v>69</v>
      </c>
      <c r="M699" s="3" t="s">
        <v>46</v>
      </c>
      <c r="N699" s="6" t="s">
        <v>404</v>
      </c>
      <c r="O699" s="6" t="s">
        <v>418</v>
      </c>
      <c r="P699" s="6" t="s">
        <v>901</v>
      </c>
      <c r="Q699" s="6" t="s">
        <v>46</v>
      </c>
      <c r="R699" s="6" t="s">
        <v>72</v>
      </c>
      <c r="S699" s="6" t="s">
        <v>46</v>
      </c>
      <c r="T699" s="6" t="s">
        <v>419</v>
      </c>
      <c r="U699" s="6" t="s">
        <v>46</v>
      </c>
      <c r="V699" s="6" t="n">
        <v>1</v>
      </c>
      <c r="W699" s="1" t="s">
        <v>431</v>
      </c>
      <c r="X699" s="6" t="s">
        <v>408</v>
      </c>
      <c r="Y699" s="6" t="n">
        <v>5500</v>
      </c>
      <c r="Z699" s="6" t="s">
        <v>409</v>
      </c>
      <c r="AA699" s="6" t="s">
        <v>410</v>
      </c>
      <c r="AB699" s="15" t="str">
        <f aca="true" t="array" ref="AB699:AB699">LEFT(AA699,LOOKUP(2^15,FIND(".",AA699,ROW(INDIRECT("1:"&amp;LEN(AA699)))))-1)</f>
        <v>NB_2022_047 - 04102022 - 1</v>
      </c>
      <c r="AC699" s="6" t="s">
        <v>412</v>
      </c>
      <c r="AD699" s="15" t="str">
        <f aca="true" t="array" ref="AD699:AD699">LEFT(AC699,LOOKUP(2^15,FIND(".",AC699,ROW(INDIRECT("1:"&amp;LEN(AC699)))))-1)</f>
        <v>NB_2022_047 - 04102022 - 2</v>
      </c>
      <c r="AE699" s="6" t="str">
        <f aca="false">CONCATENATE(AB699, "-",H699, ".mzML")</f>
        <v>NB_2022_047 - 04102022 - 1-030.mzML</v>
      </c>
      <c r="AF699" s="6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3" t="s">
        <v>1204</v>
      </c>
      <c r="B700" s="34"/>
      <c r="C700" s="4" t="s">
        <v>1205</v>
      </c>
      <c r="D700" s="6" t="s">
        <v>15</v>
      </c>
      <c r="E700" s="6" t="s">
        <v>399</v>
      </c>
      <c r="F700" s="7" t="s">
        <v>400</v>
      </c>
      <c r="G700" s="6" t="s">
        <v>401</v>
      </c>
      <c r="H700" s="16" t="s">
        <v>1063</v>
      </c>
      <c r="I700" s="6" t="str">
        <f aca="false">CONCATENATE(E700, "_",H700)</f>
        <v>NLA_2022_014_033</v>
      </c>
      <c r="J700" s="6" t="s">
        <v>166</v>
      </c>
      <c r="K700" s="31" t="s">
        <v>1065</v>
      </c>
      <c r="L700" s="6" t="s">
        <v>69</v>
      </c>
      <c r="M700" s="3" t="s">
        <v>46</v>
      </c>
      <c r="N700" s="6" t="s">
        <v>404</v>
      </c>
      <c r="O700" s="6" t="s">
        <v>418</v>
      </c>
      <c r="P700" s="6" t="s">
        <v>1056</v>
      </c>
      <c r="Q700" s="6" t="s">
        <v>46</v>
      </c>
      <c r="R700" s="6" t="s">
        <v>72</v>
      </c>
      <c r="S700" s="6" t="s">
        <v>46</v>
      </c>
      <c r="T700" s="6" t="s">
        <v>419</v>
      </c>
      <c r="U700" s="6" t="s">
        <v>46</v>
      </c>
      <c r="V700" s="6" t="n">
        <v>1</v>
      </c>
      <c r="W700" s="6" t="s">
        <v>436</v>
      </c>
      <c r="X700" s="6" t="s">
        <v>408</v>
      </c>
      <c r="Y700" s="1" t="n">
        <v>5500</v>
      </c>
      <c r="Z700" s="6" t="s">
        <v>409</v>
      </c>
      <c r="AA700" s="6" t="s">
        <v>410</v>
      </c>
      <c r="AB700" s="15" t="str">
        <f aca="true" t="array" ref="AB700:AB700">LEFT(AA700,LOOKUP(2^15,FIND(".",AA700,ROW(INDIRECT("1:"&amp;LEN(AA700)))))-1)</f>
        <v>NB_2022_047 - 04102022 - 1</v>
      </c>
      <c r="AC700" s="6" t="s">
        <v>412</v>
      </c>
      <c r="AD700" s="15" t="str">
        <f aca="true" t="array" ref="AD700:AD700">LEFT(AC700,LOOKUP(2^15,FIND(".",AC700,ROW(INDIRECT("1:"&amp;LEN(AC700)))))-1)</f>
        <v>NB_2022_047 - 04102022 - 2</v>
      </c>
      <c r="AE700" s="6" t="str">
        <f aca="false">CONCATENATE(AB700, "-",H700, ".mzML")</f>
        <v>NB_2022_047 - 04102022 - 1-033.mzML</v>
      </c>
      <c r="AF700" s="6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3" t="s">
        <v>1204</v>
      </c>
      <c r="B701" s="34"/>
      <c r="C701" s="4" t="s">
        <v>1205</v>
      </c>
      <c r="D701" s="6" t="s">
        <v>15</v>
      </c>
      <c r="E701" s="6" t="s">
        <v>399</v>
      </c>
      <c r="F701" s="7" t="s">
        <v>400</v>
      </c>
      <c r="G701" s="6" t="s">
        <v>401</v>
      </c>
      <c r="H701" s="16" t="s">
        <v>920</v>
      </c>
      <c r="I701" s="6" t="str">
        <f aca="false">CONCATENATE(E701, "_",H701)</f>
        <v>NLA_2022_014_034</v>
      </c>
      <c r="J701" s="1" t="s">
        <v>166</v>
      </c>
      <c r="K701" s="6" t="s">
        <v>922</v>
      </c>
      <c r="L701" s="6" t="s">
        <v>69</v>
      </c>
      <c r="M701" s="3" t="s">
        <v>46</v>
      </c>
      <c r="N701" s="6" t="s">
        <v>404</v>
      </c>
      <c r="O701" s="6" t="s">
        <v>42</v>
      </c>
      <c r="P701" s="6" t="s">
        <v>901</v>
      </c>
      <c r="Q701" s="6" t="s">
        <v>46</v>
      </c>
      <c r="R701" s="6" t="s">
        <v>44</v>
      </c>
      <c r="S701" s="6" t="s">
        <v>46</v>
      </c>
      <c r="T701" s="6" t="s">
        <v>419</v>
      </c>
      <c r="U701" s="6" t="s">
        <v>46</v>
      </c>
      <c r="V701" s="6" t="n">
        <v>1</v>
      </c>
      <c r="W701" s="1" t="s">
        <v>436</v>
      </c>
      <c r="X701" s="6" t="s">
        <v>408</v>
      </c>
      <c r="Y701" s="6" t="n">
        <v>5500</v>
      </c>
      <c r="Z701" s="6" t="s">
        <v>409</v>
      </c>
      <c r="AA701" s="6" t="s">
        <v>410</v>
      </c>
      <c r="AB701" s="15" t="str">
        <f aca="true" t="array" ref="AB701:AB701">LEFT(AA701,LOOKUP(2^15,FIND(".",AA701,ROW(INDIRECT("1:"&amp;LEN(AA701)))))-1)</f>
        <v>NB_2022_047 - 04102022 - 1</v>
      </c>
      <c r="AC701" s="6" t="s">
        <v>412</v>
      </c>
      <c r="AD701" s="15" t="str">
        <f aca="true" t="array" ref="AD701:AD701">LEFT(AC701,LOOKUP(2^15,FIND(".",AC701,ROW(INDIRECT("1:"&amp;LEN(AC701)))))-1)</f>
        <v>NB_2022_047 - 04102022 - 2</v>
      </c>
      <c r="AE701" s="6" t="str">
        <f aca="false">CONCATENATE(AB701, "-",H701, ".mzML")</f>
        <v>NB_2022_047 - 04102022 - 1-034.mzML</v>
      </c>
      <c r="AF701" s="6" t="str">
        <f aca="false">CONCATENATE(AD701, "-",H701, ".mzML")</f>
        <v>NB_2022_047 - 04102022 - 2-034.mzML</v>
      </c>
    </row>
    <row r="702" customFormat="false" ht="13.8" hidden="false" customHeight="false" outlineLevel="0" collapsed="false">
      <c r="A702" s="33" t="s">
        <v>1204</v>
      </c>
      <c r="B702" s="34"/>
      <c r="C702" s="4" t="s">
        <v>1205</v>
      </c>
      <c r="D702" s="6" t="s">
        <v>13</v>
      </c>
      <c r="E702" s="6" t="s">
        <v>399</v>
      </c>
      <c r="F702" s="6" t="s">
        <v>400</v>
      </c>
      <c r="G702" s="6" t="s">
        <v>399</v>
      </c>
      <c r="H702" s="7" t="s">
        <v>64</v>
      </c>
      <c r="I702" s="6" t="s">
        <v>451</v>
      </c>
      <c r="J702" s="1" t="s">
        <v>158</v>
      </c>
      <c r="K702" s="6" t="s">
        <v>64</v>
      </c>
      <c r="L702" s="6" t="s">
        <v>46</v>
      </c>
      <c r="M702" s="13" t="s">
        <v>46</v>
      </c>
      <c r="N702" s="6" t="s">
        <v>65</v>
      </c>
      <c r="O702" s="6" t="s">
        <v>46</v>
      </c>
      <c r="P702" s="6" t="s">
        <v>46</v>
      </c>
      <c r="Q702" s="6" t="s">
        <v>46</v>
      </c>
      <c r="R702" s="6" t="s">
        <v>46</v>
      </c>
      <c r="S702" s="6" t="s">
        <v>46</v>
      </c>
      <c r="T702" s="6" t="s">
        <v>46</v>
      </c>
      <c r="U702" s="6" t="s">
        <v>46</v>
      </c>
      <c r="V702" s="6" t="n">
        <v>1</v>
      </c>
      <c r="X702" s="6" t="s">
        <v>46</v>
      </c>
      <c r="Y702" s="6" t="n">
        <v>5500</v>
      </c>
      <c r="Z702" s="6" t="s">
        <v>409</v>
      </c>
      <c r="AA702" s="6" t="s">
        <v>410</v>
      </c>
      <c r="AB702" s="1" t="s">
        <v>411</v>
      </c>
      <c r="AC702" s="6" t="s">
        <v>412</v>
      </c>
      <c r="AD702" s="1" t="s">
        <v>413</v>
      </c>
      <c r="AE702" s="6" t="s">
        <v>452</v>
      </c>
      <c r="AF702" s="6" t="s">
        <v>453</v>
      </c>
    </row>
    <row r="703" customFormat="false" ht="13.8" hidden="false" customHeight="false" outlineLevel="0" collapsed="false">
      <c r="A703" s="33" t="s">
        <v>1204</v>
      </c>
      <c r="B703" s="34"/>
      <c r="C703" s="4" t="s">
        <v>1205</v>
      </c>
      <c r="D703" s="6" t="s">
        <v>13</v>
      </c>
      <c r="E703" s="6" t="s">
        <v>399</v>
      </c>
      <c r="F703" s="6" t="s">
        <v>400</v>
      </c>
      <c r="G703" s="6" t="s">
        <v>399</v>
      </c>
      <c r="H703" s="7" t="s">
        <v>66</v>
      </c>
      <c r="I703" s="6" t="s">
        <v>454</v>
      </c>
      <c r="J703" s="1" t="s">
        <v>158</v>
      </c>
      <c r="K703" s="6" t="s">
        <v>66</v>
      </c>
      <c r="L703" s="6" t="s">
        <v>46</v>
      </c>
      <c r="M703" s="13" t="s">
        <v>46</v>
      </c>
      <c r="N703" s="6" t="s">
        <v>65</v>
      </c>
      <c r="O703" s="6" t="s">
        <v>46</v>
      </c>
      <c r="P703" s="6" t="s">
        <v>46</v>
      </c>
      <c r="Q703" s="6" t="s">
        <v>46</v>
      </c>
      <c r="R703" s="6" t="s">
        <v>46</v>
      </c>
      <c r="S703" s="6" t="s">
        <v>46</v>
      </c>
      <c r="T703" s="6" t="s">
        <v>46</v>
      </c>
      <c r="U703" s="6" t="s">
        <v>46</v>
      </c>
      <c r="V703" s="6" t="n">
        <v>2</v>
      </c>
      <c r="X703" s="6" t="s">
        <v>46</v>
      </c>
      <c r="Y703" s="6" t="n">
        <v>5500</v>
      </c>
      <c r="Z703" s="6" t="s">
        <v>409</v>
      </c>
      <c r="AA703" s="6" t="s">
        <v>410</v>
      </c>
      <c r="AB703" s="1" t="s">
        <v>411</v>
      </c>
      <c r="AC703" s="6" t="s">
        <v>412</v>
      </c>
      <c r="AD703" s="1" t="s">
        <v>413</v>
      </c>
      <c r="AE703" s="6" t="s">
        <v>455</v>
      </c>
      <c r="AF703" s="6" t="s">
        <v>456</v>
      </c>
    </row>
    <row r="704" customFormat="false" ht="13.8" hidden="false" customHeight="false" outlineLevel="0" collapsed="false">
      <c r="A704" s="33" t="s">
        <v>1204</v>
      </c>
      <c r="B704" s="34"/>
      <c r="C704" s="4" t="s">
        <v>1205</v>
      </c>
      <c r="D704" s="6" t="s">
        <v>13</v>
      </c>
      <c r="E704" s="6" t="s">
        <v>399</v>
      </c>
      <c r="F704" s="6" t="s">
        <v>400</v>
      </c>
      <c r="G704" s="6" t="s">
        <v>399</v>
      </c>
      <c r="H704" s="7" t="s">
        <v>67</v>
      </c>
      <c r="I704" s="6" t="s">
        <v>457</v>
      </c>
      <c r="J704" s="1" t="s">
        <v>158</v>
      </c>
      <c r="K704" s="6" t="s">
        <v>67</v>
      </c>
      <c r="L704" s="6" t="s">
        <v>46</v>
      </c>
      <c r="M704" s="13" t="s">
        <v>46</v>
      </c>
      <c r="N704" s="6" t="s">
        <v>65</v>
      </c>
      <c r="O704" s="6" t="s">
        <v>46</v>
      </c>
      <c r="P704" s="6" t="s">
        <v>46</v>
      </c>
      <c r="Q704" s="6" t="s">
        <v>46</v>
      </c>
      <c r="R704" s="6" t="s">
        <v>46</v>
      </c>
      <c r="S704" s="6" t="s">
        <v>46</v>
      </c>
      <c r="T704" s="6" t="s">
        <v>46</v>
      </c>
      <c r="U704" s="6" t="s">
        <v>46</v>
      </c>
      <c r="V704" s="6" t="n">
        <v>3</v>
      </c>
      <c r="X704" s="6" t="s">
        <v>46</v>
      </c>
      <c r="Y704" s="6" t="n">
        <v>5500</v>
      </c>
      <c r="Z704" s="6" t="s">
        <v>409</v>
      </c>
      <c r="AA704" s="6" t="s">
        <v>410</v>
      </c>
      <c r="AB704" s="1" t="s">
        <v>411</v>
      </c>
      <c r="AC704" s="6" t="s">
        <v>412</v>
      </c>
      <c r="AD704" s="1" t="s">
        <v>413</v>
      </c>
      <c r="AE704" s="6" t="s">
        <v>458</v>
      </c>
      <c r="AF704" s="6" t="s">
        <v>459</v>
      </c>
    </row>
    <row r="705" customFormat="false" ht="13.8" hidden="false" customHeight="false" outlineLevel="0" collapsed="false">
      <c r="A705" s="33" t="s">
        <v>1204</v>
      </c>
      <c r="B705" s="34"/>
      <c r="C705" s="4" t="s">
        <v>1205</v>
      </c>
      <c r="D705" s="6" t="s">
        <v>13</v>
      </c>
      <c r="E705" s="6" t="s">
        <v>399</v>
      </c>
      <c r="F705" s="6" t="s">
        <v>400</v>
      </c>
      <c r="G705" s="6" t="s">
        <v>399</v>
      </c>
      <c r="H705" s="7" t="s">
        <v>221</v>
      </c>
      <c r="I705" s="6" t="s">
        <v>460</v>
      </c>
      <c r="J705" s="1" t="s">
        <v>158</v>
      </c>
      <c r="K705" s="6" t="s">
        <v>221</v>
      </c>
      <c r="L705" s="6" t="s">
        <v>46</v>
      </c>
      <c r="M705" s="13" t="s">
        <v>46</v>
      </c>
      <c r="N705" s="6" t="s">
        <v>65</v>
      </c>
      <c r="O705" s="6" t="s">
        <v>46</v>
      </c>
      <c r="P705" s="6" t="s">
        <v>46</v>
      </c>
      <c r="Q705" s="6" t="s">
        <v>46</v>
      </c>
      <c r="R705" s="6" t="s">
        <v>46</v>
      </c>
      <c r="S705" s="6" t="s">
        <v>46</v>
      </c>
      <c r="T705" s="6" t="s">
        <v>46</v>
      </c>
      <c r="U705" s="6" t="s">
        <v>46</v>
      </c>
      <c r="V705" s="6" t="n">
        <v>4</v>
      </c>
      <c r="X705" s="6" t="s">
        <v>46</v>
      </c>
      <c r="Y705" s="6" t="n">
        <v>5500</v>
      </c>
      <c r="Z705" s="6" t="s">
        <v>409</v>
      </c>
      <c r="AA705" s="6" t="s">
        <v>410</v>
      </c>
      <c r="AB705" s="1" t="s">
        <v>411</v>
      </c>
      <c r="AC705" s="6" t="s">
        <v>412</v>
      </c>
      <c r="AD705" s="1" t="s">
        <v>413</v>
      </c>
      <c r="AE705" s="6" t="s">
        <v>461</v>
      </c>
      <c r="AF705" s="6" t="s">
        <v>462</v>
      </c>
    </row>
    <row r="706" customFormat="false" ht="13.8" hidden="false" customHeight="false" outlineLevel="0" collapsed="false">
      <c r="A706" s="33" t="s">
        <v>1204</v>
      </c>
      <c r="B706" s="34"/>
      <c r="C706" s="4" t="s">
        <v>1205</v>
      </c>
      <c r="D706" s="6" t="s">
        <v>13</v>
      </c>
      <c r="E706" s="6" t="s">
        <v>399</v>
      </c>
      <c r="F706" s="6" t="s">
        <v>400</v>
      </c>
      <c r="G706" s="6" t="s">
        <v>399</v>
      </c>
      <c r="H706" s="7" t="s">
        <v>463</v>
      </c>
      <c r="I706" s="6" t="s">
        <v>464</v>
      </c>
      <c r="J706" s="1" t="s">
        <v>158</v>
      </c>
      <c r="K706" s="6" t="s">
        <v>463</v>
      </c>
      <c r="L706" s="6" t="s">
        <v>69</v>
      </c>
      <c r="M706" s="3" t="s">
        <v>46</v>
      </c>
      <c r="N706" s="6" t="s">
        <v>465</v>
      </c>
      <c r="O706" s="6" t="s">
        <v>81</v>
      </c>
      <c r="P706" s="6" t="s">
        <v>81</v>
      </c>
      <c r="Q706" s="6" t="s">
        <v>81</v>
      </c>
      <c r="R706" s="6" t="s">
        <v>81</v>
      </c>
      <c r="S706" s="6" t="s">
        <v>46</v>
      </c>
      <c r="T706" s="6" t="s">
        <v>81</v>
      </c>
      <c r="U706" s="6" t="s">
        <v>46</v>
      </c>
      <c r="V706" s="6" t="n">
        <v>1</v>
      </c>
      <c r="X706" s="6" t="s">
        <v>408</v>
      </c>
      <c r="Y706" s="6" t="n">
        <v>5500</v>
      </c>
      <c r="Z706" s="6" t="s">
        <v>409</v>
      </c>
      <c r="AA706" s="6" t="s">
        <v>410</v>
      </c>
      <c r="AB706" s="1" t="s">
        <v>411</v>
      </c>
      <c r="AC706" s="6" t="s">
        <v>412</v>
      </c>
      <c r="AD706" s="1" t="s">
        <v>413</v>
      </c>
      <c r="AE706" s="6" t="s">
        <v>466</v>
      </c>
      <c r="AF706" s="6" t="s">
        <v>467</v>
      </c>
    </row>
    <row r="707" customFormat="false" ht="13.8" hidden="false" customHeight="false" outlineLevel="0" collapsed="false">
      <c r="A707" s="33" t="s">
        <v>1204</v>
      </c>
      <c r="B707" s="34"/>
      <c r="C707" s="4" t="s">
        <v>1205</v>
      </c>
      <c r="D707" s="6" t="s">
        <v>13</v>
      </c>
      <c r="E707" s="6" t="s">
        <v>399</v>
      </c>
      <c r="F707" s="6" t="s">
        <v>400</v>
      </c>
      <c r="G707" s="6" t="s">
        <v>399</v>
      </c>
      <c r="H707" s="7" t="s">
        <v>468</v>
      </c>
      <c r="I707" s="6" t="s">
        <v>469</v>
      </c>
      <c r="J707" s="1" t="s">
        <v>158</v>
      </c>
      <c r="K707" s="6" t="s">
        <v>468</v>
      </c>
      <c r="L707" s="6" t="s">
        <v>69</v>
      </c>
      <c r="M707" s="3" t="s">
        <v>46</v>
      </c>
      <c r="N707" s="6" t="s">
        <v>465</v>
      </c>
      <c r="O707" s="6" t="s">
        <v>81</v>
      </c>
      <c r="P707" s="6" t="s">
        <v>81</v>
      </c>
      <c r="Q707" s="6" t="s">
        <v>81</v>
      </c>
      <c r="R707" s="6" t="s">
        <v>81</v>
      </c>
      <c r="S707" s="6" t="s">
        <v>46</v>
      </c>
      <c r="T707" s="6" t="s">
        <v>81</v>
      </c>
      <c r="U707" s="6" t="s">
        <v>46</v>
      </c>
      <c r="V707" s="6" t="n">
        <v>2</v>
      </c>
      <c r="X707" s="6" t="s">
        <v>408</v>
      </c>
      <c r="Y707" s="6" t="n">
        <v>5500</v>
      </c>
      <c r="Z707" s="6" t="s">
        <v>409</v>
      </c>
      <c r="AA707" s="6" t="s">
        <v>410</v>
      </c>
      <c r="AB707" s="1" t="s">
        <v>411</v>
      </c>
      <c r="AC707" s="6" t="s">
        <v>412</v>
      </c>
      <c r="AD707" s="1" t="s">
        <v>413</v>
      </c>
      <c r="AE707" s="6" t="s">
        <v>470</v>
      </c>
      <c r="AF707" s="6" t="s">
        <v>471</v>
      </c>
    </row>
    <row r="708" customFormat="false" ht="13.8" hidden="false" customHeight="false" outlineLevel="0" collapsed="false">
      <c r="A708" s="33" t="s">
        <v>1204</v>
      </c>
      <c r="B708" s="34"/>
      <c r="C708" s="4" t="s">
        <v>1205</v>
      </c>
      <c r="D708" s="6" t="s">
        <v>13</v>
      </c>
      <c r="E708" s="6" t="s">
        <v>399</v>
      </c>
      <c r="F708" s="6" t="s">
        <v>400</v>
      </c>
      <c r="G708" s="6" t="s">
        <v>399</v>
      </c>
      <c r="H708" s="7" t="s">
        <v>472</v>
      </c>
      <c r="I708" s="6" t="s">
        <v>473</v>
      </c>
      <c r="J708" s="1" t="s">
        <v>158</v>
      </c>
      <c r="K708" s="6" t="s">
        <v>472</v>
      </c>
      <c r="L708" s="6" t="s">
        <v>69</v>
      </c>
      <c r="M708" s="3" t="s">
        <v>46</v>
      </c>
      <c r="N708" s="6" t="s">
        <v>465</v>
      </c>
      <c r="O708" s="6" t="s">
        <v>81</v>
      </c>
      <c r="P708" s="6" t="s">
        <v>81</v>
      </c>
      <c r="Q708" s="6" t="s">
        <v>81</v>
      </c>
      <c r="R708" s="6" t="s">
        <v>81</v>
      </c>
      <c r="S708" s="6" t="s">
        <v>46</v>
      </c>
      <c r="T708" s="6" t="s">
        <v>81</v>
      </c>
      <c r="U708" s="6" t="s">
        <v>46</v>
      </c>
      <c r="V708" s="6" t="n">
        <v>3</v>
      </c>
      <c r="X708" s="6" t="s">
        <v>408</v>
      </c>
      <c r="Y708" s="6" t="n">
        <v>5500</v>
      </c>
      <c r="Z708" s="6" t="s">
        <v>409</v>
      </c>
      <c r="AA708" s="6" t="s">
        <v>410</v>
      </c>
      <c r="AB708" s="1" t="s">
        <v>411</v>
      </c>
      <c r="AC708" s="6" t="s">
        <v>412</v>
      </c>
      <c r="AD708" s="1" t="s">
        <v>413</v>
      </c>
      <c r="AE708" s="6" t="s">
        <v>474</v>
      </c>
      <c r="AF708" s="6" t="s">
        <v>475</v>
      </c>
    </row>
    <row r="709" customFormat="false" ht="13.8" hidden="false" customHeight="false" outlineLevel="0" collapsed="false">
      <c r="A709" s="33" t="s">
        <v>1204</v>
      </c>
      <c r="B709" s="34"/>
      <c r="C709" s="4" t="s">
        <v>1205</v>
      </c>
      <c r="D709" s="6" t="s">
        <v>13</v>
      </c>
      <c r="E709" s="6" t="s">
        <v>399</v>
      </c>
      <c r="F709" s="6" t="s">
        <v>400</v>
      </c>
      <c r="G709" s="6" t="s">
        <v>399</v>
      </c>
      <c r="H709" s="7" t="s">
        <v>476</v>
      </c>
      <c r="I709" s="6" t="s">
        <v>477</v>
      </c>
      <c r="J709" s="1" t="s">
        <v>158</v>
      </c>
      <c r="K709" s="6" t="s">
        <v>476</v>
      </c>
      <c r="L709" s="6" t="s">
        <v>69</v>
      </c>
      <c r="M709" s="3" t="s">
        <v>46</v>
      </c>
      <c r="N709" s="6" t="s">
        <v>465</v>
      </c>
      <c r="O709" s="6" t="s">
        <v>81</v>
      </c>
      <c r="P709" s="6" t="s">
        <v>81</v>
      </c>
      <c r="Q709" s="6" t="s">
        <v>81</v>
      </c>
      <c r="R709" s="6" t="s">
        <v>81</v>
      </c>
      <c r="S709" s="6" t="s">
        <v>46</v>
      </c>
      <c r="T709" s="6" t="s">
        <v>81</v>
      </c>
      <c r="U709" s="6" t="s">
        <v>46</v>
      </c>
      <c r="V709" s="6" t="n">
        <v>4</v>
      </c>
      <c r="X709" s="6" t="s">
        <v>408</v>
      </c>
      <c r="Y709" s="6" t="n">
        <v>5500</v>
      </c>
      <c r="Z709" s="6" t="s">
        <v>409</v>
      </c>
      <c r="AA709" s="6" t="s">
        <v>410</v>
      </c>
      <c r="AB709" s="1" t="s">
        <v>411</v>
      </c>
      <c r="AC709" s="6" t="s">
        <v>412</v>
      </c>
      <c r="AD709" s="1" t="s">
        <v>413</v>
      </c>
      <c r="AE709" s="6" t="s">
        <v>478</v>
      </c>
      <c r="AF709" s="6" t="s">
        <v>479</v>
      </c>
    </row>
    <row r="710" customFormat="false" ht="13.8" hidden="false" customHeight="false" outlineLevel="0" collapsed="false">
      <c r="A710" s="33" t="s">
        <v>1204</v>
      </c>
      <c r="B710" s="34"/>
      <c r="C710" s="4" t="s">
        <v>1205</v>
      </c>
      <c r="D710" s="6" t="s">
        <v>13</v>
      </c>
      <c r="E710" s="6" t="s">
        <v>399</v>
      </c>
      <c r="F710" s="6" t="s">
        <v>400</v>
      </c>
      <c r="G710" s="6" t="s">
        <v>399</v>
      </c>
      <c r="H710" s="7" t="s">
        <v>348</v>
      </c>
      <c r="I710" s="6" t="s">
        <v>480</v>
      </c>
      <c r="J710" s="1" t="s">
        <v>158</v>
      </c>
      <c r="K710" s="6" t="s">
        <v>348</v>
      </c>
      <c r="L710" s="6" t="s">
        <v>69</v>
      </c>
      <c r="M710" s="3" t="s">
        <v>46</v>
      </c>
      <c r="N710" s="6" t="s">
        <v>70</v>
      </c>
      <c r="O710" s="6" t="s">
        <v>46</v>
      </c>
      <c r="P710" s="6" t="s">
        <v>71</v>
      </c>
      <c r="Q710" s="6" t="s">
        <v>71</v>
      </c>
      <c r="R710" s="6" t="s">
        <v>72</v>
      </c>
      <c r="S710" s="6" t="s">
        <v>73</v>
      </c>
      <c r="T710" s="6" t="s">
        <v>46</v>
      </c>
      <c r="U710" s="6" t="n">
        <v>1000</v>
      </c>
      <c r="V710" s="6" t="n">
        <v>1</v>
      </c>
      <c r="X710" s="6" t="s">
        <v>408</v>
      </c>
      <c r="Y710" s="6" t="n">
        <v>5500</v>
      </c>
      <c r="Z710" s="6" t="s">
        <v>409</v>
      </c>
      <c r="AA710" s="6" t="s">
        <v>410</v>
      </c>
      <c r="AB710" s="1" t="s">
        <v>411</v>
      </c>
      <c r="AC710" s="6" t="s">
        <v>412</v>
      </c>
      <c r="AD710" s="1" t="s">
        <v>413</v>
      </c>
      <c r="AE710" s="6" t="s">
        <v>481</v>
      </c>
      <c r="AF710" s="6" t="s">
        <v>482</v>
      </c>
    </row>
    <row r="711" customFormat="false" ht="13.8" hidden="false" customHeight="false" outlineLevel="0" collapsed="false">
      <c r="A711" s="33" t="s">
        <v>1204</v>
      </c>
      <c r="B711" s="34"/>
      <c r="C711" s="4" t="s">
        <v>1205</v>
      </c>
      <c r="D711" s="6" t="s">
        <v>13</v>
      </c>
      <c r="E711" s="6" t="s">
        <v>399</v>
      </c>
      <c r="F711" s="6" t="s">
        <v>400</v>
      </c>
      <c r="G711" s="6" t="s">
        <v>399</v>
      </c>
      <c r="H711" s="7" t="s">
        <v>349</v>
      </c>
      <c r="I711" s="6" t="s">
        <v>483</v>
      </c>
      <c r="J711" s="1" t="s">
        <v>158</v>
      </c>
      <c r="K711" s="6" t="s">
        <v>349</v>
      </c>
      <c r="L711" s="6" t="s">
        <v>69</v>
      </c>
      <c r="M711" s="3" t="s">
        <v>46</v>
      </c>
      <c r="N711" s="6" t="s">
        <v>70</v>
      </c>
      <c r="O711" s="6" t="s">
        <v>46</v>
      </c>
      <c r="P711" s="6" t="s">
        <v>71</v>
      </c>
      <c r="Q711" s="6" t="s">
        <v>71</v>
      </c>
      <c r="R711" s="6" t="s">
        <v>72</v>
      </c>
      <c r="S711" s="6" t="s">
        <v>73</v>
      </c>
      <c r="T711" s="6" t="s">
        <v>46</v>
      </c>
      <c r="U711" s="6" t="n">
        <v>1000</v>
      </c>
      <c r="V711" s="6" t="n">
        <v>2</v>
      </c>
      <c r="X711" s="6" t="s">
        <v>408</v>
      </c>
      <c r="Y711" s="6" t="n">
        <v>5500</v>
      </c>
      <c r="Z711" s="6" t="s">
        <v>409</v>
      </c>
      <c r="AA711" s="6" t="s">
        <v>410</v>
      </c>
      <c r="AB711" s="1" t="s">
        <v>411</v>
      </c>
      <c r="AC711" s="6" t="s">
        <v>412</v>
      </c>
      <c r="AD711" s="1" t="s">
        <v>413</v>
      </c>
      <c r="AE711" s="6" t="s">
        <v>484</v>
      </c>
      <c r="AF711" s="6" t="s">
        <v>485</v>
      </c>
    </row>
    <row r="712" customFormat="false" ht="13.8" hidden="false" customHeight="false" outlineLevel="0" collapsed="false">
      <c r="A712" s="33" t="s">
        <v>1204</v>
      </c>
      <c r="B712" s="34"/>
      <c r="C712" s="4" t="s">
        <v>1205</v>
      </c>
      <c r="D712" s="6" t="s">
        <v>13</v>
      </c>
      <c r="E712" s="6" t="s">
        <v>399</v>
      </c>
      <c r="F712" s="6" t="s">
        <v>400</v>
      </c>
      <c r="G712" s="6" t="s">
        <v>399</v>
      </c>
      <c r="H712" s="7" t="s">
        <v>350</v>
      </c>
      <c r="I712" s="6" t="s">
        <v>486</v>
      </c>
      <c r="J712" s="1" t="s">
        <v>158</v>
      </c>
      <c r="K712" s="6" t="s">
        <v>350</v>
      </c>
      <c r="L712" s="6" t="s">
        <v>69</v>
      </c>
      <c r="M712" s="3" t="s">
        <v>46</v>
      </c>
      <c r="N712" s="6" t="s">
        <v>70</v>
      </c>
      <c r="O712" s="6" t="s">
        <v>46</v>
      </c>
      <c r="P712" s="6" t="s">
        <v>71</v>
      </c>
      <c r="Q712" s="6" t="s">
        <v>71</v>
      </c>
      <c r="R712" s="6" t="s">
        <v>72</v>
      </c>
      <c r="S712" s="6" t="s">
        <v>73</v>
      </c>
      <c r="T712" s="6" t="s">
        <v>46</v>
      </c>
      <c r="U712" s="6" t="n">
        <v>1000</v>
      </c>
      <c r="V712" s="6" t="n">
        <v>3</v>
      </c>
      <c r="X712" s="6" t="s">
        <v>408</v>
      </c>
      <c r="Y712" s="6" t="n">
        <v>5500</v>
      </c>
      <c r="Z712" s="6" t="s">
        <v>409</v>
      </c>
      <c r="AA712" s="6" t="s">
        <v>410</v>
      </c>
      <c r="AB712" s="1" t="s">
        <v>411</v>
      </c>
      <c r="AC712" s="6" t="s">
        <v>412</v>
      </c>
      <c r="AD712" s="1" t="s">
        <v>413</v>
      </c>
      <c r="AE712" s="6" t="s">
        <v>487</v>
      </c>
      <c r="AF712" s="6" t="s">
        <v>488</v>
      </c>
    </row>
    <row r="713" customFormat="false" ht="13.8" hidden="false" customHeight="false" outlineLevel="0" collapsed="false">
      <c r="A713" s="33" t="s">
        <v>1204</v>
      </c>
      <c r="B713" s="34"/>
      <c r="C713" s="4" t="s">
        <v>1205</v>
      </c>
      <c r="D713" s="6" t="s">
        <v>13</v>
      </c>
      <c r="E713" s="6" t="s">
        <v>399</v>
      </c>
      <c r="F713" s="6" t="s">
        <v>400</v>
      </c>
      <c r="G713" s="6" t="s">
        <v>399</v>
      </c>
      <c r="H713" s="7" t="s">
        <v>351</v>
      </c>
      <c r="I713" s="6" t="s">
        <v>489</v>
      </c>
      <c r="J713" s="1" t="s">
        <v>158</v>
      </c>
      <c r="K713" s="6" t="s">
        <v>351</v>
      </c>
      <c r="L713" s="6" t="s">
        <v>69</v>
      </c>
      <c r="M713" s="3" t="s">
        <v>46</v>
      </c>
      <c r="N713" s="6" t="s">
        <v>70</v>
      </c>
      <c r="O713" s="6" t="s">
        <v>46</v>
      </c>
      <c r="P713" s="6" t="s">
        <v>71</v>
      </c>
      <c r="Q713" s="6" t="s">
        <v>71</v>
      </c>
      <c r="R713" s="6" t="s">
        <v>72</v>
      </c>
      <c r="S713" s="6" t="s">
        <v>73</v>
      </c>
      <c r="T713" s="6" t="s">
        <v>46</v>
      </c>
      <c r="U713" s="6" t="n">
        <v>1000</v>
      </c>
      <c r="V713" s="6" t="n">
        <v>4</v>
      </c>
      <c r="X713" s="6" t="s">
        <v>408</v>
      </c>
      <c r="Y713" s="6" t="n">
        <v>5500</v>
      </c>
      <c r="Z713" s="6" t="s">
        <v>409</v>
      </c>
      <c r="AA713" s="6" t="s">
        <v>410</v>
      </c>
      <c r="AB713" s="1" t="s">
        <v>411</v>
      </c>
      <c r="AC713" s="6" t="s">
        <v>412</v>
      </c>
      <c r="AD713" s="1" t="s">
        <v>413</v>
      </c>
      <c r="AE713" s="6" t="s">
        <v>490</v>
      </c>
      <c r="AF713" s="6" t="s">
        <v>491</v>
      </c>
    </row>
    <row r="714" customFormat="false" ht="15" hidden="false" customHeight="false" outlineLevel="0" collapsed="false">
      <c r="A714" s="33" t="s">
        <v>1204</v>
      </c>
      <c r="B714" s="34"/>
      <c r="C714" s="4" t="s">
        <v>1205</v>
      </c>
      <c r="D714" s="6" t="s">
        <v>15</v>
      </c>
      <c r="E714" s="6" t="s">
        <v>492</v>
      </c>
      <c r="F714" s="7" t="s">
        <v>493</v>
      </c>
      <c r="G714" s="6" t="s">
        <v>401</v>
      </c>
      <c r="H714" s="16" t="s">
        <v>940</v>
      </c>
      <c r="I714" s="6" t="str">
        <f aca="false">CONCATENATE(E714, "_",H714)</f>
        <v>NLA_2022_015_054</v>
      </c>
      <c r="J714" s="1" t="s">
        <v>166</v>
      </c>
      <c r="K714" s="6" t="s">
        <v>942</v>
      </c>
      <c r="L714" s="6" t="s">
        <v>69</v>
      </c>
      <c r="M714" s="3" t="s">
        <v>46</v>
      </c>
      <c r="N714" s="6" t="s">
        <v>404</v>
      </c>
      <c r="O714" s="6" t="s">
        <v>42</v>
      </c>
      <c r="P714" s="6" t="s">
        <v>901</v>
      </c>
      <c r="Q714" s="6" t="s">
        <v>46</v>
      </c>
      <c r="R714" s="6" t="s">
        <v>72</v>
      </c>
      <c r="S714" s="6" t="s">
        <v>46</v>
      </c>
      <c r="T714" s="6" t="s">
        <v>419</v>
      </c>
      <c r="U714" s="6" t="s">
        <v>46</v>
      </c>
      <c r="V714" s="6" t="n">
        <v>1</v>
      </c>
      <c r="W714" s="1" t="s">
        <v>442</v>
      </c>
      <c r="X714" s="6" t="s">
        <v>408</v>
      </c>
      <c r="Y714" s="6" t="n">
        <v>5500</v>
      </c>
      <c r="Z714" s="6" t="s">
        <v>498</v>
      </c>
      <c r="AA714" s="6" t="s">
        <v>499</v>
      </c>
      <c r="AB714" s="15" t="str">
        <f aca="true" t="array" ref="AB714:AB714">LEFT(AA714,LOOKUP(2^15,FIND(".",AA714,ROW(INDIRECT("1:"&amp;LEN(AA714)))))-1)</f>
        <v>NB_2022_047 - 05102022 - 1</v>
      </c>
      <c r="AC714" s="6" t="s">
        <v>501</v>
      </c>
      <c r="AD714" s="15" t="str">
        <f aca="true" t="array" ref="AD714:AD714">LEFT(AC714,LOOKUP(2^15,FIND(".",AC714,ROW(INDIRECT("1:"&amp;LEN(AC714)))))-1)</f>
        <v>NB_2022_047 - 05102022 - 2</v>
      </c>
      <c r="AE714" s="6" t="str">
        <f aca="false">CONCATENATE(AB714, "-",H714, ".mzML")</f>
        <v>NB_2022_047 - 05102022 - 1-054.mzML</v>
      </c>
      <c r="AF714" s="6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3" t="s">
        <v>1204</v>
      </c>
      <c r="B715" s="34"/>
      <c r="C715" s="4" t="s">
        <v>1205</v>
      </c>
      <c r="D715" s="6" t="s">
        <v>15</v>
      </c>
      <c r="E715" s="6" t="s">
        <v>492</v>
      </c>
      <c r="F715" s="7" t="s">
        <v>493</v>
      </c>
      <c r="G715" s="6" t="s">
        <v>401</v>
      </c>
      <c r="H715" s="16" t="s">
        <v>517</v>
      </c>
      <c r="I715" s="6" t="str">
        <f aca="false">CONCATENATE(E715, "_",H715)</f>
        <v>NLA_2022_015_056</v>
      </c>
      <c r="J715" s="1" t="s">
        <v>166</v>
      </c>
      <c r="K715" s="6" t="s">
        <v>519</v>
      </c>
      <c r="L715" s="6" t="s">
        <v>69</v>
      </c>
      <c r="M715" s="3" t="s">
        <v>46</v>
      </c>
      <c r="N715" s="6" t="s">
        <v>404</v>
      </c>
      <c r="O715" s="6" t="s">
        <v>42</v>
      </c>
      <c r="P715" s="6" t="s">
        <v>405</v>
      </c>
      <c r="Q715" s="6" t="s">
        <v>46</v>
      </c>
      <c r="R715" s="6" t="s">
        <v>44</v>
      </c>
      <c r="S715" s="6" t="s">
        <v>46</v>
      </c>
      <c r="T715" s="6" t="s">
        <v>419</v>
      </c>
      <c r="U715" s="6" t="s">
        <v>46</v>
      </c>
      <c r="V715" s="6" t="n">
        <v>1</v>
      </c>
      <c r="W715" s="1" t="s">
        <v>520</v>
      </c>
      <c r="X715" s="6" t="s">
        <v>408</v>
      </c>
      <c r="Y715" s="6" t="n">
        <v>5500</v>
      </c>
      <c r="Z715" s="6" t="s">
        <v>498</v>
      </c>
      <c r="AA715" s="6" t="s">
        <v>499</v>
      </c>
      <c r="AB715" s="15" t="str">
        <f aca="true" t="array" ref="AB715:AB715">LEFT(AA715,LOOKUP(2^15,FIND(".",AA715,ROW(INDIRECT("1:"&amp;LEN(AA715)))))-1)</f>
        <v>NB_2022_047 - 05102022 - 1</v>
      </c>
      <c r="AC715" s="6" t="s">
        <v>501</v>
      </c>
      <c r="AD715" s="15" t="str">
        <f aca="true" t="array" ref="AD715:AD715">LEFT(AC715,LOOKUP(2^15,FIND(".",AC715,ROW(INDIRECT("1:"&amp;LEN(AC715)))))-1)</f>
        <v>NB_2022_047 - 05102022 - 2</v>
      </c>
      <c r="AE715" s="6" t="str">
        <f aca="false">CONCATENATE(AB715, "-",H715, ".mzML")</f>
        <v>NB_2022_047 - 05102022 - 1-056.mzML</v>
      </c>
      <c r="AF715" s="6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3" t="s">
        <v>1204</v>
      </c>
      <c r="B716" s="34"/>
      <c r="C716" s="4" t="s">
        <v>1205</v>
      </c>
      <c r="D716" s="6" t="s">
        <v>15</v>
      </c>
      <c r="E716" s="6" t="s">
        <v>492</v>
      </c>
      <c r="F716" s="7" t="s">
        <v>493</v>
      </c>
      <c r="G716" s="6" t="s">
        <v>401</v>
      </c>
      <c r="H716" s="16" t="s">
        <v>1073</v>
      </c>
      <c r="I716" s="6" t="str">
        <f aca="false">CONCATENATE(E716, "_",H716)</f>
        <v>NLA_2022_015_062</v>
      </c>
      <c r="J716" s="6" t="s">
        <v>166</v>
      </c>
      <c r="K716" s="31" t="s">
        <v>1075</v>
      </c>
      <c r="L716" s="6" t="s">
        <v>69</v>
      </c>
      <c r="M716" s="3" t="s">
        <v>46</v>
      </c>
      <c r="N716" s="6" t="s">
        <v>404</v>
      </c>
      <c r="O716" s="6" t="s">
        <v>665</v>
      </c>
      <c r="P716" s="6" t="s">
        <v>1056</v>
      </c>
      <c r="Q716" s="6" t="s">
        <v>46</v>
      </c>
      <c r="R716" s="6" t="s">
        <v>44</v>
      </c>
      <c r="S716" s="6" t="s">
        <v>46</v>
      </c>
      <c r="T716" s="6" t="s">
        <v>419</v>
      </c>
      <c r="U716" s="6" t="s">
        <v>46</v>
      </c>
      <c r="V716" s="6" t="n">
        <v>1</v>
      </c>
      <c r="W716" s="6" t="s">
        <v>442</v>
      </c>
      <c r="X716" s="6" t="s">
        <v>408</v>
      </c>
      <c r="Y716" s="1" t="n">
        <v>5500</v>
      </c>
      <c r="Z716" s="6" t="s">
        <v>498</v>
      </c>
      <c r="AA716" s="6" t="s">
        <v>499</v>
      </c>
      <c r="AB716" s="15" t="str">
        <f aca="true" t="array" ref="AB716:AB716">LEFT(AA716,LOOKUP(2^15,FIND(".",AA716,ROW(INDIRECT("1:"&amp;LEN(AA716)))))-1)</f>
        <v>NB_2022_047 - 05102022 - 1</v>
      </c>
      <c r="AC716" s="6" t="s">
        <v>501</v>
      </c>
      <c r="AD716" s="15" t="str">
        <f aca="true" t="array" ref="AD716:AD716">LEFT(AC716,LOOKUP(2^15,FIND(".",AC716,ROW(INDIRECT("1:"&amp;LEN(AC716)))))-1)</f>
        <v>NB_2022_047 - 05102022 - 2</v>
      </c>
      <c r="AE716" s="6" t="str">
        <f aca="false">CONCATENATE(AB716, "-",H716, ".mzML")</f>
        <v>NB_2022_047 - 05102022 - 1-062.mzML</v>
      </c>
      <c r="AF716" s="6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3" t="s">
        <v>1204</v>
      </c>
      <c r="B717" s="34"/>
      <c r="C717" s="4" t="s">
        <v>1205</v>
      </c>
      <c r="D717" s="6" t="s">
        <v>15</v>
      </c>
      <c r="E717" s="6" t="s">
        <v>492</v>
      </c>
      <c r="F717" s="7" t="s">
        <v>493</v>
      </c>
      <c r="G717" s="6" t="s">
        <v>401</v>
      </c>
      <c r="H717" s="16" t="s">
        <v>523</v>
      </c>
      <c r="I717" s="6" t="str">
        <f aca="false">CONCATENATE(E717, "_",H717)</f>
        <v>NLA_2022_015_068</v>
      </c>
      <c r="J717" s="1" t="s">
        <v>166</v>
      </c>
      <c r="K717" s="6" t="s">
        <v>525</v>
      </c>
      <c r="L717" s="6" t="s">
        <v>69</v>
      </c>
      <c r="M717" s="3" t="s">
        <v>46</v>
      </c>
      <c r="N717" s="6" t="s">
        <v>404</v>
      </c>
      <c r="O717" s="6" t="s">
        <v>526</v>
      </c>
      <c r="P717" s="6" t="s">
        <v>405</v>
      </c>
      <c r="Q717" s="6" t="s">
        <v>46</v>
      </c>
      <c r="R717" s="6" t="s">
        <v>72</v>
      </c>
      <c r="S717" s="6" t="s">
        <v>46</v>
      </c>
      <c r="T717" s="6" t="s">
        <v>419</v>
      </c>
      <c r="U717" s="6" t="s">
        <v>46</v>
      </c>
      <c r="V717" s="6" t="n">
        <v>1</v>
      </c>
      <c r="W717" s="1" t="s">
        <v>527</v>
      </c>
      <c r="X717" s="6" t="s">
        <v>408</v>
      </c>
      <c r="Y717" s="6" t="n">
        <v>5500</v>
      </c>
      <c r="Z717" s="6" t="s">
        <v>498</v>
      </c>
      <c r="AA717" s="6" t="s">
        <v>499</v>
      </c>
      <c r="AB717" s="15" t="str">
        <f aca="true" t="array" ref="AB717:AB717">LEFT(AA717,LOOKUP(2^15,FIND(".",AA717,ROW(INDIRECT("1:"&amp;LEN(AA717)))))-1)</f>
        <v>NB_2022_047 - 05102022 - 1</v>
      </c>
      <c r="AC717" s="6" t="s">
        <v>501</v>
      </c>
      <c r="AD717" s="15" t="str">
        <f aca="true" t="array" ref="AD717:AD717">LEFT(AC717,LOOKUP(2^15,FIND(".",AC717,ROW(INDIRECT("1:"&amp;LEN(AC717)))))-1)</f>
        <v>NB_2022_047 - 05102022 - 2</v>
      </c>
      <c r="AE717" s="6" t="str">
        <f aca="false">CONCATENATE(AB717, "-",H717, ".mzML")</f>
        <v>NB_2022_047 - 05102022 - 1-068.mzML</v>
      </c>
      <c r="AF717" s="6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3" t="s">
        <v>1204</v>
      </c>
      <c r="B718" s="34"/>
      <c r="C718" s="4" t="s">
        <v>1205</v>
      </c>
      <c r="D718" s="6" t="s">
        <v>15</v>
      </c>
      <c r="E718" s="6" t="s">
        <v>492</v>
      </c>
      <c r="F718" s="7" t="s">
        <v>493</v>
      </c>
      <c r="G718" s="6" t="s">
        <v>401</v>
      </c>
      <c r="H718" s="16" t="s">
        <v>1088</v>
      </c>
      <c r="I718" s="6" t="str">
        <f aca="false">CONCATENATE(E718, "_",H718)</f>
        <v>NLA_2022_015_072</v>
      </c>
      <c r="J718" s="6" t="s">
        <v>166</v>
      </c>
      <c r="K718" s="31" t="s">
        <v>1090</v>
      </c>
      <c r="L718" s="6" t="s">
        <v>69</v>
      </c>
      <c r="M718" s="3" t="s">
        <v>46</v>
      </c>
      <c r="N718" s="6" t="s">
        <v>404</v>
      </c>
      <c r="O718" s="6" t="s">
        <v>665</v>
      </c>
      <c r="P718" s="6" t="s">
        <v>1056</v>
      </c>
      <c r="Q718" s="6" t="s">
        <v>46</v>
      </c>
      <c r="R718" s="6" t="s">
        <v>72</v>
      </c>
      <c r="S718" s="6" t="s">
        <v>46</v>
      </c>
      <c r="T718" s="6" t="s">
        <v>419</v>
      </c>
      <c r="U718" s="6" t="s">
        <v>46</v>
      </c>
      <c r="V718" s="6" t="n">
        <v>1</v>
      </c>
      <c r="W718" s="32" t="s">
        <v>520</v>
      </c>
      <c r="X718" s="6" t="s">
        <v>408</v>
      </c>
      <c r="Y718" s="1" t="n">
        <v>5500</v>
      </c>
      <c r="Z718" s="6" t="s">
        <v>498</v>
      </c>
      <c r="AA718" s="6" t="s">
        <v>499</v>
      </c>
      <c r="AB718" s="15" t="str">
        <f aca="true" t="array" ref="AB718:AB718">LEFT(AA718,LOOKUP(2^15,FIND(".",AA718,ROW(INDIRECT("1:"&amp;LEN(AA718)))))-1)</f>
        <v>NB_2022_047 - 05102022 - 1</v>
      </c>
      <c r="AC718" s="6" t="s">
        <v>501</v>
      </c>
      <c r="AD718" s="15" t="str">
        <f aca="true" t="array" ref="AD718:AD718">LEFT(AC718,LOOKUP(2^15,FIND(".",AC718,ROW(INDIRECT("1:"&amp;LEN(AC718)))))-1)</f>
        <v>NB_2022_047 - 05102022 - 2</v>
      </c>
      <c r="AE718" s="6" t="str">
        <f aca="false">CONCATENATE(AB718, "-",H718, ".mzML")</f>
        <v>NB_2022_047 - 05102022 - 1-072.mzML</v>
      </c>
      <c r="AF718" s="6" t="str">
        <f aca="false">CONCATENATE(AD718, "-",H718, ".mzML")</f>
        <v>NB_2022_047 - 05102022 - 2-072.mzML</v>
      </c>
    </row>
    <row r="719" customFormat="false" ht="13.8" hidden="false" customHeight="false" outlineLevel="0" collapsed="false">
      <c r="A719" s="33" t="s">
        <v>1204</v>
      </c>
      <c r="B719" s="34"/>
      <c r="C719" s="4" t="s">
        <v>1205</v>
      </c>
      <c r="D719" s="6" t="s">
        <v>13</v>
      </c>
      <c r="E719" s="6" t="s">
        <v>492</v>
      </c>
      <c r="F719" s="6" t="s">
        <v>493</v>
      </c>
      <c r="G719" s="6" t="s">
        <v>492</v>
      </c>
      <c r="H719" s="7" t="s">
        <v>64</v>
      </c>
      <c r="I719" s="6" t="s">
        <v>530</v>
      </c>
      <c r="J719" s="6" t="s">
        <v>158</v>
      </c>
      <c r="K719" s="6" t="s">
        <v>64</v>
      </c>
      <c r="L719" s="6" t="s">
        <v>46</v>
      </c>
      <c r="M719" s="13" t="s">
        <v>46</v>
      </c>
      <c r="N719" s="6" t="s">
        <v>65</v>
      </c>
      <c r="O719" s="6" t="s">
        <v>46</v>
      </c>
      <c r="P719" s="6" t="s">
        <v>46</v>
      </c>
      <c r="Q719" s="6" t="s">
        <v>46</v>
      </c>
      <c r="R719" s="6" t="s">
        <v>46</v>
      </c>
      <c r="S719" s="6" t="s">
        <v>46</v>
      </c>
      <c r="T719" s="6" t="s">
        <v>46</v>
      </c>
      <c r="U719" s="6" t="s">
        <v>46</v>
      </c>
      <c r="V719" s="6" t="n">
        <v>1</v>
      </c>
      <c r="W719" s="6"/>
      <c r="X719" s="6" t="s">
        <v>46</v>
      </c>
      <c r="Y719" s="1" t="n">
        <v>5500</v>
      </c>
      <c r="Z719" s="6" t="s">
        <v>498</v>
      </c>
      <c r="AA719" s="6" t="s">
        <v>499</v>
      </c>
      <c r="AB719" s="1" t="s">
        <v>500</v>
      </c>
      <c r="AC719" s="6" t="s">
        <v>501</v>
      </c>
      <c r="AD719" s="1" t="s">
        <v>502</v>
      </c>
      <c r="AE719" s="6" t="s">
        <v>531</v>
      </c>
      <c r="AF719" s="6" t="s">
        <v>532</v>
      </c>
    </row>
    <row r="720" customFormat="false" ht="13.8" hidden="false" customHeight="false" outlineLevel="0" collapsed="false">
      <c r="A720" s="33" t="s">
        <v>1204</v>
      </c>
      <c r="B720" s="34"/>
      <c r="C720" s="4" t="s">
        <v>1205</v>
      </c>
      <c r="D720" s="6" t="s">
        <v>13</v>
      </c>
      <c r="E720" s="6" t="s">
        <v>492</v>
      </c>
      <c r="F720" s="6" t="s">
        <v>493</v>
      </c>
      <c r="G720" s="6" t="s">
        <v>492</v>
      </c>
      <c r="H720" s="7" t="s">
        <v>66</v>
      </c>
      <c r="I720" s="6" t="s">
        <v>533</v>
      </c>
      <c r="J720" s="6" t="s">
        <v>158</v>
      </c>
      <c r="K720" s="6" t="s">
        <v>66</v>
      </c>
      <c r="L720" s="6" t="s">
        <v>46</v>
      </c>
      <c r="M720" s="13" t="s">
        <v>46</v>
      </c>
      <c r="N720" s="6" t="s">
        <v>65</v>
      </c>
      <c r="O720" s="6" t="s">
        <v>46</v>
      </c>
      <c r="P720" s="6" t="s">
        <v>46</v>
      </c>
      <c r="Q720" s="6" t="s">
        <v>46</v>
      </c>
      <c r="R720" s="6" t="s">
        <v>46</v>
      </c>
      <c r="S720" s="6" t="s">
        <v>46</v>
      </c>
      <c r="T720" s="6" t="s">
        <v>46</v>
      </c>
      <c r="U720" s="6" t="s">
        <v>46</v>
      </c>
      <c r="V720" s="6" t="n">
        <v>2</v>
      </c>
      <c r="W720" s="6"/>
      <c r="X720" s="6" t="s">
        <v>46</v>
      </c>
      <c r="Y720" s="1" t="n">
        <v>5500</v>
      </c>
      <c r="Z720" s="6" t="s">
        <v>498</v>
      </c>
      <c r="AA720" s="6" t="s">
        <v>499</v>
      </c>
      <c r="AB720" s="1" t="s">
        <v>500</v>
      </c>
      <c r="AC720" s="6" t="s">
        <v>501</v>
      </c>
      <c r="AD720" s="1" t="s">
        <v>502</v>
      </c>
      <c r="AE720" s="6" t="s">
        <v>534</v>
      </c>
      <c r="AF720" s="6" t="s">
        <v>535</v>
      </c>
    </row>
    <row r="721" customFormat="false" ht="13.8" hidden="false" customHeight="false" outlineLevel="0" collapsed="false">
      <c r="A721" s="33" t="s">
        <v>1204</v>
      </c>
      <c r="B721" s="34"/>
      <c r="C721" s="4" t="s">
        <v>1205</v>
      </c>
      <c r="D721" s="6" t="s">
        <v>13</v>
      </c>
      <c r="E721" s="6" t="s">
        <v>492</v>
      </c>
      <c r="F721" s="6" t="s">
        <v>493</v>
      </c>
      <c r="G721" s="6" t="s">
        <v>492</v>
      </c>
      <c r="H721" s="7" t="s">
        <v>67</v>
      </c>
      <c r="I721" s="6" t="s">
        <v>536</v>
      </c>
      <c r="J721" s="6" t="s">
        <v>158</v>
      </c>
      <c r="K721" s="6" t="s">
        <v>67</v>
      </c>
      <c r="L721" s="6" t="s">
        <v>46</v>
      </c>
      <c r="M721" s="13" t="s">
        <v>46</v>
      </c>
      <c r="N721" s="6" t="s">
        <v>65</v>
      </c>
      <c r="O721" s="6" t="s">
        <v>46</v>
      </c>
      <c r="P721" s="6" t="s">
        <v>46</v>
      </c>
      <c r="Q721" s="6" t="s">
        <v>46</v>
      </c>
      <c r="R721" s="6" t="s">
        <v>46</v>
      </c>
      <c r="S721" s="6" t="s">
        <v>46</v>
      </c>
      <c r="T721" s="6" t="s">
        <v>46</v>
      </c>
      <c r="U721" s="6" t="s">
        <v>46</v>
      </c>
      <c r="V721" s="6" t="n">
        <v>3</v>
      </c>
      <c r="W721" s="6"/>
      <c r="X721" s="6" t="s">
        <v>46</v>
      </c>
      <c r="Y721" s="1" t="n">
        <v>5500</v>
      </c>
      <c r="Z721" s="6" t="s">
        <v>498</v>
      </c>
      <c r="AA721" s="6" t="s">
        <v>499</v>
      </c>
      <c r="AB721" s="1" t="s">
        <v>500</v>
      </c>
      <c r="AC721" s="6" t="s">
        <v>501</v>
      </c>
      <c r="AD721" s="1" t="s">
        <v>502</v>
      </c>
      <c r="AE721" s="6" t="s">
        <v>537</v>
      </c>
      <c r="AF721" s="6" t="s">
        <v>538</v>
      </c>
    </row>
    <row r="722" customFormat="false" ht="13.8" hidden="false" customHeight="false" outlineLevel="0" collapsed="false">
      <c r="A722" s="33" t="s">
        <v>1204</v>
      </c>
      <c r="B722" s="34"/>
      <c r="C722" s="4" t="s">
        <v>1205</v>
      </c>
      <c r="D722" s="6" t="s">
        <v>13</v>
      </c>
      <c r="E722" s="6" t="s">
        <v>492</v>
      </c>
      <c r="F722" s="6" t="s">
        <v>493</v>
      </c>
      <c r="G722" s="6" t="s">
        <v>492</v>
      </c>
      <c r="H722" s="7" t="s">
        <v>221</v>
      </c>
      <c r="I722" s="6" t="s">
        <v>539</v>
      </c>
      <c r="J722" s="6" t="s">
        <v>158</v>
      </c>
      <c r="K722" s="6" t="s">
        <v>221</v>
      </c>
      <c r="L722" s="6" t="s">
        <v>46</v>
      </c>
      <c r="M722" s="13" t="s">
        <v>46</v>
      </c>
      <c r="N722" s="6" t="s">
        <v>65</v>
      </c>
      <c r="O722" s="6" t="s">
        <v>46</v>
      </c>
      <c r="P722" s="6" t="s">
        <v>46</v>
      </c>
      <c r="Q722" s="6" t="s">
        <v>46</v>
      </c>
      <c r="R722" s="6" t="s">
        <v>46</v>
      </c>
      <c r="S722" s="6" t="s">
        <v>46</v>
      </c>
      <c r="T722" s="6" t="s">
        <v>46</v>
      </c>
      <c r="U722" s="6" t="s">
        <v>46</v>
      </c>
      <c r="V722" s="6" t="n">
        <v>4</v>
      </c>
      <c r="W722" s="6"/>
      <c r="X722" s="6" t="s">
        <v>46</v>
      </c>
      <c r="Y722" s="1" t="n">
        <v>5500</v>
      </c>
      <c r="Z722" s="6" t="s">
        <v>498</v>
      </c>
      <c r="AA722" s="6" t="s">
        <v>499</v>
      </c>
      <c r="AB722" s="1" t="s">
        <v>500</v>
      </c>
      <c r="AC722" s="6" t="s">
        <v>501</v>
      </c>
      <c r="AD722" s="1" t="s">
        <v>502</v>
      </c>
      <c r="AE722" s="6" t="s">
        <v>540</v>
      </c>
      <c r="AF722" s="6" t="s">
        <v>541</v>
      </c>
    </row>
    <row r="723" customFormat="false" ht="13.8" hidden="false" customHeight="false" outlineLevel="0" collapsed="false">
      <c r="A723" s="33" t="s">
        <v>1204</v>
      </c>
      <c r="B723" s="34"/>
      <c r="C723" s="4" t="s">
        <v>1205</v>
      </c>
      <c r="D723" s="6" t="s">
        <v>13</v>
      </c>
      <c r="E723" s="6" t="s">
        <v>492</v>
      </c>
      <c r="F723" s="6" t="s">
        <v>493</v>
      </c>
      <c r="G723" s="6" t="s">
        <v>492</v>
      </c>
      <c r="H723" s="7" t="s">
        <v>463</v>
      </c>
      <c r="I723" s="6" t="s">
        <v>542</v>
      </c>
      <c r="J723" s="6" t="s">
        <v>158</v>
      </c>
      <c r="K723" s="6" t="s">
        <v>463</v>
      </c>
      <c r="L723" s="6" t="s">
        <v>69</v>
      </c>
      <c r="M723" s="3" t="s">
        <v>46</v>
      </c>
      <c r="N723" s="6" t="s">
        <v>465</v>
      </c>
      <c r="O723" s="6" t="s">
        <v>81</v>
      </c>
      <c r="P723" s="6" t="s">
        <v>81</v>
      </c>
      <c r="Q723" s="6" t="s">
        <v>81</v>
      </c>
      <c r="R723" s="6" t="s">
        <v>81</v>
      </c>
      <c r="S723" s="6" t="s">
        <v>46</v>
      </c>
      <c r="T723" s="6" t="s">
        <v>81</v>
      </c>
      <c r="U723" s="6" t="s">
        <v>46</v>
      </c>
      <c r="V723" s="6" t="n">
        <v>1</v>
      </c>
      <c r="W723" s="6"/>
      <c r="X723" s="6" t="s">
        <v>408</v>
      </c>
      <c r="Y723" s="1" t="n">
        <v>5500</v>
      </c>
      <c r="Z723" s="6" t="s">
        <v>498</v>
      </c>
      <c r="AA723" s="6" t="s">
        <v>499</v>
      </c>
      <c r="AB723" s="1" t="s">
        <v>500</v>
      </c>
      <c r="AC723" s="6" t="s">
        <v>501</v>
      </c>
      <c r="AD723" s="1" t="s">
        <v>502</v>
      </c>
      <c r="AE723" s="6" t="s">
        <v>543</v>
      </c>
      <c r="AF723" s="6" t="s">
        <v>544</v>
      </c>
    </row>
    <row r="724" customFormat="false" ht="13.8" hidden="false" customHeight="false" outlineLevel="0" collapsed="false">
      <c r="A724" s="33" t="s">
        <v>1204</v>
      </c>
      <c r="B724" s="34"/>
      <c r="C724" s="4" t="s">
        <v>1205</v>
      </c>
      <c r="D724" s="6" t="s">
        <v>13</v>
      </c>
      <c r="E724" s="6" t="s">
        <v>492</v>
      </c>
      <c r="F724" s="6" t="s">
        <v>493</v>
      </c>
      <c r="G724" s="6" t="s">
        <v>492</v>
      </c>
      <c r="H724" s="7" t="s">
        <v>468</v>
      </c>
      <c r="I724" s="6" t="s">
        <v>545</v>
      </c>
      <c r="J724" s="6" t="s">
        <v>158</v>
      </c>
      <c r="K724" s="6" t="s">
        <v>468</v>
      </c>
      <c r="L724" s="6" t="s">
        <v>69</v>
      </c>
      <c r="M724" s="3" t="s">
        <v>46</v>
      </c>
      <c r="N724" s="6" t="s">
        <v>465</v>
      </c>
      <c r="O724" s="6" t="s">
        <v>81</v>
      </c>
      <c r="P724" s="6" t="s">
        <v>81</v>
      </c>
      <c r="Q724" s="6" t="s">
        <v>81</v>
      </c>
      <c r="R724" s="6" t="s">
        <v>81</v>
      </c>
      <c r="S724" s="6" t="s">
        <v>46</v>
      </c>
      <c r="T724" s="6" t="s">
        <v>81</v>
      </c>
      <c r="U724" s="6" t="s">
        <v>46</v>
      </c>
      <c r="V724" s="6" t="n">
        <v>2</v>
      </c>
      <c r="W724" s="6"/>
      <c r="X724" s="6" t="s">
        <v>408</v>
      </c>
      <c r="Y724" s="1" t="n">
        <v>5500</v>
      </c>
      <c r="Z724" s="6" t="s">
        <v>498</v>
      </c>
      <c r="AA724" s="6" t="s">
        <v>499</v>
      </c>
      <c r="AB724" s="1" t="s">
        <v>500</v>
      </c>
      <c r="AC724" s="6" t="s">
        <v>501</v>
      </c>
      <c r="AD724" s="1" t="s">
        <v>502</v>
      </c>
      <c r="AE724" s="6" t="s">
        <v>546</v>
      </c>
      <c r="AF724" s="6" t="s">
        <v>547</v>
      </c>
    </row>
    <row r="725" customFormat="false" ht="13.8" hidden="false" customHeight="false" outlineLevel="0" collapsed="false">
      <c r="A725" s="33" t="s">
        <v>1204</v>
      </c>
      <c r="B725" s="34"/>
      <c r="C725" s="4" t="s">
        <v>1205</v>
      </c>
      <c r="D725" s="6" t="s">
        <v>13</v>
      </c>
      <c r="E725" s="6" t="s">
        <v>492</v>
      </c>
      <c r="F725" s="6" t="s">
        <v>493</v>
      </c>
      <c r="G725" s="6" t="s">
        <v>492</v>
      </c>
      <c r="H725" s="7" t="s">
        <v>472</v>
      </c>
      <c r="I725" s="6" t="s">
        <v>548</v>
      </c>
      <c r="J725" s="6" t="s">
        <v>158</v>
      </c>
      <c r="K725" s="6" t="s">
        <v>472</v>
      </c>
      <c r="L725" s="6" t="s">
        <v>69</v>
      </c>
      <c r="M725" s="3" t="s">
        <v>46</v>
      </c>
      <c r="N725" s="6" t="s">
        <v>465</v>
      </c>
      <c r="O725" s="6" t="s">
        <v>81</v>
      </c>
      <c r="P725" s="6" t="s">
        <v>81</v>
      </c>
      <c r="Q725" s="6" t="s">
        <v>81</v>
      </c>
      <c r="R725" s="6" t="s">
        <v>81</v>
      </c>
      <c r="S725" s="6" t="s">
        <v>46</v>
      </c>
      <c r="T725" s="6" t="s">
        <v>81</v>
      </c>
      <c r="U725" s="6" t="s">
        <v>46</v>
      </c>
      <c r="V725" s="1" t="n">
        <v>3</v>
      </c>
      <c r="X725" s="6" t="s">
        <v>408</v>
      </c>
      <c r="Y725" s="1" t="n">
        <v>5500</v>
      </c>
      <c r="Z725" s="6" t="s">
        <v>498</v>
      </c>
      <c r="AA725" s="6" t="s">
        <v>499</v>
      </c>
      <c r="AB725" s="1" t="s">
        <v>500</v>
      </c>
      <c r="AC725" s="6" t="s">
        <v>501</v>
      </c>
      <c r="AD725" s="1" t="s">
        <v>502</v>
      </c>
      <c r="AE725" s="6" t="s">
        <v>549</v>
      </c>
      <c r="AF725" s="6" t="s">
        <v>550</v>
      </c>
    </row>
    <row r="726" customFormat="false" ht="13.8" hidden="false" customHeight="false" outlineLevel="0" collapsed="false">
      <c r="A726" s="33" t="s">
        <v>1204</v>
      </c>
      <c r="B726" s="34"/>
      <c r="C726" s="4" t="s">
        <v>1205</v>
      </c>
      <c r="D726" s="6" t="s">
        <v>13</v>
      </c>
      <c r="E726" s="6" t="s">
        <v>492</v>
      </c>
      <c r="F726" s="6" t="s">
        <v>493</v>
      </c>
      <c r="G726" s="6" t="s">
        <v>492</v>
      </c>
      <c r="H726" s="7" t="s">
        <v>476</v>
      </c>
      <c r="I726" s="6" t="s">
        <v>551</v>
      </c>
      <c r="J726" s="6" t="s">
        <v>158</v>
      </c>
      <c r="K726" s="6" t="s">
        <v>476</v>
      </c>
      <c r="L726" s="6" t="s">
        <v>69</v>
      </c>
      <c r="M726" s="3" t="s">
        <v>46</v>
      </c>
      <c r="N726" s="6" t="s">
        <v>465</v>
      </c>
      <c r="O726" s="6" t="s">
        <v>81</v>
      </c>
      <c r="P726" s="6" t="s">
        <v>81</v>
      </c>
      <c r="Q726" s="6" t="s">
        <v>81</v>
      </c>
      <c r="R726" s="6" t="s">
        <v>81</v>
      </c>
      <c r="S726" s="6" t="s">
        <v>46</v>
      </c>
      <c r="T726" s="6" t="s">
        <v>81</v>
      </c>
      <c r="U726" s="6" t="s">
        <v>46</v>
      </c>
      <c r="V726" s="1" t="n">
        <v>4</v>
      </c>
      <c r="X726" s="6" t="s">
        <v>408</v>
      </c>
      <c r="Y726" s="1" t="n">
        <v>5500</v>
      </c>
      <c r="Z726" s="6" t="s">
        <v>498</v>
      </c>
      <c r="AA726" s="6" t="s">
        <v>499</v>
      </c>
      <c r="AB726" s="1" t="s">
        <v>500</v>
      </c>
      <c r="AC726" s="6" t="s">
        <v>501</v>
      </c>
      <c r="AD726" s="1" t="s">
        <v>502</v>
      </c>
      <c r="AE726" s="6" t="s">
        <v>552</v>
      </c>
      <c r="AF726" s="6" t="s">
        <v>553</v>
      </c>
    </row>
    <row r="727" customFormat="false" ht="13.8" hidden="false" customHeight="false" outlineLevel="0" collapsed="false">
      <c r="A727" s="33" t="s">
        <v>1204</v>
      </c>
      <c r="B727" s="34"/>
      <c r="C727" s="4" t="s">
        <v>1205</v>
      </c>
      <c r="D727" s="6" t="s">
        <v>13</v>
      </c>
      <c r="E727" s="6" t="s">
        <v>492</v>
      </c>
      <c r="F727" s="6" t="s">
        <v>493</v>
      </c>
      <c r="G727" s="6" t="s">
        <v>492</v>
      </c>
      <c r="H727" s="7" t="s">
        <v>348</v>
      </c>
      <c r="I727" s="6" t="s">
        <v>554</v>
      </c>
      <c r="J727" s="6" t="s">
        <v>158</v>
      </c>
      <c r="K727" s="6" t="s">
        <v>348</v>
      </c>
      <c r="L727" s="6" t="s">
        <v>69</v>
      </c>
      <c r="M727" s="3" t="s">
        <v>46</v>
      </c>
      <c r="N727" s="6" t="s">
        <v>70</v>
      </c>
      <c r="O727" s="6" t="s">
        <v>46</v>
      </c>
      <c r="P727" s="6" t="s">
        <v>71</v>
      </c>
      <c r="Q727" s="6" t="s">
        <v>71</v>
      </c>
      <c r="R727" s="6" t="s">
        <v>72</v>
      </c>
      <c r="S727" s="6" t="s">
        <v>73</v>
      </c>
      <c r="T727" s="6" t="s">
        <v>46</v>
      </c>
      <c r="U727" s="6" t="n">
        <v>1000</v>
      </c>
      <c r="V727" s="1" t="n">
        <v>1</v>
      </c>
      <c r="X727" s="6" t="s">
        <v>408</v>
      </c>
      <c r="Y727" s="1" t="n">
        <v>5500</v>
      </c>
      <c r="Z727" s="6" t="s">
        <v>498</v>
      </c>
      <c r="AA727" s="6" t="s">
        <v>499</v>
      </c>
      <c r="AB727" s="1" t="s">
        <v>500</v>
      </c>
      <c r="AC727" s="6" t="s">
        <v>501</v>
      </c>
      <c r="AD727" s="1" t="s">
        <v>502</v>
      </c>
      <c r="AE727" s="6" t="s">
        <v>555</v>
      </c>
      <c r="AF727" s="6" t="s">
        <v>556</v>
      </c>
    </row>
    <row r="728" customFormat="false" ht="13.8" hidden="false" customHeight="false" outlineLevel="0" collapsed="false">
      <c r="A728" s="33" t="s">
        <v>1204</v>
      </c>
      <c r="B728" s="34"/>
      <c r="C728" s="4" t="s">
        <v>1205</v>
      </c>
      <c r="D728" s="6" t="s">
        <v>13</v>
      </c>
      <c r="E728" s="6" t="s">
        <v>492</v>
      </c>
      <c r="F728" s="6" t="s">
        <v>493</v>
      </c>
      <c r="G728" s="6" t="s">
        <v>492</v>
      </c>
      <c r="H728" s="7" t="s">
        <v>349</v>
      </c>
      <c r="I728" s="6" t="s">
        <v>557</v>
      </c>
      <c r="J728" s="6" t="s">
        <v>158</v>
      </c>
      <c r="K728" s="6" t="s">
        <v>349</v>
      </c>
      <c r="L728" s="6" t="s">
        <v>69</v>
      </c>
      <c r="M728" s="3" t="s">
        <v>46</v>
      </c>
      <c r="N728" s="6" t="s">
        <v>70</v>
      </c>
      <c r="O728" s="6" t="s">
        <v>46</v>
      </c>
      <c r="P728" s="6" t="s">
        <v>71</v>
      </c>
      <c r="Q728" s="6" t="s">
        <v>71</v>
      </c>
      <c r="R728" s="6" t="s">
        <v>72</v>
      </c>
      <c r="S728" s="6" t="s">
        <v>73</v>
      </c>
      <c r="T728" s="6" t="s">
        <v>46</v>
      </c>
      <c r="U728" s="6" t="n">
        <v>1000</v>
      </c>
      <c r="V728" s="1" t="n">
        <v>2</v>
      </c>
      <c r="X728" s="6" t="s">
        <v>408</v>
      </c>
      <c r="Y728" s="1" t="n">
        <v>5500</v>
      </c>
      <c r="Z728" s="6" t="s">
        <v>498</v>
      </c>
      <c r="AA728" s="6" t="s">
        <v>499</v>
      </c>
      <c r="AB728" s="1" t="s">
        <v>500</v>
      </c>
      <c r="AC728" s="6" t="s">
        <v>501</v>
      </c>
      <c r="AD728" s="1" t="s">
        <v>502</v>
      </c>
      <c r="AE728" s="6" t="s">
        <v>558</v>
      </c>
      <c r="AF728" s="6" t="s">
        <v>559</v>
      </c>
    </row>
    <row r="729" customFormat="false" ht="13.8" hidden="false" customHeight="false" outlineLevel="0" collapsed="false">
      <c r="A729" s="33" t="s">
        <v>1204</v>
      </c>
      <c r="B729" s="34"/>
      <c r="C729" s="4" t="s">
        <v>1205</v>
      </c>
      <c r="D729" s="6" t="s">
        <v>13</v>
      </c>
      <c r="E729" s="6" t="s">
        <v>492</v>
      </c>
      <c r="F729" s="6" t="s">
        <v>493</v>
      </c>
      <c r="G729" s="6" t="s">
        <v>492</v>
      </c>
      <c r="H729" s="7" t="s">
        <v>350</v>
      </c>
      <c r="I729" s="6" t="s">
        <v>560</v>
      </c>
      <c r="J729" s="6" t="s">
        <v>158</v>
      </c>
      <c r="K729" s="6" t="s">
        <v>350</v>
      </c>
      <c r="L729" s="6" t="s">
        <v>69</v>
      </c>
      <c r="M729" s="3" t="s">
        <v>46</v>
      </c>
      <c r="N729" s="6" t="s">
        <v>70</v>
      </c>
      <c r="O729" s="6" t="s">
        <v>46</v>
      </c>
      <c r="P729" s="6" t="s">
        <v>71</v>
      </c>
      <c r="Q729" s="6" t="s">
        <v>71</v>
      </c>
      <c r="R729" s="6" t="s">
        <v>72</v>
      </c>
      <c r="S729" s="6" t="s">
        <v>73</v>
      </c>
      <c r="T729" s="6" t="s">
        <v>46</v>
      </c>
      <c r="U729" s="6" t="n">
        <v>1000</v>
      </c>
      <c r="V729" s="6" t="n">
        <v>3</v>
      </c>
      <c r="W729" s="6"/>
      <c r="X729" s="6" t="s">
        <v>408</v>
      </c>
      <c r="Y729" s="6" t="n">
        <v>5500</v>
      </c>
      <c r="Z729" s="6" t="s">
        <v>498</v>
      </c>
      <c r="AA729" s="6" t="s">
        <v>499</v>
      </c>
      <c r="AB729" s="1" t="s">
        <v>500</v>
      </c>
      <c r="AC729" s="6" t="s">
        <v>501</v>
      </c>
      <c r="AD729" s="1" t="s">
        <v>502</v>
      </c>
      <c r="AE729" s="6" t="s">
        <v>561</v>
      </c>
      <c r="AF729" s="6" t="s">
        <v>562</v>
      </c>
    </row>
    <row r="730" customFormat="false" ht="13.8" hidden="false" customHeight="false" outlineLevel="0" collapsed="false">
      <c r="A730" s="33" t="s">
        <v>1204</v>
      </c>
      <c r="B730" s="34"/>
      <c r="C730" s="4" t="s">
        <v>1205</v>
      </c>
      <c r="D730" s="6" t="s">
        <v>13</v>
      </c>
      <c r="E730" s="6" t="s">
        <v>492</v>
      </c>
      <c r="F730" s="6" t="s">
        <v>493</v>
      </c>
      <c r="G730" s="6" t="s">
        <v>492</v>
      </c>
      <c r="H730" s="7" t="s">
        <v>351</v>
      </c>
      <c r="I730" s="6" t="s">
        <v>563</v>
      </c>
      <c r="J730" s="1" t="s">
        <v>158</v>
      </c>
      <c r="K730" s="6" t="s">
        <v>351</v>
      </c>
      <c r="L730" s="6" t="s">
        <v>69</v>
      </c>
      <c r="M730" s="3" t="s">
        <v>46</v>
      </c>
      <c r="N730" s="6" t="s">
        <v>70</v>
      </c>
      <c r="O730" s="6" t="s">
        <v>46</v>
      </c>
      <c r="P730" s="6" t="s">
        <v>71</v>
      </c>
      <c r="Q730" s="6" t="s">
        <v>71</v>
      </c>
      <c r="R730" s="6" t="s">
        <v>72</v>
      </c>
      <c r="S730" s="6" t="s">
        <v>73</v>
      </c>
      <c r="T730" s="6" t="s">
        <v>46</v>
      </c>
      <c r="U730" s="6" t="n">
        <v>1000</v>
      </c>
      <c r="V730" s="6" t="n">
        <v>4</v>
      </c>
      <c r="X730" s="6" t="s">
        <v>408</v>
      </c>
      <c r="Y730" s="6" t="n">
        <v>5500</v>
      </c>
      <c r="Z730" s="6" t="s">
        <v>498</v>
      </c>
      <c r="AA730" s="6" t="s">
        <v>499</v>
      </c>
      <c r="AB730" s="6" t="s">
        <v>500</v>
      </c>
      <c r="AC730" s="6" t="s">
        <v>501</v>
      </c>
      <c r="AD730" s="1" t="s">
        <v>502</v>
      </c>
      <c r="AE730" s="6" t="s">
        <v>564</v>
      </c>
      <c r="AF730" s="6" t="s">
        <v>565</v>
      </c>
    </row>
    <row r="731" customFormat="false" ht="15" hidden="false" customHeight="false" outlineLevel="0" collapsed="false">
      <c r="A731" s="33" t="s">
        <v>1204</v>
      </c>
      <c r="B731" s="34"/>
      <c r="C731" s="4" t="s">
        <v>1205</v>
      </c>
      <c r="D731" s="6" t="s">
        <v>15</v>
      </c>
      <c r="E731" s="6" t="s">
        <v>566</v>
      </c>
      <c r="F731" s="7" t="s">
        <v>567</v>
      </c>
      <c r="G731" s="6" t="s">
        <v>401</v>
      </c>
      <c r="H731" s="16" t="s">
        <v>958</v>
      </c>
      <c r="I731" s="6" t="str">
        <f aca="false">CONCATENATE(E731, "_",H731)</f>
        <v>NLA_2022_016_091</v>
      </c>
      <c r="J731" s="1" t="s">
        <v>166</v>
      </c>
      <c r="K731" s="6" t="s">
        <v>960</v>
      </c>
      <c r="L731" s="6" t="s">
        <v>69</v>
      </c>
      <c r="M731" s="3" t="s">
        <v>46</v>
      </c>
      <c r="N731" s="6" t="s">
        <v>404</v>
      </c>
      <c r="O731" s="6" t="s">
        <v>418</v>
      </c>
      <c r="P731" s="6" t="s">
        <v>901</v>
      </c>
      <c r="Q731" s="6" t="s">
        <v>46</v>
      </c>
      <c r="R731" s="6" t="s">
        <v>72</v>
      </c>
      <c r="S731" s="6" t="s">
        <v>46</v>
      </c>
      <c r="T731" s="6" t="s">
        <v>419</v>
      </c>
      <c r="U731" s="6" t="s">
        <v>46</v>
      </c>
      <c r="V731" s="6" t="n">
        <v>1</v>
      </c>
      <c r="W731" s="1" t="s">
        <v>520</v>
      </c>
      <c r="X731" s="6" t="s">
        <v>408</v>
      </c>
      <c r="Y731" s="6" t="n">
        <v>5500</v>
      </c>
      <c r="Z731" s="6" t="s">
        <v>572</v>
      </c>
      <c r="AA731" s="6" t="s">
        <v>573</v>
      </c>
      <c r="AB731" s="15" t="str">
        <f aca="true" t="array" ref="AB731:AB731">LEFT(AA731,LOOKUP(2^15,FIND(".",AA731,ROW(INDIRECT("1:"&amp;LEN(AA731)))))-1)</f>
        <v>NB_2022_047 - 06102022 - 1</v>
      </c>
      <c r="AC731" s="6" t="s">
        <v>575</v>
      </c>
      <c r="AD731" s="15" t="str">
        <f aca="true" t="array" ref="AD731:AD731">LEFT(AC731,LOOKUP(2^15,FIND(".",AC731,ROW(INDIRECT("1:"&amp;LEN(AC731)))))-1)</f>
        <v>NB_2022_047 - 06102022 - 2</v>
      </c>
      <c r="AE731" s="6" t="str">
        <f aca="false">CONCATENATE(AB731, "-",H731, ".mzML")</f>
        <v>NB_2022_047 - 06102022 - 1-091.mzML</v>
      </c>
      <c r="AF731" s="6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3" t="s">
        <v>1204</v>
      </c>
      <c r="B732" s="34"/>
      <c r="C732" s="4" t="s">
        <v>1205</v>
      </c>
      <c r="D732" s="6" t="s">
        <v>15</v>
      </c>
      <c r="E732" s="6" t="s">
        <v>566</v>
      </c>
      <c r="F732" s="7" t="s">
        <v>567</v>
      </c>
      <c r="G732" s="6" t="s">
        <v>401</v>
      </c>
      <c r="H732" s="16" t="s">
        <v>1098</v>
      </c>
      <c r="I732" s="6" t="str">
        <f aca="false">CONCATENATE(E732, "_",H732)</f>
        <v>NLA_2022_016_097</v>
      </c>
      <c r="J732" s="6" t="s">
        <v>166</v>
      </c>
      <c r="K732" s="31" t="s">
        <v>1100</v>
      </c>
      <c r="L732" s="6" t="s">
        <v>69</v>
      </c>
      <c r="M732" s="3" t="s">
        <v>46</v>
      </c>
      <c r="N732" s="6" t="s">
        <v>404</v>
      </c>
      <c r="O732" s="6" t="s">
        <v>42</v>
      </c>
      <c r="P732" s="6" t="s">
        <v>1056</v>
      </c>
      <c r="Q732" s="6" t="s">
        <v>46</v>
      </c>
      <c r="R732" s="6" t="s">
        <v>44</v>
      </c>
      <c r="S732" s="6" t="s">
        <v>46</v>
      </c>
      <c r="T732" s="6" t="s">
        <v>419</v>
      </c>
      <c r="U732" s="6" t="s">
        <v>46</v>
      </c>
      <c r="V732" s="6" t="n">
        <v>1</v>
      </c>
      <c r="W732" s="32" t="s">
        <v>527</v>
      </c>
      <c r="X732" s="6" t="s">
        <v>408</v>
      </c>
      <c r="Y732" s="1" t="n">
        <v>5500</v>
      </c>
      <c r="Z732" s="6" t="s">
        <v>572</v>
      </c>
      <c r="AA732" s="6" t="s">
        <v>573</v>
      </c>
      <c r="AB732" s="15" t="str">
        <f aca="true" t="array" ref="AB732:AB732">LEFT(AA732,LOOKUP(2^15,FIND(".",AA732,ROW(INDIRECT("1:"&amp;LEN(AA732)))))-1)</f>
        <v>NB_2022_047 - 06102022 - 1</v>
      </c>
      <c r="AC732" s="6" t="s">
        <v>575</v>
      </c>
      <c r="AD732" s="15" t="str">
        <f aca="true" t="array" ref="AD732:AD732">LEFT(AC732,LOOKUP(2^15,FIND(".",AC732,ROW(INDIRECT("1:"&amp;LEN(AC732)))))-1)</f>
        <v>NB_2022_047 - 06102022 - 2</v>
      </c>
      <c r="AE732" s="6" t="str">
        <f aca="false">CONCATENATE(AB732, "-",H732, ".mzML")</f>
        <v>NB_2022_047 - 06102022 - 1-097.mzML</v>
      </c>
      <c r="AF732" s="6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3" t="s">
        <v>1204</v>
      </c>
      <c r="B733" s="34"/>
      <c r="C733" s="4" t="s">
        <v>1205</v>
      </c>
      <c r="D733" s="6" t="s">
        <v>15</v>
      </c>
      <c r="E733" s="6" t="s">
        <v>566</v>
      </c>
      <c r="F733" s="7" t="s">
        <v>567</v>
      </c>
      <c r="G733" s="6" t="s">
        <v>401</v>
      </c>
      <c r="H733" s="16" t="s">
        <v>1118</v>
      </c>
      <c r="I733" s="6" t="str">
        <f aca="false">CONCATENATE(E733, "_",H733)</f>
        <v>NLA_2022_016_108</v>
      </c>
      <c r="J733" s="6" t="s">
        <v>166</v>
      </c>
      <c r="K733" s="31" t="s">
        <v>1120</v>
      </c>
      <c r="L733" s="6" t="s">
        <v>69</v>
      </c>
      <c r="M733" s="3" t="s">
        <v>46</v>
      </c>
      <c r="N733" s="6" t="s">
        <v>404</v>
      </c>
      <c r="O733" s="6" t="s">
        <v>42</v>
      </c>
      <c r="P733" s="6" t="s">
        <v>1056</v>
      </c>
      <c r="Q733" s="6" t="s">
        <v>46</v>
      </c>
      <c r="R733" s="6" t="s">
        <v>44</v>
      </c>
      <c r="S733" s="6" t="s">
        <v>46</v>
      </c>
      <c r="T733" s="6" t="s">
        <v>419</v>
      </c>
      <c r="U733" s="6" t="s">
        <v>46</v>
      </c>
      <c r="V733" s="6" t="n">
        <v>1</v>
      </c>
      <c r="W733" s="32" t="s">
        <v>640</v>
      </c>
      <c r="X733" s="6" t="s">
        <v>408</v>
      </c>
      <c r="Y733" s="1" t="n">
        <v>5500</v>
      </c>
      <c r="Z733" s="6" t="s">
        <v>572</v>
      </c>
      <c r="AA733" s="6" t="s">
        <v>573</v>
      </c>
      <c r="AB733" s="15" t="str">
        <f aca="true" t="array" ref="AB733:AB733">LEFT(AA733,LOOKUP(2^15,FIND(".",AA733,ROW(INDIRECT("1:"&amp;LEN(AA733)))))-1)</f>
        <v>NB_2022_047 - 06102022 - 1</v>
      </c>
      <c r="AC733" s="6" t="s">
        <v>575</v>
      </c>
      <c r="AD733" s="15" t="str">
        <f aca="true" t="array" ref="AD733:AD733">LEFT(AC733,LOOKUP(2^15,FIND(".",AC733,ROW(INDIRECT("1:"&amp;LEN(AC733)))))-1)</f>
        <v>NB_2022_047 - 06102022 - 2</v>
      </c>
      <c r="AE733" s="6" t="str">
        <f aca="false">CONCATENATE(AB733, "-",H733, ".mzML")</f>
        <v>NB_2022_047 - 06102022 - 1-108.mzML</v>
      </c>
      <c r="AF733" s="6" t="str">
        <f aca="false">CONCATENATE(AD733, "-",H733, ".mzML")</f>
        <v>NB_2022_047 - 06102022 - 2-108.mzML</v>
      </c>
    </row>
    <row r="734" customFormat="false" ht="13.8" hidden="false" customHeight="false" outlineLevel="0" collapsed="false">
      <c r="A734" s="33" t="s">
        <v>1204</v>
      </c>
      <c r="B734" s="34"/>
      <c r="C734" s="4" t="s">
        <v>1205</v>
      </c>
      <c r="D734" s="6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3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6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6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3.8" hidden="false" customHeight="false" outlineLevel="0" collapsed="false">
      <c r="A735" s="33" t="s">
        <v>1204</v>
      </c>
      <c r="B735" s="34"/>
      <c r="C735" s="4" t="s">
        <v>1205</v>
      </c>
      <c r="D735" s="6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3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6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6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3.8" hidden="false" customHeight="false" outlineLevel="0" collapsed="false">
      <c r="A736" s="33" t="s">
        <v>1204</v>
      </c>
      <c r="B736" s="34"/>
      <c r="C736" s="4" t="s">
        <v>1205</v>
      </c>
      <c r="D736" s="6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3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6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6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3.8" hidden="false" customHeight="false" outlineLevel="0" collapsed="false">
      <c r="A737" s="33" t="s">
        <v>1204</v>
      </c>
      <c r="B737" s="34"/>
      <c r="C737" s="4" t="s">
        <v>1205</v>
      </c>
      <c r="D737" s="6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3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6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6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3.8" hidden="false" customHeight="false" outlineLevel="0" collapsed="false">
      <c r="A738" s="33" t="s">
        <v>1204</v>
      </c>
      <c r="B738" s="34"/>
      <c r="C738" s="4" t="s">
        <v>1205</v>
      </c>
      <c r="D738" s="6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3" t="s">
        <v>46</v>
      </c>
      <c r="N738" s="6" t="s">
        <v>465</v>
      </c>
      <c r="O738" s="1" t="s">
        <v>81</v>
      </c>
      <c r="P738" s="1" t="s">
        <v>81</v>
      </c>
      <c r="Q738" s="1" t="s">
        <v>81</v>
      </c>
      <c r="R738" s="6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6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3.8" hidden="false" customHeight="false" outlineLevel="0" collapsed="false">
      <c r="A739" s="33" t="s">
        <v>1204</v>
      </c>
      <c r="B739" s="34"/>
      <c r="C739" s="4" t="s">
        <v>1205</v>
      </c>
      <c r="D739" s="6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3" t="s">
        <v>46</v>
      </c>
      <c r="N739" s="6" t="s">
        <v>465</v>
      </c>
      <c r="O739" s="1" t="s">
        <v>81</v>
      </c>
      <c r="P739" s="1" t="s">
        <v>81</v>
      </c>
      <c r="Q739" s="1" t="s">
        <v>81</v>
      </c>
      <c r="R739" s="6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6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3.8" hidden="false" customHeight="false" outlineLevel="0" collapsed="false">
      <c r="A740" s="33" t="s">
        <v>1204</v>
      </c>
      <c r="B740" s="34"/>
      <c r="C740" s="4" t="s">
        <v>1205</v>
      </c>
      <c r="D740" s="6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3" t="s">
        <v>46</v>
      </c>
      <c r="N740" s="6" t="s">
        <v>465</v>
      </c>
      <c r="O740" s="1" t="s">
        <v>81</v>
      </c>
      <c r="P740" s="1" t="s">
        <v>81</v>
      </c>
      <c r="Q740" s="1" t="s">
        <v>81</v>
      </c>
      <c r="R740" s="6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6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3.8" hidden="false" customHeight="false" outlineLevel="0" collapsed="false">
      <c r="A741" s="33" t="s">
        <v>1204</v>
      </c>
      <c r="B741" s="34"/>
      <c r="C741" s="4" t="s">
        <v>1205</v>
      </c>
      <c r="D741" s="6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3" t="s">
        <v>46</v>
      </c>
      <c r="N741" s="6" t="s">
        <v>465</v>
      </c>
      <c r="O741" s="1" t="s">
        <v>81</v>
      </c>
      <c r="P741" s="1" t="s">
        <v>81</v>
      </c>
      <c r="Q741" s="1" t="s">
        <v>81</v>
      </c>
      <c r="R741" s="6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6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3.8" hidden="false" customHeight="false" outlineLevel="0" collapsed="false">
      <c r="A742" s="33" t="s">
        <v>1204</v>
      </c>
      <c r="B742" s="34"/>
      <c r="C742" s="4" t="s">
        <v>1205</v>
      </c>
      <c r="D742" s="6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3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6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6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3.8" hidden="false" customHeight="false" outlineLevel="0" collapsed="false">
      <c r="A743" s="33" t="s">
        <v>1204</v>
      </c>
      <c r="B743" s="34"/>
      <c r="C743" s="4" t="s">
        <v>1205</v>
      </c>
      <c r="D743" s="6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3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6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6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3.8" hidden="false" customHeight="false" outlineLevel="0" collapsed="false">
      <c r="A744" s="33" t="s">
        <v>1204</v>
      </c>
      <c r="B744" s="34"/>
      <c r="C744" s="4" t="s">
        <v>1205</v>
      </c>
      <c r="D744" s="6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3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6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6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3.8" hidden="false" customHeight="false" outlineLevel="0" collapsed="false">
      <c r="A745" s="33" t="s">
        <v>1204</v>
      </c>
      <c r="B745" s="34"/>
      <c r="C745" s="4" t="s">
        <v>1205</v>
      </c>
      <c r="D745" s="6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3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6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6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3" t="s">
        <v>1204</v>
      </c>
      <c r="B746" s="34"/>
      <c r="C746" s="4" t="s">
        <v>1205</v>
      </c>
      <c r="D746" s="6" t="s">
        <v>15</v>
      </c>
      <c r="E746" s="6" t="s">
        <v>636</v>
      </c>
      <c r="F746" s="7" t="s">
        <v>637</v>
      </c>
      <c r="G746" s="6" t="s">
        <v>401</v>
      </c>
      <c r="H746" s="16" t="s">
        <v>323</v>
      </c>
      <c r="I746" s="6" t="str">
        <f aca="false">CONCATENATE(E746, "_",H746)</f>
        <v>NLA_2022_017_113</v>
      </c>
      <c r="J746" s="1" t="s">
        <v>166</v>
      </c>
      <c r="K746" s="6" t="s">
        <v>639</v>
      </c>
      <c r="L746" s="6" t="s">
        <v>69</v>
      </c>
      <c r="M746" s="3" t="s">
        <v>46</v>
      </c>
      <c r="N746" s="6" t="s">
        <v>404</v>
      </c>
      <c r="O746" s="6" t="s">
        <v>42</v>
      </c>
      <c r="P746" s="6" t="s">
        <v>405</v>
      </c>
      <c r="Q746" s="6" t="s">
        <v>46</v>
      </c>
      <c r="R746" s="6" t="s">
        <v>44</v>
      </c>
      <c r="S746" s="6" t="s">
        <v>46</v>
      </c>
      <c r="T746" s="6" t="s">
        <v>419</v>
      </c>
      <c r="U746" s="6" t="s">
        <v>46</v>
      </c>
      <c r="V746" s="6" t="n">
        <v>1</v>
      </c>
      <c r="W746" s="1" t="s">
        <v>640</v>
      </c>
      <c r="X746" s="6" t="s">
        <v>408</v>
      </c>
      <c r="Y746" s="6" t="n">
        <v>5500</v>
      </c>
      <c r="Z746" s="6" t="s">
        <v>641</v>
      </c>
      <c r="AA746" s="6" t="s">
        <v>642</v>
      </c>
      <c r="AB746" s="15" t="str">
        <f aca="true" t="array" ref="AB746:AB746">LEFT(AA746,LOOKUP(2^15,FIND(".",AA746,ROW(INDIRECT("1:"&amp;LEN(AA746)))))-1)</f>
        <v>NB_2022_047 - 07102022 - 1</v>
      </c>
      <c r="AC746" s="6" t="s">
        <v>644</v>
      </c>
      <c r="AD746" s="15" t="str">
        <f aca="true" t="array" ref="AD746:AD746">LEFT(AC746,LOOKUP(2^15,FIND(".",AC746,ROW(INDIRECT("1:"&amp;LEN(AC746)))))-1)</f>
        <v>NB_2022_047 - 07102022 - 2</v>
      </c>
      <c r="AE746" s="6" t="str">
        <f aca="false">CONCATENATE(AB746, "-",H746, ".mzML")</f>
        <v>NB_2022_047 - 07102022 - 1-113.mzML</v>
      </c>
      <c r="AF746" s="6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3" t="s">
        <v>1204</v>
      </c>
      <c r="B747" s="34"/>
      <c r="C747" s="4" t="s">
        <v>1205</v>
      </c>
      <c r="D747" s="6" t="s">
        <v>15</v>
      </c>
      <c r="E747" s="6" t="s">
        <v>636</v>
      </c>
      <c r="F747" s="7" t="s">
        <v>637</v>
      </c>
      <c r="G747" s="6" t="s">
        <v>401</v>
      </c>
      <c r="H747" s="16" t="s">
        <v>333</v>
      </c>
      <c r="I747" s="6" t="str">
        <f aca="false">CONCATENATE(E747, "_",H747)</f>
        <v>NLA_2022_017_115</v>
      </c>
      <c r="J747" s="1" t="s">
        <v>166</v>
      </c>
      <c r="K747" s="6" t="s">
        <v>654</v>
      </c>
      <c r="L747" s="6" t="s">
        <v>69</v>
      </c>
      <c r="M747" s="3" t="s">
        <v>46</v>
      </c>
      <c r="N747" s="6" t="s">
        <v>404</v>
      </c>
      <c r="O747" s="6" t="s">
        <v>42</v>
      </c>
      <c r="P747" s="6" t="s">
        <v>405</v>
      </c>
      <c r="Q747" s="6" t="s">
        <v>46</v>
      </c>
      <c r="R747" s="6" t="s">
        <v>44</v>
      </c>
      <c r="S747" s="6" t="s">
        <v>46</v>
      </c>
      <c r="T747" s="6" t="s">
        <v>419</v>
      </c>
      <c r="U747" s="6" t="s">
        <v>46</v>
      </c>
      <c r="V747" s="6" t="n">
        <v>1</v>
      </c>
      <c r="W747" s="1" t="s">
        <v>655</v>
      </c>
      <c r="X747" s="6" t="s">
        <v>408</v>
      </c>
      <c r="Y747" s="6" t="n">
        <v>5500</v>
      </c>
      <c r="Z747" s="6" t="s">
        <v>641</v>
      </c>
      <c r="AA747" s="6" t="s">
        <v>642</v>
      </c>
      <c r="AB747" s="15" t="str">
        <f aca="true" t="array" ref="AB747:AB747">LEFT(AA747,LOOKUP(2^15,FIND(".",AA747,ROW(INDIRECT("1:"&amp;LEN(AA747)))))-1)</f>
        <v>NB_2022_047 - 07102022 - 1</v>
      </c>
      <c r="AC747" s="6" t="s">
        <v>644</v>
      </c>
      <c r="AD747" s="15" t="str">
        <f aca="true" t="array" ref="AD747:AD747">LEFT(AC747,LOOKUP(2^15,FIND(".",AC747,ROW(INDIRECT("1:"&amp;LEN(AC747)))))-1)</f>
        <v>NB_2022_047 - 07102022 - 2</v>
      </c>
      <c r="AE747" s="6" t="str">
        <f aca="false">CONCATENATE(AB747, "-",H747, ".mzML")</f>
        <v>NB_2022_047 - 07102022 - 1-115.mzML</v>
      </c>
      <c r="AF747" s="6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3" t="s">
        <v>1204</v>
      </c>
      <c r="B748" s="34"/>
      <c r="C748" s="4" t="s">
        <v>1205</v>
      </c>
      <c r="D748" s="6" t="s">
        <v>15</v>
      </c>
      <c r="E748" s="6" t="s">
        <v>636</v>
      </c>
      <c r="F748" s="7" t="s">
        <v>637</v>
      </c>
      <c r="G748" s="6" t="s">
        <v>401</v>
      </c>
      <c r="H748" s="16" t="s">
        <v>344</v>
      </c>
      <c r="I748" s="6" t="str">
        <f aca="false">CONCATENATE(E748, "_",H748)</f>
        <v>NLA_2022_017_125</v>
      </c>
      <c r="J748" s="6" t="s">
        <v>166</v>
      </c>
      <c r="K748" s="31" t="s">
        <v>1128</v>
      </c>
      <c r="L748" s="6" t="s">
        <v>69</v>
      </c>
      <c r="M748" s="3" t="s">
        <v>46</v>
      </c>
      <c r="N748" s="6" t="s">
        <v>404</v>
      </c>
      <c r="O748" s="6" t="s">
        <v>42</v>
      </c>
      <c r="P748" s="6" t="s">
        <v>1056</v>
      </c>
      <c r="Q748" s="6" t="s">
        <v>46</v>
      </c>
      <c r="R748" s="6" t="s">
        <v>44</v>
      </c>
      <c r="S748" s="6" t="s">
        <v>46</v>
      </c>
      <c r="T748" s="6" t="s">
        <v>419</v>
      </c>
      <c r="U748" s="6" t="s">
        <v>46</v>
      </c>
      <c r="V748" s="1" t="n">
        <v>1</v>
      </c>
      <c r="W748" s="32" t="s">
        <v>655</v>
      </c>
      <c r="X748" s="6" t="s">
        <v>408</v>
      </c>
      <c r="Y748" s="1" t="n">
        <v>5500</v>
      </c>
      <c r="Z748" s="6" t="s">
        <v>641</v>
      </c>
      <c r="AA748" s="6" t="s">
        <v>642</v>
      </c>
      <c r="AB748" s="15" t="str">
        <f aca="true" t="array" ref="AB748:AB748">LEFT(AA748,LOOKUP(2^15,FIND(".",AA748,ROW(INDIRECT("1:"&amp;LEN(AA748)))))-1)</f>
        <v>NB_2022_047 - 07102022 - 1</v>
      </c>
      <c r="AC748" s="6" t="s">
        <v>644</v>
      </c>
      <c r="AD748" s="15" t="str">
        <f aca="true" t="array" ref="AD748:AD748">LEFT(AC748,LOOKUP(2^15,FIND(".",AC748,ROW(INDIRECT("1:"&amp;LEN(AC748)))))-1)</f>
        <v>NB_2022_047 - 07102022 - 2</v>
      </c>
      <c r="AE748" s="6" t="str">
        <f aca="false">CONCATENATE(AB748, "-",H748, ".mzML")</f>
        <v>NB_2022_047 - 07102022 - 1-125.mzML</v>
      </c>
      <c r="AF748" s="6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3" t="s">
        <v>1204</v>
      </c>
      <c r="B749" s="34"/>
      <c r="C749" s="4" t="s">
        <v>1205</v>
      </c>
      <c r="D749" s="6" t="s">
        <v>15</v>
      </c>
      <c r="E749" s="6" t="s">
        <v>636</v>
      </c>
      <c r="F749" s="7" t="s">
        <v>637</v>
      </c>
      <c r="G749" s="6" t="s">
        <v>401</v>
      </c>
      <c r="H749" s="16" t="s">
        <v>345</v>
      </c>
      <c r="I749" s="6" t="str">
        <f aca="false">CONCATENATE(E749, "_",H749)</f>
        <v>NLA_2022_017_126</v>
      </c>
      <c r="J749" s="6" t="s">
        <v>166</v>
      </c>
      <c r="K749" s="31" t="s">
        <v>1132</v>
      </c>
      <c r="L749" s="6" t="s">
        <v>69</v>
      </c>
      <c r="M749" s="3" t="s">
        <v>46</v>
      </c>
      <c r="N749" s="6" t="s">
        <v>404</v>
      </c>
      <c r="O749" s="6" t="s">
        <v>430</v>
      </c>
      <c r="P749" s="6" t="s">
        <v>1056</v>
      </c>
      <c r="Q749" s="6" t="s">
        <v>46</v>
      </c>
      <c r="R749" s="6" t="s">
        <v>44</v>
      </c>
      <c r="S749" s="6" t="s">
        <v>46</v>
      </c>
      <c r="T749" s="6" t="s">
        <v>419</v>
      </c>
      <c r="U749" s="6" t="s">
        <v>46</v>
      </c>
      <c r="V749" s="1" t="n">
        <v>1</v>
      </c>
      <c r="W749" s="6" t="s">
        <v>666</v>
      </c>
      <c r="X749" s="6" t="s">
        <v>408</v>
      </c>
      <c r="Y749" s="1" t="n">
        <v>5500</v>
      </c>
      <c r="Z749" s="6" t="s">
        <v>641</v>
      </c>
      <c r="AA749" s="6" t="s">
        <v>642</v>
      </c>
      <c r="AB749" s="15" t="str">
        <f aca="true" t="array" ref="AB749:AB749">LEFT(AA749,LOOKUP(2^15,FIND(".",AA749,ROW(INDIRECT("1:"&amp;LEN(AA749)))))-1)</f>
        <v>NB_2022_047 - 07102022 - 1</v>
      </c>
      <c r="AC749" s="6" t="s">
        <v>644</v>
      </c>
      <c r="AD749" s="15" t="str">
        <f aca="true" t="array" ref="AD749:AD749">LEFT(AC749,LOOKUP(2^15,FIND(".",AC749,ROW(INDIRECT("1:"&amp;LEN(AC749)))))-1)</f>
        <v>NB_2022_047 - 07102022 - 2</v>
      </c>
      <c r="AE749" s="6" t="str">
        <f aca="false">CONCATENATE(AB749, "-",H749, ".mzML")</f>
        <v>NB_2022_047 - 07102022 - 1-126.mzML</v>
      </c>
      <c r="AF749" s="6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3" t="s">
        <v>1204</v>
      </c>
      <c r="B750" s="34"/>
      <c r="C750" s="4" t="s">
        <v>1205</v>
      </c>
      <c r="D750" s="6" t="s">
        <v>15</v>
      </c>
      <c r="E750" s="6" t="s">
        <v>636</v>
      </c>
      <c r="F750" s="7" t="s">
        <v>637</v>
      </c>
      <c r="G750" s="6" t="s">
        <v>401</v>
      </c>
      <c r="H750" s="16" t="s">
        <v>360</v>
      </c>
      <c r="I750" s="6" t="str">
        <f aca="false">CONCATENATE(E750, "_",H750)</f>
        <v>NLA_2022_017_131</v>
      </c>
      <c r="J750" s="6" t="s">
        <v>166</v>
      </c>
      <c r="K750" s="31" t="s">
        <v>1136</v>
      </c>
      <c r="L750" s="6" t="s">
        <v>69</v>
      </c>
      <c r="M750" s="3" t="s">
        <v>46</v>
      </c>
      <c r="N750" s="6" t="s">
        <v>404</v>
      </c>
      <c r="O750" s="6" t="s">
        <v>526</v>
      </c>
      <c r="P750" s="6" t="s">
        <v>1056</v>
      </c>
      <c r="Q750" s="6" t="s">
        <v>46</v>
      </c>
      <c r="R750" s="6" t="s">
        <v>72</v>
      </c>
      <c r="S750" s="6" t="s">
        <v>46</v>
      </c>
      <c r="T750" s="6" t="s">
        <v>419</v>
      </c>
      <c r="U750" s="6" t="s">
        <v>46</v>
      </c>
      <c r="V750" s="1" t="n">
        <v>1</v>
      </c>
      <c r="W750" s="6" t="s">
        <v>779</v>
      </c>
      <c r="X750" s="6" t="s">
        <v>408</v>
      </c>
      <c r="Y750" s="1" t="n">
        <v>5500</v>
      </c>
      <c r="Z750" s="6" t="s">
        <v>641</v>
      </c>
      <c r="AA750" s="6" t="s">
        <v>642</v>
      </c>
      <c r="AB750" s="15" t="str">
        <f aca="true" t="array" ref="AB750:AB750">LEFT(AA750,LOOKUP(2^15,FIND(".",AA750,ROW(INDIRECT("1:"&amp;LEN(AA750)))))-1)</f>
        <v>NB_2022_047 - 07102022 - 1</v>
      </c>
      <c r="AC750" s="6" t="s">
        <v>644</v>
      </c>
      <c r="AD750" s="15" t="str">
        <f aca="true" t="array" ref="AD750:AD750">LEFT(AC750,LOOKUP(2^15,FIND(".",AC750,ROW(INDIRECT("1:"&amp;LEN(AC750)))))-1)</f>
        <v>NB_2022_047 - 07102022 - 2</v>
      </c>
      <c r="AE750" s="6" t="str">
        <f aca="false">CONCATENATE(AB750, "-",H750, ".mzML")</f>
        <v>NB_2022_047 - 07102022 - 1-131.mzML</v>
      </c>
      <c r="AF750" s="6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3" t="s">
        <v>1204</v>
      </c>
      <c r="B751" s="34"/>
      <c r="C751" s="4" t="s">
        <v>1205</v>
      </c>
      <c r="D751" s="6" t="s">
        <v>15</v>
      </c>
      <c r="E751" s="6" t="s">
        <v>636</v>
      </c>
      <c r="F751" s="7" t="s">
        <v>637</v>
      </c>
      <c r="G751" s="6" t="s">
        <v>401</v>
      </c>
      <c r="H751" s="16" t="s">
        <v>363</v>
      </c>
      <c r="I751" s="6" t="str">
        <f aca="false">CONCATENATE(E751, "_",H751)</f>
        <v>NLA_2022_017_134</v>
      </c>
      <c r="J751" s="6" t="s">
        <v>166</v>
      </c>
      <c r="K751" s="6" t="s">
        <v>964</v>
      </c>
      <c r="L751" s="6" t="s">
        <v>69</v>
      </c>
      <c r="M751" s="3" t="s">
        <v>46</v>
      </c>
      <c r="N751" s="6" t="s">
        <v>404</v>
      </c>
      <c r="O751" s="6" t="s">
        <v>42</v>
      </c>
      <c r="P751" s="6" t="s">
        <v>901</v>
      </c>
      <c r="Q751" s="6" t="s">
        <v>46</v>
      </c>
      <c r="R751" s="6" t="s">
        <v>44</v>
      </c>
      <c r="S751" s="6" t="s">
        <v>46</v>
      </c>
      <c r="T751" s="6" t="s">
        <v>419</v>
      </c>
      <c r="U751" s="6" t="s">
        <v>46</v>
      </c>
      <c r="V751" s="6" t="n">
        <v>1</v>
      </c>
      <c r="W751" s="6" t="s">
        <v>527</v>
      </c>
      <c r="X751" s="6" t="s">
        <v>408</v>
      </c>
      <c r="Y751" s="6" t="n">
        <v>5500</v>
      </c>
      <c r="Z751" s="6" t="s">
        <v>641</v>
      </c>
      <c r="AA751" s="6" t="s">
        <v>642</v>
      </c>
      <c r="AB751" s="15" t="str">
        <f aca="true" t="array" ref="AB751:AB751">LEFT(AA751,LOOKUP(2^15,FIND(".",AA751,ROW(INDIRECT("1:"&amp;LEN(AA751)))))-1)</f>
        <v>NB_2022_047 - 07102022 - 1</v>
      </c>
      <c r="AC751" s="6" t="s">
        <v>644</v>
      </c>
      <c r="AD751" s="15" t="str">
        <f aca="true" t="array" ref="AD751:AD751">LEFT(AC751,LOOKUP(2^15,FIND(".",AC751,ROW(INDIRECT("1:"&amp;LEN(AC751)))))-1)</f>
        <v>NB_2022_047 - 07102022 - 2</v>
      </c>
      <c r="AE751" s="6" t="str">
        <f aca="false">CONCATENATE(AB751, "-",H751, ".mzML")</f>
        <v>NB_2022_047 - 07102022 - 1-134.mzML</v>
      </c>
      <c r="AF751" s="6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3" t="s">
        <v>1204</v>
      </c>
      <c r="B752" s="34"/>
      <c r="C752" s="4" t="s">
        <v>1205</v>
      </c>
      <c r="D752" s="6" t="s">
        <v>15</v>
      </c>
      <c r="E752" s="6" t="s">
        <v>636</v>
      </c>
      <c r="F752" s="7" t="s">
        <v>637</v>
      </c>
      <c r="G752" s="6" t="s">
        <v>401</v>
      </c>
      <c r="H752" s="16" t="s">
        <v>372</v>
      </c>
      <c r="I752" s="6" t="str">
        <f aca="false">CONCATENATE(E752, "_",H752)</f>
        <v>NLA_2022_017_143</v>
      </c>
      <c r="J752" s="6" t="s">
        <v>166</v>
      </c>
      <c r="K752" s="6" t="s">
        <v>664</v>
      </c>
      <c r="L752" s="6" t="s">
        <v>69</v>
      </c>
      <c r="M752" s="3" t="s">
        <v>46</v>
      </c>
      <c r="N752" s="6" t="s">
        <v>404</v>
      </c>
      <c r="O752" s="6" t="s">
        <v>665</v>
      </c>
      <c r="P752" s="6" t="s">
        <v>405</v>
      </c>
      <c r="Q752" s="6" t="s">
        <v>46</v>
      </c>
      <c r="R752" s="6" t="s">
        <v>44</v>
      </c>
      <c r="S752" s="6" t="s">
        <v>46</v>
      </c>
      <c r="T752" s="6" t="s">
        <v>419</v>
      </c>
      <c r="U752" s="6" t="s">
        <v>46</v>
      </c>
      <c r="V752" s="6" t="n">
        <v>1</v>
      </c>
      <c r="W752" s="6" t="s">
        <v>666</v>
      </c>
      <c r="X752" s="6" t="s">
        <v>408</v>
      </c>
      <c r="Y752" s="6" t="n">
        <v>5500</v>
      </c>
      <c r="Z752" s="6" t="s">
        <v>641</v>
      </c>
      <c r="AA752" s="6" t="s">
        <v>642</v>
      </c>
      <c r="AB752" s="15" t="str">
        <f aca="true" t="array" ref="AB752:AB752">LEFT(AA752,LOOKUP(2^15,FIND(".",AA752,ROW(INDIRECT("1:"&amp;LEN(AA752)))))-1)</f>
        <v>NB_2022_047 - 07102022 - 1</v>
      </c>
      <c r="AC752" s="6" t="s">
        <v>644</v>
      </c>
      <c r="AD752" s="15" t="str">
        <f aca="true" t="array" ref="AD752:AD752">LEFT(AC752,LOOKUP(2^15,FIND(".",AC752,ROW(INDIRECT("1:"&amp;LEN(AC752)))))-1)</f>
        <v>NB_2022_047 - 07102022 - 2</v>
      </c>
      <c r="AE752" s="6" t="str">
        <f aca="false">CONCATENATE(AB752, "-",H752, ".mzML")</f>
        <v>NB_2022_047 - 07102022 - 1-143.mzML</v>
      </c>
      <c r="AF752" s="6" t="str">
        <f aca="false">CONCATENATE(AD752, "-",H752, ".mzML")</f>
        <v>NB_2022_047 - 07102022 - 2-143.mzML</v>
      </c>
    </row>
    <row r="753" customFormat="false" ht="13.8" hidden="false" customHeight="false" outlineLevel="0" collapsed="false">
      <c r="A753" s="33" t="s">
        <v>1204</v>
      </c>
      <c r="B753" s="34"/>
      <c r="C753" s="4" t="s">
        <v>1205</v>
      </c>
      <c r="D753" s="6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3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6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6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3.8" hidden="false" customHeight="false" outlineLevel="0" collapsed="false">
      <c r="A754" s="33" t="s">
        <v>1204</v>
      </c>
      <c r="B754" s="34"/>
      <c r="C754" s="4" t="s">
        <v>1205</v>
      </c>
      <c r="D754" s="6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3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6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6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3.8" hidden="false" customHeight="false" outlineLevel="0" collapsed="false">
      <c r="A755" s="33" t="s">
        <v>1204</v>
      </c>
      <c r="B755" s="34"/>
      <c r="C755" s="4" t="s">
        <v>1205</v>
      </c>
      <c r="D755" s="6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3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6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6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3.8" hidden="false" customHeight="false" outlineLevel="0" collapsed="false">
      <c r="A756" s="33" t="s">
        <v>1204</v>
      </c>
      <c r="B756" s="34"/>
      <c r="C756" s="4" t="s">
        <v>1205</v>
      </c>
      <c r="D756" s="6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3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6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6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3.8" hidden="false" customHeight="false" outlineLevel="0" collapsed="false">
      <c r="A757" s="33" t="s">
        <v>1204</v>
      </c>
      <c r="B757" s="34"/>
      <c r="C757" s="4" t="s">
        <v>1205</v>
      </c>
      <c r="D757" s="6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3" t="s">
        <v>46</v>
      </c>
      <c r="N757" s="6" t="s">
        <v>465</v>
      </c>
      <c r="O757" s="1" t="s">
        <v>81</v>
      </c>
      <c r="P757" s="1" t="s">
        <v>81</v>
      </c>
      <c r="Q757" s="1" t="s">
        <v>81</v>
      </c>
      <c r="R757" s="6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6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3.8" hidden="false" customHeight="false" outlineLevel="0" collapsed="false">
      <c r="A758" s="33" t="s">
        <v>1204</v>
      </c>
      <c r="B758" s="34"/>
      <c r="C758" s="4" t="s">
        <v>1205</v>
      </c>
      <c r="D758" s="6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3" t="s">
        <v>46</v>
      </c>
      <c r="N758" s="6" t="s">
        <v>465</v>
      </c>
      <c r="O758" s="1" t="s">
        <v>81</v>
      </c>
      <c r="P758" s="1" t="s">
        <v>81</v>
      </c>
      <c r="Q758" s="1" t="s">
        <v>81</v>
      </c>
      <c r="R758" s="6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6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3.8" hidden="false" customHeight="false" outlineLevel="0" collapsed="false">
      <c r="A759" s="33" t="s">
        <v>1204</v>
      </c>
      <c r="B759" s="34"/>
      <c r="C759" s="4" t="s">
        <v>1205</v>
      </c>
      <c r="D759" s="6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3" t="s">
        <v>46</v>
      </c>
      <c r="N759" s="6" t="s">
        <v>465</v>
      </c>
      <c r="O759" s="1" t="s">
        <v>81</v>
      </c>
      <c r="P759" s="1" t="s">
        <v>81</v>
      </c>
      <c r="Q759" s="1" t="s">
        <v>81</v>
      </c>
      <c r="R759" s="6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6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3.8" hidden="false" customHeight="false" outlineLevel="0" collapsed="false">
      <c r="A760" s="33" t="s">
        <v>1204</v>
      </c>
      <c r="B760" s="34"/>
      <c r="C760" s="4" t="s">
        <v>1205</v>
      </c>
      <c r="D760" s="6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3" t="s">
        <v>46</v>
      </c>
      <c r="N760" s="6" t="s">
        <v>465</v>
      </c>
      <c r="O760" s="1" t="s">
        <v>81</v>
      </c>
      <c r="P760" s="1" t="s">
        <v>81</v>
      </c>
      <c r="Q760" s="1" t="s">
        <v>81</v>
      </c>
      <c r="R760" s="6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6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3.8" hidden="false" customHeight="false" outlineLevel="0" collapsed="false">
      <c r="A761" s="33" t="s">
        <v>1204</v>
      </c>
      <c r="B761" s="34"/>
      <c r="C761" s="4" t="s">
        <v>1205</v>
      </c>
      <c r="D761" s="6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3" t="s">
        <v>46</v>
      </c>
      <c r="N761" s="6" t="s">
        <v>70</v>
      </c>
      <c r="O761" s="1" t="s">
        <v>46</v>
      </c>
      <c r="P761" s="1" t="s">
        <v>71</v>
      </c>
      <c r="Q761" s="1" t="s">
        <v>71</v>
      </c>
      <c r="R761" s="6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6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3.8" hidden="false" customHeight="false" outlineLevel="0" collapsed="false">
      <c r="A762" s="33" t="s">
        <v>1204</v>
      </c>
      <c r="B762" s="34"/>
      <c r="C762" s="4" t="s">
        <v>1205</v>
      </c>
      <c r="D762" s="6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3" t="s">
        <v>46</v>
      </c>
      <c r="N762" s="6" t="s">
        <v>70</v>
      </c>
      <c r="O762" s="1" t="s">
        <v>46</v>
      </c>
      <c r="P762" s="1" t="s">
        <v>71</v>
      </c>
      <c r="Q762" s="1" t="s">
        <v>71</v>
      </c>
      <c r="R762" s="6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6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3.8" hidden="false" customHeight="false" outlineLevel="0" collapsed="false">
      <c r="A763" s="33" t="s">
        <v>1204</v>
      </c>
      <c r="B763" s="34"/>
      <c r="C763" s="4" t="s">
        <v>1205</v>
      </c>
      <c r="D763" s="6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3" t="s">
        <v>46</v>
      </c>
      <c r="N763" s="6" t="s">
        <v>70</v>
      </c>
      <c r="O763" s="1" t="s">
        <v>46</v>
      </c>
      <c r="P763" s="1" t="s">
        <v>71</v>
      </c>
      <c r="Q763" s="1" t="s">
        <v>71</v>
      </c>
      <c r="R763" s="6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6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3.8" hidden="false" customHeight="false" outlineLevel="0" collapsed="false">
      <c r="A764" s="33" t="s">
        <v>1204</v>
      </c>
      <c r="B764" s="34"/>
      <c r="C764" s="4" t="s">
        <v>1205</v>
      </c>
      <c r="D764" s="6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3" t="s">
        <v>46</v>
      </c>
      <c r="N764" s="6" t="s">
        <v>70</v>
      </c>
      <c r="O764" s="1" t="s">
        <v>46</v>
      </c>
      <c r="P764" s="1" t="s">
        <v>71</v>
      </c>
      <c r="Q764" s="1" t="s">
        <v>71</v>
      </c>
      <c r="R764" s="6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6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3" t="s">
        <v>1204</v>
      </c>
      <c r="B765" s="34"/>
      <c r="C765" s="4" t="s">
        <v>1205</v>
      </c>
      <c r="D765" s="6" t="s">
        <v>15</v>
      </c>
      <c r="E765" s="6" t="s">
        <v>705</v>
      </c>
      <c r="F765" s="7" t="s">
        <v>706</v>
      </c>
      <c r="G765" s="6" t="s">
        <v>401</v>
      </c>
      <c r="H765" s="16" t="n">
        <v>148</v>
      </c>
      <c r="I765" s="6" t="str">
        <f aca="false">CONCATENATE(E765, "_",H765)</f>
        <v>NLA_2022_018_148</v>
      </c>
      <c r="J765" s="1" t="s">
        <v>166</v>
      </c>
      <c r="K765" s="6" t="s">
        <v>972</v>
      </c>
      <c r="L765" s="6" t="s">
        <v>69</v>
      </c>
      <c r="M765" s="3" t="s">
        <v>46</v>
      </c>
      <c r="N765" s="6" t="s">
        <v>404</v>
      </c>
      <c r="O765" s="6" t="s">
        <v>665</v>
      </c>
      <c r="P765" s="6" t="s">
        <v>901</v>
      </c>
      <c r="Q765" s="6" t="s">
        <v>46</v>
      </c>
      <c r="R765" s="6" t="s">
        <v>72</v>
      </c>
      <c r="S765" s="6" t="s">
        <v>46</v>
      </c>
      <c r="T765" s="6" t="s">
        <v>419</v>
      </c>
      <c r="U765" s="6" t="s">
        <v>46</v>
      </c>
      <c r="V765" s="6" t="n">
        <v>1</v>
      </c>
      <c r="W765" s="1" t="s">
        <v>640</v>
      </c>
      <c r="X765" s="6" t="s">
        <v>408</v>
      </c>
      <c r="Y765" s="6" t="n">
        <v>5500</v>
      </c>
      <c r="Z765" s="6" t="s">
        <v>710</v>
      </c>
      <c r="AA765" s="6" t="s">
        <v>711</v>
      </c>
      <c r="AB765" s="15" t="str">
        <f aca="true" t="array" ref="AB765:AB765">LEFT(AA765,LOOKUP(2^15,FIND(".",AA765,ROW(INDIRECT("1:"&amp;LEN(AA765)))))-1)</f>
        <v>NB_2022_047 - 10102022 - 1</v>
      </c>
      <c r="AC765" s="6" t="s">
        <v>713</v>
      </c>
      <c r="AD765" s="15" t="str">
        <f aca="true" t="array" ref="AD765:AD765">LEFT(AC765,LOOKUP(2^15,FIND(".",AC765,ROW(INDIRECT("1:"&amp;LEN(AC765)))))-1)</f>
        <v>NB_2022_047 - 10102022 - 2</v>
      </c>
      <c r="AE765" s="6" t="str">
        <f aca="false">CONCATENATE(AB765, "-",H765, ".mzML")</f>
        <v>NB_2022_047 - 10102022 - 1-148.mzML</v>
      </c>
      <c r="AF765" s="6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3" t="s">
        <v>1204</v>
      </c>
      <c r="B766" s="34"/>
      <c r="C766" s="4" t="s">
        <v>1205</v>
      </c>
      <c r="D766" s="6" t="s">
        <v>15</v>
      </c>
      <c r="E766" s="6" t="s">
        <v>705</v>
      </c>
      <c r="F766" s="7" t="s">
        <v>706</v>
      </c>
      <c r="G766" s="6" t="s">
        <v>401</v>
      </c>
      <c r="H766" s="16" t="n">
        <v>153</v>
      </c>
      <c r="I766" s="6" t="str">
        <f aca="false">CONCATENATE(E766, "_",H766)</f>
        <v>NLA_2022_018_153</v>
      </c>
      <c r="J766" s="6" t="s">
        <v>166</v>
      </c>
      <c r="K766" s="31" t="s">
        <v>1156</v>
      </c>
      <c r="L766" s="6" t="s">
        <v>69</v>
      </c>
      <c r="M766" s="3" t="s">
        <v>46</v>
      </c>
      <c r="N766" s="6" t="s">
        <v>404</v>
      </c>
      <c r="O766" s="6" t="s">
        <v>418</v>
      </c>
      <c r="P766" s="6" t="s">
        <v>1056</v>
      </c>
      <c r="Q766" s="6" t="s">
        <v>46</v>
      </c>
      <c r="R766" s="6" t="s">
        <v>72</v>
      </c>
      <c r="S766" s="6" t="s">
        <v>46</v>
      </c>
      <c r="T766" s="6" t="s">
        <v>419</v>
      </c>
      <c r="U766" s="6" t="s">
        <v>46</v>
      </c>
      <c r="V766" s="1" t="n">
        <v>1</v>
      </c>
      <c r="W766" s="6" t="s">
        <v>846</v>
      </c>
      <c r="X766" s="6" t="s">
        <v>408</v>
      </c>
      <c r="Y766" s="1" t="n">
        <v>5500</v>
      </c>
      <c r="Z766" s="6" t="s">
        <v>710</v>
      </c>
      <c r="AA766" s="6" t="s">
        <v>711</v>
      </c>
      <c r="AB766" s="15" t="str">
        <f aca="true" t="array" ref="AB766:AB766">LEFT(AA766,LOOKUP(2^15,FIND(".",AA766,ROW(INDIRECT("1:"&amp;LEN(AA766)))))-1)</f>
        <v>NB_2022_047 - 10102022 - 1</v>
      </c>
      <c r="AC766" s="6" t="s">
        <v>713</v>
      </c>
      <c r="AD766" s="15" t="str">
        <f aca="true" t="array" ref="AD766:AD766">LEFT(AC766,LOOKUP(2^15,FIND(".",AC766,ROW(INDIRECT("1:"&amp;LEN(AC766)))))-1)</f>
        <v>NB_2022_047 - 10102022 - 2</v>
      </c>
      <c r="AE766" s="6" t="str">
        <f aca="false">CONCATENATE(AB766, "-",H766, ".mzML")</f>
        <v>NB_2022_047 - 10102022 - 1-153.mzML</v>
      </c>
      <c r="AF766" s="6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3" t="s">
        <v>1204</v>
      </c>
      <c r="B767" s="34"/>
      <c r="C767" s="4" t="s">
        <v>1205</v>
      </c>
      <c r="D767" s="6" t="s">
        <v>15</v>
      </c>
      <c r="E767" s="6" t="s">
        <v>705</v>
      </c>
      <c r="F767" s="7" t="s">
        <v>706</v>
      </c>
      <c r="G767" s="6" t="s">
        <v>401</v>
      </c>
      <c r="H767" s="16" t="n">
        <v>164</v>
      </c>
      <c r="I767" s="6" t="str">
        <f aca="false">CONCATENATE(E767, "_",H767)</f>
        <v>NLA_2022_018_164</v>
      </c>
      <c r="J767" s="1" t="s">
        <v>166</v>
      </c>
      <c r="K767" s="6" t="s">
        <v>988</v>
      </c>
      <c r="L767" s="6" t="s">
        <v>69</v>
      </c>
      <c r="M767" s="3" t="s">
        <v>46</v>
      </c>
      <c r="N767" s="6" t="s">
        <v>404</v>
      </c>
      <c r="O767" s="6" t="s">
        <v>526</v>
      </c>
      <c r="P767" s="6" t="s">
        <v>901</v>
      </c>
      <c r="Q767" s="6" t="s">
        <v>46</v>
      </c>
      <c r="R767" s="6" t="s">
        <v>72</v>
      </c>
      <c r="S767" s="6" t="s">
        <v>46</v>
      </c>
      <c r="T767" s="6" t="s">
        <v>419</v>
      </c>
      <c r="U767" s="6" t="s">
        <v>46</v>
      </c>
      <c r="V767" s="6" t="n">
        <v>1</v>
      </c>
      <c r="W767" s="1" t="s">
        <v>655</v>
      </c>
      <c r="X767" s="6" t="s">
        <v>408</v>
      </c>
      <c r="Y767" s="6" t="n">
        <v>5500</v>
      </c>
      <c r="Z767" s="6" t="s">
        <v>710</v>
      </c>
      <c r="AA767" s="6" t="s">
        <v>711</v>
      </c>
      <c r="AB767" s="15" t="str">
        <f aca="true" t="array" ref="AB767:AB767">LEFT(AA767,LOOKUP(2^15,FIND(".",AA767,ROW(INDIRECT("1:"&amp;LEN(AA767)))))-1)</f>
        <v>NB_2022_047 - 10102022 - 1</v>
      </c>
      <c r="AC767" s="6" t="s">
        <v>713</v>
      </c>
      <c r="AD767" s="15" t="str">
        <f aca="true" t="array" ref="AD767:AD767">LEFT(AC767,LOOKUP(2^15,FIND(".",AC767,ROW(INDIRECT("1:"&amp;LEN(AC767)))))-1)</f>
        <v>NB_2022_047 - 10102022 - 2</v>
      </c>
      <c r="AE767" s="6" t="str">
        <f aca="false">CONCATENATE(AB767, "-",H767, ".mzML")</f>
        <v>NB_2022_047 - 10102022 - 1-164.mzML</v>
      </c>
      <c r="AF767" s="6" t="str">
        <f aca="false">CONCATENATE(AD767, "-",H767, ".mzML")</f>
        <v>NB_2022_047 - 10102022 - 2-164.mzML</v>
      </c>
    </row>
    <row r="768" customFormat="false" ht="13.8" hidden="false" customHeight="false" outlineLevel="0" collapsed="false">
      <c r="A768" s="33" t="s">
        <v>1204</v>
      </c>
      <c r="B768" s="34"/>
      <c r="C768" s="4" t="s">
        <v>1205</v>
      </c>
      <c r="D768" s="6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3" t="s">
        <v>46</v>
      </c>
      <c r="N768" s="6" t="s">
        <v>65</v>
      </c>
      <c r="O768" s="1" t="s">
        <v>46</v>
      </c>
      <c r="P768" s="1" t="s">
        <v>46</v>
      </c>
      <c r="Q768" s="1" t="s">
        <v>46</v>
      </c>
      <c r="R768" s="6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6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3.8" hidden="false" customHeight="false" outlineLevel="0" collapsed="false">
      <c r="A769" s="33" t="s">
        <v>1204</v>
      </c>
      <c r="B769" s="34"/>
      <c r="C769" s="4" t="s">
        <v>1205</v>
      </c>
      <c r="D769" s="6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3" t="s">
        <v>46</v>
      </c>
      <c r="N769" s="6" t="s">
        <v>65</v>
      </c>
      <c r="O769" s="1" t="s">
        <v>46</v>
      </c>
      <c r="P769" s="1" t="s">
        <v>46</v>
      </c>
      <c r="Q769" s="1" t="s">
        <v>46</v>
      </c>
      <c r="R769" s="6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6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3.8" hidden="false" customHeight="false" outlineLevel="0" collapsed="false">
      <c r="A770" s="33" t="s">
        <v>1204</v>
      </c>
      <c r="B770" s="34"/>
      <c r="C770" s="4" t="s">
        <v>1205</v>
      </c>
      <c r="D770" s="6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3" t="s">
        <v>46</v>
      </c>
      <c r="N770" s="6" t="s">
        <v>65</v>
      </c>
      <c r="O770" s="1" t="s">
        <v>46</v>
      </c>
      <c r="P770" s="1" t="s">
        <v>46</v>
      </c>
      <c r="Q770" s="1" t="s">
        <v>46</v>
      </c>
      <c r="R770" s="6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6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3.8" hidden="false" customHeight="false" outlineLevel="0" collapsed="false">
      <c r="A771" s="33" t="s">
        <v>1204</v>
      </c>
      <c r="B771" s="34"/>
      <c r="C771" s="4" t="s">
        <v>1205</v>
      </c>
      <c r="D771" s="6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3" t="s">
        <v>46</v>
      </c>
      <c r="N771" s="6" t="s">
        <v>65</v>
      </c>
      <c r="O771" s="1" t="s">
        <v>46</v>
      </c>
      <c r="P771" s="1" t="s">
        <v>46</v>
      </c>
      <c r="Q771" s="1" t="s">
        <v>46</v>
      </c>
      <c r="R771" s="6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6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3.8" hidden="false" customHeight="false" outlineLevel="0" collapsed="false">
      <c r="A772" s="33" t="s">
        <v>1204</v>
      </c>
      <c r="B772" s="34"/>
      <c r="C772" s="4" t="s">
        <v>1205</v>
      </c>
      <c r="D772" s="6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3" t="s">
        <v>46</v>
      </c>
      <c r="N772" s="6" t="s">
        <v>465</v>
      </c>
      <c r="O772" s="1" t="s">
        <v>81</v>
      </c>
      <c r="P772" s="1" t="s">
        <v>81</v>
      </c>
      <c r="Q772" s="1" t="s">
        <v>81</v>
      </c>
      <c r="R772" s="6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6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3.8" hidden="false" customHeight="false" outlineLevel="0" collapsed="false">
      <c r="A773" s="33" t="s">
        <v>1204</v>
      </c>
      <c r="B773" s="34"/>
      <c r="C773" s="4" t="s">
        <v>1205</v>
      </c>
      <c r="D773" s="6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3" t="s">
        <v>46</v>
      </c>
      <c r="N773" s="6" t="s">
        <v>465</v>
      </c>
      <c r="O773" s="1" t="s">
        <v>81</v>
      </c>
      <c r="P773" s="1" t="s">
        <v>81</v>
      </c>
      <c r="Q773" s="1" t="s">
        <v>81</v>
      </c>
      <c r="R773" s="6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6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3.8" hidden="false" customHeight="false" outlineLevel="0" collapsed="false">
      <c r="A774" s="33" t="s">
        <v>1204</v>
      </c>
      <c r="B774" s="34"/>
      <c r="C774" s="4" t="s">
        <v>1205</v>
      </c>
      <c r="D774" s="6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3" t="s">
        <v>46</v>
      </c>
      <c r="N774" s="6" t="s">
        <v>465</v>
      </c>
      <c r="O774" s="1" t="s">
        <v>81</v>
      </c>
      <c r="P774" s="1" t="s">
        <v>81</v>
      </c>
      <c r="Q774" s="1" t="s">
        <v>81</v>
      </c>
      <c r="R774" s="6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6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3.8" hidden="false" customHeight="false" outlineLevel="0" collapsed="false">
      <c r="A775" s="33" t="s">
        <v>1204</v>
      </c>
      <c r="B775" s="34"/>
      <c r="C775" s="4" t="s">
        <v>1205</v>
      </c>
      <c r="D775" s="6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3" t="s">
        <v>46</v>
      </c>
      <c r="N775" s="6" t="s">
        <v>465</v>
      </c>
      <c r="O775" s="1" t="s">
        <v>81</v>
      </c>
      <c r="P775" s="1" t="s">
        <v>81</v>
      </c>
      <c r="Q775" s="1" t="s">
        <v>81</v>
      </c>
      <c r="R775" s="6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6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3.8" hidden="false" customHeight="false" outlineLevel="0" collapsed="false">
      <c r="A776" s="33" t="s">
        <v>1204</v>
      </c>
      <c r="B776" s="34"/>
      <c r="C776" s="4" t="s">
        <v>1205</v>
      </c>
      <c r="D776" s="6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3" t="s">
        <v>46</v>
      </c>
      <c r="N776" s="6" t="s">
        <v>70</v>
      </c>
      <c r="O776" s="1" t="s">
        <v>46</v>
      </c>
      <c r="P776" s="1" t="s">
        <v>71</v>
      </c>
      <c r="Q776" s="1" t="s">
        <v>71</v>
      </c>
      <c r="R776" s="6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6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3.8" hidden="false" customHeight="false" outlineLevel="0" collapsed="false">
      <c r="A777" s="33" t="s">
        <v>1204</v>
      </c>
      <c r="B777" s="34"/>
      <c r="C777" s="4" t="s">
        <v>1205</v>
      </c>
      <c r="D777" s="6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3" t="s">
        <v>46</v>
      </c>
      <c r="N777" s="6" t="s">
        <v>70</v>
      </c>
      <c r="O777" s="1" t="s">
        <v>46</v>
      </c>
      <c r="P777" s="1" t="s">
        <v>71</v>
      </c>
      <c r="Q777" s="1" t="s">
        <v>71</v>
      </c>
      <c r="R777" s="6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6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3.8" hidden="false" customHeight="false" outlineLevel="0" collapsed="false">
      <c r="A778" s="33" t="s">
        <v>1204</v>
      </c>
      <c r="B778" s="34"/>
      <c r="C778" s="4" t="s">
        <v>1205</v>
      </c>
      <c r="D778" s="6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3" t="s">
        <v>46</v>
      </c>
      <c r="N778" s="6" t="s">
        <v>70</v>
      </c>
      <c r="O778" s="1" t="s">
        <v>46</v>
      </c>
      <c r="P778" s="1" t="s">
        <v>71</v>
      </c>
      <c r="Q778" s="1" t="s">
        <v>71</v>
      </c>
      <c r="R778" s="6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6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3.8" hidden="false" customHeight="false" outlineLevel="0" collapsed="false">
      <c r="A779" s="33" t="s">
        <v>1204</v>
      </c>
      <c r="B779" s="34"/>
      <c r="C779" s="4" t="s">
        <v>1205</v>
      </c>
      <c r="D779" s="6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3" t="s">
        <v>46</v>
      </c>
      <c r="N779" s="6" t="s">
        <v>70</v>
      </c>
      <c r="O779" s="1" t="s">
        <v>46</v>
      </c>
      <c r="P779" s="1" t="s">
        <v>71</v>
      </c>
      <c r="Q779" s="1" t="s">
        <v>71</v>
      </c>
      <c r="R779" s="6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6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3" t="s">
        <v>1204</v>
      </c>
      <c r="B780" s="34"/>
      <c r="C780" s="4" t="s">
        <v>1205</v>
      </c>
      <c r="D780" s="6" t="s">
        <v>15</v>
      </c>
      <c r="E780" s="6" t="s">
        <v>758</v>
      </c>
      <c r="F780" s="7" t="s">
        <v>759</v>
      </c>
      <c r="G780" s="6" t="s">
        <v>401</v>
      </c>
      <c r="H780" s="16" t="s">
        <v>770</v>
      </c>
      <c r="I780" s="6" t="str">
        <f aca="false">CONCATENATE(E780, "_",H780)</f>
        <v>NLA_2022_019_191</v>
      </c>
      <c r="J780" s="6" t="s">
        <v>166</v>
      </c>
      <c r="K780" s="6" t="s">
        <v>772</v>
      </c>
      <c r="L780" s="6" t="s">
        <v>69</v>
      </c>
      <c r="M780" s="3" t="s">
        <v>46</v>
      </c>
      <c r="N780" s="6" t="s">
        <v>404</v>
      </c>
      <c r="O780" s="6" t="s">
        <v>42</v>
      </c>
      <c r="P780" s="6" t="s">
        <v>405</v>
      </c>
      <c r="Q780" s="6" t="s">
        <v>46</v>
      </c>
      <c r="R780" s="6" t="s">
        <v>44</v>
      </c>
      <c r="S780" s="6" t="s">
        <v>46</v>
      </c>
      <c r="T780" s="6" t="s">
        <v>419</v>
      </c>
      <c r="U780" s="6" t="s">
        <v>46</v>
      </c>
      <c r="V780" s="6" t="n">
        <v>1</v>
      </c>
      <c r="W780" s="6" t="s">
        <v>773</v>
      </c>
      <c r="X780" s="6" t="s">
        <v>408</v>
      </c>
      <c r="Y780" s="6" t="n">
        <v>5500</v>
      </c>
      <c r="Z780" s="6" t="s">
        <v>763</v>
      </c>
      <c r="AA780" s="6" t="s">
        <v>764</v>
      </c>
      <c r="AB780" s="15" t="str">
        <f aca="true" t="array" ref="AB780:AB780">LEFT(AA780,LOOKUP(2^15,FIND(".",AA780,ROW(INDIRECT("1:"&amp;LEN(AA780)))))-1)</f>
        <v>NB_2022_047 - 11102022 - 1</v>
      </c>
      <c r="AC780" s="6" t="s">
        <v>766</v>
      </c>
      <c r="AD780" s="15" t="str">
        <f aca="true" t="array" ref="AD780:AD780">LEFT(AC780,LOOKUP(2^15,FIND(".",AC780,ROW(INDIRECT("1:"&amp;LEN(AC780)))))-1)</f>
        <v>NB_2022_047 - 11102022 - 2</v>
      </c>
      <c r="AE780" s="6" t="str">
        <f aca="false">CONCATENATE(AB780, "-",H780, ".mzML")</f>
        <v>NB_2022_047 - 11102022 - 1-191.mzML</v>
      </c>
      <c r="AF780" s="6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3" t="s">
        <v>1204</v>
      </c>
      <c r="B781" s="34"/>
      <c r="C781" s="4" t="s">
        <v>1205</v>
      </c>
      <c r="D781" s="6" t="s">
        <v>15</v>
      </c>
      <c r="E781" s="6" t="s">
        <v>758</v>
      </c>
      <c r="F781" s="7" t="s">
        <v>759</v>
      </c>
      <c r="G781" s="6" t="s">
        <v>401</v>
      </c>
      <c r="H781" s="16" t="s">
        <v>1006</v>
      </c>
      <c r="I781" s="6" t="str">
        <f aca="false">CONCATENATE(E781, "_",H781)</f>
        <v>NLA_2022_019_192</v>
      </c>
      <c r="J781" s="6" t="s">
        <v>166</v>
      </c>
      <c r="K781" s="6" t="s">
        <v>1008</v>
      </c>
      <c r="L781" s="6" t="s">
        <v>69</v>
      </c>
      <c r="M781" s="3" t="s">
        <v>46</v>
      </c>
      <c r="N781" s="6" t="s">
        <v>404</v>
      </c>
      <c r="O781" s="6" t="s">
        <v>42</v>
      </c>
      <c r="P781" s="6" t="s">
        <v>901</v>
      </c>
      <c r="Q781" s="6" t="s">
        <v>46</v>
      </c>
      <c r="R781" s="6" t="s">
        <v>44</v>
      </c>
      <c r="S781" s="6" t="s">
        <v>46</v>
      </c>
      <c r="T781" s="6" t="s">
        <v>419</v>
      </c>
      <c r="U781" s="6" t="s">
        <v>46</v>
      </c>
      <c r="V781" s="6" t="n">
        <v>1</v>
      </c>
      <c r="W781" s="6" t="s">
        <v>666</v>
      </c>
      <c r="X781" s="6" t="s">
        <v>408</v>
      </c>
      <c r="Y781" s="6" t="n">
        <v>5500</v>
      </c>
      <c r="Z781" s="6" t="s">
        <v>763</v>
      </c>
      <c r="AA781" s="6" t="s">
        <v>764</v>
      </c>
      <c r="AB781" s="15" t="str">
        <f aca="true" t="array" ref="AB781:AB781">LEFT(AA781,LOOKUP(2^15,FIND(".",AA781,ROW(INDIRECT("1:"&amp;LEN(AA781)))))-1)</f>
        <v>NB_2022_047 - 11102022 - 1</v>
      </c>
      <c r="AC781" s="6" t="s">
        <v>766</v>
      </c>
      <c r="AD781" s="15" t="str">
        <f aca="true" t="array" ref="AD781:AD781">LEFT(AC781,LOOKUP(2^15,FIND(".",AC781,ROW(INDIRECT("1:"&amp;LEN(AC781)))))-1)</f>
        <v>NB_2022_047 - 11102022 - 2</v>
      </c>
      <c r="AE781" s="6" t="str">
        <f aca="false">CONCATENATE(AB781, "-",H781, ".mzML")</f>
        <v>NB_2022_047 - 11102022 - 1-192.mzML</v>
      </c>
      <c r="AF781" s="6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3" t="s">
        <v>1204</v>
      </c>
      <c r="B782" s="34"/>
      <c r="C782" s="4" t="s">
        <v>1205</v>
      </c>
      <c r="D782" s="6" t="s">
        <v>15</v>
      </c>
      <c r="E782" s="6" t="s">
        <v>758</v>
      </c>
      <c r="F782" s="7" t="s">
        <v>759</v>
      </c>
      <c r="G782" s="6" t="s">
        <v>401</v>
      </c>
      <c r="H782" s="16" t="s">
        <v>776</v>
      </c>
      <c r="I782" s="6" t="str">
        <f aca="false">CONCATENATE(E782, "_",H782)</f>
        <v>NLA_2022_019_203</v>
      </c>
      <c r="J782" s="6" t="s">
        <v>166</v>
      </c>
      <c r="K782" s="6" t="s">
        <v>778</v>
      </c>
      <c r="L782" s="6" t="s">
        <v>69</v>
      </c>
      <c r="M782" s="3" t="s">
        <v>46</v>
      </c>
      <c r="N782" s="6" t="s">
        <v>404</v>
      </c>
      <c r="O782" s="6" t="s">
        <v>42</v>
      </c>
      <c r="P782" s="6" t="s">
        <v>405</v>
      </c>
      <c r="Q782" s="6" t="s">
        <v>46</v>
      </c>
      <c r="R782" s="6" t="s">
        <v>72</v>
      </c>
      <c r="S782" s="6" t="s">
        <v>46</v>
      </c>
      <c r="T782" s="6" t="s">
        <v>419</v>
      </c>
      <c r="U782" s="6" t="s">
        <v>46</v>
      </c>
      <c r="V782" s="6" t="n">
        <v>1</v>
      </c>
      <c r="W782" s="6" t="s">
        <v>779</v>
      </c>
      <c r="X782" s="6" t="s">
        <v>408</v>
      </c>
      <c r="Y782" s="6" t="n">
        <v>5500</v>
      </c>
      <c r="Z782" s="6" t="s">
        <v>763</v>
      </c>
      <c r="AA782" s="6" t="s">
        <v>764</v>
      </c>
      <c r="AB782" s="15" t="str">
        <f aca="true" t="array" ref="AB782:AB782">LEFT(AA782,LOOKUP(2^15,FIND(".",AA782,ROW(INDIRECT("1:"&amp;LEN(AA782)))))-1)</f>
        <v>NB_2022_047 - 11102022 - 1</v>
      </c>
      <c r="AC782" s="6" t="s">
        <v>766</v>
      </c>
      <c r="AD782" s="15" t="str">
        <f aca="true" t="array" ref="AD782:AD782">LEFT(AC782,LOOKUP(2^15,FIND(".",AC782,ROW(INDIRECT("1:"&amp;LEN(AC782)))))-1)</f>
        <v>NB_2022_047 - 11102022 - 2</v>
      </c>
      <c r="AE782" s="6" t="str">
        <f aca="false">CONCATENATE(AB782, "-",H782, ".mzML")</f>
        <v>NB_2022_047 - 11102022 - 1-203.mzML</v>
      </c>
      <c r="AF782" s="6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3" t="s">
        <v>1204</v>
      </c>
      <c r="B783" s="34"/>
      <c r="C783" s="4" t="s">
        <v>1205</v>
      </c>
      <c r="D783" s="6" t="s">
        <v>15</v>
      </c>
      <c r="E783" s="6" t="s">
        <v>758</v>
      </c>
      <c r="F783" s="7" t="s">
        <v>759</v>
      </c>
      <c r="G783" s="6" t="s">
        <v>401</v>
      </c>
      <c r="H783" s="16" t="s">
        <v>1016</v>
      </c>
      <c r="I783" s="6" t="str">
        <f aca="false">CONCATENATE(E783, "_",H783)</f>
        <v>NLA_2022_019_213</v>
      </c>
      <c r="J783" s="6" t="s">
        <v>166</v>
      </c>
      <c r="K783" s="6" t="s">
        <v>1018</v>
      </c>
      <c r="L783" s="6" t="s">
        <v>69</v>
      </c>
      <c r="M783" s="3" t="s">
        <v>46</v>
      </c>
      <c r="N783" s="6" t="s">
        <v>404</v>
      </c>
      <c r="O783" s="6" t="s">
        <v>665</v>
      </c>
      <c r="P783" s="6" t="s">
        <v>901</v>
      </c>
      <c r="Q783" s="6" t="s">
        <v>46</v>
      </c>
      <c r="R783" s="6" t="s">
        <v>44</v>
      </c>
      <c r="S783" s="6" t="s">
        <v>46</v>
      </c>
      <c r="T783" s="6" t="s">
        <v>419</v>
      </c>
      <c r="U783" s="6" t="s">
        <v>46</v>
      </c>
      <c r="V783" s="6" t="n">
        <v>1</v>
      </c>
      <c r="W783" s="6" t="s">
        <v>779</v>
      </c>
      <c r="X783" s="6" t="s">
        <v>408</v>
      </c>
      <c r="Y783" s="6" t="n">
        <v>5500</v>
      </c>
      <c r="Z783" s="6" t="s">
        <v>763</v>
      </c>
      <c r="AA783" s="6" t="s">
        <v>764</v>
      </c>
      <c r="AB783" s="15" t="str">
        <f aca="true" t="array" ref="AB783:AB783">LEFT(AA783,LOOKUP(2^15,FIND(".",AA783,ROW(INDIRECT("1:"&amp;LEN(AA783)))))-1)</f>
        <v>NB_2022_047 - 11102022 - 1</v>
      </c>
      <c r="AC783" s="6" t="s">
        <v>766</v>
      </c>
      <c r="AD783" s="15" t="str">
        <f aca="true" t="array" ref="AD783:AD783">LEFT(AC783,LOOKUP(2^15,FIND(".",AC783,ROW(INDIRECT("1:"&amp;LEN(AC783)))))-1)</f>
        <v>NB_2022_047 - 11102022 - 2</v>
      </c>
      <c r="AE783" s="6" t="str">
        <f aca="false">CONCATENATE(AB783, "-",H783, ".mzML")</f>
        <v>NB_2022_047 - 11102022 - 1-213.mzML</v>
      </c>
      <c r="AF783" s="6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3" t="s">
        <v>1204</v>
      </c>
      <c r="B784" s="34"/>
      <c r="C784" s="4" t="s">
        <v>1205</v>
      </c>
      <c r="D784" s="6" t="s">
        <v>15</v>
      </c>
      <c r="E784" s="6" t="s">
        <v>758</v>
      </c>
      <c r="F784" s="7" t="s">
        <v>759</v>
      </c>
      <c r="G784" s="6" t="s">
        <v>401</v>
      </c>
      <c r="H784" s="16" t="s">
        <v>1021</v>
      </c>
      <c r="I784" s="6" t="str">
        <f aca="false">CONCATENATE(E784, "_",H784)</f>
        <v>NLA_2022_019_216</v>
      </c>
      <c r="J784" s="6" t="s">
        <v>166</v>
      </c>
      <c r="K784" s="6" t="s">
        <v>1023</v>
      </c>
      <c r="L784" s="6" t="s">
        <v>69</v>
      </c>
      <c r="M784" s="3" t="s">
        <v>46</v>
      </c>
      <c r="N784" s="6" t="s">
        <v>404</v>
      </c>
      <c r="O784" s="6" t="s">
        <v>42</v>
      </c>
      <c r="P784" s="6" t="s">
        <v>901</v>
      </c>
      <c r="Q784" s="6" t="s">
        <v>46</v>
      </c>
      <c r="R784" s="6" t="s">
        <v>44</v>
      </c>
      <c r="S784" s="6" t="s">
        <v>46</v>
      </c>
      <c r="T784" s="6" t="s">
        <v>419</v>
      </c>
      <c r="U784" s="6" t="s">
        <v>46</v>
      </c>
      <c r="V784" s="6" t="n">
        <v>1</v>
      </c>
      <c r="W784" s="6" t="s">
        <v>846</v>
      </c>
      <c r="X784" s="6" t="s">
        <v>408</v>
      </c>
      <c r="Y784" s="6" t="n">
        <v>5500</v>
      </c>
      <c r="Z784" s="6" t="s">
        <v>763</v>
      </c>
      <c r="AA784" s="6" t="s">
        <v>764</v>
      </c>
      <c r="AB784" s="15" t="str">
        <f aca="true" t="array" ref="AB784:AB784">LEFT(AA784,LOOKUP(2^15,FIND(".",AA784,ROW(INDIRECT("1:"&amp;LEN(AA784)))))-1)</f>
        <v>NB_2022_047 - 11102022 - 1</v>
      </c>
      <c r="AC784" s="6" t="s">
        <v>766</v>
      </c>
      <c r="AD784" s="15" t="str">
        <f aca="true" t="array" ref="AD784:AD784">LEFT(AC784,LOOKUP(2^15,FIND(".",AC784,ROW(INDIRECT("1:"&amp;LEN(AC784)))))-1)</f>
        <v>NB_2022_047 - 11102022 - 2</v>
      </c>
      <c r="AE784" s="6" t="str">
        <f aca="false">CONCATENATE(AB784, "-",H784, ".mzML")</f>
        <v>NB_2022_047 - 11102022 - 1-216.mzML</v>
      </c>
      <c r="AF784" s="6" t="str">
        <f aca="false">CONCATENATE(AD784, "-",H784, ".mzML")</f>
        <v>NB_2022_047 - 11102022 - 2-216.mzML</v>
      </c>
    </row>
    <row r="785" customFormat="false" ht="13.8" hidden="false" customHeight="false" outlineLevel="0" collapsed="false">
      <c r="A785" s="33" t="s">
        <v>1204</v>
      </c>
      <c r="B785" s="34"/>
      <c r="C785" s="4" t="s">
        <v>1205</v>
      </c>
      <c r="D785" s="6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3" t="s">
        <v>46</v>
      </c>
      <c r="N785" s="6" t="s">
        <v>65</v>
      </c>
      <c r="O785" s="1" t="s">
        <v>46</v>
      </c>
      <c r="P785" s="1" t="s">
        <v>46</v>
      </c>
      <c r="Q785" s="1" t="s">
        <v>46</v>
      </c>
      <c r="R785" s="6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6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3.8" hidden="false" customHeight="false" outlineLevel="0" collapsed="false">
      <c r="A786" s="33" t="s">
        <v>1204</v>
      </c>
      <c r="B786" s="34"/>
      <c r="C786" s="4" t="s">
        <v>1205</v>
      </c>
      <c r="D786" s="6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3" t="s">
        <v>46</v>
      </c>
      <c r="N786" s="6" t="s">
        <v>65</v>
      </c>
      <c r="O786" s="1" t="s">
        <v>46</v>
      </c>
      <c r="P786" s="1" t="s">
        <v>46</v>
      </c>
      <c r="Q786" s="1" t="s">
        <v>46</v>
      </c>
      <c r="R786" s="6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6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3.8" hidden="false" customHeight="false" outlineLevel="0" collapsed="false">
      <c r="A787" s="33" t="s">
        <v>1204</v>
      </c>
      <c r="B787" s="34"/>
      <c r="C787" s="4" t="s">
        <v>1205</v>
      </c>
      <c r="D787" s="6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3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6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6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3.8" hidden="false" customHeight="false" outlineLevel="0" collapsed="false">
      <c r="A788" s="33" t="s">
        <v>1204</v>
      </c>
      <c r="B788" s="34"/>
      <c r="C788" s="4" t="s">
        <v>1205</v>
      </c>
      <c r="D788" s="6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3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6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6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3.8" hidden="false" customHeight="false" outlineLevel="0" collapsed="false">
      <c r="A789" s="33" t="s">
        <v>1204</v>
      </c>
      <c r="B789" s="34"/>
      <c r="C789" s="4" t="s">
        <v>1205</v>
      </c>
      <c r="D789" s="6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3" t="s">
        <v>46</v>
      </c>
      <c r="N789" s="6" t="s">
        <v>465</v>
      </c>
      <c r="O789" s="1" t="s">
        <v>81</v>
      </c>
      <c r="P789" s="1" t="s">
        <v>81</v>
      </c>
      <c r="Q789" s="1" t="s">
        <v>81</v>
      </c>
      <c r="R789" s="6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6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3.8" hidden="false" customHeight="false" outlineLevel="0" collapsed="false">
      <c r="A790" s="33" t="s">
        <v>1204</v>
      </c>
      <c r="B790" s="34"/>
      <c r="C790" s="4" t="s">
        <v>1205</v>
      </c>
      <c r="D790" s="6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3" t="s">
        <v>46</v>
      </c>
      <c r="N790" s="6" t="s">
        <v>465</v>
      </c>
      <c r="O790" s="1" t="s">
        <v>81</v>
      </c>
      <c r="P790" s="1" t="s">
        <v>81</v>
      </c>
      <c r="Q790" s="1" t="s">
        <v>81</v>
      </c>
      <c r="R790" s="6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6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3.8" hidden="false" customHeight="false" outlineLevel="0" collapsed="false">
      <c r="A791" s="33" t="s">
        <v>1204</v>
      </c>
      <c r="B791" s="34"/>
      <c r="C791" s="4" t="s">
        <v>1205</v>
      </c>
      <c r="D791" s="6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3" t="s">
        <v>46</v>
      </c>
      <c r="N791" s="6" t="s">
        <v>465</v>
      </c>
      <c r="O791" s="1" t="s">
        <v>81</v>
      </c>
      <c r="P791" s="1" t="s">
        <v>81</v>
      </c>
      <c r="Q791" s="1" t="s">
        <v>81</v>
      </c>
      <c r="R791" s="6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6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3.8" hidden="false" customHeight="false" outlineLevel="0" collapsed="false">
      <c r="A792" s="33" t="s">
        <v>1204</v>
      </c>
      <c r="B792" s="34"/>
      <c r="C792" s="4" t="s">
        <v>1205</v>
      </c>
      <c r="D792" s="6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3" t="s">
        <v>46</v>
      </c>
      <c r="N792" s="6" t="s">
        <v>465</v>
      </c>
      <c r="O792" s="1" t="s">
        <v>81</v>
      </c>
      <c r="P792" s="1" t="s">
        <v>81</v>
      </c>
      <c r="Q792" s="1" t="s">
        <v>81</v>
      </c>
      <c r="R792" s="6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6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3.8" hidden="false" customHeight="false" outlineLevel="0" collapsed="false">
      <c r="A793" s="33" t="s">
        <v>1204</v>
      </c>
      <c r="B793" s="34"/>
      <c r="C793" s="4" t="s">
        <v>1205</v>
      </c>
      <c r="D793" s="6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3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6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6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3.8" hidden="false" customHeight="false" outlineLevel="0" collapsed="false">
      <c r="A794" s="33" t="s">
        <v>1204</v>
      </c>
      <c r="B794" s="34"/>
      <c r="C794" s="4" t="s">
        <v>1205</v>
      </c>
      <c r="D794" s="6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3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6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6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3.8" hidden="false" customHeight="false" outlineLevel="0" collapsed="false">
      <c r="A795" s="33" t="s">
        <v>1204</v>
      </c>
      <c r="B795" s="34"/>
      <c r="C795" s="4" t="s">
        <v>1205</v>
      </c>
      <c r="D795" s="6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3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6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6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3.8" hidden="false" customHeight="false" outlineLevel="0" collapsed="false">
      <c r="A796" s="33" t="s">
        <v>1204</v>
      </c>
      <c r="B796" s="34"/>
      <c r="C796" s="4" t="s">
        <v>1205</v>
      </c>
      <c r="D796" s="6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3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6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6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3" t="s">
        <v>1204</v>
      </c>
      <c r="B797" s="34"/>
      <c r="C797" s="4" t="s">
        <v>1205</v>
      </c>
      <c r="D797" s="6" t="s">
        <v>15</v>
      </c>
      <c r="E797" s="6" t="s">
        <v>824</v>
      </c>
      <c r="F797" s="7" t="s">
        <v>825</v>
      </c>
      <c r="G797" s="6" t="s">
        <v>401</v>
      </c>
      <c r="H797" s="16" t="s">
        <v>1182</v>
      </c>
      <c r="I797" s="6" t="str">
        <f aca="false">CONCATENATE(E797, "_",H797)</f>
        <v>NLA_2022_020_218</v>
      </c>
      <c r="J797" s="6" t="s">
        <v>166</v>
      </c>
      <c r="K797" s="6" t="s">
        <v>1184</v>
      </c>
      <c r="L797" s="6" t="s">
        <v>69</v>
      </c>
      <c r="M797" s="3" t="s">
        <v>46</v>
      </c>
      <c r="N797" s="6" t="s">
        <v>404</v>
      </c>
      <c r="O797" s="6" t="s">
        <v>42</v>
      </c>
      <c r="P797" s="6" t="s">
        <v>1056</v>
      </c>
      <c r="Q797" s="6" t="s">
        <v>46</v>
      </c>
      <c r="R797" s="6" t="s">
        <v>72</v>
      </c>
      <c r="S797" s="6" t="s">
        <v>46</v>
      </c>
      <c r="T797" s="6" t="s">
        <v>419</v>
      </c>
      <c r="U797" s="6" t="s">
        <v>46</v>
      </c>
      <c r="V797" s="6" t="n">
        <v>1</v>
      </c>
      <c r="W797" s="6" t="s">
        <v>858</v>
      </c>
      <c r="X797" s="6" t="s">
        <v>408</v>
      </c>
      <c r="Y797" s="6" t="n">
        <v>5500</v>
      </c>
      <c r="Z797" s="6" t="s">
        <v>830</v>
      </c>
      <c r="AA797" s="6" t="s">
        <v>831</v>
      </c>
      <c r="AB797" s="15" t="str">
        <f aca="true" t="array" ref="AB797:AB797">LEFT(AA797,LOOKUP(2^15,FIND(".",AA797,ROW(INDIRECT("1:"&amp;LEN(AA797)))))-1)</f>
        <v>NB_2022_047 - 12102022 - 1</v>
      </c>
      <c r="AC797" s="6" t="s">
        <v>833</v>
      </c>
      <c r="AD797" s="15" t="str">
        <f aca="true" t="array" ref="AD797:AD797">LEFT(AC797,LOOKUP(2^15,FIND(".",AC797,ROW(INDIRECT("1:"&amp;LEN(AC797)))))-1)</f>
        <v>NB_2022_047 - 12102022 - 2</v>
      </c>
      <c r="AE797" s="6" t="str">
        <f aca="false">CONCATENATE(AB797, "-",H797, ".mzML")</f>
        <v>NB_2022_047 - 12102022 - 1-218.mzML</v>
      </c>
      <c r="AF797" s="6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3" t="s">
        <v>1204</v>
      </c>
      <c r="B798" s="34"/>
      <c r="C798" s="4" t="s">
        <v>1205</v>
      </c>
      <c r="D798" s="6" t="s">
        <v>15</v>
      </c>
      <c r="E798" s="6" t="s">
        <v>824</v>
      </c>
      <c r="F798" s="7" t="s">
        <v>825</v>
      </c>
      <c r="G798" s="6" t="s">
        <v>401</v>
      </c>
      <c r="H798" s="16" t="s">
        <v>1189</v>
      </c>
      <c r="I798" s="6" t="str">
        <f aca="false">CONCATENATE(E798, "_",H798)</f>
        <v>NLA_2022_020_224</v>
      </c>
      <c r="J798" s="6" t="s">
        <v>166</v>
      </c>
      <c r="K798" s="31" t="s">
        <v>1191</v>
      </c>
      <c r="L798" s="6" t="s">
        <v>69</v>
      </c>
      <c r="M798" s="3" t="s">
        <v>46</v>
      </c>
      <c r="N798" s="6" t="s">
        <v>404</v>
      </c>
      <c r="O798" s="6" t="s">
        <v>42</v>
      </c>
      <c r="P798" s="6" t="s">
        <v>1056</v>
      </c>
      <c r="Q798" s="6" t="s">
        <v>46</v>
      </c>
      <c r="R798" s="6" t="s">
        <v>44</v>
      </c>
      <c r="S798" s="6" t="s">
        <v>46</v>
      </c>
      <c r="T798" s="6" t="s">
        <v>419</v>
      </c>
      <c r="U798" s="6" t="s">
        <v>46</v>
      </c>
      <c r="V798" s="6" t="n">
        <v>1</v>
      </c>
      <c r="W798" s="6" t="s">
        <v>773</v>
      </c>
      <c r="X798" s="6" t="s">
        <v>408</v>
      </c>
      <c r="Y798" s="6" t="n">
        <v>5500</v>
      </c>
      <c r="Z798" s="6" t="s">
        <v>830</v>
      </c>
      <c r="AA798" s="6" t="s">
        <v>831</v>
      </c>
      <c r="AB798" s="15" t="str">
        <f aca="true" t="array" ref="AB798:AB798">LEFT(AA798,LOOKUP(2^15,FIND(".",AA798,ROW(INDIRECT("1:"&amp;LEN(AA798)))))-1)</f>
        <v>NB_2022_047 - 12102022 - 1</v>
      </c>
      <c r="AC798" s="6" t="s">
        <v>833</v>
      </c>
      <c r="AD798" s="15" t="str">
        <f aca="true" t="array" ref="AD798:AD798">LEFT(AC798,LOOKUP(2^15,FIND(".",AC798,ROW(INDIRECT("1:"&amp;LEN(AC798)))))-1)</f>
        <v>NB_2022_047 - 12102022 - 2</v>
      </c>
      <c r="AE798" s="6" t="str">
        <f aca="false">CONCATENATE(AB798, "-",H798, ".mzML")</f>
        <v>NB_2022_047 - 12102022 - 1-224.mzML</v>
      </c>
      <c r="AF798" s="6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3" t="s">
        <v>1204</v>
      </c>
      <c r="B799" s="34"/>
      <c r="C799" s="4" t="s">
        <v>1205</v>
      </c>
      <c r="D799" s="6" t="s">
        <v>15</v>
      </c>
      <c r="E799" s="6" t="s">
        <v>824</v>
      </c>
      <c r="F799" s="7" t="s">
        <v>825</v>
      </c>
      <c r="G799" s="6" t="s">
        <v>401</v>
      </c>
      <c r="H799" s="16" t="s">
        <v>843</v>
      </c>
      <c r="I799" s="6" t="str">
        <f aca="false">CONCATENATE(E799, "_",H799)</f>
        <v>NLA_2022_020_230</v>
      </c>
      <c r="J799" s="6" t="s">
        <v>166</v>
      </c>
      <c r="K799" s="6" t="s">
        <v>845</v>
      </c>
      <c r="L799" s="6" t="s">
        <v>69</v>
      </c>
      <c r="M799" s="3" t="s">
        <v>46</v>
      </c>
      <c r="N799" s="6" t="s">
        <v>404</v>
      </c>
      <c r="O799" s="6" t="s">
        <v>42</v>
      </c>
      <c r="P799" s="6" t="s">
        <v>405</v>
      </c>
      <c r="Q799" s="6" t="s">
        <v>46</v>
      </c>
      <c r="R799" s="6" t="s">
        <v>44</v>
      </c>
      <c r="S799" s="6" t="s">
        <v>46</v>
      </c>
      <c r="T799" s="6" t="s">
        <v>419</v>
      </c>
      <c r="U799" s="6" t="s">
        <v>46</v>
      </c>
      <c r="V799" s="6" t="n">
        <v>1</v>
      </c>
      <c r="W799" s="6" t="s">
        <v>846</v>
      </c>
      <c r="X799" s="6" t="s">
        <v>408</v>
      </c>
      <c r="Y799" s="6" t="n">
        <v>5500</v>
      </c>
      <c r="Z799" s="6" t="s">
        <v>830</v>
      </c>
      <c r="AA799" s="6" t="s">
        <v>831</v>
      </c>
      <c r="AB799" s="15" t="str">
        <f aca="true" t="array" ref="AB799:AB799">LEFT(AA799,LOOKUP(2^15,FIND(".",AA799,ROW(INDIRECT("1:"&amp;LEN(AA799)))))-1)</f>
        <v>NB_2022_047 - 12102022 - 1</v>
      </c>
      <c r="AC799" s="6" t="s">
        <v>833</v>
      </c>
      <c r="AD799" s="15" t="str">
        <f aca="true" t="array" ref="AD799:AD799">LEFT(AC799,LOOKUP(2^15,FIND(".",AC799,ROW(INDIRECT("1:"&amp;LEN(AC799)))))-1)</f>
        <v>NB_2022_047 - 12102022 - 2</v>
      </c>
      <c r="AE799" s="6" t="str">
        <f aca="false">CONCATENATE(AB799, "-",H799, ".mzML")</f>
        <v>NB_2022_047 - 12102022 - 1-230.mzML</v>
      </c>
      <c r="AF799" s="6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3" t="s">
        <v>1204</v>
      </c>
      <c r="B800" s="34"/>
      <c r="C800" s="4" t="s">
        <v>1205</v>
      </c>
      <c r="D800" s="6" t="s">
        <v>15</v>
      </c>
      <c r="E800" s="6" t="s">
        <v>824</v>
      </c>
      <c r="F800" s="7" t="s">
        <v>825</v>
      </c>
      <c r="G800" s="6" t="s">
        <v>401</v>
      </c>
      <c r="H800" s="16" t="s">
        <v>1036</v>
      </c>
      <c r="I800" s="6" t="str">
        <f aca="false">CONCATENATE(E800, "_",H800)</f>
        <v>NLA_2022_020_233</v>
      </c>
      <c r="J800" s="6" t="s">
        <v>166</v>
      </c>
      <c r="K800" s="6" t="s">
        <v>1038</v>
      </c>
      <c r="L800" s="6" t="s">
        <v>69</v>
      </c>
      <c r="M800" s="3" t="s">
        <v>46</v>
      </c>
      <c r="N800" s="6" t="s">
        <v>404</v>
      </c>
      <c r="O800" s="6" t="s">
        <v>42</v>
      </c>
      <c r="P800" s="6" t="s">
        <v>901</v>
      </c>
      <c r="Q800" s="6" t="s">
        <v>46</v>
      </c>
      <c r="R800" s="6" t="s">
        <v>44</v>
      </c>
      <c r="S800" s="6" t="s">
        <v>46</v>
      </c>
      <c r="T800" s="6" t="s">
        <v>419</v>
      </c>
      <c r="U800" s="6" t="s">
        <v>46</v>
      </c>
      <c r="V800" s="6" t="n">
        <v>1</v>
      </c>
      <c r="W800" s="6" t="s">
        <v>1039</v>
      </c>
      <c r="X800" s="6" t="s">
        <v>408</v>
      </c>
      <c r="Y800" s="6" t="n">
        <v>5500</v>
      </c>
      <c r="Z800" s="6" t="s">
        <v>830</v>
      </c>
      <c r="AA800" s="6" t="s">
        <v>831</v>
      </c>
      <c r="AB800" s="15" t="str">
        <f aca="true" t="array" ref="AB800:AB800">LEFT(AA800,LOOKUP(2^15,FIND(".",AA800,ROW(INDIRECT("1:"&amp;LEN(AA800)))))-1)</f>
        <v>NB_2022_047 - 12102022 - 1</v>
      </c>
      <c r="AC800" s="6" t="s">
        <v>833</v>
      </c>
      <c r="AD800" s="15" t="str">
        <f aca="true" t="array" ref="AD800:AD800">LEFT(AC800,LOOKUP(2^15,FIND(".",AC800,ROW(INDIRECT("1:"&amp;LEN(AC800)))))-1)</f>
        <v>NB_2022_047 - 12102022 - 2</v>
      </c>
      <c r="AE800" s="6" t="str">
        <f aca="false">CONCATENATE(AB800, "-",H800, ".mzML")</f>
        <v>NB_2022_047 - 12102022 - 1-233.mzML</v>
      </c>
      <c r="AF800" s="6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3" t="s">
        <v>1204</v>
      </c>
      <c r="B801" s="34"/>
      <c r="C801" s="4" t="s">
        <v>1205</v>
      </c>
      <c r="D801" s="6" t="s">
        <v>15</v>
      </c>
      <c r="E801" s="6" t="s">
        <v>824</v>
      </c>
      <c r="F801" s="7" t="s">
        <v>825</v>
      </c>
      <c r="G801" s="6" t="s">
        <v>401</v>
      </c>
      <c r="H801" s="16" t="s">
        <v>1042</v>
      </c>
      <c r="I801" s="6" t="str">
        <f aca="false">CONCATENATE(E801, "_",H801)</f>
        <v>NLA_2022_020_237</v>
      </c>
      <c r="J801" s="6" t="s">
        <v>166</v>
      </c>
      <c r="K801" s="6" t="s">
        <v>1044</v>
      </c>
      <c r="L801" s="6" t="s">
        <v>69</v>
      </c>
      <c r="M801" s="3" t="s">
        <v>46</v>
      </c>
      <c r="N801" s="6" t="s">
        <v>404</v>
      </c>
      <c r="O801" s="6" t="s">
        <v>430</v>
      </c>
      <c r="P801" s="6" t="s">
        <v>901</v>
      </c>
      <c r="Q801" s="6" t="s">
        <v>46</v>
      </c>
      <c r="R801" s="6" t="s">
        <v>44</v>
      </c>
      <c r="S801" s="6" t="s">
        <v>46</v>
      </c>
      <c r="T801" s="6" t="s">
        <v>419</v>
      </c>
      <c r="U801" s="6" t="s">
        <v>46</v>
      </c>
      <c r="V801" s="6" t="n">
        <v>1</v>
      </c>
      <c r="W801" s="6" t="s">
        <v>858</v>
      </c>
      <c r="X801" s="6" t="s">
        <v>408</v>
      </c>
      <c r="Y801" s="6" t="n">
        <v>5500</v>
      </c>
      <c r="Z801" s="6" t="s">
        <v>830</v>
      </c>
      <c r="AA801" s="6" t="s">
        <v>831</v>
      </c>
      <c r="AB801" s="15" t="str">
        <f aca="true" t="array" ref="AB801:AB801">LEFT(AA801,LOOKUP(2^15,FIND(".",AA801,ROW(INDIRECT("1:"&amp;LEN(AA801)))))-1)</f>
        <v>NB_2022_047 - 12102022 - 1</v>
      </c>
      <c r="AC801" s="6" t="s">
        <v>833</v>
      </c>
      <c r="AD801" s="15" t="str">
        <f aca="true" t="array" ref="AD801:AD801">LEFT(AC801,LOOKUP(2^15,FIND(".",AC801,ROW(INDIRECT("1:"&amp;LEN(AC801)))))-1)</f>
        <v>NB_2022_047 - 12102022 - 2</v>
      </c>
      <c r="AE801" s="6" t="str">
        <f aca="false">CONCATENATE(AB801, "-",H801, ".mzML")</f>
        <v>NB_2022_047 - 12102022 - 1-237.mzML</v>
      </c>
      <c r="AF801" s="6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3" t="s">
        <v>1204</v>
      </c>
      <c r="B802" s="34"/>
      <c r="C802" s="4" t="s">
        <v>1205</v>
      </c>
      <c r="D802" s="6" t="s">
        <v>15</v>
      </c>
      <c r="E802" s="6" t="s">
        <v>824</v>
      </c>
      <c r="F802" s="7" t="s">
        <v>825</v>
      </c>
      <c r="G802" s="6" t="s">
        <v>401</v>
      </c>
      <c r="H802" s="16" t="s">
        <v>855</v>
      </c>
      <c r="I802" s="6" t="str">
        <f aca="false">CONCATENATE(E802, "_",H802)</f>
        <v>NLA_2022_020_241</v>
      </c>
      <c r="J802" s="1" t="s">
        <v>166</v>
      </c>
      <c r="K802" s="6" t="s">
        <v>857</v>
      </c>
      <c r="L802" s="6" t="s">
        <v>69</v>
      </c>
      <c r="M802" s="3" t="s">
        <v>46</v>
      </c>
      <c r="N802" s="6" t="s">
        <v>404</v>
      </c>
      <c r="O802" s="6" t="s">
        <v>665</v>
      </c>
      <c r="P802" s="6" t="s">
        <v>405</v>
      </c>
      <c r="Q802" s="6" t="s">
        <v>46</v>
      </c>
      <c r="R802" s="6" t="s">
        <v>72</v>
      </c>
      <c r="S802" s="6" t="s">
        <v>46</v>
      </c>
      <c r="T802" s="6" t="s">
        <v>419</v>
      </c>
      <c r="U802" s="6" t="s">
        <v>46</v>
      </c>
      <c r="V802" s="6" t="n">
        <v>1</v>
      </c>
      <c r="W802" s="1" t="s">
        <v>858</v>
      </c>
      <c r="X802" s="6" t="s">
        <v>408</v>
      </c>
      <c r="Y802" s="6" t="n">
        <v>5500</v>
      </c>
      <c r="Z802" s="6" t="s">
        <v>830</v>
      </c>
      <c r="AA802" s="6" t="s">
        <v>831</v>
      </c>
      <c r="AB802" s="15" t="str">
        <f aca="true" t="array" ref="AB802:AB802">LEFT(AA802,LOOKUP(2^15,FIND(".",AA802,ROW(INDIRECT("1:"&amp;LEN(AA802)))))-1)</f>
        <v>NB_2022_047 - 12102022 - 1</v>
      </c>
      <c r="AC802" s="6" t="s">
        <v>833</v>
      </c>
      <c r="AD802" s="15" t="str">
        <f aca="true" t="array" ref="AD802:AD802">LEFT(AC802,LOOKUP(2^15,FIND(".",AC802,ROW(INDIRECT("1:"&amp;LEN(AC802)))))-1)</f>
        <v>NB_2022_047 - 12102022 - 2</v>
      </c>
      <c r="AE802" s="6" t="str">
        <f aca="false">CONCATENATE(AB802, "-",H802, ".mzML")</f>
        <v>NB_2022_047 - 12102022 - 1-241.mzML</v>
      </c>
      <c r="AF802" s="6" t="str">
        <f aca="false">CONCATENATE(AD802, "-",H802, ".mzML")</f>
        <v>NB_2022_047 - 12102022 - 2-241.mzML</v>
      </c>
    </row>
    <row r="803" customFormat="false" ht="13.8" hidden="false" customHeight="false" outlineLevel="0" collapsed="false">
      <c r="A803" s="33" t="s">
        <v>1204</v>
      </c>
      <c r="B803" s="34"/>
      <c r="C803" s="4" t="s">
        <v>1205</v>
      </c>
      <c r="D803" s="6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3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6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6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3.8" hidden="false" customHeight="false" outlineLevel="0" collapsed="false">
      <c r="A804" s="33" t="s">
        <v>1204</v>
      </c>
      <c r="B804" s="34"/>
      <c r="C804" s="4" t="s">
        <v>1205</v>
      </c>
      <c r="D804" s="6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3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6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6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3.8" hidden="false" customHeight="false" outlineLevel="0" collapsed="false">
      <c r="A805" s="33" t="s">
        <v>1204</v>
      </c>
      <c r="B805" s="34"/>
      <c r="C805" s="4" t="s">
        <v>1205</v>
      </c>
      <c r="D805" s="6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3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6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6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3.8" hidden="false" customHeight="false" outlineLevel="0" collapsed="false">
      <c r="A806" s="33" t="s">
        <v>1204</v>
      </c>
      <c r="B806" s="34"/>
      <c r="C806" s="4" t="s">
        <v>1205</v>
      </c>
      <c r="D806" s="6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3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6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6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3.8" hidden="false" customHeight="false" outlineLevel="0" collapsed="false">
      <c r="A807" s="33" t="s">
        <v>1204</v>
      </c>
      <c r="B807" s="34"/>
      <c r="C807" s="4" t="s">
        <v>1205</v>
      </c>
      <c r="D807" s="6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3" t="s">
        <v>46</v>
      </c>
      <c r="N807" s="6" t="s">
        <v>465</v>
      </c>
      <c r="O807" s="1" t="s">
        <v>81</v>
      </c>
      <c r="P807" s="1" t="s">
        <v>81</v>
      </c>
      <c r="Q807" s="1" t="s">
        <v>81</v>
      </c>
      <c r="R807" s="6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6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3.8" hidden="false" customHeight="false" outlineLevel="0" collapsed="false">
      <c r="A808" s="33" t="s">
        <v>1204</v>
      </c>
      <c r="B808" s="34"/>
      <c r="C808" s="4" t="s">
        <v>1205</v>
      </c>
      <c r="D808" s="6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3" t="s">
        <v>46</v>
      </c>
      <c r="N808" s="6" t="s">
        <v>465</v>
      </c>
      <c r="O808" s="1" t="s">
        <v>81</v>
      </c>
      <c r="P808" s="1" t="s">
        <v>81</v>
      </c>
      <c r="Q808" s="1" t="s">
        <v>81</v>
      </c>
      <c r="R808" s="6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6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3.8" hidden="false" customHeight="false" outlineLevel="0" collapsed="false">
      <c r="A809" s="33" t="s">
        <v>1204</v>
      </c>
      <c r="B809" s="34"/>
      <c r="C809" s="4" t="s">
        <v>1205</v>
      </c>
      <c r="D809" s="6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3" t="s">
        <v>46</v>
      </c>
      <c r="N809" s="6" t="s">
        <v>465</v>
      </c>
      <c r="O809" s="1" t="s">
        <v>81</v>
      </c>
      <c r="P809" s="1" t="s">
        <v>81</v>
      </c>
      <c r="Q809" s="1" t="s">
        <v>81</v>
      </c>
      <c r="R809" s="6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6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3.8" hidden="false" customHeight="false" outlineLevel="0" collapsed="false">
      <c r="A810" s="33" t="s">
        <v>1204</v>
      </c>
      <c r="B810" s="34"/>
      <c r="C810" s="4" t="s">
        <v>1205</v>
      </c>
      <c r="D810" s="6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3" t="s">
        <v>46</v>
      </c>
      <c r="N810" s="6" t="s">
        <v>465</v>
      </c>
      <c r="O810" s="1" t="s">
        <v>81</v>
      </c>
      <c r="P810" s="1" t="s">
        <v>81</v>
      </c>
      <c r="Q810" s="1" t="s">
        <v>81</v>
      </c>
      <c r="R810" s="6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6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3.8" hidden="false" customHeight="false" outlineLevel="0" collapsed="false">
      <c r="A811" s="33" t="s">
        <v>1204</v>
      </c>
      <c r="B811" s="34"/>
      <c r="C811" s="4" t="s">
        <v>1205</v>
      </c>
      <c r="D811" s="6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3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6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6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3.8" hidden="false" customHeight="false" outlineLevel="0" collapsed="false">
      <c r="A812" s="33" t="s">
        <v>1204</v>
      </c>
      <c r="B812" s="34"/>
      <c r="C812" s="4" t="s">
        <v>1205</v>
      </c>
      <c r="D812" s="6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3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6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6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3.8" hidden="false" customHeight="false" outlineLevel="0" collapsed="false">
      <c r="A813" s="33" t="s">
        <v>1204</v>
      </c>
      <c r="B813" s="34"/>
      <c r="C813" s="4" t="s">
        <v>1205</v>
      </c>
      <c r="D813" s="6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3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6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6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3.8" hidden="false" customHeight="false" outlineLevel="0" collapsed="false">
      <c r="A814" s="33" t="s">
        <v>1204</v>
      </c>
      <c r="B814" s="34"/>
      <c r="C814" s="4" t="s">
        <v>1205</v>
      </c>
      <c r="D814" s="6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3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6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6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3" t="s">
        <v>1206</v>
      </c>
      <c r="B815" s="34"/>
      <c r="C815" s="4" t="s">
        <v>1207</v>
      </c>
      <c r="D815" s="6" t="s">
        <v>14</v>
      </c>
      <c r="E815" s="6" t="s">
        <v>186</v>
      </c>
      <c r="F815" s="7" t="s">
        <v>187</v>
      </c>
      <c r="G815" s="6" t="s">
        <v>1208</v>
      </c>
      <c r="H815" s="27" t="s">
        <v>1209</v>
      </c>
      <c r="I815" s="6" t="str">
        <f aca="false">CONCATENATE(E815, "_",H815)</f>
        <v>NLA_2022_001_006-1</v>
      </c>
      <c r="J815" s="6" t="s">
        <v>38</v>
      </c>
      <c r="K815" s="6" t="s">
        <v>1210</v>
      </c>
      <c r="L815" s="9" t="s">
        <v>69</v>
      </c>
      <c r="M815" s="13" t="s">
        <v>1211</v>
      </c>
      <c r="N815" s="6" t="s">
        <v>246</v>
      </c>
      <c r="O815" s="35" t="s">
        <v>1212</v>
      </c>
      <c r="P815" s="6" t="s">
        <v>1213</v>
      </c>
      <c r="Q815" s="6" t="s">
        <v>1214</v>
      </c>
      <c r="R815" s="6" t="s">
        <v>72</v>
      </c>
      <c r="S815" s="6" t="s">
        <v>73</v>
      </c>
      <c r="U815" s="6" t="n">
        <v>1500</v>
      </c>
      <c r="V815" s="1" t="n">
        <v>1</v>
      </c>
      <c r="W815" s="6"/>
      <c r="X815" s="9" t="s">
        <v>1215</v>
      </c>
      <c r="Y815" s="1" t="n">
        <v>5500</v>
      </c>
      <c r="Z815" s="6" t="s">
        <v>194</v>
      </c>
      <c r="AA815" s="6" t="s">
        <v>195</v>
      </c>
      <c r="AB815" s="15" t="str">
        <f aca="true" t="array" ref="AB815:AB815">LEFT(AA815,LOOKUP(2^15,FIND(".",AA815,ROW(INDIRECT("1:"&amp;LEN(AA815)))))-1)</f>
        <v>NB_2022_006+007+010 - 25022022 - 1</v>
      </c>
      <c r="AC815" s="6" t="s">
        <v>196</v>
      </c>
      <c r="AD815" s="15" t="str">
        <f aca="true" t="array" ref="AD815:AD815">LEFT(AC815,LOOKUP(2^15,FIND(".",AC815,ROW(INDIRECT("1:"&amp;LEN(AC815)))))-1)</f>
        <v>NB_2022_006+007+010 - 25022022 - 2</v>
      </c>
      <c r="AE815" s="6" t="str">
        <f aca="false">CONCATENATE(AB815, "-",H815, ".mzML")</f>
        <v>NB_2022_006+007+010 - 25022022 - 1-006-1.mzML</v>
      </c>
      <c r="AF815" s="6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3" t="s">
        <v>1206</v>
      </c>
      <c r="B816" s="34"/>
      <c r="C816" s="4" t="s">
        <v>1207</v>
      </c>
      <c r="D816" s="6" t="s">
        <v>14</v>
      </c>
      <c r="E816" s="6" t="s">
        <v>186</v>
      </c>
      <c r="F816" s="7" t="s">
        <v>187</v>
      </c>
      <c r="G816" s="6" t="s">
        <v>1208</v>
      </c>
      <c r="H816" s="27" t="s">
        <v>1216</v>
      </c>
      <c r="I816" s="6" t="str">
        <f aca="false">CONCATENATE(E816, "_",H816)</f>
        <v>NLA_2022_001_006-2</v>
      </c>
      <c r="J816" s="6" t="s">
        <v>38</v>
      </c>
      <c r="K816" s="6" t="s">
        <v>1210</v>
      </c>
      <c r="L816" s="9" t="s">
        <v>69</v>
      </c>
      <c r="M816" s="13" t="s">
        <v>1211</v>
      </c>
      <c r="N816" s="6" t="s">
        <v>246</v>
      </c>
      <c r="O816" s="35" t="s">
        <v>1212</v>
      </c>
      <c r="P816" s="6" t="s">
        <v>1213</v>
      </c>
      <c r="Q816" s="6" t="s">
        <v>1214</v>
      </c>
      <c r="R816" s="6" t="s">
        <v>72</v>
      </c>
      <c r="S816" s="6" t="s">
        <v>73</v>
      </c>
      <c r="U816" s="6" t="n">
        <v>1500</v>
      </c>
      <c r="V816" s="1" t="n">
        <v>2</v>
      </c>
      <c r="W816" s="6"/>
      <c r="X816" s="9" t="s">
        <v>1215</v>
      </c>
      <c r="Y816" s="1" t="n">
        <v>5500</v>
      </c>
      <c r="Z816" s="6" t="s">
        <v>194</v>
      </c>
      <c r="AA816" s="6" t="s">
        <v>195</v>
      </c>
      <c r="AB816" s="15" t="str">
        <f aca="true" t="array" ref="AB816:AB816">LEFT(AA816,LOOKUP(2^15,FIND(".",AA816,ROW(INDIRECT("1:"&amp;LEN(AA816)))))-1)</f>
        <v>NB_2022_006+007+010 - 25022022 - 1</v>
      </c>
      <c r="AC816" s="6" t="s">
        <v>196</v>
      </c>
      <c r="AD816" s="15" t="str">
        <f aca="true" t="array" ref="AD816:AD816">LEFT(AC816,LOOKUP(2^15,FIND(".",AC816,ROW(INDIRECT("1:"&amp;LEN(AC816)))))-1)</f>
        <v>NB_2022_006+007+010 - 25022022 - 2</v>
      </c>
      <c r="AE816" s="6" t="str">
        <f aca="false">CONCATENATE(AB816, "-",H816, ".mzML")</f>
        <v>NB_2022_006+007+010 - 25022022 - 1-006-2.mzML</v>
      </c>
      <c r="AF816" s="6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3" t="s">
        <v>1206</v>
      </c>
      <c r="B817" s="34"/>
      <c r="C817" s="4" t="s">
        <v>1207</v>
      </c>
      <c r="D817" s="6" t="s">
        <v>14</v>
      </c>
      <c r="E817" s="6" t="s">
        <v>186</v>
      </c>
      <c r="F817" s="7" t="s">
        <v>187</v>
      </c>
      <c r="G817" s="6" t="s">
        <v>1208</v>
      </c>
      <c r="H817" s="27" t="s">
        <v>1217</v>
      </c>
      <c r="I817" s="6" t="str">
        <f aca="false">CONCATENATE(E817, "_",H817)</f>
        <v>NLA_2022_001_006-3</v>
      </c>
      <c r="J817" s="6" t="s">
        <v>38</v>
      </c>
      <c r="K817" s="6" t="s">
        <v>1210</v>
      </c>
      <c r="L817" s="9" t="s">
        <v>69</v>
      </c>
      <c r="M817" s="13" t="s">
        <v>1211</v>
      </c>
      <c r="N817" s="6" t="s">
        <v>246</v>
      </c>
      <c r="O817" s="35" t="s">
        <v>1212</v>
      </c>
      <c r="P817" s="6" t="s">
        <v>1213</v>
      </c>
      <c r="Q817" s="6" t="s">
        <v>1214</v>
      </c>
      <c r="R817" s="6" t="s">
        <v>72</v>
      </c>
      <c r="S817" s="6" t="s">
        <v>73</v>
      </c>
      <c r="U817" s="6" t="n">
        <v>1500</v>
      </c>
      <c r="V817" s="1" t="n">
        <v>3</v>
      </c>
      <c r="W817" s="6"/>
      <c r="X817" s="9" t="s">
        <v>1215</v>
      </c>
      <c r="Y817" s="1" t="n">
        <v>5500</v>
      </c>
      <c r="Z817" s="6" t="s">
        <v>194</v>
      </c>
      <c r="AA817" s="6" t="s">
        <v>195</v>
      </c>
      <c r="AB817" s="15" t="str">
        <f aca="true" t="array" ref="AB817:AB817">LEFT(AA817,LOOKUP(2^15,FIND(".",AA817,ROW(INDIRECT("1:"&amp;LEN(AA817)))))-1)</f>
        <v>NB_2022_006+007+010 - 25022022 - 1</v>
      </c>
      <c r="AC817" s="6" t="s">
        <v>196</v>
      </c>
      <c r="AD817" s="15" t="str">
        <f aca="true" t="array" ref="AD817:AD817">LEFT(AC817,LOOKUP(2^15,FIND(".",AC817,ROW(INDIRECT("1:"&amp;LEN(AC817)))))-1)</f>
        <v>NB_2022_006+007+010 - 25022022 - 2</v>
      </c>
      <c r="AE817" s="6" t="str">
        <f aca="false">CONCATENATE(AB817, "-",H817, ".mzML")</f>
        <v>NB_2022_006+007+010 - 25022022 - 1-006-3.mzML</v>
      </c>
      <c r="AF817" s="6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3" t="s">
        <v>1206</v>
      </c>
      <c r="B818" s="34"/>
      <c r="C818" s="4" t="s">
        <v>1207</v>
      </c>
      <c r="D818" s="6" t="s">
        <v>14</v>
      </c>
      <c r="E818" s="6" t="s">
        <v>186</v>
      </c>
      <c r="F818" s="7" t="s">
        <v>187</v>
      </c>
      <c r="G818" s="6" t="s">
        <v>1208</v>
      </c>
      <c r="H818" s="27" t="s">
        <v>1218</v>
      </c>
      <c r="I818" s="6" t="str">
        <f aca="false">CONCATENATE(E818, "_",H818)</f>
        <v>NLA_2022_001_006-4</v>
      </c>
      <c r="J818" s="6" t="s">
        <v>52</v>
      </c>
      <c r="K818" s="6" t="s">
        <v>1219</v>
      </c>
      <c r="L818" s="9" t="s">
        <v>69</v>
      </c>
      <c r="M818" s="13" t="s">
        <v>1211</v>
      </c>
      <c r="N818" s="6" t="s">
        <v>246</v>
      </c>
      <c r="O818" s="35" t="s">
        <v>1220</v>
      </c>
      <c r="P818" s="6" t="s">
        <v>1213</v>
      </c>
      <c r="Q818" s="6" t="s">
        <v>1213</v>
      </c>
      <c r="R818" s="6" t="s">
        <v>72</v>
      </c>
      <c r="S818" s="6" t="s">
        <v>73</v>
      </c>
      <c r="U818" s="6" t="n">
        <v>1500</v>
      </c>
      <c r="V818" s="1" t="n">
        <v>1</v>
      </c>
      <c r="W818" s="6"/>
      <c r="X818" s="9" t="s">
        <v>1215</v>
      </c>
      <c r="Y818" s="1" t="n">
        <v>5500</v>
      </c>
      <c r="Z818" s="6" t="s">
        <v>194</v>
      </c>
      <c r="AA818" s="6" t="s">
        <v>195</v>
      </c>
      <c r="AB818" s="15" t="str">
        <f aca="true" t="array" ref="AB818:AB818">LEFT(AA818,LOOKUP(2^15,FIND(".",AA818,ROW(INDIRECT("1:"&amp;LEN(AA818)))))-1)</f>
        <v>NB_2022_006+007+010 - 25022022 - 1</v>
      </c>
      <c r="AC818" s="6" t="s">
        <v>196</v>
      </c>
      <c r="AD818" s="15" t="str">
        <f aca="true" t="array" ref="AD818:AD818">LEFT(AC818,LOOKUP(2^15,FIND(".",AC818,ROW(INDIRECT("1:"&amp;LEN(AC818)))))-1)</f>
        <v>NB_2022_006+007+010 - 25022022 - 2</v>
      </c>
      <c r="AE818" s="6" t="str">
        <f aca="false">CONCATENATE(AB818, "-",H818, ".mzML")</f>
        <v>NB_2022_006+007+010 - 25022022 - 1-006-4.mzML</v>
      </c>
      <c r="AF818" s="6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3" t="s">
        <v>1206</v>
      </c>
      <c r="B819" s="34"/>
      <c r="C819" s="4" t="s">
        <v>1207</v>
      </c>
      <c r="D819" s="6" t="s">
        <v>14</v>
      </c>
      <c r="E819" s="6" t="s">
        <v>186</v>
      </c>
      <c r="F819" s="7" t="s">
        <v>187</v>
      </c>
      <c r="G819" s="6" t="s">
        <v>1208</v>
      </c>
      <c r="H819" s="27" t="s">
        <v>1221</v>
      </c>
      <c r="I819" s="6" t="str">
        <f aca="false">CONCATENATE(E819, "_",H819)</f>
        <v>NLA_2022_001_006-5</v>
      </c>
      <c r="J819" s="6" t="s">
        <v>52</v>
      </c>
      <c r="K819" s="6" t="s">
        <v>1219</v>
      </c>
      <c r="L819" s="9" t="s">
        <v>69</v>
      </c>
      <c r="M819" s="13" t="s">
        <v>1211</v>
      </c>
      <c r="N819" s="6" t="s">
        <v>246</v>
      </c>
      <c r="O819" s="35" t="s">
        <v>1220</v>
      </c>
      <c r="P819" s="6" t="s">
        <v>1213</v>
      </c>
      <c r="Q819" s="6" t="s">
        <v>1213</v>
      </c>
      <c r="R819" s="6" t="s">
        <v>72</v>
      </c>
      <c r="S819" s="6" t="s">
        <v>73</v>
      </c>
      <c r="U819" s="6" t="n">
        <v>1500</v>
      </c>
      <c r="V819" s="1" t="n">
        <v>2</v>
      </c>
      <c r="W819" s="6"/>
      <c r="X819" s="9" t="s">
        <v>1215</v>
      </c>
      <c r="Y819" s="1" t="n">
        <v>5500</v>
      </c>
      <c r="Z819" s="6" t="s">
        <v>194</v>
      </c>
      <c r="AA819" s="6" t="s">
        <v>195</v>
      </c>
      <c r="AB819" s="15" t="str">
        <f aca="true" t="array" ref="AB819:AB819">LEFT(AA819,LOOKUP(2^15,FIND(".",AA819,ROW(INDIRECT("1:"&amp;LEN(AA819)))))-1)</f>
        <v>NB_2022_006+007+010 - 25022022 - 1</v>
      </c>
      <c r="AC819" s="6" t="s">
        <v>196</v>
      </c>
      <c r="AD819" s="15" t="str">
        <f aca="true" t="array" ref="AD819:AD819">LEFT(AC819,LOOKUP(2^15,FIND(".",AC819,ROW(INDIRECT("1:"&amp;LEN(AC819)))))-1)</f>
        <v>NB_2022_006+007+010 - 25022022 - 2</v>
      </c>
      <c r="AE819" s="6" t="str">
        <f aca="false">CONCATENATE(AB819, "-",H819, ".mzML")</f>
        <v>NB_2022_006+007+010 - 25022022 - 1-006-5.mzML</v>
      </c>
      <c r="AF819" s="6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3" t="s">
        <v>1206</v>
      </c>
      <c r="B820" s="34"/>
      <c r="C820" s="4" t="s">
        <v>1207</v>
      </c>
      <c r="D820" s="6" t="s">
        <v>14</v>
      </c>
      <c r="E820" s="6" t="s">
        <v>186</v>
      </c>
      <c r="F820" s="7" t="s">
        <v>187</v>
      </c>
      <c r="G820" s="6" t="s">
        <v>1208</v>
      </c>
      <c r="H820" s="27" t="s">
        <v>1222</v>
      </c>
      <c r="I820" s="6" t="str">
        <f aca="false">CONCATENATE(E820, "_",H820)</f>
        <v>NLA_2022_001_006-6</v>
      </c>
      <c r="J820" s="6" t="s">
        <v>52</v>
      </c>
      <c r="K820" s="6" t="s">
        <v>1219</v>
      </c>
      <c r="L820" s="9" t="s">
        <v>69</v>
      </c>
      <c r="M820" s="13" t="s">
        <v>1211</v>
      </c>
      <c r="N820" s="6" t="s">
        <v>246</v>
      </c>
      <c r="O820" s="35" t="s">
        <v>1220</v>
      </c>
      <c r="P820" s="6" t="s">
        <v>1213</v>
      </c>
      <c r="Q820" s="6" t="s">
        <v>1213</v>
      </c>
      <c r="R820" s="6" t="s">
        <v>72</v>
      </c>
      <c r="S820" s="6" t="s">
        <v>73</v>
      </c>
      <c r="U820" s="6" t="n">
        <v>1500</v>
      </c>
      <c r="V820" s="1" t="n">
        <v>3</v>
      </c>
      <c r="W820" s="6"/>
      <c r="X820" s="9" t="s">
        <v>1215</v>
      </c>
      <c r="Y820" s="1" t="n">
        <v>5500</v>
      </c>
      <c r="Z820" s="6" t="s">
        <v>194</v>
      </c>
      <c r="AA820" s="6" t="s">
        <v>195</v>
      </c>
      <c r="AB820" s="15" t="str">
        <f aca="true" t="array" ref="AB820:AB820">LEFT(AA820,LOOKUP(2^15,FIND(".",AA820,ROW(INDIRECT("1:"&amp;LEN(AA820)))))-1)</f>
        <v>NB_2022_006+007+010 - 25022022 - 1</v>
      </c>
      <c r="AC820" s="6" t="s">
        <v>196</v>
      </c>
      <c r="AD820" s="15" t="str">
        <f aca="true" t="array" ref="AD820:AD820">LEFT(AC820,LOOKUP(2^15,FIND(".",AC820,ROW(INDIRECT("1:"&amp;LEN(AC820)))))-1)</f>
        <v>NB_2022_006+007+010 - 25022022 - 2</v>
      </c>
      <c r="AE820" s="6" t="str">
        <f aca="false">CONCATENATE(AB820, "-",H820, ".mzML")</f>
        <v>NB_2022_006+007+010 - 25022022 - 1-006-6.mzML</v>
      </c>
      <c r="AF820" s="6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3" t="s">
        <v>1206</v>
      </c>
      <c r="B821" s="34"/>
      <c r="C821" s="4" t="s">
        <v>1207</v>
      </c>
      <c r="D821" s="6" t="s">
        <v>14</v>
      </c>
      <c r="E821" s="6" t="s">
        <v>186</v>
      </c>
      <c r="F821" s="7" t="s">
        <v>187</v>
      </c>
      <c r="G821" s="6" t="s">
        <v>203</v>
      </c>
      <c r="H821" s="22" t="s">
        <v>64</v>
      </c>
      <c r="I821" s="6" t="str">
        <f aca="false">CONCATENATE(E821, "_",H821)</f>
        <v>NLA_2022_001_Blank_1</v>
      </c>
      <c r="J821" s="6" t="s">
        <v>52</v>
      </c>
      <c r="K821" s="6" t="s">
        <v>64</v>
      </c>
      <c r="L821" s="9" t="s">
        <v>46</v>
      </c>
      <c r="M821" s="13" t="s">
        <v>46</v>
      </c>
      <c r="N821" s="6" t="s">
        <v>65</v>
      </c>
      <c r="O821" s="6" t="s">
        <v>46</v>
      </c>
      <c r="P821" s="6" t="s">
        <v>46</v>
      </c>
      <c r="Q821" s="6" t="s">
        <v>46</v>
      </c>
      <c r="R821" s="6" t="s">
        <v>46</v>
      </c>
      <c r="S821" s="6" t="s">
        <v>46</v>
      </c>
      <c r="T821" s="6" t="s">
        <v>46</v>
      </c>
      <c r="U821" s="6" t="s">
        <v>46</v>
      </c>
      <c r="V821" s="1" t="n">
        <v>1</v>
      </c>
      <c r="W821" s="6"/>
      <c r="X821" s="6" t="s">
        <v>46</v>
      </c>
      <c r="Y821" s="6" t="n">
        <v>5500</v>
      </c>
      <c r="Z821" s="6" t="s">
        <v>194</v>
      </c>
      <c r="AA821" s="6" t="s">
        <v>195</v>
      </c>
      <c r="AB821" s="15" t="str">
        <f aca="true" t="array" ref="AB821:AB821">LEFT(AA821,LOOKUP(2^15,FIND(".",AA821,ROW(INDIRECT("1:"&amp;LEN(AA821)))))-1)</f>
        <v>NB_2022_006+007+010 - 25022022 - 1</v>
      </c>
      <c r="AC821" s="6" t="s">
        <v>196</v>
      </c>
      <c r="AD821" s="15" t="str">
        <f aca="true" t="array" ref="AD821:AD821">LEFT(AC821,LOOKUP(2^15,FIND(".",AC821,ROW(INDIRECT("1:"&amp;LEN(AC821)))))-1)</f>
        <v>NB_2022_006+007+010 - 25022022 - 2</v>
      </c>
      <c r="AE821" s="6" t="str">
        <f aca="false">CONCATENATE(AB821, "-",H821, ".mzML")</f>
        <v>NB_2022_006+007+010 - 25022022 - 1-Blank_1.mzML</v>
      </c>
      <c r="AF821" s="6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3" t="s">
        <v>1206</v>
      </c>
      <c r="B822" s="34"/>
      <c r="C822" s="4" t="s">
        <v>1207</v>
      </c>
      <c r="D822" s="6" t="s">
        <v>14</v>
      </c>
      <c r="E822" s="6" t="s">
        <v>186</v>
      </c>
      <c r="F822" s="7" t="s">
        <v>187</v>
      </c>
      <c r="G822" s="6" t="s">
        <v>203</v>
      </c>
      <c r="H822" s="22" t="s">
        <v>66</v>
      </c>
      <c r="I822" s="6" t="str">
        <f aca="false">CONCATENATE(E822, "_",H822)</f>
        <v>NLA_2022_001_Blank_2</v>
      </c>
      <c r="J822" s="6" t="s">
        <v>52</v>
      </c>
      <c r="K822" s="6" t="s">
        <v>66</v>
      </c>
      <c r="L822" s="9" t="s">
        <v>46</v>
      </c>
      <c r="M822" s="13" t="s">
        <v>46</v>
      </c>
      <c r="N822" s="6" t="s">
        <v>65</v>
      </c>
      <c r="O822" s="6" t="s">
        <v>46</v>
      </c>
      <c r="P822" s="6" t="s">
        <v>46</v>
      </c>
      <c r="Q822" s="6" t="s">
        <v>46</v>
      </c>
      <c r="R822" s="6" t="s">
        <v>46</v>
      </c>
      <c r="S822" s="6" t="s">
        <v>46</v>
      </c>
      <c r="T822" s="6" t="s">
        <v>46</v>
      </c>
      <c r="U822" s="6" t="s">
        <v>46</v>
      </c>
      <c r="V822" s="1" t="n">
        <v>2</v>
      </c>
      <c r="W822" s="6"/>
      <c r="X822" s="6" t="s">
        <v>46</v>
      </c>
      <c r="Y822" s="6" t="n">
        <v>5500</v>
      </c>
      <c r="Z822" s="6" t="s">
        <v>194</v>
      </c>
      <c r="AA822" s="6" t="s">
        <v>195</v>
      </c>
      <c r="AB822" s="15" t="str">
        <f aca="true" t="array" ref="AB822:AB822">LEFT(AA822,LOOKUP(2^15,FIND(".",AA822,ROW(INDIRECT("1:"&amp;LEN(AA822)))))-1)</f>
        <v>NB_2022_006+007+010 - 25022022 - 1</v>
      </c>
      <c r="AC822" s="6" t="s">
        <v>196</v>
      </c>
      <c r="AD822" s="15" t="str">
        <f aca="true" t="array" ref="AD822:AD822">LEFT(AC822,LOOKUP(2^15,FIND(".",AC822,ROW(INDIRECT("1:"&amp;LEN(AC822)))))-1)</f>
        <v>NB_2022_006+007+010 - 25022022 - 2</v>
      </c>
      <c r="AE822" s="6" t="str">
        <f aca="false">CONCATENATE(AB822, "-",H822, ".mzML")</f>
        <v>NB_2022_006+007+010 - 25022022 - 1-Blank_2.mzML</v>
      </c>
      <c r="AF822" s="6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3" t="s">
        <v>1206</v>
      </c>
      <c r="B823" s="34"/>
      <c r="C823" s="4" t="s">
        <v>1207</v>
      </c>
      <c r="D823" s="6" t="s">
        <v>14</v>
      </c>
      <c r="E823" s="6" t="s">
        <v>186</v>
      </c>
      <c r="F823" s="7" t="s">
        <v>187</v>
      </c>
      <c r="G823" s="6" t="s">
        <v>203</v>
      </c>
      <c r="H823" s="22" t="s">
        <v>67</v>
      </c>
      <c r="I823" s="6" t="str">
        <f aca="false">CONCATENATE(E823, "_",H823)</f>
        <v>NLA_2022_001_Blank_3</v>
      </c>
      <c r="J823" s="6" t="s">
        <v>52</v>
      </c>
      <c r="K823" s="6" t="s">
        <v>67</v>
      </c>
      <c r="L823" s="9" t="s">
        <v>46</v>
      </c>
      <c r="M823" s="13" t="s">
        <v>46</v>
      </c>
      <c r="N823" s="6" t="s">
        <v>65</v>
      </c>
      <c r="O823" s="6" t="s">
        <v>46</v>
      </c>
      <c r="P823" s="6" t="s">
        <v>46</v>
      </c>
      <c r="Q823" s="6" t="s">
        <v>46</v>
      </c>
      <c r="R823" s="6" t="s">
        <v>46</v>
      </c>
      <c r="S823" s="6" t="s">
        <v>46</v>
      </c>
      <c r="T823" s="6" t="s">
        <v>46</v>
      </c>
      <c r="U823" s="6" t="s">
        <v>46</v>
      </c>
      <c r="V823" s="1" t="n">
        <v>3</v>
      </c>
      <c r="W823" s="6"/>
      <c r="X823" s="6" t="s">
        <v>46</v>
      </c>
      <c r="Y823" s="6" t="n">
        <v>5500</v>
      </c>
      <c r="Z823" s="6" t="s">
        <v>194</v>
      </c>
      <c r="AA823" s="6" t="s">
        <v>195</v>
      </c>
      <c r="AB823" s="15" t="str">
        <f aca="true" t="array" ref="AB823:AB823">LEFT(AA823,LOOKUP(2^15,FIND(".",AA823,ROW(INDIRECT("1:"&amp;LEN(AA823)))))-1)</f>
        <v>NB_2022_006+007+010 - 25022022 - 1</v>
      </c>
      <c r="AC823" s="6" t="s">
        <v>196</v>
      </c>
      <c r="AD823" s="15" t="str">
        <f aca="true" t="array" ref="AD823:AD823">LEFT(AC823,LOOKUP(2^15,FIND(".",AC823,ROW(INDIRECT("1:"&amp;LEN(AC823)))))-1)</f>
        <v>NB_2022_006+007+010 - 25022022 - 2</v>
      </c>
      <c r="AE823" s="6" t="str">
        <f aca="false">CONCATENATE(AB823, "-",H823, ".mzML")</f>
        <v>NB_2022_006+007+010 - 25022022 - 1-Blank_3.mzML</v>
      </c>
      <c r="AF823" s="6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3" t="s">
        <v>1206</v>
      </c>
      <c r="B824" s="34"/>
      <c r="C824" s="4" t="s">
        <v>1207</v>
      </c>
      <c r="D824" s="6" t="s">
        <v>14</v>
      </c>
      <c r="E824" s="6" t="s">
        <v>186</v>
      </c>
      <c r="F824" s="7" t="s">
        <v>187</v>
      </c>
      <c r="G824" s="6" t="s">
        <v>203</v>
      </c>
      <c r="H824" s="22" t="s">
        <v>68</v>
      </c>
      <c r="I824" s="6" t="str">
        <f aca="false">CONCATENATE(E824, "_",H824)</f>
        <v>NLA_2022_001_QC_C_1</v>
      </c>
      <c r="J824" s="6" t="s">
        <v>52</v>
      </c>
      <c r="K824" s="6" t="s">
        <v>68</v>
      </c>
      <c r="L824" s="9" t="s">
        <v>69</v>
      </c>
      <c r="M824" s="3" t="s">
        <v>46</v>
      </c>
      <c r="N824" s="6" t="s">
        <v>70</v>
      </c>
      <c r="O824" s="6" t="s">
        <v>46</v>
      </c>
      <c r="P824" s="6" t="s">
        <v>71</v>
      </c>
      <c r="Q824" s="6" t="s">
        <v>71</v>
      </c>
      <c r="R824" s="6" t="s">
        <v>72</v>
      </c>
      <c r="S824" s="6" t="s">
        <v>73</v>
      </c>
      <c r="T824" s="6" t="s">
        <v>46</v>
      </c>
      <c r="U824" s="6" t="n">
        <v>1000</v>
      </c>
      <c r="V824" s="1" t="n">
        <v>1</v>
      </c>
      <c r="W824" s="6"/>
      <c r="X824" s="6" t="s">
        <v>74</v>
      </c>
      <c r="Y824" s="1" t="n">
        <v>5500</v>
      </c>
      <c r="Z824" s="6" t="s">
        <v>194</v>
      </c>
      <c r="AA824" s="6" t="s">
        <v>195</v>
      </c>
      <c r="AB824" s="15" t="str">
        <f aca="true" t="array" ref="AB824:AB824">LEFT(AA824,LOOKUP(2^15,FIND(".",AA824,ROW(INDIRECT("1:"&amp;LEN(AA824)))))-1)</f>
        <v>NB_2022_006+007+010 - 25022022 - 1</v>
      </c>
      <c r="AC824" s="6" t="s">
        <v>196</v>
      </c>
      <c r="AD824" s="15" t="str">
        <f aca="true" t="array" ref="AD824:AD824">LEFT(AC824,LOOKUP(2^15,FIND(".",AC824,ROW(INDIRECT("1:"&amp;LEN(AC824)))))-1)</f>
        <v>NB_2022_006+007+010 - 25022022 - 2</v>
      </c>
      <c r="AE824" s="6" t="str">
        <f aca="false">CONCATENATE(AB824, "-",H824, ".mzML")</f>
        <v>NB_2022_006+007+010 - 25022022 - 1-QC_C_1.mzML</v>
      </c>
      <c r="AF824" s="6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3" t="s">
        <v>1206</v>
      </c>
      <c r="B825" s="34"/>
      <c r="C825" s="4" t="s">
        <v>1207</v>
      </c>
      <c r="D825" s="6" t="s">
        <v>14</v>
      </c>
      <c r="E825" s="6" t="s">
        <v>186</v>
      </c>
      <c r="F825" s="7" t="s">
        <v>187</v>
      </c>
      <c r="G825" s="6" t="s">
        <v>203</v>
      </c>
      <c r="H825" s="22" t="s">
        <v>75</v>
      </c>
      <c r="I825" s="6" t="str">
        <f aca="false">CONCATENATE(E825, "_",H825)</f>
        <v>NLA_2022_001_QC_C_2</v>
      </c>
      <c r="J825" s="6" t="s">
        <v>52</v>
      </c>
      <c r="K825" s="6" t="s">
        <v>75</v>
      </c>
      <c r="L825" s="9" t="s">
        <v>69</v>
      </c>
      <c r="M825" s="3" t="s">
        <v>46</v>
      </c>
      <c r="N825" s="6" t="s">
        <v>70</v>
      </c>
      <c r="O825" s="6" t="s">
        <v>46</v>
      </c>
      <c r="P825" s="6" t="s">
        <v>71</v>
      </c>
      <c r="Q825" s="6" t="s">
        <v>71</v>
      </c>
      <c r="R825" s="6" t="s">
        <v>72</v>
      </c>
      <c r="S825" s="6" t="s">
        <v>73</v>
      </c>
      <c r="T825" s="6" t="s">
        <v>46</v>
      </c>
      <c r="U825" s="6" t="n">
        <v>1000</v>
      </c>
      <c r="V825" s="1" t="n">
        <v>2</v>
      </c>
      <c r="W825" s="6"/>
      <c r="X825" s="6" t="s">
        <v>74</v>
      </c>
      <c r="Y825" s="1" t="n">
        <v>5500</v>
      </c>
      <c r="Z825" s="6" t="s">
        <v>194</v>
      </c>
      <c r="AA825" s="6" t="s">
        <v>195</v>
      </c>
      <c r="AB825" s="15" t="str">
        <f aca="true" t="array" ref="AB825:AB825">LEFT(AA825,LOOKUP(2^15,FIND(".",AA825,ROW(INDIRECT("1:"&amp;LEN(AA825)))))-1)</f>
        <v>NB_2022_006+007+010 - 25022022 - 1</v>
      </c>
      <c r="AC825" s="6" t="s">
        <v>196</v>
      </c>
      <c r="AD825" s="15" t="str">
        <f aca="true" t="array" ref="AD825:AD825">LEFT(AC825,LOOKUP(2^15,FIND(".",AC825,ROW(INDIRECT("1:"&amp;LEN(AC825)))))-1)</f>
        <v>NB_2022_006+007+010 - 25022022 - 2</v>
      </c>
      <c r="AE825" s="6" t="str">
        <f aca="false">CONCATENATE(AB825, "-",H825, ".mzML")</f>
        <v>NB_2022_006+007+010 - 25022022 - 1-QC_C_2.mzML</v>
      </c>
      <c r="AF825" s="6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3" t="s">
        <v>1206</v>
      </c>
      <c r="B826" s="34"/>
      <c r="C826" s="4" t="s">
        <v>1207</v>
      </c>
      <c r="D826" s="6" t="s">
        <v>14</v>
      </c>
      <c r="E826" s="6" t="s">
        <v>186</v>
      </c>
      <c r="F826" s="7" t="s">
        <v>187</v>
      </c>
      <c r="G826" s="6" t="s">
        <v>203</v>
      </c>
      <c r="H826" s="22" t="s">
        <v>76</v>
      </c>
      <c r="I826" s="6" t="str">
        <f aca="false">CONCATENATE(E826, "_",H826)</f>
        <v>NLA_2022_001_QC_C_3</v>
      </c>
      <c r="J826" s="6" t="s">
        <v>52</v>
      </c>
      <c r="K826" s="6" t="s">
        <v>76</v>
      </c>
      <c r="L826" s="9" t="s">
        <v>69</v>
      </c>
      <c r="M826" s="3" t="s">
        <v>46</v>
      </c>
      <c r="N826" s="6" t="s">
        <v>70</v>
      </c>
      <c r="O826" s="6" t="s">
        <v>46</v>
      </c>
      <c r="P826" s="6" t="s">
        <v>71</v>
      </c>
      <c r="Q826" s="6" t="s">
        <v>71</v>
      </c>
      <c r="R826" s="6" t="s">
        <v>72</v>
      </c>
      <c r="S826" s="6" t="s">
        <v>73</v>
      </c>
      <c r="T826" s="6" t="s">
        <v>46</v>
      </c>
      <c r="U826" s="6" t="n">
        <v>1000</v>
      </c>
      <c r="V826" s="1" t="n">
        <v>3</v>
      </c>
      <c r="W826" s="6"/>
      <c r="X826" s="6" t="s">
        <v>74</v>
      </c>
      <c r="Y826" s="1" t="n">
        <v>5500</v>
      </c>
      <c r="Z826" s="6" t="s">
        <v>194</v>
      </c>
      <c r="AA826" s="6" t="s">
        <v>195</v>
      </c>
      <c r="AB826" s="15" t="str">
        <f aca="true" t="array" ref="AB826:AB826">LEFT(AA826,LOOKUP(2^15,FIND(".",AA826,ROW(INDIRECT("1:"&amp;LEN(AA826)))))-1)</f>
        <v>NB_2022_006+007+010 - 25022022 - 1</v>
      </c>
      <c r="AC826" s="6" t="s">
        <v>196</v>
      </c>
      <c r="AD826" s="15" t="str">
        <f aca="true" t="array" ref="AD826:AD826">LEFT(AC826,LOOKUP(2^15,FIND(".",AC826,ROW(INDIRECT("1:"&amp;LEN(AC826)))))-1)</f>
        <v>NB_2022_006+007+010 - 25022022 - 2</v>
      </c>
      <c r="AE826" s="6" t="str">
        <f aca="false">CONCATENATE(AB826, "-",H826, ".mzML")</f>
        <v>NB_2022_006+007+010 - 25022022 - 1-QC_C_3.mzML</v>
      </c>
      <c r="AF826" s="6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3" t="s">
        <v>1206</v>
      </c>
      <c r="B827" s="34"/>
      <c r="C827" s="4" t="s">
        <v>1207</v>
      </c>
      <c r="D827" s="6" t="s">
        <v>14</v>
      </c>
      <c r="E827" s="6" t="s">
        <v>186</v>
      </c>
      <c r="F827" s="7" t="s">
        <v>187</v>
      </c>
      <c r="G827" s="6" t="s">
        <v>203</v>
      </c>
      <c r="H827" s="22" t="s">
        <v>77</v>
      </c>
      <c r="I827" s="6" t="str">
        <f aca="false">CONCATENATE(E827, "_",H827)</f>
        <v>NLA_2022_001_QC_P_1</v>
      </c>
      <c r="J827" s="6" t="s">
        <v>52</v>
      </c>
      <c r="K827" s="6" t="s">
        <v>77</v>
      </c>
      <c r="L827" s="9" t="s">
        <v>69</v>
      </c>
      <c r="M827" s="13" t="s">
        <v>46</v>
      </c>
      <c r="N827" s="6" t="s">
        <v>78</v>
      </c>
      <c r="O827" s="6" t="s">
        <v>46</v>
      </c>
      <c r="P827" s="6" t="s">
        <v>79</v>
      </c>
      <c r="Q827" s="6" t="s">
        <v>80</v>
      </c>
      <c r="R827" s="6" t="s">
        <v>81</v>
      </c>
      <c r="S827" s="6" t="s">
        <v>46</v>
      </c>
      <c r="T827" s="6" t="s">
        <v>46</v>
      </c>
      <c r="U827" s="6" t="s">
        <v>82</v>
      </c>
      <c r="V827" s="1" t="n">
        <v>1</v>
      </c>
      <c r="W827" s="6"/>
      <c r="X827" s="6" t="s">
        <v>83</v>
      </c>
      <c r="Y827" s="6" t="n">
        <v>5500</v>
      </c>
      <c r="Z827" s="6" t="s">
        <v>194</v>
      </c>
      <c r="AA827" s="6" t="s">
        <v>195</v>
      </c>
      <c r="AB827" s="15" t="str">
        <f aca="true" t="array" ref="AB827:AB827">LEFT(AA827,LOOKUP(2^15,FIND(".",AA827,ROW(INDIRECT("1:"&amp;LEN(AA827)))))-1)</f>
        <v>NB_2022_006+007+010 - 25022022 - 1</v>
      </c>
      <c r="AC827" s="6" t="s">
        <v>196</v>
      </c>
      <c r="AD827" s="15" t="str">
        <f aca="true" t="array" ref="AD827:AD827">LEFT(AC827,LOOKUP(2^15,FIND(".",AC827,ROW(INDIRECT("1:"&amp;LEN(AC827)))))-1)</f>
        <v>NB_2022_006+007+010 - 25022022 - 2</v>
      </c>
      <c r="AE827" s="6" t="str">
        <f aca="false">CONCATENATE(AB827, "-",H827, ".mzML")</f>
        <v>NB_2022_006+007+010 - 25022022 - 1-QC_P_1.mzML</v>
      </c>
      <c r="AF827" s="6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3" t="s">
        <v>1206</v>
      </c>
      <c r="B828" s="34"/>
      <c r="C828" s="4" t="s">
        <v>1207</v>
      </c>
      <c r="D828" s="6" t="s">
        <v>14</v>
      </c>
      <c r="E828" s="6" t="s">
        <v>186</v>
      </c>
      <c r="F828" s="7" t="s">
        <v>187</v>
      </c>
      <c r="G828" s="6" t="s">
        <v>203</v>
      </c>
      <c r="H828" s="22" t="s">
        <v>84</v>
      </c>
      <c r="I828" s="6" t="str">
        <f aca="false">CONCATENATE(E828, "_",H828)</f>
        <v>NLA_2022_001_QC_P_2</v>
      </c>
      <c r="J828" s="6" t="s">
        <v>52</v>
      </c>
      <c r="K828" s="6" t="s">
        <v>84</v>
      </c>
      <c r="L828" s="9" t="s">
        <v>69</v>
      </c>
      <c r="M828" s="13" t="s">
        <v>46</v>
      </c>
      <c r="N828" s="6" t="s">
        <v>78</v>
      </c>
      <c r="O828" s="6" t="s">
        <v>46</v>
      </c>
      <c r="P828" s="6" t="s">
        <v>79</v>
      </c>
      <c r="Q828" s="6" t="s">
        <v>80</v>
      </c>
      <c r="R828" s="6" t="s">
        <v>81</v>
      </c>
      <c r="S828" s="6" t="s">
        <v>46</v>
      </c>
      <c r="T828" s="6" t="s">
        <v>46</v>
      </c>
      <c r="U828" s="6" t="s">
        <v>82</v>
      </c>
      <c r="V828" s="1" t="n">
        <v>2</v>
      </c>
      <c r="W828" s="6"/>
      <c r="X828" s="6" t="s">
        <v>83</v>
      </c>
      <c r="Y828" s="6" t="n">
        <v>5500</v>
      </c>
      <c r="Z828" s="6" t="s">
        <v>194</v>
      </c>
      <c r="AA828" s="6" t="s">
        <v>195</v>
      </c>
      <c r="AB828" s="15" t="str">
        <f aca="true" t="array" ref="AB828:AB828">LEFT(AA828,LOOKUP(2^15,FIND(".",AA828,ROW(INDIRECT("1:"&amp;LEN(AA828)))))-1)</f>
        <v>NB_2022_006+007+010 - 25022022 - 1</v>
      </c>
      <c r="AC828" s="6" t="s">
        <v>196</v>
      </c>
      <c r="AD828" s="15" t="str">
        <f aca="true" t="array" ref="AD828:AD828">LEFT(AC828,LOOKUP(2^15,FIND(".",AC828,ROW(INDIRECT("1:"&amp;LEN(AC828)))))-1)</f>
        <v>NB_2022_006+007+010 - 25022022 - 2</v>
      </c>
      <c r="AE828" s="6" t="str">
        <f aca="false">CONCATENATE(AB828, "-",H828, ".mzML")</f>
        <v>NB_2022_006+007+010 - 25022022 - 1-QC_P_2.mzML</v>
      </c>
      <c r="AF828" s="6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3" t="s">
        <v>1206</v>
      </c>
      <c r="B829" s="34"/>
      <c r="C829" s="4" t="s">
        <v>1207</v>
      </c>
      <c r="D829" s="6" t="s">
        <v>14</v>
      </c>
      <c r="E829" s="6" t="s">
        <v>186</v>
      </c>
      <c r="F829" s="7" t="s">
        <v>187</v>
      </c>
      <c r="G829" s="6" t="s">
        <v>203</v>
      </c>
      <c r="H829" s="22" t="s">
        <v>85</v>
      </c>
      <c r="I829" s="6" t="str">
        <f aca="false">CONCATENATE(E829, "_",H829)</f>
        <v>NLA_2022_001_QC_P_3</v>
      </c>
      <c r="J829" s="6" t="s">
        <v>52</v>
      </c>
      <c r="K829" s="6" t="s">
        <v>85</v>
      </c>
      <c r="L829" s="9" t="s">
        <v>69</v>
      </c>
      <c r="M829" s="13" t="s">
        <v>46</v>
      </c>
      <c r="N829" s="6" t="s">
        <v>78</v>
      </c>
      <c r="O829" s="6" t="s">
        <v>46</v>
      </c>
      <c r="P829" s="6" t="s">
        <v>79</v>
      </c>
      <c r="Q829" s="6" t="s">
        <v>80</v>
      </c>
      <c r="R829" s="6" t="s">
        <v>81</v>
      </c>
      <c r="S829" s="6" t="s">
        <v>46</v>
      </c>
      <c r="T829" s="6" t="s">
        <v>46</v>
      </c>
      <c r="U829" s="6" t="s">
        <v>82</v>
      </c>
      <c r="V829" s="1" t="n">
        <v>3</v>
      </c>
      <c r="W829" s="6"/>
      <c r="X829" s="6" t="s">
        <v>83</v>
      </c>
      <c r="Y829" s="6" t="n">
        <v>5500</v>
      </c>
      <c r="Z829" s="6" t="s">
        <v>194</v>
      </c>
      <c r="AA829" s="6" t="s">
        <v>195</v>
      </c>
      <c r="AB829" s="15" t="str">
        <f aca="true" t="array" ref="AB829:AB829">LEFT(AA829,LOOKUP(2^15,FIND(".",AA829,ROW(INDIRECT("1:"&amp;LEN(AA829)))))-1)</f>
        <v>NB_2022_006+007+010 - 25022022 - 1</v>
      </c>
      <c r="AC829" s="6" t="s">
        <v>196</v>
      </c>
      <c r="AD829" s="15" t="str">
        <f aca="true" t="array" ref="AD829:AD829">LEFT(AC829,LOOKUP(2^15,FIND(".",AC829,ROW(INDIRECT("1:"&amp;LEN(AC829)))))-1)</f>
        <v>NB_2022_006+007+010 - 25022022 - 2</v>
      </c>
      <c r="AE829" s="6" t="str">
        <f aca="false">CONCATENATE(AB829, "-",H829, ".mzML")</f>
        <v>NB_2022_006+007+010 - 25022022 - 1-QC_P_3.mzML</v>
      </c>
      <c r="AF829" s="6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3" t="s">
        <v>1223</v>
      </c>
      <c r="B830" s="34"/>
      <c r="C830" s="4" t="s">
        <v>1224</v>
      </c>
      <c r="D830" s="6" t="s">
        <v>14</v>
      </c>
      <c r="E830" s="6" t="s">
        <v>1225</v>
      </c>
      <c r="F830" s="7" t="s">
        <v>1226</v>
      </c>
      <c r="G830" s="6" t="s">
        <v>1227</v>
      </c>
      <c r="H830" s="27" t="s">
        <v>227</v>
      </c>
      <c r="I830" s="6" t="str">
        <f aca="false">CONCATENATE(E830, "_",H830)</f>
        <v>NLA_2022_006_019</v>
      </c>
      <c r="J830" s="6" t="s">
        <v>38</v>
      </c>
      <c r="K830" s="6" t="s">
        <v>1228</v>
      </c>
      <c r="L830" s="9" t="s">
        <v>69</v>
      </c>
      <c r="M830" s="13" t="s">
        <v>1229</v>
      </c>
      <c r="N830" s="6" t="s">
        <v>246</v>
      </c>
      <c r="O830" s="35" t="s">
        <v>1212</v>
      </c>
      <c r="P830" s="36" t="s">
        <v>1213</v>
      </c>
      <c r="Q830" s="36" t="s">
        <v>1214</v>
      </c>
      <c r="R830" s="6" t="s">
        <v>72</v>
      </c>
      <c r="S830" s="6"/>
      <c r="T830" s="6"/>
      <c r="U830" s="1" t="n">
        <v>1500</v>
      </c>
      <c r="V830" s="1" t="n">
        <v>1</v>
      </c>
      <c r="W830" s="6"/>
      <c r="X830" s="9" t="s">
        <v>1215</v>
      </c>
      <c r="Y830" s="1" t="n">
        <v>5500</v>
      </c>
      <c r="Z830" s="6" t="s">
        <v>1230</v>
      </c>
      <c r="AA830" s="6" t="s">
        <v>1231</v>
      </c>
      <c r="AB830" s="15" t="str">
        <f aca="true" t="array" ref="AB830:AB830">LEFT(AA830,LOOKUP(2^15,FIND(".",AA830,ROW(INDIRECT("1:"&amp;LEN(AA830)))))-1)</f>
        <v>NB_2022_025 - 13072022 - 1</v>
      </c>
      <c r="AC830" s="6" t="s">
        <v>1232</v>
      </c>
      <c r="AD830" s="15" t="str">
        <f aca="true" t="array" ref="AD830:AD830">LEFT(AC830,LOOKUP(2^15,FIND(".",AC830,ROW(INDIRECT("1:"&amp;LEN(AC830)))))-1)</f>
        <v>NB_2022_025 - 13072022 - 2</v>
      </c>
      <c r="AE830" s="6" t="str">
        <f aca="false">CONCATENATE(AB830, "-",H830, ".mzML")</f>
        <v>NB_2022_025 - 13072022 - 1-019.mzML</v>
      </c>
      <c r="AF830" s="6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3" t="s">
        <v>1223</v>
      </c>
      <c r="B831" s="34"/>
      <c r="C831" s="4" t="s">
        <v>1224</v>
      </c>
      <c r="D831" s="6" t="s">
        <v>14</v>
      </c>
      <c r="E831" s="6" t="s">
        <v>1225</v>
      </c>
      <c r="F831" s="7" t="s">
        <v>1226</v>
      </c>
      <c r="G831" s="6" t="s">
        <v>1227</v>
      </c>
      <c r="H831" s="27" t="s">
        <v>230</v>
      </c>
      <c r="I831" s="6" t="str">
        <f aca="false">CONCATENATE(E831, "_",H831)</f>
        <v>NLA_2022_006_020</v>
      </c>
      <c r="J831" s="6" t="s">
        <v>38</v>
      </c>
      <c r="K831" s="6" t="s">
        <v>1228</v>
      </c>
      <c r="L831" s="9" t="s">
        <v>69</v>
      </c>
      <c r="M831" s="13" t="s">
        <v>1229</v>
      </c>
      <c r="N831" s="6" t="s">
        <v>246</v>
      </c>
      <c r="O831" s="35" t="s">
        <v>1212</v>
      </c>
      <c r="P831" s="36" t="s">
        <v>1213</v>
      </c>
      <c r="Q831" s="36" t="s">
        <v>1214</v>
      </c>
      <c r="R831" s="6" t="s">
        <v>72</v>
      </c>
      <c r="S831" s="6"/>
      <c r="T831" s="6"/>
      <c r="U831" s="1" t="n">
        <v>1500</v>
      </c>
      <c r="V831" s="1" t="n">
        <v>2</v>
      </c>
      <c r="W831" s="6"/>
      <c r="X831" s="9" t="s">
        <v>1215</v>
      </c>
      <c r="Y831" s="1" t="n">
        <v>5500</v>
      </c>
      <c r="Z831" s="6" t="s">
        <v>1230</v>
      </c>
      <c r="AA831" s="6" t="s">
        <v>1231</v>
      </c>
      <c r="AB831" s="15" t="str">
        <f aca="true" t="array" ref="AB831:AB831">LEFT(AA831,LOOKUP(2^15,FIND(".",AA831,ROW(INDIRECT("1:"&amp;LEN(AA831)))))-1)</f>
        <v>NB_2022_025 - 13072022 - 1</v>
      </c>
      <c r="AC831" s="6" t="s">
        <v>1232</v>
      </c>
      <c r="AD831" s="15" t="str">
        <f aca="true" t="array" ref="AD831:AD831">LEFT(AC831,LOOKUP(2^15,FIND(".",AC831,ROW(INDIRECT("1:"&amp;LEN(AC831)))))-1)</f>
        <v>NB_2022_025 - 13072022 - 2</v>
      </c>
      <c r="AE831" s="6" t="str">
        <f aca="false">CONCATENATE(AB831, "-",H831, ".mzML")</f>
        <v>NB_2022_025 - 13072022 - 1-020.mzML</v>
      </c>
      <c r="AF831" s="6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3" t="s">
        <v>1223</v>
      </c>
      <c r="B832" s="34"/>
      <c r="C832" s="4" t="s">
        <v>1224</v>
      </c>
      <c r="D832" s="6" t="s">
        <v>14</v>
      </c>
      <c r="E832" s="6" t="s">
        <v>1225</v>
      </c>
      <c r="F832" s="7" t="s">
        <v>1226</v>
      </c>
      <c r="G832" s="6" t="s">
        <v>1227</v>
      </c>
      <c r="H832" s="27" t="s">
        <v>62</v>
      </c>
      <c r="I832" s="6" t="str">
        <f aca="false">CONCATENATE(E832, "_",H832)</f>
        <v>NLA_2022_006_021</v>
      </c>
      <c r="J832" s="6" t="s">
        <v>38</v>
      </c>
      <c r="K832" s="6" t="s">
        <v>1228</v>
      </c>
      <c r="L832" s="9" t="s">
        <v>69</v>
      </c>
      <c r="M832" s="13" t="s">
        <v>1229</v>
      </c>
      <c r="N832" s="6" t="s">
        <v>246</v>
      </c>
      <c r="O832" s="35" t="s">
        <v>1212</v>
      </c>
      <c r="P832" s="36" t="s">
        <v>1213</v>
      </c>
      <c r="Q832" s="36" t="s">
        <v>1214</v>
      </c>
      <c r="R832" s="6" t="s">
        <v>72</v>
      </c>
      <c r="S832" s="6"/>
      <c r="T832" s="6"/>
      <c r="U832" s="1" t="n">
        <v>1500</v>
      </c>
      <c r="V832" s="1" t="n">
        <v>3</v>
      </c>
      <c r="W832" s="6"/>
      <c r="X832" s="9" t="s">
        <v>1215</v>
      </c>
      <c r="Y832" s="1" t="n">
        <v>5500</v>
      </c>
      <c r="Z832" s="6" t="s">
        <v>1230</v>
      </c>
      <c r="AA832" s="6" t="s">
        <v>1231</v>
      </c>
      <c r="AB832" s="15" t="str">
        <f aca="true" t="array" ref="AB832:AB832">LEFT(AA832,LOOKUP(2^15,FIND(".",AA832,ROW(INDIRECT("1:"&amp;LEN(AA832)))))-1)</f>
        <v>NB_2022_025 - 13072022 - 1</v>
      </c>
      <c r="AC832" s="6" t="s">
        <v>1232</v>
      </c>
      <c r="AD832" s="15" t="str">
        <f aca="true" t="array" ref="AD832:AD832">LEFT(AC832,LOOKUP(2^15,FIND(".",AC832,ROW(INDIRECT("1:"&amp;LEN(AC832)))))-1)</f>
        <v>NB_2022_025 - 13072022 - 2</v>
      </c>
      <c r="AE832" s="6" t="str">
        <f aca="false">CONCATENATE(AB832, "-",H832, ".mzML")</f>
        <v>NB_2022_025 - 13072022 - 1-021.mzML</v>
      </c>
      <c r="AF832" s="6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3" t="s">
        <v>1223</v>
      </c>
      <c r="B833" s="34"/>
      <c r="C833" s="4" t="s">
        <v>1224</v>
      </c>
      <c r="D833" s="6" t="s">
        <v>14</v>
      </c>
      <c r="E833" s="6" t="s">
        <v>1225</v>
      </c>
      <c r="F833" s="7" t="s">
        <v>1226</v>
      </c>
      <c r="G833" s="6" t="s">
        <v>1227</v>
      </c>
      <c r="H833" s="27" t="s">
        <v>288</v>
      </c>
      <c r="I833" s="6" t="str">
        <f aca="false">CONCATENATE(E833, "_",H833)</f>
        <v>NLA_2022_006_022</v>
      </c>
      <c r="J833" s="6" t="s">
        <v>52</v>
      </c>
      <c r="K833" s="6" t="s">
        <v>1233</v>
      </c>
      <c r="L833" s="9" t="s">
        <v>69</v>
      </c>
      <c r="M833" s="13" t="s">
        <v>1229</v>
      </c>
      <c r="N833" s="6" t="s">
        <v>246</v>
      </c>
      <c r="O833" s="35" t="s">
        <v>1220</v>
      </c>
      <c r="P833" s="36" t="s">
        <v>1213</v>
      </c>
      <c r="Q833" s="36" t="s">
        <v>1213</v>
      </c>
      <c r="R833" s="6" t="s">
        <v>72</v>
      </c>
      <c r="S833" s="6"/>
      <c r="T833" s="6"/>
      <c r="U833" s="1" t="n">
        <v>1500</v>
      </c>
      <c r="V833" s="1" t="n">
        <v>1</v>
      </c>
      <c r="W833" s="6"/>
      <c r="X833" s="9" t="s">
        <v>1215</v>
      </c>
      <c r="Y833" s="1" t="n">
        <v>5500</v>
      </c>
      <c r="Z833" s="6" t="s">
        <v>1230</v>
      </c>
      <c r="AA833" s="6" t="s">
        <v>1231</v>
      </c>
      <c r="AB833" s="15" t="str">
        <f aca="true" t="array" ref="AB833:AB833">LEFT(AA833,LOOKUP(2^15,FIND(".",AA833,ROW(INDIRECT("1:"&amp;LEN(AA833)))))-1)</f>
        <v>NB_2022_025 - 13072022 - 1</v>
      </c>
      <c r="AC833" s="6" t="s">
        <v>1232</v>
      </c>
      <c r="AD833" s="15" t="str">
        <f aca="true" t="array" ref="AD833:AD833">LEFT(AC833,LOOKUP(2^15,FIND(".",AC833,ROW(INDIRECT("1:"&amp;LEN(AC833)))))-1)</f>
        <v>NB_2022_025 - 13072022 - 2</v>
      </c>
      <c r="AE833" s="6" t="str">
        <f aca="false">CONCATENATE(AB833, "-",H833, ".mzML")</f>
        <v>NB_2022_025 - 13072022 - 1-022.mzML</v>
      </c>
      <c r="AF833" s="6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3" t="s">
        <v>1223</v>
      </c>
      <c r="B834" s="34"/>
      <c r="C834" s="4" t="s">
        <v>1224</v>
      </c>
      <c r="D834" s="6" t="s">
        <v>14</v>
      </c>
      <c r="E834" s="6" t="s">
        <v>1225</v>
      </c>
      <c r="F834" s="7" t="s">
        <v>1226</v>
      </c>
      <c r="G834" s="6" t="s">
        <v>1227</v>
      </c>
      <c r="H834" s="27" t="s">
        <v>235</v>
      </c>
      <c r="I834" s="6" t="str">
        <f aca="false">CONCATENATE(E834, "_",H834)</f>
        <v>NLA_2022_006_023</v>
      </c>
      <c r="J834" s="6" t="s">
        <v>52</v>
      </c>
      <c r="K834" s="6" t="s">
        <v>1233</v>
      </c>
      <c r="L834" s="9" t="s">
        <v>69</v>
      </c>
      <c r="M834" s="13" t="s">
        <v>1229</v>
      </c>
      <c r="N834" s="6" t="s">
        <v>246</v>
      </c>
      <c r="O834" s="35" t="s">
        <v>1220</v>
      </c>
      <c r="P834" s="36" t="s">
        <v>1213</v>
      </c>
      <c r="Q834" s="36" t="s">
        <v>1213</v>
      </c>
      <c r="R834" s="6" t="s">
        <v>72</v>
      </c>
      <c r="S834" s="6"/>
      <c r="T834" s="6"/>
      <c r="U834" s="1" t="n">
        <v>1500</v>
      </c>
      <c r="V834" s="1" t="n">
        <v>2</v>
      </c>
      <c r="W834" s="6"/>
      <c r="X834" s="9" t="s">
        <v>1215</v>
      </c>
      <c r="Y834" s="1" t="n">
        <v>5500</v>
      </c>
      <c r="Z834" s="6" t="s">
        <v>1230</v>
      </c>
      <c r="AA834" s="6" t="s">
        <v>1231</v>
      </c>
      <c r="AB834" s="15" t="str">
        <f aca="true" t="array" ref="AB834:AB834">LEFT(AA834,LOOKUP(2^15,FIND(".",AA834,ROW(INDIRECT("1:"&amp;LEN(AA834)))))-1)</f>
        <v>NB_2022_025 - 13072022 - 1</v>
      </c>
      <c r="AC834" s="6" t="s">
        <v>1232</v>
      </c>
      <c r="AD834" s="15" t="str">
        <f aca="true" t="array" ref="AD834:AD834">LEFT(AC834,LOOKUP(2^15,FIND(".",AC834,ROW(INDIRECT("1:"&amp;LEN(AC834)))))-1)</f>
        <v>NB_2022_025 - 13072022 - 2</v>
      </c>
      <c r="AE834" s="6" t="str">
        <f aca="false">CONCATENATE(AB834, "-",H834, ".mzML")</f>
        <v>NB_2022_025 - 13072022 - 1-023.mzML</v>
      </c>
      <c r="AF834" s="6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3" t="s">
        <v>1223</v>
      </c>
      <c r="B835" s="34"/>
      <c r="C835" s="4" t="s">
        <v>1224</v>
      </c>
      <c r="D835" s="6" t="s">
        <v>14</v>
      </c>
      <c r="E835" s="6" t="s">
        <v>1225</v>
      </c>
      <c r="F835" s="7" t="s">
        <v>1226</v>
      </c>
      <c r="G835" s="6" t="s">
        <v>1227</v>
      </c>
      <c r="H835" s="27" t="s">
        <v>237</v>
      </c>
      <c r="I835" s="6" t="str">
        <f aca="false">CONCATENATE(E835, "_",H835)</f>
        <v>NLA_2022_006_024</v>
      </c>
      <c r="J835" s="6" t="s">
        <v>52</v>
      </c>
      <c r="K835" s="6" t="s">
        <v>1233</v>
      </c>
      <c r="L835" s="9" t="s">
        <v>69</v>
      </c>
      <c r="M835" s="13" t="s">
        <v>1229</v>
      </c>
      <c r="N835" s="6" t="s">
        <v>246</v>
      </c>
      <c r="O835" s="35" t="s">
        <v>1220</v>
      </c>
      <c r="P835" s="36" t="s">
        <v>1213</v>
      </c>
      <c r="Q835" s="36" t="s">
        <v>1213</v>
      </c>
      <c r="R835" s="6" t="s">
        <v>72</v>
      </c>
      <c r="S835" s="6"/>
      <c r="T835" s="6"/>
      <c r="U835" s="1" t="n">
        <v>1500</v>
      </c>
      <c r="V835" s="1" t="n">
        <v>3</v>
      </c>
      <c r="W835" s="6"/>
      <c r="X835" s="9" t="s">
        <v>1215</v>
      </c>
      <c r="Y835" s="1" t="n">
        <v>5500</v>
      </c>
      <c r="Z835" s="6" t="s">
        <v>1230</v>
      </c>
      <c r="AA835" s="6" t="s">
        <v>1231</v>
      </c>
      <c r="AB835" s="15" t="str">
        <f aca="true" t="array" ref="AB835:AB835">LEFT(AA835,LOOKUP(2^15,FIND(".",AA835,ROW(INDIRECT("1:"&amp;LEN(AA835)))))-1)</f>
        <v>NB_2022_025 - 13072022 - 1</v>
      </c>
      <c r="AC835" s="6" t="s">
        <v>1232</v>
      </c>
      <c r="AD835" s="15" t="str">
        <f aca="true" t="array" ref="AD835:AD835">LEFT(AC835,LOOKUP(2^15,FIND(".",AC835,ROW(INDIRECT("1:"&amp;LEN(AC835)))))-1)</f>
        <v>NB_2022_025 - 13072022 - 2</v>
      </c>
      <c r="AE835" s="6" t="str">
        <f aca="false">CONCATENATE(AB835, "-",H835, ".mzML")</f>
        <v>NB_2022_025 - 13072022 - 1-024.mzML</v>
      </c>
      <c r="AF835" s="6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3" t="s">
        <v>1223</v>
      </c>
      <c r="B836" s="34"/>
      <c r="C836" s="4" t="s">
        <v>1224</v>
      </c>
      <c r="D836" s="6" t="s">
        <v>14</v>
      </c>
      <c r="E836" s="6" t="s">
        <v>1225</v>
      </c>
      <c r="F836" s="7" t="s">
        <v>1226</v>
      </c>
      <c r="G836" s="6" t="s">
        <v>1225</v>
      </c>
      <c r="H836" s="27" t="s">
        <v>64</v>
      </c>
      <c r="I836" s="6" t="str">
        <f aca="false">CONCATENATE(E836, "_",H836)</f>
        <v>NLA_2022_006_Blank_1</v>
      </c>
      <c r="J836" s="6" t="s">
        <v>52</v>
      </c>
      <c r="K836" s="6" t="s">
        <v>280</v>
      </c>
      <c r="L836" s="9" t="s">
        <v>46</v>
      </c>
      <c r="M836" s="13" t="s">
        <v>46</v>
      </c>
      <c r="N836" s="6" t="s">
        <v>65</v>
      </c>
      <c r="O836" s="6" t="s">
        <v>46</v>
      </c>
      <c r="P836" s="6" t="s">
        <v>46</v>
      </c>
      <c r="Q836" s="6" t="s">
        <v>46</v>
      </c>
      <c r="R836" s="6" t="s">
        <v>46</v>
      </c>
      <c r="S836" s="6" t="s">
        <v>46</v>
      </c>
      <c r="T836" s="6" t="s">
        <v>46</v>
      </c>
      <c r="U836" s="6" t="s">
        <v>46</v>
      </c>
      <c r="V836" s="1" t="n">
        <v>1</v>
      </c>
      <c r="W836" s="6"/>
      <c r="X836" s="6" t="s">
        <v>46</v>
      </c>
      <c r="Y836" s="1" t="n">
        <v>5500</v>
      </c>
      <c r="Z836" s="6" t="s">
        <v>1230</v>
      </c>
      <c r="AA836" s="6" t="s">
        <v>1231</v>
      </c>
      <c r="AB836" s="15" t="str">
        <f aca="true" t="array" ref="AB836:AB836">LEFT(AA836,LOOKUP(2^15,FIND(".",AA836,ROW(INDIRECT("1:"&amp;LEN(AA836)))))-1)</f>
        <v>NB_2022_025 - 13072022 - 1</v>
      </c>
      <c r="AC836" s="6" t="s">
        <v>1232</v>
      </c>
      <c r="AD836" s="15" t="str">
        <f aca="true" t="array" ref="AD836:AD836">LEFT(AC836,LOOKUP(2^15,FIND(".",AC836,ROW(INDIRECT("1:"&amp;LEN(AC836)))))-1)</f>
        <v>NB_2022_025 - 13072022 - 2</v>
      </c>
      <c r="AE836" s="6" t="str">
        <f aca="false">CONCATENATE(AB836, "-",H836, ".mzML")</f>
        <v>NB_2022_025 - 13072022 - 1-Blank_1.mzML</v>
      </c>
      <c r="AF836" s="6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3" t="s">
        <v>1223</v>
      </c>
      <c r="B837" s="34"/>
      <c r="C837" s="4" t="s">
        <v>1224</v>
      </c>
      <c r="D837" s="6" t="s">
        <v>14</v>
      </c>
      <c r="E837" s="6" t="s">
        <v>1225</v>
      </c>
      <c r="F837" s="7" t="s">
        <v>1226</v>
      </c>
      <c r="G837" s="6" t="s">
        <v>1225</v>
      </c>
      <c r="H837" s="27" t="s">
        <v>66</v>
      </c>
      <c r="I837" s="6" t="str">
        <f aca="false">CONCATENATE(E837, "_",H837)</f>
        <v>NLA_2022_006_Blank_2</v>
      </c>
      <c r="J837" s="6" t="s">
        <v>52</v>
      </c>
      <c r="K837" s="6" t="s">
        <v>280</v>
      </c>
      <c r="L837" s="9" t="s">
        <v>46</v>
      </c>
      <c r="M837" s="13" t="s">
        <v>46</v>
      </c>
      <c r="N837" s="6" t="s">
        <v>65</v>
      </c>
      <c r="O837" s="6" t="s">
        <v>46</v>
      </c>
      <c r="P837" s="6" t="s">
        <v>46</v>
      </c>
      <c r="Q837" s="6" t="s">
        <v>46</v>
      </c>
      <c r="R837" s="6" t="s">
        <v>46</v>
      </c>
      <c r="S837" s="6" t="s">
        <v>46</v>
      </c>
      <c r="T837" s="6" t="s">
        <v>46</v>
      </c>
      <c r="U837" s="6" t="s">
        <v>46</v>
      </c>
      <c r="V837" s="1" t="n">
        <v>2</v>
      </c>
      <c r="W837" s="6"/>
      <c r="X837" s="6" t="s">
        <v>46</v>
      </c>
      <c r="Y837" s="1" t="n">
        <v>5500</v>
      </c>
      <c r="Z837" s="6" t="s">
        <v>1230</v>
      </c>
      <c r="AA837" s="6" t="s">
        <v>1231</v>
      </c>
      <c r="AB837" s="15" t="str">
        <f aca="true" t="array" ref="AB837:AB837">LEFT(AA837,LOOKUP(2^15,FIND(".",AA837,ROW(INDIRECT("1:"&amp;LEN(AA837)))))-1)</f>
        <v>NB_2022_025 - 13072022 - 1</v>
      </c>
      <c r="AC837" s="6" t="s">
        <v>1232</v>
      </c>
      <c r="AD837" s="15" t="str">
        <f aca="true" t="array" ref="AD837:AD837">LEFT(AC837,LOOKUP(2^15,FIND(".",AC837,ROW(INDIRECT("1:"&amp;LEN(AC837)))))-1)</f>
        <v>NB_2022_025 - 13072022 - 2</v>
      </c>
      <c r="AE837" s="6" t="str">
        <f aca="false">CONCATENATE(AB837, "-",H837, ".mzML")</f>
        <v>NB_2022_025 - 13072022 - 1-Blank_2.mzML</v>
      </c>
      <c r="AF837" s="6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3" t="s">
        <v>1223</v>
      </c>
      <c r="B838" s="34"/>
      <c r="C838" s="4" t="s">
        <v>1224</v>
      </c>
      <c r="D838" s="6" t="s">
        <v>14</v>
      </c>
      <c r="E838" s="6" t="s">
        <v>1225</v>
      </c>
      <c r="F838" s="7" t="s">
        <v>1226</v>
      </c>
      <c r="G838" s="6" t="s">
        <v>1225</v>
      </c>
      <c r="H838" s="27" t="s">
        <v>67</v>
      </c>
      <c r="I838" s="6" t="str">
        <f aca="false">CONCATENATE(E838, "_",H838)</f>
        <v>NLA_2022_006_Blank_3</v>
      </c>
      <c r="J838" s="6" t="s">
        <v>52</v>
      </c>
      <c r="K838" s="6" t="s">
        <v>280</v>
      </c>
      <c r="L838" s="9" t="s">
        <v>46</v>
      </c>
      <c r="M838" s="13" t="s">
        <v>46</v>
      </c>
      <c r="N838" s="6" t="s">
        <v>65</v>
      </c>
      <c r="O838" s="6" t="s">
        <v>46</v>
      </c>
      <c r="P838" s="6" t="s">
        <v>46</v>
      </c>
      <c r="Q838" s="6" t="s">
        <v>46</v>
      </c>
      <c r="R838" s="6" t="s">
        <v>46</v>
      </c>
      <c r="S838" s="6" t="s">
        <v>46</v>
      </c>
      <c r="T838" s="6" t="s">
        <v>46</v>
      </c>
      <c r="U838" s="6" t="s">
        <v>46</v>
      </c>
      <c r="V838" s="1" t="n">
        <v>3</v>
      </c>
      <c r="W838" s="6"/>
      <c r="X838" s="6" t="s">
        <v>46</v>
      </c>
      <c r="Y838" s="1" t="n">
        <v>5500</v>
      </c>
      <c r="Z838" s="6" t="s">
        <v>1230</v>
      </c>
      <c r="AA838" s="6" t="s">
        <v>1231</v>
      </c>
      <c r="AB838" s="15" t="str">
        <f aca="true" t="array" ref="AB838:AB838">LEFT(AA838,LOOKUP(2^15,FIND(".",AA838,ROW(INDIRECT("1:"&amp;LEN(AA838)))))-1)</f>
        <v>NB_2022_025 - 13072022 - 1</v>
      </c>
      <c r="AC838" s="6" t="s">
        <v>1232</v>
      </c>
      <c r="AD838" s="15" t="str">
        <f aca="true" t="array" ref="AD838:AD838">LEFT(AC838,LOOKUP(2^15,FIND(".",AC838,ROW(INDIRECT("1:"&amp;LEN(AC838)))))-1)</f>
        <v>NB_2022_025 - 13072022 - 2</v>
      </c>
      <c r="AE838" s="6" t="str">
        <f aca="false">CONCATENATE(AB838, "-",H838, ".mzML")</f>
        <v>NB_2022_025 - 13072022 - 1-Blank_3.mzML</v>
      </c>
      <c r="AF838" s="6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3" t="s">
        <v>1223</v>
      </c>
      <c r="B839" s="34"/>
      <c r="C839" s="4" t="s">
        <v>1224</v>
      </c>
      <c r="D839" s="6" t="s">
        <v>14</v>
      </c>
      <c r="E839" s="6" t="s">
        <v>1225</v>
      </c>
      <c r="F839" s="7" t="s">
        <v>1226</v>
      </c>
      <c r="G839" s="6" t="s">
        <v>1225</v>
      </c>
      <c r="H839" s="27" t="s">
        <v>221</v>
      </c>
      <c r="I839" s="6" t="str">
        <f aca="false">CONCATENATE(E839, "_",H839)</f>
        <v>NLA_2022_006_Blank_4</v>
      </c>
      <c r="J839" s="6" t="s">
        <v>52</v>
      </c>
      <c r="K839" s="6" t="s">
        <v>280</v>
      </c>
      <c r="L839" s="9" t="s">
        <v>46</v>
      </c>
      <c r="M839" s="13" t="s">
        <v>46</v>
      </c>
      <c r="N839" s="6" t="s">
        <v>65</v>
      </c>
      <c r="O839" s="6" t="s">
        <v>46</v>
      </c>
      <c r="P839" s="6" t="s">
        <v>46</v>
      </c>
      <c r="Q839" s="6" t="s">
        <v>46</v>
      </c>
      <c r="R839" s="6" t="s">
        <v>46</v>
      </c>
      <c r="S839" s="6" t="s">
        <v>46</v>
      </c>
      <c r="T839" s="6" t="s">
        <v>46</v>
      </c>
      <c r="U839" s="6" t="s">
        <v>46</v>
      </c>
      <c r="V839" s="1" t="n">
        <v>4</v>
      </c>
      <c r="W839" s="6"/>
      <c r="X839" s="6" t="s">
        <v>46</v>
      </c>
      <c r="Y839" s="1" t="n">
        <v>5500</v>
      </c>
      <c r="Z839" s="6" t="s">
        <v>1230</v>
      </c>
      <c r="AA839" s="6" t="s">
        <v>1231</v>
      </c>
      <c r="AB839" s="15" t="str">
        <f aca="true" t="array" ref="AB839:AB839">LEFT(AA839,LOOKUP(2^15,FIND(".",AA839,ROW(INDIRECT("1:"&amp;LEN(AA839)))))-1)</f>
        <v>NB_2022_025 - 13072022 - 1</v>
      </c>
      <c r="AC839" s="6" t="s">
        <v>1232</v>
      </c>
      <c r="AD839" s="15" t="str">
        <f aca="true" t="array" ref="AD839:AD839">LEFT(AC839,LOOKUP(2^15,FIND(".",AC839,ROW(INDIRECT("1:"&amp;LEN(AC839)))))-1)</f>
        <v>NB_2022_025 - 13072022 - 2</v>
      </c>
      <c r="AE839" s="6" t="str">
        <f aca="false">CONCATENATE(AB839, "-",H839, ".mzML")</f>
        <v>NB_2022_025 - 13072022 - 1-Blank_4.mzML</v>
      </c>
      <c r="AF839" s="6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3" t="s">
        <v>1223</v>
      </c>
      <c r="B840" s="34"/>
      <c r="C840" s="4" t="s">
        <v>1224</v>
      </c>
      <c r="D840" s="6" t="s">
        <v>14</v>
      </c>
      <c r="E840" s="6" t="s">
        <v>1225</v>
      </c>
      <c r="F840" s="7" t="s">
        <v>1226</v>
      </c>
      <c r="G840" s="6" t="s">
        <v>1225</v>
      </c>
      <c r="H840" s="27" t="s">
        <v>68</v>
      </c>
      <c r="I840" s="6" t="str">
        <f aca="false">CONCATENATE(E840, "_",H840)</f>
        <v>NLA_2022_006_QC_C_1</v>
      </c>
      <c r="J840" s="6" t="s">
        <v>52</v>
      </c>
      <c r="K840" s="6" t="s">
        <v>1234</v>
      </c>
      <c r="L840" s="9" t="s">
        <v>69</v>
      </c>
      <c r="M840" s="3" t="s">
        <v>46</v>
      </c>
      <c r="N840" s="6" t="s">
        <v>70</v>
      </c>
      <c r="O840" s="6" t="s">
        <v>46</v>
      </c>
      <c r="P840" s="6" t="s">
        <v>71</v>
      </c>
      <c r="Q840" s="6" t="s">
        <v>71</v>
      </c>
      <c r="R840" s="6" t="s">
        <v>72</v>
      </c>
      <c r="S840" s="6" t="s">
        <v>73</v>
      </c>
      <c r="T840" s="6" t="s">
        <v>46</v>
      </c>
      <c r="U840" s="6" t="n">
        <v>1000</v>
      </c>
      <c r="V840" s="1" t="n">
        <v>1</v>
      </c>
      <c r="W840" s="6"/>
      <c r="X840" s="6" t="s">
        <v>74</v>
      </c>
      <c r="Y840" s="6" t="n">
        <v>5500</v>
      </c>
      <c r="Z840" s="6" t="s">
        <v>1230</v>
      </c>
      <c r="AA840" s="6" t="s">
        <v>1231</v>
      </c>
      <c r="AB840" s="15" t="str">
        <f aca="true" t="array" ref="AB840:AB840">LEFT(AA840,LOOKUP(2^15,FIND(".",AA840,ROW(INDIRECT("1:"&amp;LEN(AA840)))))-1)</f>
        <v>NB_2022_025 - 13072022 - 1</v>
      </c>
      <c r="AC840" s="6" t="s">
        <v>1232</v>
      </c>
      <c r="AD840" s="15" t="str">
        <f aca="true" t="array" ref="AD840:AD840">LEFT(AC840,LOOKUP(2^15,FIND(".",AC840,ROW(INDIRECT("1:"&amp;LEN(AC840)))))-1)</f>
        <v>NB_2022_025 - 13072022 - 2</v>
      </c>
      <c r="AE840" s="6" t="str">
        <f aca="false">CONCATENATE(AB840, "-",H840, ".mzML")</f>
        <v>NB_2022_025 - 13072022 - 1-QC_C_1.mzML</v>
      </c>
      <c r="AF840" s="6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3" t="s">
        <v>1223</v>
      </c>
      <c r="B841" s="34"/>
      <c r="C841" s="4" t="s">
        <v>1224</v>
      </c>
      <c r="D841" s="6" t="s">
        <v>14</v>
      </c>
      <c r="E841" s="6" t="s">
        <v>1225</v>
      </c>
      <c r="F841" s="7" t="s">
        <v>1226</v>
      </c>
      <c r="G841" s="6" t="s">
        <v>1225</v>
      </c>
      <c r="H841" s="27" t="s">
        <v>75</v>
      </c>
      <c r="I841" s="6" t="str">
        <f aca="false">CONCATENATE(E841, "_",H841)</f>
        <v>NLA_2022_006_QC_C_2</v>
      </c>
      <c r="J841" s="6" t="s">
        <v>52</v>
      </c>
      <c r="K841" s="6" t="s">
        <v>1234</v>
      </c>
      <c r="L841" s="9" t="s">
        <v>69</v>
      </c>
      <c r="M841" s="3" t="s">
        <v>46</v>
      </c>
      <c r="N841" s="6" t="s">
        <v>70</v>
      </c>
      <c r="O841" s="6" t="s">
        <v>46</v>
      </c>
      <c r="P841" s="6" t="s">
        <v>71</v>
      </c>
      <c r="Q841" s="6" t="s">
        <v>71</v>
      </c>
      <c r="R841" s="6" t="s">
        <v>72</v>
      </c>
      <c r="S841" s="6" t="s">
        <v>73</v>
      </c>
      <c r="T841" s="6" t="s">
        <v>46</v>
      </c>
      <c r="U841" s="6" t="n">
        <v>1000</v>
      </c>
      <c r="V841" s="1" t="n">
        <v>2</v>
      </c>
      <c r="W841" s="6"/>
      <c r="X841" s="6" t="s">
        <v>74</v>
      </c>
      <c r="Y841" s="6" t="n">
        <v>5500</v>
      </c>
      <c r="Z841" s="6" t="s">
        <v>1230</v>
      </c>
      <c r="AA841" s="6" t="s">
        <v>1231</v>
      </c>
      <c r="AB841" s="15" t="str">
        <f aca="true" t="array" ref="AB841:AB841">LEFT(AA841,LOOKUP(2^15,FIND(".",AA841,ROW(INDIRECT("1:"&amp;LEN(AA841)))))-1)</f>
        <v>NB_2022_025 - 13072022 - 1</v>
      </c>
      <c r="AC841" s="6" t="s">
        <v>1232</v>
      </c>
      <c r="AD841" s="15" t="str">
        <f aca="true" t="array" ref="AD841:AD841">LEFT(AC841,LOOKUP(2^15,FIND(".",AC841,ROW(INDIRECT("1:"&amp;LEN(AC841)))))-1)</f>
        <v>NB_2022_025 - 13072022 - 2</v>
      </c>
      <c r="AE841" s="6" t="str">
        <f aca="false">CONCATENATE(AB841, "-",H841, ".mzML")</f>
        <v>NB_2022_025 - 13072022 - 1-QC_C_2.mzML</v>
      </c>
      <c r="AF841" s="6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3" t="s">
        <v>1223</v>
      </c>
      <c r="B842" s="34"/>
      <c r="C842" s="4" t="s">
        <v>1224</v>
      </c>
      <c r="D842" s="6" t="s">
        <v>14</v>
      </c>
      <c r="E842" s="6" t="s">
        <v>1225</v>
      </c>
      <c r="F842" s="7" t="s">
        <v>1226</v>
      </c>
      <c r="G842" s="6" t="s">
        <v>1225</v>
      </c>
      <c r="H842" s="27" t="s">
        <v>76</v>
      </c>
      <c r="I842" s="6" t="str">
        <f aca="false">CONCATENATE(E842, "_",H842)</f>
        <v>NLA_2022_006_QC_C_3</v>
      </c>
      <c r="J842" s="6" t="s">
        <v>52</v>
      </c>
      <c r="K842" s="6" t="s">
        <v>1234</v>
      </c>
      <c r="L842" s="9" t="s">
        <v>69</v>
      </c>
      <c r="M842" s="3" t="s">
        <v>46</v>
      </c>
      <c r="N842" s="6" t="s">
        <v>70</v>
      </c>
      <c r="O842" s="6" t="s">
        <v>46</v>
      </c>
      <c r="P842" s="6" t="s">
        <v>71</v>
      </c>
      <c r="Q842" s="6" t="s">
        <v>71</v>
      </c>
      <c r="R842" s="6" t="s">
        <v>72</v>
      </c>
      <c r="S842" s="6" t="s">
        <v>73</v>
      </c>
      <c r="T842" s="6" t="s">
        <v>46</v>
      </c>
      <c r="U842" s="6" t="n">
        <v>1000</v>
      </c>
      <c r="V842" s="1" t="n">
        <v>3</v>
      </c>
      <c r="W842" s="6"/>
      <c r="X842" s="6" t="s">
        <v>74</v>
      </c>
      <c r="Y842" s="6" t="n">
        <v>5500</v>
      </c>
      <c r="Z842" s="6" t="s">
        <v>1230</v>
      </c>
      <c r="AA842" s="6" t="s">
        <v>1231</v>
      </c>
      <c r="AB842" s="15" t="str">
        <f aca="true" t="array" ref="AB842:AB842">LEFT(AA842,LOOKUP(2^15,FIND(".",AA842,ROW(INDIRECT("1:"&amp;LEN(AA842)))))-1)</f>
        <v>NB_2022_025 - 13072022 - 1</v>
      </c>
      <c r="AC842" s="6" t="s">
        <v>1232</v>
      </c>
      <c r="AD842" s="15" t="str">
        <f aca="true" t="array" ref="AD842:AD842">LEFT(AC842,LOOKUP(2^15,FIND(".",AC842,ROW(INDIRECT("1:"&amp;LEN(AC842)))))-1)</f>
        <v>NB_2022_025 - 13072022 - 2</v>
      </c>
      <c r="AE842" s="6" t="str">
        <f aca="false">CONCATENATE(AB842, "-",H842, ".mzML")</f>
        <v>NB_2022_025 - 13072022 - 1-QC_C_3.mzML</v>
      </c>
      <c r="AF842" s="6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3" t="s">
        <v>1223</v>
      </c>
      <c r="B843" s="34"/>
      <c r="C843" s="4" t="s">
        <v>1224</v>
      </c>
      <c r="D843" s="6" t="s">
        <v>14</v>
      </c>
      <c r="E843" s="6" t="s">
        <v>1225</v>
      </c>
      <c r="F843" s="7" t="s">
        <v>1226</v>
      </c>
      <c r="G843" s="6" t="s">
        <v>1225</v>
      </c>
      <c r="H843" s="27" t="s">
        <v>222</v>
      </c>
      <c r="I843" s="6" t="str">
        <f aca="false">CONCATENATE(E843, "_",H843)</f>
        <v>NLA_2022_006_QC_C_4</v>
      </c>
      <c r="J843" s="6" t="s">
        <v>52</v>
      </c>
      <c r="K843" s="6" t="s">
        <v>1234</v>
      </c>
      <c r="L843" s="9" t="s">
        <v>69</v>
      </c>
      <c r="M843" s="3" t="s">
        <v>46</v>
      </c>
      <c r="N843" s="6" t="s">
        <v>70</v>
      </c>
      <c r="O843" s="6" t="s">
        <v>46</v>
      </c>
      <c r="P843" s="6" t="s">
        <v>71</v>
      </c>
      <c r="Q843" s="6" t="s">
        <v>71</v>
      </c>
      <c r="R843" s="6" t="s">
        <v>72</v>
      </c>
      <c r="S843" s="6" t="s">
        <v>73</v>
      </c>
      <c r="T843" s="6" t="s">
        <v>46</v>
      </c>
      <c r="U843" s="6" t="n">
        <v>1000</v>
      </c>
      <c r="V843" s="1" t="n">
        <v>4</v>
      </c>
      <c r="W843" s="6"/>
      <c r="X843" s="6" t="s">
        <v>74</v>
      </c>
      <c r="Y843" s="6" t="n">
        <v>5500</v>
      </c>
      <c r="Z843" s="6" t="s">
        <v>1230</v>
      </c>
      <c r="AA843" s="6" t="s">
        <v>1231</v>
      </c>
      <c r="AB843" s="15" t="str">
        <f aca="true" t="array" ref="AB843:AB843">LEFT(AA843,LOOKUP(2^15,FIND(".",AA843,ROW(INDIRECT("1:"&amp;LEN(AA843)))))-1)</f>
        <v>NB_2022_025 - 13072022 - 1</v>
      </c>
      <c r="AC843" s="6" t="s">
        <v>1232</v>
      </c>
      <c r="AD843" s="15" t="str">
        <f aca="true" t="array" ref="AD843:AD843">LEFT(AC843,LOOKUP(2^15,FIND(".",AC843,ROW(INDIRECT("1:"&amp;LEN(AC843)))))-1)</f>
        <v>NB_2022_025 - 13072022 - 2</v>
      </c>
      <c r="AE843" s="6" t="str">
        <f aca="false">CONCATENATE(AB843, "-",H843, ".mzML")</f>
        <v>NB_2022_025 - 13072022 - 1-QC_C_4.mzML</v>
      </c>
      <c r="AF843" s="6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3" t="s">
        <v>1223</v>
      </c>
      <c r="B844" s="34"/>
      <c r="C844" s="4" t="s">
        <v>1224</v>
      </c>
      <c r="D844" s="6" t="s">
        <v>14</v>
      </c>
      <c r="E844" s="6" t="s">
        <v>1225</v>
      </c>
      <c r="F844" s="7" t="s">
        <v>1226</v>
      </c>
      <c r="G844" s="6" t="s">
        <v>1225</v>
      </c>
      <c r="H844" s="27" t="s">
        <v>77</v>
      </c>
      <c r="I844" s="6" t="str">
        <f aca="false">CONCATENATE(E844, "_",H844)</f>
        <v>NLA_2022_006_QC_P_1</v>
      </c>
      <c r="J844" s="6" t="s">
        <v>52</v>
      </c>
      <c r="K844" s="6" t="s">
        <v>281</v>
      </c>
      <c r="L844" s="9" t="s">
        <v>69</v>
      </c>
      <c r="M844" s="13" t="s">
        <v>46</v>
      </c>
      <c r="N844" s="6" t="s">
        <v>78</v>
      </c>
      <c r="O844" s="6" t="s">
        <v>46</v>
      </c>
      <c r="P844" s="6" t="s">
        <v>79</v>
      </c>
      <c r="Q844" s="6" t="s">
        <v>80</v>
      </c>
      <c r="R844" s="6" t="s">
        <v>81</v>
      </c>
      <c r="S844" s="6" t="s">
        <v>46</v>
      </c>
      <c r="T844" s="6" t="s">
        <v>46</v>
      </c>
      <c r="U844" s="6" t="s">
        <v>82</v>
      </c>
      <c r="V844" s="1" t="n">
        <v>1</v>
      </c>
      <c r="W844" s="6"/>
      <c r="X844" s="6" t="s">
        <v>83</v>
      </c>
      <c r="Y844" s="6" t="n">
        <v>5500</v>
      </c>
      <c r="Z844" s="6" t="s">
        <v>1230</v>
      </c>
      <c r="AA844" s="6" t="s">
        <v>1231</v>
      </c>
      <c r="AB844" s="15" t="str">
        <f aca="true" t="array" ref="AB844:AB844">LEFT(AA844,LOOKUP(2^15,FIND(".",AA844,ROW(INDIRECT("1:"&amp;LEN(AA844)))))-1)</f>
        <v>NB_2022_025 - 13072022 - 1</v>
      </c>
      <c r="AC844" s="6" t="s">
        <v>1232</v>
      </c>
      <c r="AD844" s="15" t="str">
        <f aca="true" t="array" ref="AD844:AD844">LEFT(AC844,LOOKUP(2^15,FIND(".",AC844,ROW(INDIRECT("1:"&amp;LEN(AC844)))))-1)</f>
        <v>NB_2022_025 - 13072022 - 2</v>
      </c>
      <c r="AE844" s="6" t="str">
        <f aca="false">CONCATENATE(AB844, "-",H844, ".mzML")</f>
        <v>NB_2022_025 - 13072022 - 1-QC_P_1.mzML</v>
      </c>
      <c r="AF844" s="6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3" t="s">
        <v>1223</v>
      </c>
      <c r="B845" s="34"/>
      <c r="C845" s="4" t="s">
        <v>1224</v>
      </c>
      <c r="D845" s="6" t="s">
        <v>14</v>
      </c>
      <c r="E845" s="6" t="s">
        <v>1225</v>
      </c>
      <c r="F845" s="7" t="s">
        <v>1226</v>
      </c>
      <c r="G845" s="6" t="s">
        <v>1225</v>
      </c>
      <c r="H845" s="27" t="s">
        <v>84</v>
      </c>
      <c r="I845" s="6" t="str">
        <f aca="false">CONCATENATE(E845, "_",H845)</f>
        <v>NLA_2022_006_QC_P_2</v>
      </c>
      <c r="J845" s="6" t="s">
        <v>52</v>
      </c>
      <c r="K845" s="6" t="s">
        <v>281</v>
      </c>
      <c r="L845" s="9" t="s">
        <v>69</v>
      </c>
      <c r="M845" s="13" t="s">
        <v>46</v>
      </c>
      <c r="N845" s="6" t="s">
        <v>78</v>
      </c>
      <c r="O845" s="6" t="s">
        <v>46</v>
      </c>
      <c r="P845" s="6" t="s">
        <v>79</v>
      </c>
      <c r="Q845" s="6" t="s">
        <v>80</v>
      </c>
      <c r="R845" s="6" t="s">
        <v>81</v>
      </c>
      <c r="S845" s="6" t="s">
        <v>46</v>
      </c>
      <c r="T845" s="6" t="s">
        <v>46</v>
      </c>
      <c r="U845" s="6" t="s">
        <v>82</v>
      </c>
      <c r="V845" s="1" t="n">
        <v>2</v>
      </c>
      <c r="W845" s="6"/>
      <c r="X845" s="6" t="s">
        <v>83</v>
      </c>
      <c r="Y845" s="6" t="n">
        <v>5500</v>
      </c>
      <c r="Z845" s="6" t="s">
        <v>1230</v>
      </c>
      <c r="AA845" s="6" t="s">
        <v>1231</v>
      </c>
      <c r="AB845" s="15" t="str">
        <f aca="true" t="array" ref="AB845:AB845">LEFT(AA845,LOOKUP(2^15,FIND(".",AA845,ROW(INDIRECT("1:"&amp;LEN(AA845)))))-1)</f>
        <v>NB_2022_025 - 13072022 - 1</v>
      </c>
      <c r="AC845" s="6" t="s">
        <v>1232</v>
      </c>
      <c r="AD845" s="15" t="str">
        <f aca="true" t="array" ref="AD845:AD845">LEFT(AC845,LOOKUP(2^15,FIND(".",AC845,ROW(INDIRECT("1:"&amp;LEN(AC845)))))-1)</f>
        <v>NB_2022_025 - 13072022 - 2</v>
      </c>
      <c r="AE845" s="6" t="str">
        <f aca="false">CONCATENATE(AB845, "-",H845, ".mzML")</f>
        <v>NB_2022_025 - 13072022 - 1-QC_P_2.mzML</v>
      </c>
      <c r="AF845" s="6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3" t="s">
        <v>1223</v>
      </c>
      <c r="B846" s="34"/>
      <c r="C846" s="4" t="s">
        <v>1224</v>
      </c>
      <c r="D846" s="6" t="s">
        <v>14</v>
      </c>
      <c r="E846" s="6" t="s">
        <v>1225</v>
      </c>
      <c r="F846" s="7" t="s">
        <v>1226</v>
      </c>
      <c r="G846" s="6" t="s">
        <v>1225</v>
      </c>
      <c r="H846" s="27" t="s">
        <v>85</v>
      </c>
      <c r="I846" s="6" t="str">
        <f aca="false">CONCATENATE(E846, "_",H846)</f>
        <v>NLA_2022_006_QC_P_3</v>
      </c>
      <c r="J846" s="6" t="s">
        <v>52</v>
      </c>
      <c r="K846" s="6" t="s">
        <v>281</v>
      </c>
      <c r="L846" s="9" t="s">
        <v>69</v>
      </c>
      <c r="M846" s="13" t="s">
        <v>46</v>
      </c>
      <c r="N846" s="6" t="s">
        <v>78</v>
      </c>
      <c r="O846" s="6" t="s">
        <v>46</v>
      </c>
      <c r="P846" s="6" t="s">
        <v>79</v>
      </c>
      <c r="Q846" s="6" t="s">
        <v>80</v>
      </c>
      <c r="R846" s="6" t="s">
        <v>81</v>
      </c>
      <c r="S846" s="6" t="s">
        <v>46</v>
      </c>
      <c r="T846" s="6" t="s">
        <v>46</v>
      </c>
      <c r="U846" s="6" t="s">
        <v>82</v>
      </c>
      <c r="V846" s="1" t="n">
        <v>3</v>
      </c>
      <c r="W846" s="6"/>
      <c r="X846" s="6" t="s">
        <v>83</v>
      </c>
      <c r="Y846" s="6" t="n">
        <v>5500</v>
      </c>
      <c r="Z846" s="6" t="s">
        <v>1230</v>
      </c>
      <c r="AA846" s="6" t="s">
        <v>1231</v>
      </c>
      <c r="AB846" s="15" t="str">
        <f aca="true" t="array" ref="AB846:AB846">LEFT(AA846,LOOKUP(2^15,FIND(".",AA846,ROW(INDIRECT("1:"&amp;LEN(AA846)))))-1)</f>
        <v>NB_2022_025 - 13072022 - 1</v>
      </c>
      <c r="AC846" s="6" t="s">
        <v>1232</v>
      </c>
      <c r="AD846" s="15" t="str">
        <f aca="true" t="array" ref="AD846:AD846">LEFT(AC846,LOOKUP(2^15,FIND(".",AC846,ROW(INDIRECT("1:"&amp;LEN(AC846)))))-1)</f>
        <v>NB_2022_025 - 13072022 - 2</v>
      </c>
      <c r="AE846" s="6" t="str">
        <f aca="false">CONCATENATE(AB846, "-",H846, ".mzML")</f>
        <v>NB_2022_025 - 13072022 - 1-QC_P_3.mzML</v>
      </c>
      <c r="AF846" s="6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3" t="s">
        <v>1223</v>
      </c>
      <c r="B847" s="34"/>
      <c r="C847" s="4" t="s">
        <v>1224</v>
      </c>
      <c r="D847" s="6" t="s">
        <v>14</v>
      </c>
      <c r="E847" s="6" t="s">
        <v>1225</v>
      </c>
      <c r="F847" s="7" t="s">
        <v>1226</v>
      </c>
      <c r="G847" s="6" t="s">
        <v>1225</v>
      </c>
      <c r="H847" s="27" t="s">
        <v>224</v>
      </c>
      <c r="I847" s="6" t="str">
        <f aca="false">CONCATENATE(E847, "_",H847)</f>
        <v>NLA_2022_006_QC_P_4</v>
      </c>
      <c r="J847" s="6" t="s">
        <v>52</v>
      </c>
      <c r="K847" s="6" t="s">
        <v>281</v>
      </c>
      <c r="L847" s="9" t="s">
        <v>69</v>
      </c>
      <c r="M847" s="13" t="s">
        <v>46</v>
      </c>
      <c r="N847" s="6" t="s">
        <v>78</v>
      </c>
      <c r="O847" s="6" t="s">
        <v>46</v>
      </c>
      <c r="P847" s="6" t="s">
        <v>79</v>
      </c>
      <c r="Q847" s="6" t="s">
        <v>80</v>
      </c>
      <c r="R847" s="6" t="s">
        <v>81</v>
      </c>
      <c r="S847" s="6" t="s">
        <v>46</v>
      </c>
      <c r="T847" s="6" t="s">
        <v>46</v>
      </c>
      <c r="U847" s="6" t="s">
        <v>82</v>
      </c>
      <c r="V847" s="1" t="n">
        <v>4</v>
      </c>
      <c r="W847" s="6"/>
      <c r="X847" s="6" t="s">
        <v>83</v>
      </c>
      <c r="Y847" s="6" t="n">
        <v>5500</v>
      </c>
      <c r="Z847" s="6" t="s">
        <v>1230</v>
      </c>
      <c r="AA847" s="6" t="s">
        <v>1231</v>
      </c>
      <c r="AB847" s="15" t="str">
        <f aca="true" t="array" ref="AB847:AB847">LEFT(AA847,LOOKUP(2^15,FIND(".",AA847,ROW(INDIRECT("1:"&amp;LEN(AA847)))))-1)</f>
        <v>NB_2022_025 - 13072022 - 1</v>
      </c>
      <c r="AC847" s="6" t="s">
        <v>1232</v>
      </c>
      <c r="AD847" s="15" t="str">
        <f aca="true" t="array" ref="AD847:AD847">LEFT(AC847,LOOKUP(2^15,FIND(".",AC847,ROW(INDIRECT("1:"&amp;LEN(AC847)))))-1)</f>
        <v>NB_2022_025 - 13072022 - 2</v>
      </c>
      <c r="AE847" s="6" t="str">
        <f aca="false">CONCATENATE(AB847, "-",H847, ".mzML")</f>
        <v>NB_2022_025 - 13072022 - 1-QC_P_4.mzML</v>
      </c>
      <c r="AF847" s="6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3" t="s">
        <v>1235</v>
      </c>
      <c r="B848" s="34"/>
      <c r="C848" s="4" t="s">
        <v>1236</v>
      </c>
      <c r="D848" s="6" t="s">
        <v>19</v>
      </c>
      <c r="E848" s="6" t="s">
        <v>1225</v>
      </c>
      <c r="F848" s="7" t="s">
        <v>1226</v>
      </c>
      <c r="G848" s="6" t="s">
        <v>1237</v>
      </c>
      <c r="H848" s="27" t="s">
        <v>445</v>
      </c>
      <c r="I848" s="6" t="str">
        <f aca="false">CONCATENATE(E848, "_",H848)</f>
        <v>NLA_2022_006_031</v>
      </c>
      <c r="J848" s="6" t="s">
        <v>38</v>
      </c>
      <c r="K848" s="6" t="s">
        <v>1238</v>
      </c>
      <c r="L848" s="9" t="s">
        <v>69</v>
      </c>
      <c r="M848" s="13" t="s">
        <v>1239</v>
      </c>
      <c r="N848" s="6" t="s">
        <v>246</v>
      </c>
      <c r="O848" s="35" t="s">
        <v>1212</v>
      </c>
      <c r="P848" s="36" t="s">
        <v>1213</v>
      </c>
      <c r="Q848" s="36" t="s">
        <v>1214</v>
      </c>
      <c r="R848" s="6" t="s">
        <v>72</v>
      </c>
      <c r="S848" s="6"/>
      <c r="T848" s="6" t="s">
        <v>1240</v>
      </c>
      <c r="U848" s="1" t="n">
        <v>1500</v>
      </c>
      <c r="V848" s="1" t="n">
        <v>1</v>
      </c>
      <c r="W848" s="6"/>
      <c r="X848" s="9" t="s">
        <v>1215</v>
      </c>
      <c r="Y848" s="1" t="n">
        <v>5500</v>
      </c>
      <c r="Z848" s="6" t="s">
        <v>1230</v>
      </c>
      <c r="AA848" s="6" t="s">
        <v>1231</v>
      </c>
      <c r="AB848" s="15" t="str">
        <f aca="true" t="array" ref="AB848:AB848">LEFT(AA848,LOOKUP(2^15,FIND(".",AA848,ROW(INDIRECT("1:"&amp;LEN(AA848)))))-1)</f>
        <v>NB_2022_025 - 13072022 - 1</v>
      </c>
      <c r="AC848" s="6" t="s">
        <v>1232</v>
      </c>
      <c r="AD848" s="15" t="str">
        <f aca="true" t="array" ref="AD848:AD848">LEFT(AC848,LOOKUP(2^15,FIND(".",AC848,ROW(INDIRECT("1:"&amp;LEN(AC848)))))-1)</f>
        <v>NB_2022_025 - 13072022 - 2</v>
      </c>
      <c r="AE848" s="6" t="str">
        <f aca="false">CONCATENATE(AB848, "-",H848, ".mzML")</f>
        <v>NB_2022_025 - 13072022 - 1-031.mzML</v>
      </c>
      <c r="AF848" s="6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3" t="s">
        <v>1235</v>
      </c>
      <c r="B849" s="34"/>
      <c r="C849" s="4" t="s">
        <v>1236</v>
      </c>
      <c r="D849" s="6" t="s">
        <v>19</v>
      </c>
      <c r="E849" s="6" t="s">
        <v>1225</v>
      </c>
      <c r="F849" s="7" t="s">
        <v>1226</v>
      </c>
      <c r="G849" s="6" t="s">
        <v>1237</v>
      </c>
      <c r="H849" s="27" t="s">
        <v>1241</v>
      </c>
      <c r="I849" s="6" t="str">
        <f aca="false">CONCATENATE(E849, "_",H849)</f>
        <v>NLA_2022_006_032</v>
      </c>
      <c r="J849" s="6" t="s">
        <v>38</v>
      </c>
      <c r="K849" s="6" t="s">
        <v>1238</v>
      </c>
      <c r="L849" s="9" t="s">
        <v>69</v>
      </c>
      <c r="M849" s="13" t="s">
        <v>1239</v>
      </c>
      <c r="N849" s="6" t="s">
        <v>246</v>
      </c>
      <c r="O849" s="35" t="s">
        <v>1212</v>
      </c>
      <c r="P849" s="36" t="s">
        <v>1213</v>
      </c>
      <c r="Q849" s="36" t="s">
        <v>1214</v>
      </c>
      <c r="R849" s="6" t="s">
        <v>72</v>
      </c>
      <c r="S849" s="6"/>
      <c r="T849" s="6" t="s">
        <v>1240</v>
      </c>
      <c r="U849" s="1" t="n">
        <v>1500</v>
      </c>
      <c r="V849" s="1" t="n">
        <v>2</v>
      </c>
      <c r="W849" s="6"/>
      <c r="X849" s="9" t="s">
        <v>1215</v>
      </c>
      <c r="Y849" s="1" t="n">
        <v>5500</v>
      </c>
      <c r="Z849" s="6" t="s">
        <v>1230</v>
      </c>
      <c r="AA849" s="6" t="s">
        <v>1231</v>
      </c>
      <c r="AB849" s="15" t="str">
        <f aca="true" t="array" ref="AB849:AB849">LEFT(AA849,LOOKUP(2^15,FIND(".",AA849,ROW(INDIRECT("1:"&amp;LEN(AA849)))))-1)</f>
        <v>NB_2022_025 - 13072022 - 1</v>
      </c>
      <c r="AC849" s="6" t="s">
        <v>1232</v>
      </c>
      <c r="AD849" s="15" t="str">
        <f aca="true" t="array" ref="AD849:AD849">LEFT(AC849,LOOKUP(2^15,FIND(".",AC849,ROW(INDIRECT("1:"&amp;LEN(AC849)))))-1)</f>
        <v>NB_2022_025 - 13072022 - 2</v>
      </c>
      <c r="AE849" s="6" t="str">
        <f aca="false">CONCATENATE(AB849, "-",H849, ".mzML")</f>
        <v>NB_2022_025 - 13072022 - 1-032.mzML</v>
      </c>
      <c r="AF849" s="6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3" t="s">
        <v>1235</v>
      </c>
      <c r="B850" s="34"/>
      <c r="C850" s="4" t="s">
        <v>1236</v>
      </c>
      <c r="D850" s="6" t="s">
        <v>19</v>
      </c>
      <c r="E850" s="6" t="s">
        <v>1225</v>
      </c>
      <c r="F850" s="7" t="s">
        <v>1226</v>
      </c>
      <c r="G850" s="6" t="s">
        <v>1237</v>
      </c>
      <c r="H850" s="27" t="s">
        <v>1063</v>
      </c>
      <c r="I850" s="6" t="str">
        <f aca="false">CONCATENATE(E850, "_",H850)</f>
        <v>NLA_2022_006_033</v>
      </c>
      <c r="J850" s="6" t="s">
        <v>38</v>
      </c>
      <c r="K850" s="6" t="s">
        <v>1238</v>
      </c>
      <c r="L850" s="9" t="s">
        <v>69</v>
      </c>
      <c r="M850" s="13" t="s">
        <v>1239</v>
      </c>
      <c r="N850" s="6" t="s">
        <v>246</v>
      </c>
      <c r="O850" s="35" t="s">
        <v>1212</v>
      </c>
      <c r="P850" s="36" t="s">
        <v>1213</v>
      </c>
      <c r="Q850" s="36" t="s">
        <v>1214</v>
      </c>
      <c r="R850" s="6" t="s">
        <v>72</v>
      </c>
      <c r="S850" s="6"/>
      <c r="T850" s="6" t="s">
        <v>1240</v>
      </c>
      <c r="U850" s="1" t="n">
        <v>1500</v>
      </c>
      <c r="V850" s="1" t="n">
        <v>3</v>
      </c>
      <c r="W850" s="6"/>
      <c r="X850" s="9" t="s">
        <v>1215</v>
      </c>
      <c r="Y850" s="1" t="n">
        <v>5500</v>
      </c>
      <c r="Z850" s="6" t="s">
        <v>1230</v>
      </c>
      <c r="AA850" s="6" t="s">
        <v>1231</v>
      </c>
      <c r="AB850" s="15" t="str">
        <f aca="true" t="array" ref="AB850:AB850">LEFT(AA850,LOOKUP(2^15,FIND(".",AA850,ROW(INDIRECT("1:"&amp;LEN(AA850)))))-1)</f>
        <v>NB_2022_025 - 13072022 - 1</v>
      </c>
      <c r="AC850" s="6" t="s">
        <v>1232</v>
      </c>
      <c r="AD850" s="15" t="str">
        <f aca="true" t="array" ref="AD850:AD850">LEFT(AC850,LOOKUP(2^15,FIND(".",AC850,ROW(INDIRECT("1:"&amp;LEN(AC850)))))-1)</f>
        <v>NB_2022_025 - 13072022 - 2</v>
      </c>
      <c r="AE850" s="6" t="str">
        <f aca="false">CONCATENATE(AB850, "-",H850, ".mzML")</f>
        <v>NB_2022_025 - 13072022 - 1-033.mzML</v>
      </c>
      <c r="AF850" s="6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3" t="s">
        <v>1235</v>
      </c>
      <c r="B851" s="34"/>
      <c r="C851" s="4" t="s">
        <v>1236</v>
      </c>
      <c r="D851" s="6" t="s">
        <v>19</v>
      </c>
      <c r="E851" s="6" t="s">
        <v>1225</v>
      </c>
      <c r="F851" s="7" t="s">
        <v>1226</v>
      </c>
      <c r="G851" s="6" t="s">
        <v>1237</v>
      </c>
      <c r="H851" s="27" t="s">
        <v>920</v>
      </c>
      <c r="I851" s="6" t="str">
        <f aca="false">CONCATENATE(E851, "_",H851)</f>
        <v>NLA_2022_006_034</v>
      </c>
      <c r="J851" s="6" t="s">
        <v>52</v>
      </c>
      <c r="K851" s="6" t="s">
        <v>1242</v>
      </c>
      <c r="L851" s="9" t="s">
        <v>69</v>
      </c>
      <c r="M851" s="13" t="s">
        <v>1239</v>
      </c>
      <c r="N851" s="6" t="s">
        <v>246</v>
      </c>
      <c r="O851" s="35" t="s">
        <v>1212</v>
      </c>
      <c r="P851" s="36" t="s">
        <v>1213</v>
      </c>
      <c r="Q851" s="36" t="s">
        <v>1214</v>
      </c>
      <c r="R851" s="6" t="s">
        <v>72</v>
      </c>
      <c r="S851" s="6"/>
      <c r="T851" s="6" t="s">
        <v>1243</v>
      </c>
      <c r="U851" s="1" t="n">
        <v>1500</v>
      </c>
      <c r="V851" s="1" t="n">
        <v>1</v>
      </c>
      <c r="W851" s="6"/>
      <c r="X851" s="9" t="s">
        <v>1215</v>
      </c>
      <c r="Y851" s="1" t="n">
        <v>5500</v>
      </c>
      <c r="Z851" s="6" t="s">
        <v>1230</v>
      </c>
      <c r="AA851" s="6" t="s">
        <v>1231</v>
      </c>
      <c r="AB851" s="15" t="str">
        <f aca="true" t="array" ref="AB851:AB851">LEFT(AA851,LOOKUP(2^15,FIND(".",AA851,ROW(INDIRECT("1:"&amp;LEN(AA851)))))-1)</f>
        <v>NB_2022_025 - 13072022 - 1</v>
      </c>
      <c r="AC851" s="6" t="s">
        <v>1232</v>
      </c>
      <c r="AD851" s="15" t="str">
        <f aca="true" t="array" ref="AD851:AD851">LEFT(AC851,LOOKUP(2^15,FIND(".",AC851,ROW(INDIRECT("1:"&amp;LEN(AC851)))))-1)</f>
        <v>NB_2022_025 - 13072022 - 2</v>
      </c>
      <c r="AE851" s="6" t="str">
        <f aca="false">CONCATENATE(AB851, "-",H851, ".mzML")</f>
        <v>NB_2022_025 - 13072022 - 1-034.mzML</v>
      </c>
      <c r="AF851" s="6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3" t="s">
        <v>1235</v>
      </c>
      <c r="B852" s="34"/>
      <c r="C852" s="4" t="s">
        <v>1236</v>
      </c>
      <c r="D852" s="6" t="s">
        <v>19</v>
      </c>
      <c r="E852" s="6" t="s">
        <v>1225</v>
      </c>
      <c r="F852" s="7" t="s">
        <v>1226</v>
      </c>
      <c r="G852" s="6" t="s">
        <v>1237</v>
      </c>
      <c r="H852" s="27" t="s">
        <v>1244</v>
      </c>
      <c r="I852" s="6" t="str">
        <f aca="false">CONCATENATE(E852, "_",H852)</f>
        <v>NLA_2022_006_035</v>
      </c>
      <c r="J852" s="6" t="s">
        <v>52</v>
      </c>
      <c r="K852" s="6" t="s">
        <v>1242</v>
      </c>
      <c r="L852" s="9" t="s">
        <v>69</v>
      </c>
      <c r="M852" s="13" t="s">
        <v>1239</v>
      </c>
      <c r="N852" s="6" t="s">
        <v>246</v>
      </c>
      <c r="O852" s="35" t="s">
        <v>1212</v>
      </c>
      <c r="P852" s="36" t="s">
        <v>1213</v>
      </c>
      <c r="Q852" s="36" t="s">
        <v>1214</v>
      </c>
      <c r="R852" s="6" t="s">
        <v>72</v>
      </c>
      <c r="S852" s="6"/>
      <c r="T852" s="6" t="s">
        <v>1243</v>
      </c>
      <c r="U852" s="1" t="n">
        <v>1500</v>
      </c>
      <c r="V852" s="1" t="n">
        <v>2</v>
      </c>
      <c r="W852" s="6"/>
      <c r="X852" s="9" t="s">
        <v>1215</v>
      </c>
      <c r="Y852" s="1" t="n">
        <v>5500</v>
      </c>
      <c r="Z852" s="6" t="s">
        <v>1230</v>
      </c>
      <c r="AA852" s="6" t="s">
        <v>1231</v>
      </c>
      <c r="AB852" s="15" t="str">
        <f aca="true" t="array" ref="AB852:AB852">LEFT(AA852,LOOKUP(2^15,FIND(".",AA852,ROW(INDIRECT("1:"&amp;LEN(AA852)))))-1)</f>
        <v>NB_2022_025 - 13072022 - 1</v>
      </c>
      <c r="AC852" s="6" t="s">
        <v>1232</v>
      </c>
      <c r="AD852" s="15" t="str">
        <f aca="true" t="array" ref="AD852:AD852">LEFT(AC852,LOOKUP(2^15,FIND(".",AC852,ROW(INDIRECT("1:"&amp;LEN(AC852)))))-1)</f>
        <v>NB_2022_025 - 13072022 - 2</v>
      </c>
      <c r="AE852" s="6" t="str">
        <f aca="false">CONCATENATE(AB852, "-",H852, ".mzML")</f>
        <v>NB_2022_025 - 13072022 - 1-035.mzML</v>
      </c>
      <c r="AF852" s="6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3" t="s">
        <v>1235</v>
      </c>
      <c r="B853" s="34"/>
      <c r="C853" s="4" t="s">
        <v>1236</v>
      </c>
      <c r="D853" s="6" t="s">
        <v>19</v>
      </c>
      <c r="E853" s="6" t="s">
        <v>1225</v>
      </c>
      <c r="F853" s="7" t="s">
        <v>1226</v>
      </c>
      <c r="G853" s="6" t="s">
        <v>1237</v>
      </c>
      <c r="H853" s="27" t="s">
        <v>925</v>
      </c>
      <c r="I853" s="6" t="str">
        <f aca="false">CONCATENATE(E853, "_",H853)</f>
        <v>NLA_2022_006_036</v>
      </c>
      <c r="J853" s="6" t="s">
        <v>52</v>
      </c>
      <c r="K853" s="6" t="s">
        <v>1242</v>
      </c>
      <c r="L853" s="9" t="s">
        <v>69</v>
      </c>
      <c r="M853" s="13" t="s">
        <v>1239</v>
      </c>
      <c r="N853" s="6" t="s">
        <v>246</v>
      </c>
      <c r="O853" s="35" t="s">
        <v>1212</v>
      </c>
      <c r="P853" s="36" t="s">
        <v>1213</v>
      </c>
      <c r="Q853" s="36" t="s">
        <v>1214</v>
      </c>
      <c r="R853" s="6" t="s">
        <v>72</v>
      </c>
      <c r="S853" s="6"/>
      <c r="T853" s="6" t="s">
        <v>1243</v>
      </c>
      <c r="U853" s="1" t="n">
        <v>1500</v>
      </c>
      <c r="V853" s="1" t="n">
        <v>3</v>
      </c>
      <c r="W853" s="6"/>
      <c r="X853" s="9" t="s">
        <v>1215</v>
      </c>
      <c r="Y853" s="1" t="n">
        <v>5500</v>
      </c>
      <c r="Z853" s="6" t="s">
        <v>1230</v>
      </c>
      <c r="AA853" s="6" t="s">
        <v>1231</v>
      </c>
      <c r="AB853" s="15" t="str">
        <f aca="true" t="array" ref="AB853:AB853">LEFT(AA853,LOOKUP(2^15,FIND(".",AA853,ROW(INDIRECT("1:"&amp;LEN(AA853)))))-1)</f>
        <v>NB_2022_025 - 13072022 - 1</v>
      </c>
      <c r="AC853" s="6" t="s">
        <v>1232</v>
      </c>
      <c r="AD853" s="15" t="str">
        <f aca="true" t="array" ref="AD853:AD853">LEFT(AC853,LOOKUP(2^15,FIND(".",AC853,ROW(INDIRECT("1:"&amp;LEN(AC853)))))-1)</f>
        <v>NB_2022_025 - 13072022 - 2</v>
      </c>
      <c r="AE853" s="6" t="str">
        <f aca="false">CONCATENATE(AB853, "-",H853, ".mzML")</f>
        <v>NB_2022_025 - 13072022 - 1-036.mzML</v>
      </c>
      <c r="AF853" s="6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3" t="s">
        <v>1235</v>
      </c>
      <c r="B854" s="34"/>
      <c r="C854" s="4" t="s">
        <v>1236</v>
      </c>
      <c r="D854" s="6" t="s">
        <v>19</v>
      </c>
      <c r="E854" s="6" t="s">
        <v>1225</v>
      </c>
      <c r="F854" s="7" t="s">
        <v>1226</v>
      </c>
      <c r="G854" s="6" t="s">
        <v>1225</v>
      </c>
      <c r="H854" s="27" t="s">
        <v>64</v>
      </c>
      <c r="I854" s="6" t="str">
        <f aca="false">CONCATENATE(E854, "_",H854)</f>
        <v>NLA_2022_006_Blank_1</v>
      </c>
      <c r="J854" s="6" t="s">
        <v>52</v>
      </c>
      <c r="K854" s="6" t="s">
        <v>280</v>
      </c>
      <c r="L854" s="9" t="s">
        <v>46</v>
      </c>
      <c r="M854" s="13" t="s">
        <v>46</v>
      </c>
      <c r="N854" s="6" t="s">
        <v>65</v>
      </c>
      <c r="O854" s="6" t="s">
        <v>46</v>
      </c>
      <c r="P854" s="6" t="s">
        <v>46</v>
      </c>
      <c r="Q854" s="6" t="s">
        <v>46</v>
      </c>
      <c r="R854" s="6" t="s">
        <v>46</v>
      </c>
      <c r="S854" s="6" t="s">
        <v>46</v>
      </c>
      <c r="T854" s="6" t="s">
        <v>46</v>
      </c>
      <c r="U854" s="6" t="s">
        <v>46</v>
      </c>
      <c r="V854" s="1" t="n">
        <v>1</v>
      </c>
      <c r="W854" s="6"/>
      <c r="X854" s="6" t="s">
        <v>46</v>
      </c>
      <c r="Y854" s="1" t="n">
        <v>5500</v>
      </c>
      <c r="Z854" s="6" t="s">
        <v>1230</v>
      </c>
      <c r="AA854" s="6" t="s">
        <v>1231</v>
      </c>
      <c r="AB854" s="15" t="str">
        <f aca="true" t="array" ref="AB854:AB854">LEFT(AA854,LOOKUP(2^15,FIND(".",AA854,ROW(INDIRECT("1:"&amp;LEN(AA854)))))-1)</f>
        <v>NB_2022_025 - 13072022 - 1</v>
      </c>
      <c r="AC854" s="6" t="s">
        <v>1232</v>
      </c>
      <c r="AD854" s="15" t="str">
        <f aca="true" t="array" ref="AD854:AD854">LEFT(AC854,LOOKUP(2^15,FIND(".",AC854,ROW(INDIRECT("1:"&amp;LEN(AC854)))))-1)</f>
        <v>NB_2022_025 - 13072022 - 2</v>
      </c>
      <c r="AE854" s="6" t="str">
        <f aca="false">CONCATENATE(AB854, "-",H854, ".mzML")</f>
        <v>NB_2022_025 - 13072022 - 1-Blank_1.mzML</v>
      </c>
      <c r="AF854" s="6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3" t="s">
        <v>1235</v>
      </c>
      <c r="B855" s="34"/>
      <c r="C855" s="4" t="s">
        <v>1236</v>
      </c>
      <c r="D855" s="6" t="s">
        <v>19</v>
      </c>
      <c r="E855" s="6" t="s">
        <v>1225</v>
      </c>
      <c r="F855" s="7" t="s">
        <v>1226</v>
      </c>
      <c r="G855" s="6" t="s">
        <v>1225</v>
      </c>
      <c r="H855" s="27" t="s">
        <v>66</v>
      </c>
      <c r="I855" s="6" t="str">
        <f aca="false">CONCATENATE(E855, "_",H855)</f>
        <v>NLA_2022_006_Blank_2</v>
      </c>
      <c r="J855" s="6" t="s">
        <v>52</v>
      </c>
      <c r="K855" s="6" t="s">
        <v>280</v>
      </c>
      <c r="L855" s="9" t="s">
        <v>46</v>
      </c>
      <c r="M855" s="13" t="s">
        <v>46</v>
      </c>
      <c r="N855" s="6" t="s">
        <v>65</v>
      </c>
      <c r="O855" s="6" t="s">
        <v>46</v>
      </c>
      <c r="P855" s="6" t="s">
        <v>46</v>
      </c>
      <c r="Q855" s="6" t="s">
        <v>46</v>
      </c>
      <c r="R855" s="6" t="s">
        <v>46</v>
      </c>
      <c r="S855" s="6" t="s">
        <v>46</v>
      </c>
      <c r="T855" s="6" t="s">
        <v>46</v>
      </c>
      <c r="U855" s="6" t="s">
        <v>46</v>
      </c>
      <c r="V855" s="1" t="n">
        <v>2</v>
      </c>
      <c r="W855" s="6"/>
      <c r="X855" s="6" t="s">
        <v>46</v>
      </c>
      <c r="Y855" s="1" t="n">
        <v>5500</v>
      </c>
      <c r="Z855" s="6" t="s">
        <v>1230</v>
      </c>
      <c r="AA855" s="6" t="s">
        <v>1231</v>
      </c>
      <c r="AB855" s="15" t="str">
        <f aca="true" t="array" ref="AB855:AB855">LEFT(AA855,LOOKUP(2^15,FIND(".",AA855,ROW(INDIRECT("1:"&amp;LEN(AA855)))))-1)</f>
        <v>NB_2022_025 - 13072022 - 1</v>
      </c>
      <c r="AC855" s="6" t="s">
        <v>1232</v>
      </c>
      <c r="AD855" s="15" t="str">
        <f aca="true" t="array" ref="AD855:AD855">LEFT(AC855,LOOKUP(2^15,FIND(".",AC855,ROW(INDIRECT("1:"&amp;LEN(AC855)))))-1)</f>
        <v>NB_2022_025 - 13072022 - 2</v>
      </c>
      <c r="AE855" s="6" t="str">
        <f aca="false">CONCATENATE(AB855, "-",H855, ".mzML")</f>
        <v>NB_2022_025 - 13072022 - 1-Blank_2.mzML</v>
      </c>
      <c r="AF855" s="6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3" t="s">
        <v>1235</v>
      </c>
      <c r="B856" s="34"/>
      <c r="C856" s="4" t="s">
        <v>1236</v>
      </c>
      <c r="D856" s="6" t="s">
        <v>19</v>
      </c>
      <c r="E856" s="6" t="s">
        <v>1225</v>
      </c>
      <c r="F856" s="7" t="s">
        <v>1226</v>
      </c>
      <c r="G856" s="6" t="s">
        <v>1225</v>
      </c>
      <c r="H856" s="27" t="s">
        <v>67</v>
      </c>
      <c r="I856" s="6" t="str">
        <f aca="false">CONCATENATE(E856, "_",H856)</f>
        <v>NLA_2022_006_Blank_3</v>
      </c>
      <c r="J856" s="6" t="s">
        <v>52</v>
      </c>
      <c r="K856" s="6" t="s">
        <v>280</v>
      </c>
      <c r="L856" s="9" t="s">
        <v>46</v>
      </c>
      <c r="M856" s="13" t="s">
        <v>46</v>
      </c>
      <c r="N856" s="6" t="s">
        <v>65</v>
      </c>
      <c r="O856" s="6" t="s">
        <v>46</v>
      </c>
      <c r="P856" s="6" t="s">
        <v>46</v>
      </c>
      <c r="Q856" s="6" t="s">
        <v>46</v>
      </c>
      <c r="R856" s="6" t="s">
        <v>46</v>
      </c>
      <c r="S856" s="6" t="s">
        <v>46</v>
      </c>
      <c r="T856" s="6" t="s">
        <v>46</v>
      </c>
      <c r="U856" s="6" t="s">
        <v>46</v>
      </c>
      <c r="V856" s="1" t="n">
        <v>3</v>
      </c>
      <c r="W856" s="6"/>
      <c r="X856" s="6" t="s">
        <v>46</v>
      </c>
      <c r="Y856" s="1" t="n">
        <v>5500</v>
      </c>
      <c r="Z856" s="6" t="s">
        <v>1230</v>
      </c>
      <c r="AA856" s="6" t="s">
        <v>1231</v>
      </c>
      <c r="AB856" s="15" t="str">
        <f aca="true" t="array" ref="AB856:AB856">LEFT(AA856,LOOKUP(2^15,FIND(".",AA856,ROW(INDIRECT("1:"&amp;LEN(AA856)))))-1)</f>
        <v>NB_2022_025 - 13072022 - 1</v>
      </c>
      <c r="AC856" s="6" t="s">
        <v>1232</v>
      </c>
      <c r="AD856" s="15" t="str">
        <f aca="true" t="array" ref="AD856:AD856">LEFT(AC856,LOOKUP(2^15,FIND(".",AC856,ROW(INDIRECT("1:"&amp;LEN(AC856)))))-1)</f>
        <v>NB_2022_025 - 13072022 - 2</v>
      </c>
      <c r="AE856" s="6" t="str">
        <f aca="false">CONCATENATE(AB856, "-",H856, ".mzML")</f>
        <v>NB_2022_025 - 13072022 - 1-Blank_3.mzML</v>
      </c>
      <c r="AF856" s="6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3" t="s">
        <v>1235</v>
      </c>
      <c r="B857" s="34"/>
      <c r="C857" s="4" t="s">
        <v>1236</v>
      </c>
      <c r="D857" s="6" t="s">
        <v>19</v>
      </c>
      <c r="E857" s="6" t="s">
        <v>1225</v>
      </c>
      <c r="F857" s="7" t="s">
        <v>1226</v>
      </c>
      <c r="G857" s="6" t="s">
        <v>1225</v>
      </c>
      <c r="H857" s="27" t="s">
        <v>221</v>
      </c>
      <c r="I857" s="6" t="str">
        <f aca="false">CONCATENATE(E857, "_",H857)</f>
        <v>NLA_2022_006_Blank_4</v>
      </c>
      <c r="J857" s="6" t="s">
        <v>52</v>
      </c>
      <c r="K857" s="6" t="s">
        <v>280</v>
      </c>
      <c r="L857" s="9" t="s">
        <v>46</v>
      </c>
      <c r="M857" s="13" t="s">
        <v>46</v>
      </c>
      <c r="N857" s="6" t="s">
        <v>65</v>
      </c>
      <c r="O857" s="6" t="s">
        <v>46</v>
      </c>
      <c r="P857" s="6" t="s">
        <v>46</v>
      </c>
      <c r="Q857" s="6" t="s">
        <v>46</v>
      </c>
      <c r="R857" s="6" t="s">
        <v>46</v>
      </c>
      <c r="S857" s="6" t="s">
        <v>46</v>
      </c>
      <c r="T857" s="6" t="s">
        <v>46</v>
      </c>
      <c r="U857" s="6" t="s">
        <v>46</v>
      </c>
      <c r="V857" s="1" t="n">
        <v>4</v>
      </c>
      <c r="W857" s="6"/>
      <c r="X857" s="6" t="s">
        <v>46</v>
      </c>
      <c r="Y857" s="1" t="n">
        <v>5500</v>
      </c>
      <c r="Z857" s="6" t="s">
        <v>1230</v>
      </c>
      <c r="AA857" s="6" t="s">
        <v>1231</v>
      </c>
      <c r="AB857" s="15" t="str">
        <f aca="true" t="array" ref="AB857:AB857">LEFT(AA857,LOOKUP(2^15,FIND(".",AA857,ROW(INDIRECT("1:"&amp;LEN(AA857)))))-1)</f>
        <v>NB_2022_025 - 13072022 - 1</v>
      </c>
      <c r="AC857" s="6" t="s">
        <v>1232</v>
      </c>
      <c r="AD857" s="15" t="str">
        <f aca="true" t="array" ref="AD857:AD857">LEFT(AC857,LOOKUP(2^15,FIND(".",AC857,ROW(INDIRECT("1:"&amp;LEN(AC857)))))-1)</f>
        <v>NB_2022_025 - 13072022 - 2</v>
      </c>
      <c r="AE857" s="6" t="str">
        <f aca="false">CONCATENATE(AB857, "-",H857, ".mzML")</f>
        <v>NB_2022_025 - 13072022 - 1-Blank_4.mzML</v>
      </c>
      <c r="AF857" s="6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3" t="s">
        <v>1235</v>
      </c>
      <c r="B858" s="34"/>
      <c r="C858" s="4" t="s">
        <v>1236</v>
      </c>
      <c r="D858" s="6" t="s">
        <v>19</v>
      </c>
      <c r="E858" s="6" t="s">
        <v>1225</v>
      </c>
      <c r="F858" s="7" t="s">
        <v>1226</v>
      </c>
      <c r="G858" s="6" t="s">
        <v>1225</v>
      </c>
      <c r="H858" s="27" t="s">
        <v>68</v>
      </c>
      <c r="I858" s="6" t="str">
        <f aca="false">CONCATENATE(E858, "_",H858)</f>
        <v>NLA_2022_006_QC_C_1</v>
      </c>
      <c r="J858" s="6" t="s">
        <v>52</v>
      </c>
      <c r="K858" s="6" t="s">
        <v>1234</v>
      </c>
      <c r="L858" s="9" t="s">
        <v>69</v>
      </c>
      <c r="M858" s="3" t="s">
        <v>46</v>
      </c>
      <c r="N858" s="6" t="s">
        <v>70</v>
      </c>
      <c r="O858" s="6" t="s">
        <v>46</v>
      </c>
      <c r="P858" s="6" t="s">
        <v>71</v>
      </c>
      <c r="Q858" s="6" t="s">
        <v>71</v>
      </c>
      <c r="R858" s="6" t="s">
        <v>72</v>
      </c>
      <c r="S858" s="6" t="s">
        <v>73</v>
      </c>
      <c r="T858" s="6" t="s">
        <v>46</v>
      </c>
      <c r="U858" s="6" t="n">
        <v>1000</v>
      </c>
      <c r="V858" s="1" t="n">
        <v>1</v>
      </c>
      <c r="W858" s="6"/>
      <c r="X858" s="6" t="s">
        <v>74</v>
      </c>
      <c r="Y858" s="6" t="n">
        <v>5500</v>
      </c>
      <c r="Z858" s="6" t="s">
        <v>1230</v>
      </c>
      <c r="AA858" s="6" t="s">
        <v>1231</v>
      </c>
      <c r="AB858" s="15" t="str">
        <f aca="true" t="array" ref="AB858:AB858">LEFT(AA858,LOOKUP(2^15,FIND(".",AA858,ROW(INDIRECT("1:"&amp;LEN(AA858)))))-1)</f>
        <v>NB_2022_025 - 13072022 - 1</v>
      </c>
      <c r="AC858" s="6" t="s">
        <v>1232</v>
      </c>
      <c r="AD858" s="15" t="str">
        <f aca="true" t="array" ref="AD858:AD858">LEFT(AC858,LOOKUP(2^15,FIND(".",AC858,ROW(INDIRECT("1:"&amp;LEN(AC858)))))-1)</f>
        <v>NB_2022_025 - 13072022 - 2</v>
      </c>
      <c r="AE858" s="6" t="str">
        <f aca="false">CONCATENATE(AB858, "-",H858, ".mzML")</f>
        <v>NB_2022_025 - 13072022 - 1-QC_C_1.mzML</v>
      </c>
      <c r="AF858" s="6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3" t="s">
        <v>1235</v>
      </c>
      <c r="B859" s="34"/>
      <c r="C859" s="4" t="s">
        <v>1236</v>
      </c>
      <c r="D859" s="6" t="s">
        <v>19</v>
      </c>
      <c r="E859" s="6" t="s">
        <v>1225</v>
      </c>
      <c r="F859" s="7" t="s">
        <v>1226</v>
      </c>
      <c r="G859" s="6" t="s">
        <v>1225</v>
      </c>
      <c r="H859" s="27" t="s">
        <v>75</v>
      </c>
      <c r="I859" s="6" t="str">
        <f aca="false">CONCATENATE(E859, "_",H859)</f>
        <v>NLA_2022_006_QC_C_2</v>
      </c>
      <c r="J859" s="6" t="s">
        <v>52</v>
      </c>
      <c r="K859" s="6" t="s">
        <v>1234</v>
      </c>
      <c r="L859" s="9" t="s">
        <v>69</v>
      </c>
      <c r="M859" s="3" t="s">
        <v>46</v>
      </c>
      <c r="N859" s="6" t="s">
        <v>70</v>
      </c>
      <c r="O859" s="6" t="s">
        <v>46</v>
      </c>
      <c r="P859" s="6" t="s">
        <v>71</v>
      </c>
      <c r="Q859" s="6" t="s">
        <v>71</v>
      </c>
      <c r="R859" s="6" t="s">
        <v>72</v>
      </c>
      <c r="S859" s="6" t="s">
        <v>73</v>
      </c>
      <c r="T859" s="6" t="s">
        <v>46</v>
      </c>
      <c r="U859" s="6" t="n">
        <v>1000</v>
      </c>
      <c r="V859" s="1" t="n">
        <v>2</v>
      </c>
      <c r="W859" s="6"/>
      <c r="X859" s="6" t="s">
        <v>74</v>
      </c>
      <c r="Y859" s="6" t="n">
        <v>5500</v>
      </c>
      <c r="Z859" s="6" t="s">
        <v>1230</v>
      </c>
      <c r="AA859" s="6" t="s">
        <v>1231</v>
      </c>
      <c r="AB859" s="15" t="str">
        <f aca="true" t="array" ref="AB859:AB859">LEFT(AA859,LOOKUP(2^15,FIND(".",AA859,ROW(INDIRECT("1:"&amp;LEN(AA859)))))-1)</f>
        <v>NB_2022_025 - 13072022 - 1</v>
      </c>
      <c r="AC859" s="6" t="s">
        <v>1232</v>
      </c>
      <c r="AD859" s="15" t="str">
        <f aca="true" t="array" ref="AD859:AD859">LEFT(AC859,LOOKUP(2^15,FIND(".",AC859,ROW(INDIRECT("1:"&amp;LEN(AC859)))))-1)</f>
        <v>NB_2022_025 - 13072022 - 2</v>
      </c>
      <c r="AE859" s="6" t="str">
        <f aca="false">CONCATENATE(AB859, "-",H859, ".mzML")</f>
        <v>NB_2022_025 - 13072022 - 1-QC_C_2.mzML</v>
      </c>
      <c r="AF859" s="6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3" t="s">
        <v>1235</v>
      </c>
      <c r="B860" s="34"/>
      <c r="C860" s="4" t="s">
        <v>1236</v>
      </c>
      <c r="D860" s="6" t="s">
        <v>19</v>
      </c>
      <c r="E860" s="6" t="s">
        <v>1225</v>
      </c>
      <c r="F860" s="7" t="s">
        <v>1226</v>
      </c>
      <c r="G860" s="6" t="s">
        <v>1225</v>
      </c>
      <c r="H860" s="27" t="s">
        <v>76</v>
      </c>
      <c r="I860" s="6" t="str">
        <f aca="false">CONCATENATE(E860, "_",H860)</f>
        <v>NLA_2022_006_QC_C_3</v>
      </c>
      <c r="J860" s="6" t="s">
        <v>52</v>
      </c>
      <c r="K860" s="6" t="s">
        <v>1234</v>
      </c>
      <c r="L860" s="9" t="s">
        <v>69</v>
      </c>
      <c r="M860" s="3" t="s">
        <v>46</v>
      </c>
      <c r="N860" s="6" t="s">
        <v>70</v>
      </c>
      <c r="O860" s="6" t="s">
        <v>46</v>
      </c>
      <c r="P860" s="6" t="s">
        <v>71</v>
      </c>
      <c r="Q860" s="6" t="s">
        <v>71</v>
      </c>
      <c r="R860" s="6" t="s">
        <v>72</v>
      </c>
      <c r="S860" s="6" t="s">
        <v>73</v>
      </c>
      <c r="T860" s="6" t="s">
        <v>46</v>
      </c>
      <c r="U860" s="6" t="n">
        <v>1000</v>
      </c>
      <c r="V860" s="1" t="n">
        <v>3</v>
      </c>
      <c r="W860" s="6"/>
      <c r="X860" s="6" t="s">
        <v>74</v>
      </c>
      <c r="Y860" s="6" t="n">
        <v>5500</v>
      </c>
      <c r="Z860" s="6" t="s">
        <v>1230</v>
      </c>
      <c r="AA860" s="6" t="s">
        <v>1231</v>
      </c>
      <c r="AB860" s="15" t="str">
        <f aca="true" t="array" ref="AB860:AB860">LEFT(AA860,LOOKUP(2^15,FIND(".",AA860,ROW(INDIRECT("1:"&amp;LEN(AA860)))))-1)</f>
        <v>NB_2022_025 - 13072022 - 1</v>
      </c>
      <c r="AC860" s="6" t="s">
        <v>1232</v>
      </c>
      <c r="AD860" s="15" t="str">
        <f aca="true" t="array" ref="AD860:AD860">LEFT(AC860,LOOKUP(2^15,FIND(".",AC860,ROW(INDIRECT("1:"&amp;LEN(AC860)))))-1)</f>
        <v>NB_2022_025 - 13072022 - 2</v>
      </c>
      <c r="AE860" s="6" t="str">
        <f aca="false">CONCATENATE(AB860, "-",H860, ".mzML")</f>
        <v>NB_2022_025 - 13072022 - 1-QC_C_3.mzML</v>
      </c>
      <c r="AF860" s="6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3" t="s">
        <v>1235</v>
      </c>
      <c r="B861" s="34"/>
      <c r="C861" s="4" t="s">
        <v>1236</v>
      </c>
      <c r="D861" s="6" t="s">
        <v>19</v>
      </c>
      <c r="E861" s="6" t="s">
        <v>1225</v>
      </c>
      <c r="F861" s="7" t="s">
        <v>1226</v>
      </c>
      <c r="G861" s="6" t="s">
        <v>1225</v>
      </c>
      <c r="H861" s="27" t="s">
        <v>222</v>
      </c>
      <c r="I861" s="6" t="str">
        <f aca="false">CONCATENATE(E861, "_",H861)</f>
        <v>NLA_2022_006_QC_C_4</v>
      </c>
      <c r="J861" s="6" t="s">
        <v>52</v>
      </c>
      <c r="K861" s="6" t="s">
        <v>1234</v>
      </c>
      <c r="L861" s="9" t="s">
        <v>69</v>
      </c>
      <c r="M861" s="3" t="s">
        <v>46</v>
      </c>
      <c r="N861" s="6" t="s">
        <v>70</v>
      </c>
      <c r="O861" s="6" t="s">
        <v>46</v>
      </c>
      <c r="P861" s="6" t="s">
        <v>71</v>
      </c>
      <c r="Q861" s="6" t="s">
        <v>71</v>
      </c>
      <c r="R861" s="6" t="s">
        <v>72</v>
      </c>
      <c r="S861" s="6" t="s">
        <v>73</v>
      </c>
      <c r="T861" s="6" t="s">
        <v>46</v>
      </c>
      <c r="U861" s="6" t="n">
        <v>1000</v>
      </c>
      <c r="V861" s="1" t="n">
        <v>4</v>
      </c>
      <c r="W861" s="6"/>
      <c r="X861" s="6" t="s">
        <v>74</v>
      </c>
      <c r="Y861" s="6" t="n">
        <v>5500</v>
      </c>
      <c r="Z861" s="6" t="s">
        <v>1230</v>
      </c>
      <c r="AA861" s="6" t="s">
        <v>1231</v>
      </c>
      <c r="AB861" s="15" t="str">
        <f aca="true" t="array" ref="AB861:AB861">LEFT(AA861,LOOKUP(2^15,FIND(".",AA861,ROW(INDIRECT("1:"&amp;LEN(AA861)))))-1)</f>
        <v>NB_2022_025 - 13072022 - 1</v>
      </c>
      <c r="AC861" s="6" t="s">
        <v>1232</v>
      </c>
      <c r="AD861" s="15" t="str">
        <f aca="true" t="array" ref="AD861:AD861">LEFT(AC861,LOOKUP(2^15,FIND(".",AC861,ROW(INDIRECT("1:"&amp;LEN(AC861)))))-1)</f>
        <v>NB_2022_025 - 13072022 - 2</v>
      </c>
      <c r="AE861" s="6" t="str">
        <f aca="false">CONCATENATE(AB861, "-",H861, ".mzML")</f>
        <v>NB_2022_025 - 13072022 - 1-QC_C_4.mzML</v>
      </c>
      <c r="AF861" s="6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3" t="s">
        <v>1235</v>
      </c>
      <c r="B862" s="34"/>
      <c r="C862" s="4" t="s">
        <v>1236</v>
      </c>
      <c r="D862" s="6" t="s">
        <v>19</v>
      </c>
      <c r="E862" s="6" t="s">
        <v>1225</v>
      </c>
      <c r="F862" s="7" t="s">
        <v>1226</v>
      </c>
      <c r="G862" s="6" t="s">
        <v>1225</v>
      </c>
      <c r="H862" s="27" t="s">
        <v>77</v>
      </c>
      <c r="I862" s="6" t="str">
        <f aca="false">CONCATENATE(E862, "_",H862)</f>
        <v>NLA_2022_006_QC_P_1</v>
      </c>
      <c r="J862" s="6" t="s">
        <v>52</v>
      </c>
      <c r="K862" s="6" t="s">
        <v>281</v>
      </c>
      <c r="L862" s="9" t="s">
        <v>69</v>
      </c>
      <c r="M862" s="13" t="s">
        <v>46</v>
      </c>
      <c r="N862" s="6" t="s">
        <v>78</v>
      </c>
      <c r="O862" s="6" t="s">
        <v>46</v>
      </c>
      <c r="P862" s="6" t="s">
        <v>79</v>
      </c>
      <c r="Q862" s="6" t="s">
        <v>80</v>
      </c>
      <c r="R862" s="6" t="s">
        <v>81</v>
      </c>
      <c r="S862" s="6" t="s">
        <v>46</v>
      </c>
      <c r="T862" s="6" t="s">
        <v>46</v>
      </c>
      <c r="U862" s="6" t="s">
        <v>82</v>
      </c>
      <c r="V862" s="1" t="n">
        <v>1</v>
      </c>
      <c r="W862" s="6"/>
      <c r="X862" s="6" t="s">
        <v>83</v>
      </c>
      <c r="Y862" s="6" t="n">
        <v>5500</v>
      </c>
      <c r="Z862" s="6" t="s">
        <v>1230</v>
      </c>
      <c r="AA862" s="6" t="s">
        <v>1231</v>
      </c>
      <c r="AB862" s="15" t="str">
        <f aca="true" t="array" ref="AB862:AB862">LEFT(AA862,LOOKUP(2^15,FIND(".",AA862,ROW(INDIRECT("1:"&amp;LEN(AA862)))))-1)</f>
        <v>NB_2022_025 - 13072022 - 1</v>
      </c>
      <c r="AC862" s="6" t="s">
        <v>1232</v>
      </c>
      <c r="AD862" s="15" t="str">
        <f aca="true" t="array" ref="AD862:AD862">LEFT(AC862,LOOKUP(2^15,FIND(".",AC862,ROW(INDIRECT("1:"&amp;LEN(AC862)))))-1)</f>
        <v>NB_2022_025 - 13072022 - 2</v>
      </c>
      <c r="AE862" s="6" t="str">
        <f aca="false">CONCATENATE(AB862, "-",H862, ".mzML")</f>
        <v>NB_2022_025 - 13072022 - 1-QC_P_1.mzML</v>
      </c>
      <c r="AF862" s="6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3" t="s">
        <v>1235</v>
      </c>
      <c r="B863" s="34"/>
      <c r="C863" s="4" t="s">
        <v>1236</v>
      </c>
      <c r="D863" s="6" t="s">
        <v>19</v>
      </c>
      <c r="E863" s="6" t="s">
        <v>1225</v>
      </c>
      <c r="F863" s="7" t="s">
        <v>1226</v>
      </c>
      <c r="G863" s="6" t="s">
        <v>1225</v>
      </c>
      <c r="H863" s="27" t="s">
        <v>84</v>
      </c>
      <c r="I863" s="6" t="str">
        <f aca="false">CONCATENATE(E863, "_",H863)</f>
        <v>NLA_2022_006_QC_P_2</v>
      </c>
      <c r="J863" s="6" t="s">
        <v>52</v>
      </c>
      <c r="K863" s="6" t="s">
        <v>281</v>
      </c>
      <c r="L863" s="9" t="s">
        <v>69</v>
      </c>
      <c r="M863" s="13" t="s">
        <v>46</v>
      </c>
      <c r="N863" s="6" t="s">
        <v>78</v>
      </c>
      <c r="O863" s="6" t="s">
        <v>46</v>
      </c>
      <c r="P863" s="6" t="s">
        <v>79</v>
      </c>
      <c r="Q863" s="6" t="s">
        <v>80</v>
      </c>
      <c r="R863" s="6" t="s">
        <v>81</v>
      </c>
      <c r="S863" s="6" t="s">
        <v>46</v>
      </c>
      <c r="T863" s="6" t="s">
        <v>46</v>
      </c>
      <c r="U863" s="6" t="s">
        <v>82</v>
      </c>
      <c r="V863" s="1" t="n">
        <v>2</v>
      </c>
      <c r="W863" s="6"/>
      <c r="X863" s="6" t="s">
        <v>83</v>
      </c>
      <c r="Y863" s="6" t="n">
        <v>5500</v>
      </c>
      <c r="Z863" s="6" t="s">
        <v>1230</v>
      </c>
      <c r="AA863" s="6" t="s">
        <v>1231</v>
      </c>
      <c r="AB863" s="15" t="str">
        <f aca="true" t="array" ref="AB863:AB863">LEFT(AA863,LOOKUP(2^15,FIND(".",AA863,ROW(INDIRECT("1:"&amp;LEN(AA863)))))-1)</f>
        <v>NB_2022_025 - 13072022 - 1</v>
      </c>
      <c r="AC863" s="6" t="s">
        <v>1232</v>
      </c>
      <c r="AD863" s="15" t="str">
        <f aca="true" t="array" ref="AD863:AD863">LEFT(AC863,LOOKUP(2^15,FIND(".",AC863,ROW(INDIRECT("1:"&amp;LEN(AC863)))))-1)</f>
        <v>NB_2022_025 - 13072022 - 2</v>
      </c>
      <c r="AE863" s="6" t="str">
        <f aca="false">CONCATENATE(AB863, "-",H863, ".mzML")</f>
        <v>NB_2022_025 - 13072022 - 1-QC_P_2.mzML</v>
      </c>
      <c r="AF863" s="6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3" t="s">
        <v>1235</v>
      </c>
      <c r="B864" s="34"/>
      <c r="C864" s="4" t="s">
        <v>1236</v>
      </c>
      <c r="D864" s="6" t="s">
        <v>19</v>
      </c>
      <c r="E864" s="6" t="s">
        <v>1225</v>
      </c>
      <c r="F864" s="7" t="s">
        <v>1226</v>
      </c>
      <c r="G864" s="6" t="s">
        <v>1225</v>
      </c>
      <c r="H864" s="27" t="s">
        <v>85</v>
      </c>
      <c r="I864" s="6" t="str">
        <f aca="false">CONCATENATE(E864, "_",H864)</f>
        <v>NLA_2022_006_QC_P_3</v>
      </c>
      <c r="J864" s="6" t="s">
        <v>52</v>
      </c>
      <c r="K864" s="6" t="s">
        <v>281</v>
      </c>
      <c r="L864" s="9" t="s">
        <v>69</v>
      </c>
      <c r="M864" s="13" t="s">
        <v>46</v>
      </c>
      <c r="N864" s="6" t="s">
        <v>78</v>
      </c>
      <c r="O864" s="6" t="s">
        <v>46</v>
      </c>
      <c r="P864" s="6" t="s">
        <v>79</v>
      </c>
      <c r="Q864" s="6" t="s">
        <v>80</v>
      </c>
      <c r="R864" s="6" t="s">
        <v>81</v>
      </c>
      <c r="S864" s="6" t="s">
        <v>46</v>
      </c>
      <c r="T864" s="6" t="s">
        <v>46</v>
      </c>
      <c r="U864" s="6" t="s">
        <v>82</v>
      </c>
      <c r="V864" s="1" t="n">
        <v>3</v>
      </c>
      <c r="W864" s="6"/>
      <c r="X864" s="6" t="s">
        <v>83</v>
      </c>
      <c r="Y864" s="6" t="n">
        <v>5500</v>
      </c>
      <c r="Z864" s="6" t="s">
        <v>1230</v>
      </c>
      <c r="AA864" s="6" t="s">
        <v>1231</v>
      </c>
      <c r="AB864" s="15" t="str">
        <f aca="true" t="array" ref="AB864:AB864">LEFT(AA864,LOOKUP(2^15,FIND(".",AA864,ROW(INDIRECT("1:"&amp;LEN(AA864)))))-1)</f>
        <v>NB_2022_025 - 13072022 - 1</v>
      </c>
      <c r="AC864" s="6" t="s">
        <v>1232</v>
      </c>
      <c r="AD864" s="15" t="str">
        <f aca="true" t="array" ref="AD864:AD864">LEFT(AC864,LOOKUP(2^15,FIND(".",AC864,ROW(INDIRECT("1:"&amp;LEN(AC864)))))-1)</f>
        <v>NB_2022_025 - 13072022 - 2</v>
      </c>
      <c r="AE864" s="6" t="str">
        <f aca="false">CONCATENATE(AB864, "-",H864, ".mzML")</f>
        <v>NB_2022_025 - 13072022 - 1-QC_P_3.mzML</v>
      </c>
      <c r="AF864" s="6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3" t="s">
        <v>1235</v>
      </c>
      <c r="B865" s="34"/>
      <c r="C865" s="4" t="s">
        <v>1236</v>
      </c>
      <c r="D865" s="6" t="s">
        <v>19</v>
      </c>
      <c r="E865" s="6" t="s">
        <v>1225</v>
      </c>
      <c r="F865" s="7" t="s">
        <v>1226</v>
      </c>
      <c r="G865" s="6" t="s">
        <v>1225</v>
      </c>
      <c r="H865" s="27" t="s">
        <v>224</v>
      </c>
      <c r="I865" s="6" t="str">
        <f aca="false">CONCATENATE(E865, "_",H865)</f>
        <v>NLA_2022_006_QC_P_4</v>
      </c>
      <c r="J865" s="6" t="s">
        <v>52</v>
      </c>
      <c r="K865" s="6" t="s">
        <v>281</v>
      </c>
      <c r="L865" s="9" t="s">
        <v>69</v>
      </c>
      <c r="M865" s="13" t="s">
        <v>46</v>
      </c>
      <c r="N865" s="6" t="s">
        <v>78</v>
      </c>
      <c r="O865" s="6" t="s">
        <v>46</v>
      </c>
      <c r="P865" s="6" t="s">
        <v>79</v>
      </c>
      <c r="Q865" s="6" t="s">
        <v>80</v>
      </c>
      <c r="R865" s="6" t="s">
        <v>81</v>
      </c>
      <c r="S865" s="6" t="s">
        <v>46</v>
      </c>
      <c r="T865" s="6" t="s">
        <v>46</v>
      </c>
      <c r="U865" s="6" t="s">
        <v>82</v>
      </c>
      <c r="V865" s="1" t="n">
        <v>4</v>
      </c>
      <c r="W865" s="6"/>
      <c r="X865" s="6" t="s">
        <v>83</v>
      </c>
      <c r="Y865" s="6" t="n">
        <v>5500</v>
      </c>
      <c r="Z865" s="6" t="s">
        <v>1230</v>
      </c>
      <c r="AA865" s="6" t="s">
        <v>1231</v>
      </c>
      <c r="AB865" s="15" t="str">
        <f aca="true" t="array" ref="AB865:AB865">LEFT(AA865,LOOKUP(2^15,FIND(".",AA865,ROW(INDIRECT("1:"&amp;LEN(AA865)))))-1)</f>
        <v>NB_2022_025 - 13072022 - 1</v>
      </c>
      <c r="AC865" s="6" t="s">
        <v>1232</v>
      </c>
      <c r="AD865" s="15" t="str">
        <f aca="true" t="array" ref="AD865:AD865">LEFT(AC865,LOOKUP(2^15,FIND(".",AC865,ROW(INDIRECT("1:"&amp;LEN(AC865)))))-1)</f>
        <v>NB_2022_025 - 13072022 - 2</v>
      </c>
      <c r="AE865" s="6" t="str">
        <f aca="false">CONCATENATE(AB865, "-",H865, ".mzML")</f>
        <v>NB_2022_025 - 13072022 - 1-QC_P_4.mzML</v>
      </c>
      <c r="AF865" s="6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3" t="s">
        <v>1245</v>
      </c>
      <c r="B866" s="34"/>
      <c r="C866" s="4" t="s">
        <v>1246</v>
      </c>
      <c r="D866" s="6" t="s">
        <v>14</v>
      </c>
      <c r="E866" s="6" t="s">
        <v>1247</v>
      </c>
      <c r="F866" s="7" t="s">
        <v>110</v>
      </c>
      <c r="G866" s="6" t="s">
        <v>1248</v>
      </c>
      <c r="H866" s="16" t="s">
        <v>37</v>
      </c>
      <c r="I866" s="6" t="str">
        <f aca="false">CONCATENATE(E866, "_",H866)</f>
        <v>NLA_2023_017_009</v>
      </c>
      <c r="J866" s="14" t="s">
        <v>52</v>
      </c>
      <c r="K866" s="14" t="s">
        <v>1249</v>
      </c>
      <c r="L866" s="9" t="s">
        <v>69</v>
      </c>
      <c r="M866" s="13" t="s">
        <v>1250</v>
      </c>
      <c r="N866" s="6" t="s">
        <v>246</v>
      </c>
      <c r="O866" s="35" t="s">
        <v>1220</v>
      </c>
      <c r="P866" s="6" t="s">
        <v>1213</v>
      </c>
      <c r="Q866" s="6" t="s">
        <v>1213</v>
      </c>
      <c r="R866" s="6" t="s">
        <v>72</v>
      </c>
      <c r="S866" s="14"/>
      <c r="U866" s="1" t="n">
        <v>1500</v>
      </c>
      <c r="V866" s="14" t="n">
        <v>1</v>
      </c>
      <c r="W866" s="4" t="s">
        <v>1251</v>
      </c>
      <c r="X866" s="9" t="s">
        <v>1215</v>
      </c>
      <c r="Y866" s="14" t="n">
        <v>5500</v>
      </c>
      <c r="Z866" s="6" t="s">
        <v>1252</v>
      </c>
      <c r="AA866" s="6" t="s">
        <v>1253</v>
      </c>
      <c r="AB866" s="15" t="str">
        <f aca="true" t="array" ref="AB866:AB866">LEFT(AA866,LOOKUP(2^15,FIND(".",AA866,ROW(INDIRECT("1:"&amp;LEN(AA866)))))-1)</f>
        <v>NB_2023_041 - 20230920 - 1</v>
      </c>
      <c r="AC866" s="6" t="s">
        <v>1254</v>
      </c>
      <c r="AD866" s="15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3" t="s">
        <v>1245</v>
      </c>
      <c r="B867" s="34"/>
      <c r="C867" s="4" t="s">
        <v>1246</v>
      </c>
      <c r="D867" s="6" t="s">
        <v>14</v>
      </c>
      <c r="E867" s="6" t="s">
        <v>1247</v>
      </c>
      <c r="F867" s="7" t="s">
        <v>110</v>
      </c>
      <c r="G867" s="6" t="s">
        <v>1248</v>
      </c>
      <c r="H867" s="16" t="s">
        <v>129</v>
      </c>
      <c r="I867" s="6" t="str">
        <f aca="false">CONCATENATE(E867, "_",H867)</f>
        <v>NLA_2023_017_010</v>
      </c>
      <c r="J867" s="14" t="s">
        <v>52</v>
      </c>
      <c r="K867" s="14" t="s">
        <v>1249</v>
      </c>
      <c r="L867" s="9" t="s">
        <v>69</v>
      </c>
      <c r="M867" s="13" t="s">
        <v>1250</v>
      </c>
      <c r="N867" s="6" t="s">
        <v>246</v>
      </c>
      <c r="O867" s="35" t="s">
        <v>1220</v>
      </c>
      <c r="P867" s="6" t="s">
        <v>1213</v>
      </c>
      <c r="Q867" s="6" t="s">
        <v>1213</v>
      </c>
      <c r="R867" s="6" t="s">
        <v>72</v>
      </c>
      <c r="S867" s="14"/>
      <c r="U867" s="1" t="n">
        <v>1500</v>
      </c>
      <c r="V867" s="14" t="n">
        <v>2</v>
      </c>
      <c r="W867" s="4" t="s">
        <v>1251</v>
      </c>
      <c r="X867" s="9" t="s">
        <v>1215</v>
      </c>
      <c r="Y867" s="14" t="n">
        <v>5500</v>
      </c>
      <c r="Z867" s="6" t="s">
        <v>1252</v>
      </c>
      <c r="AA867" s="6" t="s">
        <v>1253</v>
      </c>
      <c r="AB867" s="15" t="str">
        <f aca="true" t="array" ref="AB867:AB867">LEFT(AA867,LOOKUP(2^15,FIND(".",AA867,ROW(INDIRECT("1:"&amp;LEN(AA867)))))-1)</f>
        <v>NB_2023_041 - 20230920 - 1</v>
      </c>
      <c r="AC867" s="6" t="s">
        <v>1254</v>
      </c>
      <c r="AD867" s="15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3" t="s">
        <v>1245</v>
      </c>
      <c r="B868" s="34"/>
      <c r="C868" s="4" t="s">
        <v>1246</v>
      </c>
      <c r="D868" s="6" t="s">
        <v>14</v>
      </c>
      <c r="E868" s="6" t="s">
        <v>1247</v>
      </c>
      <c r="F868" s="7" t="s">
        <v>110</v>
      </c>
      <c r="G868" s="6" t="s">
        <v>1248</v>
      </c>
      <c r="H868" s="16" t="s">
        <v>132</v>
      </c>
      <c r="I868" s="6" t="str">
        <f aca="false">CONCATENATE(E868, "_",H868)</f>
        <v>NLA_2023_017_011</v>
      </c>
      <c r="J868" s="14" t="s">
        <v>52</v>
      </c>
      <c r="K868" s="14" t="s">
        <v>1249</v>
      </c>
      <c r="L868" s="9" t="s">
        <v>69</v>
      </c>
      <c r="M868" s="13" t="s">
        <v>1250</v>
      </c>
      <c r="N868" s="6" t="s">
        <v>246</v>
      </c>
      <c r="O868" s="35" t="s">
        <v>1220</v>
      </c>
      <c r="P868" s="6" t="s">
        <v>1213</v>
      </c>
      <c r="Q868" s="6" t="s">
        <v>1213</v>
      </c>
      <c r="R868" s="6" t="s">
        <v>72</v>
      </c>
      <c r="S868" s="14"/>
      <c r="U868" s="1" t="n">
        <v>1500</v>
      </c>
      <c r="V868" s="14" t="n">
        <v>3</v>
      </c>
      <c r="W868" s="4" t="s">
        <v>1251</v>
      </c>
      <c r="X868" s="9" t="s">
        <v>1215</v>
      </c>
      <c r="Y868" s="14" t="n">
        <v>5500</v>
      </c>
      <c r="Z868" s="6" t="s">
        <v>1252</v>
      </c>
      <c r="AA868" s="6" t="s">
        <v>1253</v>
      </c>
      <c r="AB868" s="15" t="str">
        <f aca="true" t="array" ref="AB868:AB868">LEFT(AA868,LOOKUP(2^15,FIND(".",AA868,ROW(INDIRECT("1:"&amp;LEN(AA868)))))-1)</f>
        <v>NB_2023_041 - 20230920 - 1</v>
      </c>
      <c r="AC868" s="6" t="s">
        <v>1254</v>
      </c>
      <c r="AD868" s="15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3" t="s">
        <v>1245</v>
      </c>
      <c r="B869" s="34"/>
      <c r="C869" s="4" t="s">
        <v>1246</v>
      </c>
      <c r="D869" s="6" t="s">
        <v>14</v>
      </c>
      <c r="E869" s="6" t="s">
        <v>1247</v>
      </c>
      <c r="F869" s="7" t="s">
        <v>110</v>
      </c>
      <c r="G869" s="6" t="s">
        <v>1248</v>
      </c>
      <c r="H869" s="16" t="s">
        <v>51</v>
      </c>
      <c r="I869" s="6" t="str">
        <f aca="false">CONCATENATE(E869, "_",H869)</f>
        <v>NLA_2023_017_012</v>
      </c>
      <c r="J869" s="14" t="s">
        <v>38</v>
      </c>
      <c r="K869" s="6" t="s">
        <v>1255</v>
      </c>
      <c r="L869" s="9" t="s">
        <v>69</v>
      </c>
      <c r="M869" s="13" t="s">
        <v>1250</v>
      </c>
      <c r="N869" s="6" t="s">
        <v>246</v>
      </c>
      <c r="O869" s="35" t="s">
        <v>1212</v>
      </c>
      <c r="P869" s="6" t="s">
        <v>1213</v>
      </c>
      <c r="Q869" s="6" t="s">
        <v>1214</v>
      </c>
      <c r="R869" s="6" t="s">
        <v>72</v>
      </c>
      <c r="S869" s="6"/>
      <c r="U869" s="1" t="n">
        <v>1500</v>
      </c>
      <c r="V869" s="1" t="n">
        <v>1</v>
      </c>
      <c r="W869" s="4" t="s">
        <v>1251</v>
      </c>
      <c r="X869" s="9" t="s">
        <v>1215</v>
      </c>
      <c r="Y869" s="14" t="n">
        <v>5500</v>
      </c>
      <c r="Z869" s="6" t="s">
        <v>1252</v>
      </c>
      <c r="AA869" s="6" t="s">
        <v>1253</v>
      </c>
      <c r="AB869" s="15" t="str">
        <f aca="true" t="array" ref="AB869:AB869">LEFT(AA869,LOOKUP(2^15,FIND(".",AA869,ROW(INDIRECT("1:"&amp;LEN(AA869)))))-1)</f>
        <v>NB_2023_041 - 20230920 - 1</v>
      </c>
      <c r="AC869" s="6" t="s">
        <v>1254</v>
      </c>
      <c r="AD869" s="15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3" t="s">
        <v>1245</v>
      </c>
      <c r="B870" s="34"/>
      <c r="C870" s="4" t="s">
        <v>1246</v>
      </c>
      <c r="D870" s="6" t="s">
        <v>14</v>
      </c>
      <c r="E870" s="6" t="s">
        <v>1247</v>
      </c>
      <c r="F870" s="7" t="s">
        <v>110</v>
      </c>
      <c r="G870" s="6" t="s">
        <v>1248</v>
      </c>
      <c r="H870" s="16" t="s">
        <v>56</v>
      </c>
      <c r="I870" s="6" t="str">
        <f aca="false">CONCATENATE(E870, "_",H870)</f>
        <v>NLA_2023_017_013</v>
      </c>
      <c r="J870" s="14" t="s">
        <v>38</v>
      </c>
      <c r="K870" s="6" t="s">
        <v>1255</v>
      </c>
      <c r="L870" s="9" t="s">
        <v>69</v>
      </c>
      <c r="M870" s="13" t="s">
        <v>1250</v>
      </c>
      <c r="N870" s="6" t="s">
        <v>246</v>
      </c>
      <c r="O870" s="35" t="s">
        <v>1212</v>
      </c>
      <c r="P870" s="6" t="s">
        <v>1213</v>
      </c>
      <c r="Q870" s="6" t="s">
        <v>1214</v>
      </c>
      <c r="R870" s="6" t="s">
        <v>72</v>
      </c>
      <c r="S870" s="6"/>
      <c r="U870" s="1" t="n">
        <v>1500</v>
      </c>
      <c r="V870" s="1" t="n">
        <v>2</v>
      </c>
      <c r="W870" s="4" t="s">
        <v>1251</v>
      </c>
      <c r="X870" s="9" t="s">
        <v>1215</v>
      </c>
      <c r="Y870" s="14" t="n">
        <v>5500</v>
      </c>
      <c r="Z870" s="6" t="s">
        <v>1252</v>
      </c>
      <c r="AA870" s="6" t="s">
        <v>1253</v>
      </c>
      <c r="AB870" s="15" t="str">
        <f aca="true" t="array" ref="AB870:AB870">LEFT(AA870,LOOKUP(2^15,FIND(".",AA870,ROW(INDIRECT("1:"&amp;LEN(AA870)))))-1)</f>
        <v>NB_2023_041 - 20230920 - 1</v>
      </c>
      <c r="AC870" s="6" t="s">
        <v>1254</v>
      </c>
      <c r="AD870" s="15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3" t="s">
        <v>1245</v>
      </c>
      <c r="B871" s="34"/>
      <c r="C871" s="4" t="s">
        <v>1246</v>
      </c>
      <c r="D871" s="6" t="s">
        <v>14</v>
      </c>
      <c r="E871" s="6" t="s">
        <v>1247</v>
      </c>
      <c r="F871" s="7" t="s">
        <v>110</v>
      </c>
      <c r="G871" s="6" t="s">
        <v>1247</v>
      </c>
      <c r="H871" s="16" t="s">
        <v>64</v>
      </c>
      <c r="I871" s="6" t="str">
        <f aca="false">CONCATENATE(E871, "_",H871)</f>
        <v>NLA_2023_017_Blank_1</v>
      </c>
      <c r="J871" s="6" t="s">
        <v>52</v>
      </c>
      <c r="K871" s="6" t="s">
        <v>157</v>
      </c>
      <c r="L871" s="7" t="s">
        <v>46</v>
      </c>
      <c r="M871" s="17" t="s">
        <v>46</v>
      </c>
      <c r="N871" s="6" t="s">
        <v>65</v>
      </c>
      <c r="O871" s="6" t="s">
        <v>46</v>
      </c>
      <c r="P871" s="6" t="s">
        <v>46</v>
      </c>
      <c r="Q871" s="6" t="s">
        <v>46</v>
      </c>
      <c r="R871" s="6" t="s">
        <v>46</v>
      </c>
      <c r="S871" s="6" t="s">
        <v>46</v>
      </c>
      <c r="T871" s="6" t="s">
        <v>46</v>
      </c>
      <c r="U871" s="6" t="s">
        <v>46</v>
      </c>
      <c r="V871" s="1" t="n">
        <v>1</v>
      </c>
      <c r="W871" s="4" t="s">
        <v>1251</v>
      </c>
      <c r="X871" s="6" t="s">
        <v>46</v>
      </c>
      <c r="Y871" s="14" t="n">
        <v>5500</v>
      </c>
      <c r="Z871" s="6" t="s">
        <v>1252</v>
      </c>
      <c r="AA871" s="6" t="s">
        <v>1253</v>
      </c>
      <c r="AB871" s="15" t="str">
        <f aca="true" t="array" ref="AB871:AB871">LEFT(AA871,LOOKUP(2^15,FIND(".",AA871,ROW(INDIRECT("1:"&amp;LEN(AA871)))))-1)</f>
        <v>NB_2023_041 - 20230920 - 1</v>
      </c>
      <c r="AC871" s="6" t="s">
        <v>1254</v>
      </c>
      <c r="AD871" s="15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3" t="s">
        <v>1245</v>
      </c>
      <c r="B872" s="34"/>
      <c r="C872" s="4" t="s">
        <v>1246</v>
      </c>
      <c r="D872" s="6" t="s">
        <v>14</v>
      </c>
      <c r="E872" s="6" t="s">
        <v>1247</v>
      </c>
      <c r="F872" s="7" t="s">
        <v>110</v>
      </c>
      <c r="G872" s="6" t="s">
        <v>1247</v>
      </c>
      <c r="H872" s="16" t="s">
        <v>66</v>
      </c>
      <c r="I872" s="6" t="str">
        <f aca="false">CONCATENATE(E872, "_",H872)</f>
        <v>NLA_2023_017_Blank_2</v>
      </c>
      <c r="J872" s="6" t="s">
        <v>52</v>
      </c>
      <c r="K872" s="6" t="s">
        <v>165</v>
      </c>
      <c r="L872" s="7" t="s">
        <v>46</v>
      </c>
      <c r="M872" s="17" t="s">
        <v>46</v>
      </c>
      <c r="N872" s="6" t="s">
        <v>65</v>
      </c>
      <c r="O872" s="6" t="s">
        <v>46</v>
      </c>
      <c r="P872" s="6" t="s">
        <v>46</v>
      </c>
      <c r="Q872" s="6" t="s">
        <v>46</v>
      </c>
      <c r="R872" s="6" t="s">
        <v>46</v>
      </c>
      <c r="S872" s="6" t="s">
        <v>46</v>
      </c>
      <c r="T872" s="6" t="s">
        <v>46</v>
      </c>
      <c r="U872" s="6" t="s">
        <v>46</v>
      </c>
      <c r="V872" s="1" t="n">
        <v>2</v>
      </c>
      <c r="W872" s="4" t="s">
        <v>1251</v>
      </c>
      <c r="X872" s="6" t="s">
        <v>46</v>
      </c>
      <c r="Y872" s="14" t="n">
        <v>5500</v>
      </c>
      <c r="Z872" s="6" t="s">
        <v>1252</v>
      </c>
      <c r="AA872" s="6" t="s">
        <v>1253</v>
      </c>
      <c r="AB872" s="15" t="str">
        <f aca="true" t="array" ref="AB872:AB872">LEFT(AA872,LOOKUP(2^15,FIND(".",AA872,ROW(INDIRECT("1:"&amp;LEN(AA872)))))-1)</f>
        <v>NB_2023_041 - 20230920 - 1</v>
      </c>
      <c r="AC872" s="6" t="s">
        <v>1254</v>
      </c>
      <c r="AD872" s="15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3" t="s">
        <v>1245</v>
      </c>
      <c r="B873" s="34"/>
      <c r="C873" s="4" t="s">
        <v>1246</v>
      </c>
      <c r="D873" s="6" t="s">
        <v>14</v>
      </c>
      <c r="E873" s="6" t="s">
        <v>1247</v>
      </c>
      <c r="F873" s="7" t="s">
        <v>110</v>
      </c>
      <c r="G873" s="6" t="s">
        <v>1247</v>
      </c>
      <c r="H873" s="16" t="s">
        <v>67</v>
      </c>
      <c r="I873" s="6" t="str">
        <f aca="false">CONCATENATE(E873, "_",H873)</f>
        <v>NLA_2023_017_Blank_3</v>
      </c>
      <c r="J873" s="6" t="s">
        <v>52</v>
      </c>
      <c r="K873" s="6" t="s">
        <v>171</v>
      </c>
      <c r="L873" s="7" t="s">
        <v>46</v>
      </c>
      <c r="M873" s="17" t="s">
        <v>46</v>
      </c>
      <c r="N873" s="6" t="s">
        <v>65</v>
      </c>
      <c r="O873" s="6" t="s">
        <v>46</v>
      </c>
      <c r="P873" s="6" t="s">
        <v>46</v>
      </c>
      <c r="Q873" s="6" t="s">
        <v>46</v>
      </c>
      <c r="R873" s="6" t="s">
        <v>46</v>
      </c>
      <c r="S873" s="6" t="s">
        <v>46</v>
      </c>
      <c r="T873" s="6" t="s">
        <v>46</v>
      </c>
      <c r="U873" s="6" t="s">
        <v>46</v>
      </c>
      <c r="V873" s="1" t="n">
        <v>3</v>
      </c>
      <c r="W873" s="4" t="s">
        <v>1251</v>
      </c>
      <c r="X873" s="6" t="s">
        <v>46</v>
      </c>
      <c r="Y873" s="14" t="n">
        <v>5500</v>
      </c>
      <c r="Z873" s="6" t="s">
        <v>1252</v>
      </c>
      <c r="AA873" s="6" t="s">
        <v>1253</v>
      </c>
      <c r="AB873" s="15" t="str">
        <f aca="true" t="array" ref="AB873:AB873">LEFT(AA873,LOOKUP(2^15,FIND(".",AA873,ROW(INDIRECT("1:"&amp;LEN(AA873)))))-1)</f>
        <v>NB_2023_041 - 20230920 - 1</v>
      </c>
      <c r="AC873" s="6" t="s">
        <v>1254</v>
      </c>
      <c r="AD873" s="15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3" t="s">
        <v>1245</v>
      </c>
      <c r="B874" s="34"/>
      <c r="C874" s="4" t="s">
        <v>1246</v>
      </c>
      <c r="D874" s="6" t="s">
        <v>14</v>
      </c>
      <c r="E874" s="6" t="s">
        <v>1247</v>
      </c>
      <c r="F874" s="7" t="s">
        <v>110</v>
      </c>
      <c r="G874" s="6" t="s">
        <v>1247</v>
      </c>
      <c r="H874" s="16" t="s">
        <v>221</v>
      </c>
      <c r="I874" s="6" t="str">
        <f aca="false">CONCATENATE(E874, "_",H874)</f>
        <v>NLA_2023_017_Blank_4</v>
      </c>
      <c r="J874" s="6" t="s">
        <v>52</v>
      </c>
      <c r="K874" s="6" t="s">
        <v>1256</v>
      </c>
      <c r="L874" s="7" t="s">
        <v>46</v>
      </c>
      <c r="M874" s="17" t="s">
        <v>46</v>
      </c>
      <c r="N874" s="6" t="s">
        <v>65</v>
      </c>
      <c r="O874" s="6" t="s">
        <v>46</v>
      </c>
      <c r="P874" s="6" t="s">
        <v>46</v>
      </c>
      <c r="Q874" s="6" t="s">
        <v>46</v>
      </c>
      <c r="R874" s="6" t="s">
        <v>46</v>
      </c>
      <c r="S874" s="6" t="s">
        <v>46</v>
      </c>
      <c r="T874" s="6" t="s">
        <v>46</v>
      </c>
      <c r="U874" s="6" t="s">
        <v>46</v>
      </c>
      <c r="V874" s="1" t="n">
        <v>4</v>
      </c>
      <c r="W874" s="4" t="s">
        <v>1251</v>
      </c>
      <c r="X874" s="6" t="s">
        <v>46</v>
      </c>
      <c r="Y874" s="14" t="n">
        <v>5500</v>
      </c>
      <c r="Z874" s="6" t="s">
        <v>1252</v>
      </c>
      <c r="AA874" s="6" t="s">
        <v>1253</v>
      </c>
      <c r="AB874" s="15" t="str">
        <f aca="true" t="array" ref="AB874:AB874">LEFT(AA874,LOOKUP(2^15,FIND(".",AA874,ROW(INDIRECT("1:"&amp;LEN(AA874)))))-1)</f>
        <v>NB_2023_041 - 20230920 - 1</v>
      </c>
      <c r="AC874" s="6" t="s">
        <v>1254</v>
      </c>
      <c r="AD874" s="15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3" t="s">
        <v>1245</v>
      </c>
      <c r="B875" s="34"/>
      <c r="C875" s="4" t="s">
        <v>1246</v>
      </c>
      <c r="D875" s="6" t="s">
        <v>14</v>
      </c>
      <c r="E875" s="6" t="s">
        <v>1247</v>
      </c>
      <c r="F875" s="7" t="s">
        <v>110</v>
      </c>
      <c r="G875" s="6" t="s">
        <v>1247</v>
      </c>
      <c r="H875" s="16" t="s">
        <v>68</v>
      </c>
      <c r="I875" s="6" t="str">
        <f aca="false">CONCATENATE(E875, "_",H875)</f>
        <v>NLA_2023_017_QC_C_1</v>
      </c>
      <c r="J875" s="6" t="s">
        <v>52</v>
      </c>
      <c r="K875" s="6" t="s">
        <v>152</v>
      </c>
      <c r="L875" s="9" t="s">
        <v>69</v>
      </c>
      <c r="M875" s="3" t="s">
        <v>46</v>
      </c>
      <c r="N875" s="6" t="s">
        <v>70</v>
      </c>
      <c r="O875" s="6" t="s">
        <v>46</v>
      </c>
      <c r="P875" s="6" t="s">
        <v>71</v>
      </c>
      <c r="Q875" s="6" t="s">
        <v>71</v>
      </c>
      <c r="R875" s="6" t="s">
        <v>72</v>
      </c>
      <c r="S875" s="6" t="s">
        <v>73</v>
      </c>
      <c r="T875" s="6" t="s">
        <v>46</v>
      </c>
      <c r="U875" s="6" t="n">
        <v>1000</v>
      </c>
      <c r="V875" s="1" t="n">
        <v>1</v>
      </c>
      <c r="W875" s="4" t="s">
        <v>1251</v>
      </c>
      <c r="X875" s="6" t="s">
        <v>74</v>
      </c>
      <c r="Y875" s="14" t="n">
        <v>5500</v>
      </c>
      <c r="Z875" s="6" t="s">
        <v>1252</v>
      </c>
      <c r="AA875" s="6" t="s">
        <v>1253</v>
      </c>
      <c r="AB875" s="15" t="str">
        <f aca="true" t="array" ref="AB875:AB875">LEFT(AA875,LOOKUP(2^15,FIND(".",AA875,ROW(INDIRECT("1:"&amp;LEN(AA875)))))-1)</f>
        <v>NB_2023_041 - 20230920 - 1</v>
      </c>
      <c r="AC875" s="6" t="s">
        <v>1254</v>
      </c>
      <c r="AD875" s="15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3" t="s">
        <v>1245</v>
      </c>
      <c r="B876" s="34"/>
      <c r="C876" s="4" t="s">
        <v>1246</v>
      </c>
      <c r="D876" s="6" t="s">
        <v>14</v>
      </c>
      <c r="E876" s="6" t="s">
        <v>1247</v>
      </c>
      <c r="F876" s="7" t="s">
        <v>110</v>
      </c>
      <c r="G876" s="6" t="s">
        <v>1247</v>
      </c>
      <c r="H876" s="16" t="s">
        <v>75</v>
      </c>
      <c r="I876" s="6" t="str">
        <f aca="false">CONCATENATE(E876, "_",H876)</f>
        <v>NLA_2023_017_QC_C_2</v>
      </c>
      <c r="J876" s="6" t="s">
        <v>52</v>
      </c>
      <c r="K876" s="6" t="s">
        <v>164</v>
      </c>
      <c r="L876" s="9" t="s">
        <v>69</v>
      </c>
      <c r="M876" s="3" t="s">
        <v>46</v>
      </c>
      <c r="N876" s="6" t="s">
        <v>70</v>
      </c>
      <c r="O876" s="6" t="s">
        <v>46</v>
      </c>
      <c r="P876" s="6" t="s">
        <v>71</v>
      </c>
      <c r="Q876" s="6" t="s">
        <v>71</v>
      </c>
      <c r="R876" s="6" t="s">
        <v>72</v>
      </c>
      <c r="S876" s="6" t="s">
        <v>73</v>
      </c>
      <c r="T876" s="6" t="s">
        <v>46</v>
      </c>
      <c r="U876" s="6" t="n">
        <v>1000</v>
      </c>
      <c r="V876" s="1" t="n">
        <v>2</v>
      </c>
      <c r="W876" s="4" t="s">
        <v>1251</v>
      </c>
      <c r="X876" s="6" t="s">
        <v>74</v>
      </c>
      <c r="Y876" s="14" t="n">
        <v>5500</v>
      </c>
      <c r="Z876" s="6" t="s">
        <v>1252</v>
      </c>
      <c r="AA876" s="6" t="s">
        <v>1253</v>
      </c>
      <c r="AB876" s="15" t="str">
        <f aca="true" t="array" ref="AB876:AB876">LEFT(AA876,LOOKUP(2^15,FIND(".",AA876,ROW(INDIRECT("1:"&amp;LEN(AA876)))))-1)</f>
        <v>NB_2023_041 - 20230920 - 1</v>
      </c>
      <c r="AC876" s="6" t="s">
        <v>1254</v>
      </c>
      <c r="AD876" s="15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3" t="s">
        <v>1245</v>
      </c>
      <c r="B877" s="34"/>
      <c r="C877" s="4" t="s">
        <v>1246</v>
      </c>
      <c r="D877" s="6" t="s">
        <v>14</v>
      </c>
      <c r="E877" s="6" t="s">
        <v>1247</v>
      </c>
      <c r="F877" s="7" t="s">
        <v>110</v>
      </c>
      <c r="G877" s="6" t="s">
        <v>1247</v>
      </c>
      <c r="H877" s="16" t="s">
        <v>76</v>
      </c>
      <c r="I877" s="6" t="str">
        <f aca="false">CONCATENATE(E877, "_",H877)</f>
        <v>NLA_2023_017_QC_C_3</v>
      </c>
      <c r="J877" s="6" t="s">
        <v>52</v>
      </c>
      <c r="K877" s="6" t="s">
        <v>170</v>
      </c>
      <c r="L877" s="9" t="s">
        <v>69</v>
      </c>
      <c r="M877" s="3" t="s">
        <v>46</v>
      </c>
      <c r="N877" s="6" t="s">
        <v>70</v>
      </c>
      <c r="O877" s="6" t="s">
        <v>46</v>
      </c>
      <c r="P877" s="6" t="s">
        <v>71</v>
      </c>
      <c r="Q877" s="6" t="s">
        <v>71</v>
      </c>
      <c r="R877" s="6" t="s">
        <v>72</v>
      </c>
      <c r="S877" s="6" t="s">
        <v>73</v>
      </c>
      <c r="T877" s="6" t="s">
        <v>46</v>
      </c>
      <c r="U877" s="6" t="n">
        <v>1000</v>
      </c>
      <c r="V877" s="1" t="n">
        <v>3</v>
      </c>
      <c r="W877" s="4" t="s">
        <v>1251</v>
      </c>
      <c r="X877" s="6" t="s">
        <v>74</v>
      </c>
      <c r="Y877" s="14" t="n">
        <v>5500</v>
      </c>
      <c r="Z877" s="6" t="s">
        <v>1252</v>
      </c>
      <c r="AA877" s="6" t="s">
        <v>1253</v>
      </c>
      <c r="AB877" s="15" t="str">
        <f aca="true" t="array" ref="AB877:AB877">LEFT(AA877,LOOKUP(2^15,FIND(".",AA877,ROW(INDIRECT("1:"&amp;LEN(AA877)))))-1)</f>
        <v>NB_2023_041 - 20230920 - 1</v>
      </c>
      <c r="AC877" s="6" t="s">
        <v>1254</v>
      </c>
      <c r="AD877" s="15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3" t="s">
        <v>1245</v>
      </c>
      <c r="B878" s="34"/>
      <c r="C878" s="4" t="s">
        <v>1246</v>
      </c>
      <c r="D878" s="6" t="s">
        <v>14</v>
      </c>
      <c r="E878" s="6" t="s">
        <v>1247</v>
      </c>
      <c r="F878" s="7" t="s">
        <v>110</v>
      </c>
      <c r="G878" s="6" t="s">
        <v>1247</v>
      </c>
      <c r="H878" s="16" t="s">
        <v>222</v>
      </c>
      <c r="I878" s="6" t="str">
        <f aca="false">CONCATENATE(E878, "_",H878)</f>
        <v>NLA_2023_017_QC_C_4</v>
      </c>
      <c r="J878" s="6" t="s">
        <v>52</v>
      </c>
      <c r="K878" s="6" t="s">
        <v>1257</v>
      </c>
      <c r="L878" s="9" t="s">
        <v>69</v>
      </c>
      <c r="M878" s="3" t="s">
        <v>46</v>
      </c>
      <c r="N878" s="6" t="s">
        <v>70</v>
      </c>
      <c r="O878" s="6" t="s">
        <v>46</v>
      </c>
      <c r="P878" s="6" t="s">
        <v>71</v>
      </c>
      <c r="Q878" s="6" t="s">
        <v>71</v>
      </c>
      <c r="R878" s="6" t="s">
        <v>72</v>
      </c>
      <c r="S878" s="6" t="s">
        <v>73</v>
      </c>
      <c r="T878" s="6" t="s">
        <v>46</v>
      </c>
      <c r="U878" s="6" t="n">
        <v>1000</v>
      </c>
      <c r="V878" s="1" t="n">
        <v>4</v>
      </c>
      <c r="W878" s="4" t="s">
        <v>1251</v>
      </c>
      <c r="X878" s="6" t="s">
        <v>74</v>
      </c>
      <c r="Y878" s="14" t="n">
        <v>5500</v>
      </c>
      <c r="Z878" s="6" t="s">
        <v>1252</v>
      </c>
      <c r="AA878" s="6" t="s">
        <v>1253</v>
      </c>
      <c r="AB878" s="15" t="str">
        <f aca="true" t="array" ref="AB878:AB878">LEFT(AA878,LOOKUP(2^15,FIND(".",AA878,ROW(INDIRECT("1:"&amp;LEN(AA878)))))-1)</f>
        <v>NB_2023_041 - 20230920 - 1</v>
      </c>
      <c r="AC878" s="6" t="s">
        <v>1254</v>
      </c>
      <c r="AD878" s="15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3" t="s">
        <v>1245</v>
      </c>
      <c r="B879" s="34"/>
      <c r="C879" s="4" t="s">
        <v>1246</v>
      </c>
      <c r="D879" s="6" t="s">
        <v>14</v>
      </c>
      <c r="E879" s="6" t="s">
        <v>1247</v>
      </c>
      <c r="F879" s="7" t="s">
        <v>110</v>
      </c>
      <c r="G879" s="6" t="s">
        <v>1247</v>
      </c>
      <c r="H879" s="16" t="s">
        <v>77</v>
      </c>
      <c r="I879" s="6" t="str">
        <f aca="false">CONCATENATE(E879, "_",H879)</f>
        <v>NLA_2023_017_QC_P_1</v>
      </c>
      <c r="J879" s="4" t="s">
        <v>52</v>
      </c>
      <c r="K879" s="18" t="s">
        <v>77</v>
      </c>
      <c r="L879" s="7" t="s">
        <v>69</v>
      </c>
      <c r="M879" s="3" t="s">
        <v>46</v>
      </c>
      <c r="N879" s="6" t="s">
        <v>78</v>
      </c>
      <c r="O879" s="6" t="s">
        <v>46</v>
      </c>
      <c r="P879" s="6" t="s">
        <v>79</v>
      </c>
      <c r="Q879" s="6" t="s">
        <v>80</v>
      </c>
      <c r="R879" s="6" t="s">
        <v>81</v>
      </c>
      <c r="S879" s="6" t="s">
        <v>46</v>
      </c>
      <c r="T879" s="6" t="s">
        <v>46</v>
      </c>
      <c r="U879" s="6" t="s">
        <v>82</v>
      </c>
      <c r="V879" s="1" t="n">
        <v>1</v>
      </c>
      <c r="W879" s="4" t="s">
        <v>1251</v>
      </c>
      <c r="X879" s="6" t="s">
        <v>83</v>
      </c>
      <c r="Y879" s="14" t="n">
        <v>5500</v>
      </c>
      <c r="Z879" s="6" t="s">
        <v>1252</v>
      </c>
      <c r="AA879" s="6" t="s">
        <v>1253</v>
      </c>
      <c r="AB879" s="15" t="str">
        <f aca="true" t="array" ref="AB879:AB879">LEFT(AA879,LOOKUP(2^15,FIND(".",AA879,ROW(INDIRECT("1:"&amp;LEN(AA879)))))-1)</f>
        <v>NB_2023_041 - 20230920 - 1</v>
      </c>
      <c r="AC879" s="6" t="s">
        <v>1254</v>
      </c>
      <c r="AD879" s="15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3" t="s">
        <v>1245</v>
      </c>
      <c r="B880" s="34"/>
      <c r="C880" s="4" t="s">
        <v>1246</v>
      </c>
      <c r="D880" s="6" t="s">
        <v>14</v>
      </c>
      <c r="E880" s="6" t="s">
        <v>1247</v>
      </c>
      <c r="F880" s="7" t="s">
        <v>110</v>
      </c>
      <c r="G880" s="6" t="s">
        <v>1247</v>
      </c>
      <c r="H880" s="16" t="s">
        <v>84</v>
      </c>
      <c r="I880" s="6" t="str">
        <f aca="false">CONCATENATE(E880, "_",H880)</f>
        <v>NLA_2023_017_QC_P_2</v>
      </c>
      <c r="J880" s="4" t="s">
        <v>52</v>
      </c>
      <c r="K880" s="18" t="s">
        <v>84</v>
      </c>
      <c r="L880" s="7" t="s">
        <v>69</v>
      </c>
      <c r="M880" s="3" t="s">
        <v>46</v>
      </c>
      <c r="N880" s="6" t="s">
        <v>78</v>
      </c>
      <c r="O880" s="6" t="s">
        <v>46</v>
      </c>
      <c r="P880" s="6" t="s">
        <v>79</v>
      </c>
      <c r="Q880" s="6" t="s">
        <v>80</v>
      </c>
      <c r="R880" s="6" t="s">
        <v>81</v>
      </c>
      <c r="S880" s="6" t="s">
        <v>46</v>
      </c>
      <c r="T880" s="6" t="s">
        <v>46</v>
      </c>
      <c r="U880" s="6" t="s">
        <v>82</v>
      </c>
      <c r="V880" s="1" t="n">
        <v>2</v>
      </c>
      <c r="W880" s="4" t="s">
        <v>1251</v>
      </c>
      <c r="X880" s="6" t="s">
        <v>83</v>
      </c>
      <c r="Y880" s="14" t="n">
        <v>5500</v>
      </c>
      <c r="Z880" s="6" t="s">
        <v>1252</v>
      </c>
      <c r="AA880" s="6" t="s">
        <v>1253</v>
      </c>
      <c r="AB880" s="15" t="str">
        <f aca="true" t="array" ref="AB880:AB880">LEFT(AA880,LOOKUP(2^15,FIND(".",AA880,ROW(INDIRECT("1:"&amp;LEN(AA880)))))-1)</f>
        <v>NB_2023_041 - 20230920 - 1</v>
      </c>
      <c r="AC880" s="6" t="s">
        <v>1254</v>
      </c>
      <c r="AD880" s="15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3" t="s">
        <v>1258</v>
      </c>
      <c r="B881" s="34"/>
      <c r="C881" s="4" t="s">
        <v>1259</v>
      </c>
      <c r="D881" s="6" t="s">
        <v>19</v>
      </c>
      <c r="E881" s="6" t="s">
        <v>1247</v>
      </c>
      <c r="F881" s="7" t="s">
        <v>110</v>
      </c>
      <c r="G881" s="6" t="s">
        <v>1260</v>
      </c>
      <c r="H881" s="16" t="s">
        <v>108</v>
      </c>
      <c r="I881" s="6" t="str">
        <f aca="false">CONCATENATE(E881, "_",H881)</f>
        <v>NLA_2023_017_001</v>
      </c>
      <c r="J881" s="14" t="s">
        <v>38</v>
      </c>
      <c r="K881" s="14" t="s">
        <v>1261</v>
      </c>
      <c r="L881" s="9" t="s">
        <v>69</v>
      </c>
      <c r="M881" s="13" t="s">
        <v>1262</v>
      </c>
      <c r="N881" s="6" t="s">
        <v>246</v>
      </c>
      <c r="O881" s="35" t="s">
        <v>1220</v>
      </c>
      <c r="P881" s="6" t="s">
        <v>1213</v>
      </c>
      <c r="Q881" s="6" t="s">
        <v>1213</v>
      </c>
      <c r="R881" s="6" t="s">
        <v>72</v>
      </c>
      <c r="S881" s="14"/>
      <c r="T881" s="6" t="s">
        <v>1263</v>
      </c>
      <c r="U881" s="1" t="n">
        <v>1500</v>
      </c>
      <c r="V881" s="14" t="n">
        <v>1</v>
      </c>
      <c r="W881" s="4" t="s">
        <v>1251</v>
      </c>
      <c r="X881" s="9" t="s">
        <v>1215</v>
      </c>
      <c r="Y881" s="14" t="n">
        <v>5500</v>
      </c>
      <c r="Z881" s="6" t="s">
        <v>1252</v>
      </c>
      <c r="AA881" s="6" t="s">
        <v>1253</v>
      </c>
      <c r="AB881" s="6" t="s">
        <v>1253</v>
      </c>
      <c r="AC881" s="6" t="s">
        <v>1254</v>
      </c>
      <c r="AD881" s="15" t="str">
        <f aca="true" t="array" ref="AD881:AD881">LEFT(AC881,LOOKUP(2^15,FIND(".",AC881,ROW(INDIRECT("1:"&amp;LEN(AC881)))))-1)</f>
        <v>NB_2023_041 - 20230920 - 2</v>
      </c>
      <c r="AE881" s="37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3" t="s">
        <v>1258</v>
      </c>
      <c r="B882" s="34"/>
      <c r="C882" s="4" t="s">
        <v>1259</v>
      </c>
      <c r="D882" s="6" t="s">
        <v>19</v>
      </c>
      <c r="E882" s="6" t="s">
        <v>1247</v>
      </c>
      <c r="F882" s="7" t="s">
        <v>110</v>
      </c>
      <c r="G882" s="6" t="s">
        <v>1260</v>
      </c>
      <c r="H882" s="16" t="s">
        <v>88</v>
      </c>
      <c r="I882" s="6" t="str">
        <f aca="false">CONCATENATE(E882, "_",H882)</f>
        <v>NLA_2023_017_002</v>
      </c>
      <c r="J882" s="14" t="s">
        <v>52</v>
      </c>
      <c r="K882" s="14" t="s">
        <v>1264</v>
      </c>
      <c r="L882" s="9" t="s">
        <v>69</v>
      </c>
      <c r="M882" s="13" t="s">
        <v>1262</v>
      </c>
      <c r="N882" s="6" t="s">
        <v>246</v>
      </c>
      <c r="O882" s="35" t="s">
        <v>1220</v>
      </c>
      <c r="P882" s="6" t="s">
        <v>1213</v>
      </c>
      <c r="Q882" s="6" t="s">
        <v>1213</v>
      </c>
      <c r="R882" s="6" t="s">
        <v>72</v>
      </c>
      <c r="S882" s="14"/>
      <c r="T882" s="6" t="s">
        <v>1265</v>
      </c>
      <c r="U882" s="1" t="n">
        <v>1500</v>
      </c>
      <c r="V882" s="14" t="n">
        <v>1</v>
      </c>
      <c r="W882" s="4" t="s">
        <v>1251</v>
      </c>
      <c r="X882" s="9" t="s">
        <v>1215</v>
      </c>
      <c r="Y882" s="14" t="n">
        <v>5500</v>
      </c>
      <c r="Z882" s="6" t="s">
        <v>1252</v>
      </c>
      <c r="AA882" s="6" t="s">
        <v>1253</v>
      </c>
      <c r="AB882" s="15" t="str">
        <f aca="true" t="array" ref="AB882:AB882">LEFT(AA882,LOOKUP(2^15,FIND(".",AA882,ROW(INDIRECT("1:"&amp;LEN(AA882)))))-1)</f>
        <v>NB_2023_041 - 20230920 - 1</v>
      </c>
      <c r="AC882" s="6" t="s">
        <v>1254</v>
      </c>
      <c r="AD882" s="15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3" t="s">
        <v>1258</v>
      </c>
      <c r="B883" s="34"/>
      <c r="C883" s="4" t="s">
        <v>1259</v>
      </c>
      <c r="D883" s="6" t="s">
        <v>19</v>
      </c>
      <c r="E883" s="6" t="s">
        <v>1247</v>
      </c>
      <c r="F883" s="7" t="s">
        <v>110</v>
      </c>
      <c r="G883" s="6" t="s">
        <v>1247</v>
      </c>
      <c r="H883" s="16" t="s">
        <v>64</v>
      </c>
      <c r="I883" s="6" t="str">
        <f aca="false">CONCATENATE(E883, "_",H883)</f>
        <v>NLA_2023_017_Blank_1</v>
      </c>
      <c r="J883" s="6" t="s">
        <v>52</v>
      </c>
      <c r="K883" s="6" t="s">
        <v>157</v>
      </c>
      <c r="L883" s="7" t="s">
        <v>46</v>
      </c>
      <c r="M883" s="17" t="s">
        <v>46</v>
      </c>
      <c r="N883" s="6" t="s">
        <v>65</v>
      </c>
      <c r="O883" s="6" t="s">
        <v>46</v>
      </c>
      <c r="P883" s="6" t="s">
        <v>46</v>
      </c>
      <c r="Q883" s="6" t="s">
        <v>46</v>
      </c>
      <c r="R883" s="6" t="s">
        <v>46</v>
      </c>
      <c r="S883" s="6" t="s">
        <v>46</v>
      </c>
      <c r="T883" s="6" t="s">
        <v>46</v>
      </c>
      <c r="U883" s="6" t="s">
        <v>46</v>
      </c>
      <c r="V883" s="1" t="n">
        <v>1</v>
      </c>
      <c r="W883" s="4" t="s">
        <v>1251</v>
      </c>
      <c r="X883" s="6" t="s">
        <v>46</v>
      </c>
      <c r="Y883" s="14" t="n">
        <v>5500</v>
      </c>
      <c r="Z883" s="6" t="s">
        <v>1252</v>
      </c>
      <c r="AA883" s="6" t="s">
        <v>1253</v>
      </c>
      <c r="AB883" s="15" t="str">
        <f aca="true" t="array" ref="AB883:AB883">LEFT(AA883,LOOKUP(2^15,FIND(".",AA883,ROW(INDIRECT("1:"&amp;LEN(AA883)))))-1)</f>
        <v>NB_2023_041 - 20230920 - 1</v>
      </c>
      <c r="AC883" s="6" t="s">
        <v>1254</v>
      </c>
      <c r="AD883" s="15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3" t="s">
        <v>1258</v>
      </c>
      <c r="B884" s="34"/>
      <c r="C884" s="4" t="s">
        <v>1259</v>
      </c>
      <c r="D884" s="6" t="s">
        <v>19</v>
      </c>
      <c r="E884" s="6" t="s">
        <v>1247</v>
      </c>
      <c r="F884" s="7" t="s">
        <v>110</v>
      </c>
      <c r="G884" s="6" t="s">
        <v>1247</v>
      </c>
      <c r="H884" s="16" t="s">
        <v>66</v>
      </c>
      <c r="I884" s="6" t="str">
        <f aca="false">CONCATENATE(E884, "_",H884)</f>
        <v>NLA_2023_017_Blank_2</v>
      </c>
      <c r="J884" s="6" t="s">
        <v>52</v>
      </c>
      <c r="K884" s="6" t="s">
        <v>165</v>
      </c>
      <c r="L884" s="7" t="s">
        <v>46</v>
      </c>
      <c r="M884" s="17" t="s">
        <v>46</v>
      </c>
      <c r="N884" s="6" t="s">
        <v>65</v>
      </c>
      <c r="O884" s="6" t="s">
        <v>46</v>
      </c>
      <c r="P884" s="6" t="s">
        <v>46</v>
      </c>
      <c r="Q884" s="6" t="s">
        <v>46</v>
      </c>
      <c r="R884" s="6" t="s">
        <v>46</v>
      </c>
      <c r="S884" s="6" t="s">
        <v>46</v>
      </c>
      <c r="T884" s="6" t="s">
        <v>46</v>
      </c>
      <c r="U884" s="6" t="s">
        <v>46</v>
      </c>
      <c r="V884" s="1" t="n">
        <v>2</v>
      </c>
      <c r="W884" s="4" t="s">
        <v>1251</v>
      </c>
      <c r="X884" s="6" t="s">
        <v>46</v>
      </c>
      <c r="Y884" s="14" t="n">
        <v>5500</v>
      </c>
      <c r="Z884" s="6" t="s">
        <v>1252</v>
      </c>
      <c r="AA884" s="6" t="s">
        <v>1253</v>
      </c>
      <c r="AB884" s="15" t="str">
        <f aca="true" t="array" ref="AB884:AB884">LEFT(AA884,LOOKUP(2^15,FIND(".",AA884,ROW(INDIRECT("1:"&amp;LEN(AA884)))))-1)</f>
        <v>NB_2023_041 - 20230920 - 1</v>
      </c>
      <c r="AC884" s="6" t="s">
        <v>1254</v>
      </c>
      <c r="AD884" s="15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3" t="s">
        <v>1258</v>
      </c>
      <c r="B885" s="34"/>
      <c r="C885" s="4" t="s">
        <v>1259</v>
      </c>
      <c r="D885" s="6" t="s">
        <v>19</v>
      </c>
      <c r="E885" s="6" t="s">
        <v>1247</v>
      </c>
      <c r="F885" s="7" t="s">
        <v>110</v>
      </c>
      <c r="G885" s="6" t="s">
        <v>1247</v>
      </c>
      <c r="H885" s="16" t="s">
        <v>67</v>
      </c>
      <c r="I885" s="6" t="str">
        <f aca="false">CONCATENATE(E885, "_",H885)</f>
        <v>NLA_2023_017_Blank_3</v>
      </c>
      <c r="J885" s="6" t="s">
        <v>52</v>
      </c>
      <c r="K885" s="6" t="s">
        <v>171</v>
      </c>
      <c r="L885" s="7" t="s">
        <v>46</v>
      </c>
      <c r="M885" s="17" t="s">
        <v>46</v>
      </c>
      <c r="N885" s="6" t="s">
        <v>65</v>
      </c>
      <c r="O885" s="6" t="s">
        <v>46</v>
      </c>
      <c r="P885" s="6" t="s">
        <v>46</v>
      </c>
      <c r="Q885" s="6" t="s">
        <v>46</v>
      </c>
      <c r="R885" s="6" t="s">
        <v>46</v>
      </c>
      <c r="S885" s="6" t="s">
        <v>46</v>
      </c>
      <c r="T885" s="6" t="s">
        <v>46</v>
      </c>
      <c r="U885" s="6" t="s">
        <v>46</v>
      </c>
      <c r="V885" s="1" t="n">
        <v>3</v>
      </c>
      <c r="W885" s="4" t="s">
        <v>1251</v>
      </c>
      <c r="X885" s="6" t="s">
        <v>46</v>
      </c>
      <c r="Y885" s="14" t="n">
        <v>5500</v>
      </c>
      <c r="Z885" s="6" t="s">
        <v>1252</v>
      </c>
      <c r="AA885" s="6" t="s">
        <v>1253</v>
      </c>
      <c r="AB885" s="15" t="str">
        <f aca="true" t="array" ref="AB885:AB885">LEFT(AA885,LOOKUP(2^15,FIND(".",AA885,ROW(INDIRECT("1:"&amp;LEN(AA885)))))-1)</f>
        <v>NB_2023_041 - 20230920 - 1</v>
      </c>
      <c r="AC885" s="6" t="s">
        <v>1254</v>
      </c>
      <c r="AD885" s="15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3" t="s">
        <v>1258</v>
      </c>
      <c r="B886" s="34"/>
      <c r="C886" s="4" t="s">
        <v>1259</v>
      </c>
      <c r="D886" s="6" t="s">
        <v>19</v>
      </c>
      <c r="E886" s="6" t="s">
        <v>1247</v>
      </c>
      <c r="F886" s="7" t="s">
        <v>110</v>
      </c>
      <c r="G886" s="6" t="s">
        <v>1247</v>
      </c>
      <c r="H886" s="16" t="s">
        <v>221</v>
      </c>
      <c r="I886" s="6" t="str">
        <f aca="false">CONCATENATE(E886, "_",H886)</f>
        <v>NLA_2023_017_Blank_4</v>
      </c>
      <c r="J886" s="6" t="s">
        <v>52</v>
      </c>
      <c r="K886" s="6" t="s">
        <v>1256</v>
      </c>
      <c r="L886" s="7" t="s">
        <v>46</v>
      </c>
      <c r="M886" s="17" t="s">
        <v>46</v>
      </c>
      <c r="N886" s="6" t="s">
        <v>65</v>
      </c>
      <c r="O886" s="6" t="s">
        <v>46</v>
      </c>
      <c r="P886" s="6" t="s">
        <v>46</v>
      </c>
      <c r="Q886" s="6" t="s">
        <v>46</v>
      </c>
      <c r="R886" s="6" t="s">
        <v>46</v>
      </c>
      <c r="S886" s="6" t="s">
        <v>46</v>
      </c>
      <c r="T886" s="6" t="s">
        <v>46</v>
      </c>
      <c r="U886" s="6" t="s">
        <v>46</v>
      </c>
      <c r="V886" s="1" t="n">
        <v>4</v>
      </c>
      <c r="W886" s="4" t="s">
        <v>1251</v>
      </c>
      <c r="X886" s="6" t="s">
        <v>46</v>
      </c>
      <c r="Y886" s="14" t="n">
        <v>5500</v>
      </c>
      <c r="Z886" s="6" t="s">
        <v>1252</v>
      </c>
      <c r="AA886" s="6" t="s">
        <v>1253</v>
      </c>
      <c r="AB886" s="15" t="str">
        <f aca="true" t="array" ref="AB886:AB886">LEFT(AA886,LOOKUP(2^15,FIND(".",AA886,ROW(INDIRECT("1:"&amp;LEN(AA886)))))-1)</f>
        <v>NB_2023_041 - 20230920 - 1</v>
      </c>
      <c r="AC886" s="6" t="s">
        <v>1254</v>
      </c>
      <c r="AD886" s="15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3" t="s">
        <v>1258</v>
      </c>
      <c r="B887" s="34"/>
      <c r="C887" s="4" t="s">
        <v>1259</v>
      </c>
      <c r="D887" s="6" t="s">
        <v>19</v>
      </c>
      <c r="E887" s="6" t="s">
        <v>1247</v>
      </c>
      <c r="F887" s="7" t="s">
        <v>110</v>
      </c>
      <c r="G887" s="6" t="s">
        <v>1247</v>
      </c>
      <c r="H887" s="16" t="s">
        <v>68</v>
      </c>
      <c r="I887" s="6" t="str">
        <f aca="false">CONCATENATE(E887, "_",H887)</f>
        <v>NLA_2023_017_QC_C_1</v>
      </c>
      <c r="J887" s="6" t="s">
        <v>52</v>
      </c>
      <c r="K887" s="6" t="s">
        <v>152</v>
      </c>
      <c r="L887" s="9" t="s">
        <v>69</v>
      </c>
      <c r="M887" s="3" t="s">
        <v>46</v>
      </c>
      <c r="N887" s="6" t="s">
        <v>70</v>
      </c>
      <c r="O887" s="6" t="s">
        <v>46</v>
      </c>
      <c r="P887" s="6" t="s">
        <v>71</v>
      </c>
      <c r="Q887" s="6" t="s">
        <v>71</v>
      </c>
      <c r="R887" s="6" t="s">
        <v>72</v>
      </c>
      <c r="S887" s="6" t="s">
        <v>73</v>
      </c>
      <c r="T887" s="6" t="s">
        <v>46</v>
      </c>
      <c r="U887" s="6" t="n">
        <v>1000</v>
      </c>
      <c r="V887" s="1" t="n">
        <v>1</v>
      </c>
      <c r="W887" s="4" t="s">
        <v>1251</v>
      </c>
      <c r="X887" s="6" t="s">
        <v>74</v>
      </c>
      <c r="Y887" s="14" t="n">
        <v>5500</v>
      </c>
      <c r="Z887" s="6" t="s">
        <v>1252</v>
      </c>
      <c r="AA887" s="6" t="s">
        <v>1253</v>
      </c>
      <c r="AB887" s="15" t="str">
        <f aca="true" t="array" ref="AB887:AB887">LEFT(AA887,LOOKUP(2^15,FIND(".",AA887,ROW(INDIRECT("1:"&amp;LEN(AA887)))))-1)</f>
        <v>NB_2023_041 - 20230920 - 1</v>
      </c>
      <c r="AC887" s="6" t="s">
        <v>1254</v>
      </c>
      <c r="AD887" s="15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3" t="s">
        <v>1258</v>
      </c>
      <c r="B888" s="34"/>
      <c r="C888" s="4" t="s">
        <v>1259</v>
      </c>
      <c r="D888" s="6" t="s">
        <v>19</v>
      </c>
      <c r="E888" s="6" t="s">
        <v>1247</v>
      </c>
      <c r="F888" s="7" t="s">
        <v>110</v>
      </c>
      <c r="G888" s="6" t="s">
        <v>1247</v>
      </c>
      <c r="H888" s="16" t="s">
        <v>75</v>
      </c>
      <c r="I888" s="6" t="str">
        <f aca="false">CONCATENATE(E888, "_",H888)</f>
        <v>NLA_2023_017_QC_C_2</v>
      </c>
      <c r="J888" s="6" t="s">
        <v>52</v>
      </c>
      <c r="K888" s="6" t="s">
        <v>164</v>
      </c>
      <c r="L888" s="9" t="s">
        <v>69</v>
      </c>
      <c r="M888" s="3" t="s">
        <v>46</v>
      </c>
      <c r="N888" s="6" t="s">
        <v>70</v>
      </c>
      <c r="O888" s="6" t="s">
        <v>46</v>
      </c>
      <c r="P888" s="6" t="s">
        <v>71</v>
      </c>
      <c r="Q888" s="6" t="s">
        <v>71</v>
      </c>
      <c r="R888" s="6" t="s">
        <v>72</v>
      </c>
      <c r="S888" s="6" t="s">
        <v>73</v>
      </c>
      <c r="T888" s="6" t="s">
        <v>46</v>
      </c>
      <c r="U888" s="6" t="n">
        <v>1000</v>
      </c>
      <c r="V888" s="1" t="n">
        <v>2</v>
      </c>
      <c r="W888" s="4" t="s">
        <v>1251</v>
      </c>
      <c r="X888" s="6" t="s">
        <v>74</v>
      </c>
      <c r="Y888" s="14" t="n">
        <v>5500</v>
      </c>
      <c r="Z888" s="6" t="s">
        <v>1252</v>
      </c>
      <c r="AA888" s="6" t="s">
        <v>1253</v>
      </c>
      <c r="AB888" s="15" t="str">
        <f aca="true" t="array" ref="AB888:AB888">LEFT(AA888,LOOKUP(2^15,FIND(".",AA888,ROW(INDIRECT("1:"&amp;LEN(AA888)))))-1)</f>
        <v>NB_2023_041 - 20230920 - 1</v>
      </c>
      <c r="AC888" s="6" t="s">
        <v>1254</v>
      </c>
      <c r="AD888" s="15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3" t="s">
        <v>1258</v>
      </c>
      <c r="B889" s="34"/>
      <c r="C889" s="4" t="s">
        <v>1259</v>
      </c>
      <c r="D889" s="6" t="s">
        <v>19</v>
      </c>
      <c r="E889" s="6" t="s">
        <v>1247</v>
      </c>
      <c r="F889" s="7" t="s">
        <v>110</v>
      </c>
      <c r="G889" s="6" t="s">
        <v>1247</v>
      </c>
      <c r="H889" s="16" t="s">
        <v>76</v>
      </c>
      <c r="I889" s="6" t="str">
        <f aca="false">CONCATENATE(E889, "_",H889)</f>
        <v>NLA_2023_017_QC_C_3</v>
      </c>
      <c r="J889" s="6" t="s">
        <v>52</v>
      </c>
      <c r="K889" s="6" t="s">
        <v>170</v>
      </c>
      <c r="L889" s="9" t="s">
        <v>69</v>
      </c>
      <c r="M889" s="3" t="s">
        <v>46</v>
      </c>
      <c r="N889" s="6" t="s">
        <v>70</v>
      </c>
      <c r="O889" s="6" t="s">
        <v>46</v>
      </c>
      <c r="P889" s="6" t="s">
        <v>71</v>
      </c>
      <c r="Q889" s="6" t="s">
        <v>71</v>
      </c>
      <c r="R889" s="6" t="s">
        <v>72</v>
      </c>
      <c r="S889" s="6" t="s">
        <v>73</v>
      </c>
      <c r="T889" s="6" t="s">
        <v>46</v>
      </c>
      <c r="U889" s="6" t="n">
        <v>1000</v>
      </c>
      <c r="V889" s="1" t="n">
        <v>3</v>
      </c>
      <c r="W889" s="4" t="s">
        <v>1251</v>
      </c>
      <c r="X889" s="6" t="s">
        <v>74</v>
      </c>
      <c r="Y889" s="14" t="n">
        <v>5500</v>
      </c>
      <c r="Z889" s="6" t="s">
        <v>1252</v>
      </c>
      <c r="AA889" s="6" t="s">
        <v>1253</v>
      </c>
      <c r="AB889" s="15" t="str">
        <f aca="true" t="array" ref="AB889:AB889">LEFT(AA889,LOOKUP(2^15,FIND(".",AA889,ROW(INDIRECT("1:"&amp;LEN(AA889)))))-1)</f>
        <v>NB_2023_041 - 20230920 - 1</v>
      </c>
      <c r="AC889" s="6" t="s">
        <v>1254</v>
      </c>
      <c r="AD889" s="15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3" t="s">
        <v>1258</v>
      </c>
      <c r="B890" s="34"/>
      <c r="C890" s="4" t="s">
        <v>1259</v>
      </c>
      <c r="D890" s="6" t="s">
        <v>19</v>
      </c>
      <c r="E890" s="6" t="s">
        <v>1247</v>
      </c>
      <c r="F890" s="7" t="s">
        <v>110</v>
      </c>
      <c r="G890" s="6" t="s">
        <v>1247</v>
      </c>
      <c r="H890" s="16" t="s">
        <v>222</v>
      </c>
      <c r="I890" s="6" t="str">
        <f aca="false">CONCATENATE(E890, "_",H890)</f>
        <v>NLA_2023_017_QC_C_4</v>
      </c>
      <c r="J890" s="6" t="s">
        <v>52</v>
      </c>
      <c r="K890" s="6" t="s">
        <v>1257</v>
      </c>
      <c r="L890" s="9" t="s">
        <v>69</v>
      </c>
      <c r="M890" s="3" t="s">
        <v>46</v>
      </c>
      <c r="N890" s="6" t="s">
        <v>70</v>
      </c>
      <c r="O890" s="6" t="s">
        <v>46</v>
      </c>
      <c r="P890" s="6" t="s">
        <v>71</v>
      </c>
      <c r="Q890" s="6" t="s">
        <v>71</v>
      </c>
      <c r="R890" s="6" t="s">
        <v>72</v>
      </c>
      <c r="S890" s="6" t="s">
        <v>73</v>
      </c>
      <c r="T890" s="6" t="s">
        <v>46</v>
      </c>
      <c r="U890" s="6" t="n">
        <v>1000</v>
      </c>
      <c r="V890" s="1" t="n">
        <v>4</v>
      </c>
      <c r="W890" s="4" t="s">
        <v>1251</v>
      </c>
      <c r="X890" s="6" t="s">
        <v>74</v>
      </c>
      <c r="Y890" s="14" t="n">
        <v>5500</v>
      </c>
      <c r="Z890" s="6" t="s">
        <v>1252</v>
      </c>
      <c r="AA890" s="6" t="s">
        <v>1253</v>
      </c>
      <c r="AB890" s="15" t="str">
        <f aca="true" t="array" ref="AB890:AB890">LEFT(AA890,LOOKUP(2^15,FIND(".",AA890,ROW(INDIRECT("1:"&amp;LEN(AA890)))))-1)</f>
        <v>NB_2023_041 - 20230920 - 1</v>
      </c>
      <c r="AC890" s="6" t="s">
        <v>1254</v>
      </c>
      <c r="AD890" s="15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3" t="s">
        <v>1258</v>
      </c>
      <c r="B891" s="34"/>
      <c r="C891" s="4" t="s">
        <v>1259</v>
      </c>
      <c r="D891" s="6" t="s">
        <v>19</v>
      </c>
      <c r="E891" s="6" t="s">
        <v>1247</v>
      </c>
      <c r="F891" s="7" t="s">
        <v>110</v>
      </c>
      <c r="G891" s="6" t="s">
        <v>1247</v>
      </c>
      <c r="H891" s="16" t="s">
        <v>77</v>
      </c>
      <c r="I891" s="6" t="str">
        <f aca="false">CONCATENATE(E891, "_",H891)</f>
        <v>NLA_2023_017_QC_P_1</v>
      </c>
      <c r="J891" s="4" t="s">
        <v>52</v>
      </c>
      <c r="K891" s="18" t="s">
        <v>77</v>
      </c>
      <c r="L891" s="7" t="s">
        <v>69</v>
      </c>
      <c r="M891" s="3" t="s">
        <v>46</v>
      </c>
      <c r="N891" s="6" t="s">
        <v>78</v>
      </c>
      <c r="O891" s="6" t="s">
        <v>46</v>
      </c>
      <c r="P891" s="6" t="s">
        <v>79</v>
      </c>
      <c r="Q891" s="6" t="s">
        <v>80</v>
      </c>
      <c r="R891" s="6" t="s">
        <v>81</v>
      </c>
      <c r="S891" s="6" t="s">
        <v>46</v>
      </c>
      <c r="T891" s="6" t="s">
        <v>46</v>
      </c>
      <c r="U891" s="6" t="s">
        <v>82</v>
      </c>
      <c r="V891" s="1" t="n">
        <v>1</v>
      </c>
      <c r="W891" s="4" t="s">
        <v>1251</v>
      </c>
      <c r="X891" s="6" t="s">
        <v>83</v>
      </c>
      <c r="Y891" s="14" t="n">
        <v>5500</v>
      </c>
      <c r="Z891" s="6" t="s">
        <v>1252</v>
      </c>
      <c r="AA891" s="6" t="s">
        <v>1253</v>
      </c>
      <c r="AB891" s="15" t="str">
        <f aca="true" t="array" ref="AB891:AB891">LEFT(AA891,LOOKUP(2^15,FIND(".",AA891,ROW(INDIRECT("1:"&amp;LEN(AA891)))))-1)</f>
        <v>NB_2023_041 - 20230920 - 1</v>
      </c>
      <c r="AC891" s="6" t="s">
        <v>1254</v>
      </c>
      <c r="AD891" s="15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3" t="s">
        <v>1258</v>
      </c>
      <c r="B892" s="34"/>
      <c r="C892" s="4" t="s">
        <v>1259</v>
      </c>
      <c r="D892" s="6" t="s">
        <v>19</v>
      </c>
      <c r="E892" s="6" t="s">
        <v>1247</v>
      </c>
      <c r="F892" s="7" t="s">
        <v>110</v>
      </c>
      <c r="G892" s="6" t="s">
        <v>1247</v>
      </c>
      <c r="H892" s="16" t="s">
        <v>84</v>
      </c>
      <c r="I892" s="6" t="str">
        <f aca="false">CONCATENATE(E892, "_",H892)</f>
        <v>NLA_2023_017_QC_P_2</v>
      </c>
      <c r="J892" s="4" t="s">
        <v>52</v>
      </c>
      <c r="K892" s="18" t="s">
        <v>84</v>
      </c>
      <c r="L892" s="7" t="s">
        <v>69</v>
      </c>
      <c r="M892" s="3" t="s">
        <v>46</v>
      </c>
      <c r="N892" s="6" t="s">
        <v>78</v>
      </c>
      <c r="O892" s="6" t="s">
        <v>46</v>
      </c>
      <c r="P892" s="6" t="s">
        <v>79</v>
      </c>
      <c r="Q892" s="6" t="s">
        <v>80</v>
      </c>
      <c r="R892" s="6" t="s">
        <v>81</v>
      </c>
      <c r="S892" s="6" t="s">
        <v>46</v>
      </c>
      <c r="T892" s="6" t="s">
        <v>46</v>
      </c>
      <c r="U892" s="6" t="s">
        <v>82</v>
      </c>
      <c r="V892" s="1" t="n">
        <v>2</v>
      </c>
      <c r="W892" s="4" t="s">
        <v>1251</v>
      </c>
      <c r="X892" s="6" t="s">
        <v>83</v>
      </c>
      <c r="Y892" s="14" t="n">
        <v>5500</v>
      </c>
      <c r="Z892" s="6" t="s">
        <v>1252</v>
      </c>
      <c r="AA892" s="6" t="s">
        <v>1253</v>
      </c>
      <c r="AB892" s="15" t="str">
        <f aca="true" t="array" ref="AB892:AB892">LEFT(AA892,LOOKUP(2^15,FIND(".",AA892,ROW(INDIRECT("1:"&amp;LEN(AA892)))))-1)</f>
        <v>NB_2023_041 - 20230920 - 1</v>
      </c>
      <c r="AC892" s="6" t="s">
        <v>1254</v>
      </c>
      <c r="AD892" s="15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3" t="s">
        <v>1266</v>
      </c>
      <c r="B893" s="34"/>
      <c r="C893" s="4" t="s">
        <v>1267</v>
      </c>
      <c r="D893" s="6" t="s">
        <v>19</v>
      </c>
      <c r="E893" s="6" t="s">
        <v>1247</v>
      </c>
      <c r="F893" s="7" t="s">
        <v>110</v>
      </c>
      <c r="G893" s="6" t="s">
        <v>1260</v>
      </c>
      <c r="H893" s="16" t="s">
        <v>97</v>
      </c>
      <c r="I893" s="6" t="str">
        <f aca="false">CONCATENATE(E893, "_",H893)</f>
        <v>NLA_2023_017_003</v>
      </c>
      <c r="J893" s="14" t="s">
        <v>38</v>
      </c>
      <c r="K893" s="14" t="s">
        <v>1268</v>
      </c>
      <c r="L893" s="9" t="s">
        <v>69</v>
      </c>
      <c r="M893" s="13" t="s">
        <v>1262</v>
      </c>
      <c r="N893" s="6" t="s">
        <v>246</v>
      </c>
      <c r="O893" s="35" t="s">
        <v>1220</v>
      </c>
      <c r="P893" s="14" t="s">
        <v>43</v>
      </c>
      <c r="Q893" s="6" t="s">
        <v>1269</v>
      </c>
      <c r="R893" s="6" t="s">
        <v>44</v>
      </c>
      <c r="S893" s="14"/>
      <c r="T893" s="6" t="s">
        <v>1263</v>
      </c>
      <c r="U893" s="1" t="n">
        <v>1500</v>
      </c>
      <c r="V893" s="14" t="n">
        <v>1</v>
      </c>
      <c r="W893" s="4" t="s">
        <v>1251</v>
      </c>
      <c r="X893" s="9" t="s">
        <v>1215</v>
      </c>
      <c r="Y893" s="14" t="n">
        <v>5500</v>
      </c>
      <c r="Z893" s="6" t="s">
        <v>1252</v>
      </c>
      <c r="AA893" s="6" t="s">
        <v>1253</v>
      </c>
      <c r="AB893" s="15" t="str">
        <f aca="true" t="array" ref="AB893:AB893">LEFT(AA893,LOOKUP(2^15,FIND(".",AA893,ROW(INDIRECT("1:"&amp;LEN(AA893)))))-1)</f>
        <v>NB_2023_041 - 20230920 - 1</v>
      </c>
      <c r="AC893" s="6" t="s">
        <v>1254</v>
      </c>
      <c r="AD893" s="15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3" t="s">
        <v>1266</v>
      </c>
      <c r="B894" s="34"/>
      <c r="C894" s="4" t="s">
        <v>1267</v>
      </c>
      <c r="D894" s="6" t="s">
        <v>19</v>
      </c>
      <c r="E894" s="6" t="s">
        <v>1247</v>
      </c>
      <c r="F894" s="7" t="s">
        <v>110</v>
      </c>
      <c r="G894" s="6" t="s">
        <v>1260</v>
      </c>
      <c r="H894" s="16" t="s">
        <v>99</v>
      </c>
      <c r="I894" s="6" t="str">
        <f aca="false">CONCATENATE(E894, "_",H894)</f>
        <v>NLA_2023_017_004</v>
      </c>
      <c r="J894" s="14" t="s">
        <v>52</v>
      </c>
      <c r="K894" s="14" t="s">
        <v>1270</v>
      </c>
      <c r="L894" s="9" t="s">
        <v>69</v>
      </c>
      <c r="M894" s="13" t="s">
        <v>1262</v>
      </c>
      <c r="N894" s="6" t="s">
        <v>246</v>
      </c>
      <c r="O894" s="35" t="s">
        <v>1220</v>
      </c>
      <c r="P894" s="14" t="s">
        <v>43</v>
      </c>
      <c r="Q894" s="6" t="s">
        <v>1269</v>
      </c>
      <c r="R894" s="6" t="s">
        <v>44</v>
      </c>
      <c r="S894" s="14"/>
      <c r="T894" s="6" t="s">
        <v>1263</v>
      </c>
      <c r="U894" s="1" t="n">
        <v>1500</v>
      </c>
      <c r="V894" s="14" t="n">
        <v>1</v>
      </c>
      <c r="W894" s="4" t="s">
        <v>1251</v>
      </c>
      <c r="X894" s="9" t="s">
        <v>1215</v>
      </c>
      <c r="Y894" s="14" t="n">
        <v>5500</v>
      </c>
      <c r="Z894" s="6" t="s">
        <v>1252</v>
      </c>
      <c r="AA894" s="6" t="s">
        <v>1253</v>
      </c>
      <c r="AB894" s="15" t="str">
        <f aca="true" t="array" ref="AB894:AB894">LEFT(AA894,LOOKUP(2^15,FIND(".",AA894,ROW(INDIRECT("1:"&amp;LEN(AA894)))))-1)</f>
        <v>NB_2023_041 - 20230920 - 1</v>
      </c>
      <c r="AC894" s="6" t="s">
        <v>1254</v>
      </c>
      <c r="AD894" s="15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3" t="s">
        <v>1266</v>
      </c>
      <c r="B895" s="34"/>
      <c r="C895" s="4" t="s">
        <v>1267</v>
      </c>
      <c r="D895" s="6" t="s">
        <v>19</v>
      </c>
      <c r="E895" s="6" t="s">
        <v>1247</v>
      </c>
      <c r="F895" s="7" t="s">
        <v>110</v>
      </c>
      <c r="G895" s="6" t="s">
        <v>1271</v>
      </c>
      <c r="H895" s="16" t="s">
        <v>91</v>
      </c>
      <c r="I895" s="6" t="str">
        <f aca="false">CONCATENATE(E895, "_",H895)</f>
        <v>NLA_2023_017_005</v>
      </c>
      <c r="J895" s="14" t="s">
        <v>38</v>
      </c>
      <c r="K895" s="14" t="s">
        <v>1272</v>
      </c>
      <c r="L895" s="9" t="s">
        <v>69</v>
      </c>
      <c r="M895" s="13" t="s">
        <v>1273</v>
      </c>
      <c r="N895" s="6" t="s">
        <v>246</v>
      </c>
      <c r="O895" s="35" t="s">
        <v>1220</v>
      </c>
      <c r="P895" s="14" t="s">
        <v>43</v>
      </c>
      <c r="Q895" s="6" t="s">
        <v>1269</v>
      </c>
      <c r="R895" s="6" t="s">
        <v>44</v>
      </c>
      <c r="S895" s="14"/>
      <c r="T895" s="6" t="s">
        <v>1263</v>
      </c>
      <c r="U895" s="1" t="n">
        <v>1500</v>
      </c>
      <c r="V895" s="14" t="n">
        <v>2</v>
      </c>
      <c r="W895" s="4" t="s">
        <v>1251</v>
      </c>
      <c r="X895" s="9" t="s">
        <v>1215</v>
      </c>
      <c r="Y895" s="14" t="n">
        <v>5500</v>
      </c>
      <c r="Z895" s="6" t="s">
        <v>1252</v>
      </c>
      <c r="AA895" s="6" t="s">
        <v>1253</v>
      </c>
      <c r="AB895" s="15" t="str">
        <f aca="true" t="array" ref="AB895:AB895">LEFT(AA895,LOOKUP(2^15,FIND(".",AA895,ROW(INDIRECT("1:"&amp;LEN(AA895)))))-1)</f>
        <v>NB_2023_041 - 20230920 - 1</v>
      </c>
      <c r="AC895" s="6" t="s">
        <v>1254</v>
      </c>
      <c r="AD895" s="15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3" t="s">
        <v>1266</v>
      </c>
      <c r="B896" s="34"/>
      <c r="C896" s="4" t="s">
        <v>1267</v>
      </c>
      <c r="D896" s="6" t="s">
        <v>19</v>
      </c>
      <c r="E896" s="6" t="s">
        <v>1247</v>
      </c>
      <c r="F896" s="7" t="s">
        <v>110</v>
      </c>
      <c r="G896" s="6" t="s">
        <v>1271</v>
      </c>
      <c r="H896" s="16" t="s">
        <v>101</v>
      </c>
      <c r="I896" s="6" t="str">
        <f aca="false">CONCATENATE(E896, "_",H896)</f>
        <v>NLA_2023_017_006</v>
      </c>
      <c r="J896" s="14" t="s">
        <v>38</v>
      </c>
      <c r="K896" s="14" t="s">
        <v>1272</v>
      </c>
      <c r="L896" s="9" t="s">
        <v>69</v>
      </c>
      <c r="M896" s="13" t="s">
        <v>1273</v>
      </c>
      <c r="N896" s="6" t="s">
        <v>246</v>
      </c>
      <c r="O896" s="35" t="s">
        <v>1220</v>
      </c>
      <c r="P896" s="14" t="s">
        <v>43</v>
      </c>
      <c r="Q896" s="6" t="s">
        <v>1269</v>
      </c>
      <c r="R896" s="6" t="s">
        <v>44</v>
      </c>
      <c r="S896" s="14"/>
      <c r="T896" s="6" t="s">
        <v>1265</v>
      </c>
      <c r="U896" s="1" t="n">
        <v>1500</v>
      </c>
      <c r="V896" s="14" t="n">
        <v>3</v>
      </c>
      <c r="W896" s="4" t="s">
        <v>1251</v>
      </c>
      <c r="X896" s="9" t="s">
        <v>1215</v>
      </c>
      <c r="Y896" s="14" t="n">
        <v>5500</v>
      </c>
      <c r="Z896" s="6" t="s">
        <v>1252</v>
      </c>
      <c r="AA896" s="6" t="s">
        <v>1253</v>
      </c>
      <c r="AB896" s="15" t="str">
        <f aca="true" t="array" ref="AB896:AB896">LEFT(AA896,LOOKUP(2^15,FIND(".",AA896,ROW(INDIRECT("1:"&amp;LEN(AA896)))))-1)</f>
        <v>NB_2023_041 - 20230920 - 1</v>
      </c>
      <c r="AC896" s="6" t="s">
        <v>1254</v>
      </c>
      <c r="AD896" s="15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3" t="s">
        <v>1266</v>
      </c>
      <c r="B897" s="34"/>
      <c r="C897" s="4" t="s">
        <v>1267</v>
      </c>
      <c r="D897" s="6" t="s">
        <v>19</v>
      </c>
      <c r="E897" s="6" t="s">
        <v>1247</v>
      </c>
      <c r="F897" s="7" t="s">
        <v>110</v>
      </c>
      <c r="G897" s="6" t="s">
        <v>1271</v>
      </c>
      <c r="H897" s="16" t="s">
        <v>139</v>
      </c>
      <c r="I897" s="6" t="str">
        <f aca="false">CONCATENATE(E897, "_",H897)</f>
        <v>NLA_2023_017_007</v>
      </c>
      <c r="J897" s="14" t="s">
        <v>52</v>
      </c>
      <c r="K897" s="14" t="s">
        <v>1274</v>
      </c>
      <c r="L897" s="9" t="s">
        <v>69</v>
      </c>
      <c r="M897" s="13" t="s">
        <v>1273</v>
      </c>
      <c r="N897" s="6" t="s">
        <v>246</v>
      </c>
      <c r="O897" s="35" t="s">
        <v>1220</v>
      </c>
      <c r="P897" s="14" t="s">
        <v>43</v>
      </c>
      <c r="Q897" s="6" t="s">
        <v>1269</v>
      </c>
      <c r="R897" s="6" t="s">
        <v>44</v>
      </c>
      <c r="S897" s="14"/>
      <c r="T897" s="6" t="s">
        <v>1265</v>
      </c>
      <c r="U897" s="1" t="n">
        <v>1500</v>
      </c>
      <c r="V897" s="14" t="n">
        <v>2</v>
      </c>
      <c r="W897" s="4" t="s">
        <v>1251</v>
      </c>
      <c r="X897" s="9" t="s">
        <v>1215</v>
      </c>
      <c r="Y897" s="14" t="n">
        <v>5500</v>
      </c>
      <c r="Z897" s="6" t="s">
        <v>1252</v>
      </c>
      <c r="AA897" s="6" t="s">
        <v>1253</v>
      </c>
      <c r="AB897" s="15" t="str">
        <f aca="true" t="array" ref="AB897:AB897">LEFT(AA897,LOOKUP(2^15,FIND(".",AA897,ROW(INDIRECT("1:"&amp;LEN(AA897)))))-1)</f>
        <v>NB_2023_041 - 20230920 - 1</v>
      </c>
      <c r="AC897" s="6" t="s">
        <v>1254</v>
      </c>
      <c r="AD897" s="15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3" t="s">
        <v>1266</v>
      </c>
      <c r="B898" s="34"/>
      <c r="C898" s="4" t="s">
        <v>1267</v>
      </c>
      <c r="D898" s="6" t="s">
        <v>19</v>
      </c>
      <c r="E898" s="6" t="s">
        <v>1247</v>
      </c>
      <c r="F898" s="7" t="s">
        <v>110</v>
      </c>
      <c r="G898" s="6" t="s">
        <v>1271</v>
      </c>
      <c r="H898" s="16" t="s">
        <v>142</v>
      </c>
      <c r="I898" s="6" t="str">
        <f aca="false">CONCATENATE(E898, "_",H898)</f>
        <v>NLA_2023_017_008</v>
      </c>
      <c r="J898" s="14" t="s">
        <v>52</v>
      </c>
      <c r="K898" s="14" t="s">
        <v>1274</v>
      </c>
      <c r="L898" s="9" t="s">
        <v>69</v>
      </c>
      <c r="M898" s="13" t="s">
        <v>1273</v>
      </c>
      <c r="N898" s="6" t="s">
        <v>246</v>
      </c>
      <c r="O898" s="35" t="s">
        <v>1220</v>
      </c>
      <c r="P898" s="14" t="s">
        <v>43</v>
      </c>
      <c r="Q898" s="6" t="s">
        <v>1269</v>
      </c>
      <c r="R898" s="6" t="s">
        <v>44</v>
      </c>
      <c r="S898" s="14"/>
      <c r="T898" s="6" t="s">
        <v>1265</v>
      </c>
      <c r="U898" s="1" t="n">
        <v>1500</v>
      </c>
      <c r="V898" s="14" t="n">
        <v>3</v>
      </c>
      <c r="W898" s="4" t="s">
        <v>1251</v>
      </c>
      <c r="X898" s="9" t="s">
        <v>1215</v>
      </c>
      <c r="Y898" s="14" t="n">
        <v>5500</v>
      </c>
      <c r="Z898" s="6" t="s">
        <v>1252</v>
      </c>
      <c r="AA898" s="6" t="s">
        <v>1253</v>
      </c>
      <c r="AB898" s="15" t="str">
        <f aca="true" t="array" ref="AB898:AB898">LEFT(AA898,LOOKUP(2^15,FIND(".",AA898,ROW(INDIRECT("1:"&amp;LEN(AA898)))))-1)</f>
        <v>NB_2023_041 - 20230920 - 1</v>
      </c>
      <c r="AC898" s="6" t="s">
        <v>1254</v>
      </c>
      <c r="AD898" s="15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3" t="s">
        <v>1266</v>
      </c>
      <c r="B899" s="34"/>
      <c r="C899" s="4" t="s">
        <v>1267</v>
      </c>
      <c r="D899" s="6" t="s">
        <v>19</v>
      </c>
      <c r="E899" s="6" t="s">
        <v>1247</v>
      </c>
      <c r="F899" s="7" t="s">
        <v>110</v>
      </c>
      <c r="G899" s="6" t="s">
        <v>1247</v>
      </c>
      <c r="H899" s="16" t="s">
        <v>64</v>
      </c>
      <c r="I899" s="6" t="str">
        <f aca="false">CONCATENATE(E899, "_",H899)</f>
        <v>NLA_2023_017_Blank_1</v>
      </c>
      <c r="J899" s="6" t="s">
        <v>52</v>
      </c>
      <c r="K899" s="6" t="s">
        <v>157</v>
      </c>
      <c r="L899" s="7" t="s">
        <v>46</v>
      </c>
      <c r="M899" s="17" t="s">
        <v>46</v>
      </c>
      <c r="N899" s="6" t="s">
        <v>65</v>
      </c>
      <c r="O899" s="6" t="s">
        <v>46</v>
      </c>
      <c r="P899" s="6" t="s">
        <v>46</v>
      </c>
      <c r="Q899" s="6" t="s">
        <v>46</v>
      </c>
      <c r="R899" s="6" t="s">
        <v>46</v>
      </c>
      <c r="S899" s="6" t="s">
        <v>46</v>
      </c>
      <c r="T899" s="6" t="s">
        <v>46</v>
      </c>
      <c r="U899" s="6" t="s">
        <v>46</v>
      </c>
      <c r="V899" s="1" t="n">
        <v>1</v>
      </c>
      <c r="W899" s="4" t="s">
        <v>1251</v>
      </c>
      <c r="X899" s="6" t="s">
        <v>46</v>
      </c>
      <c r="Y899" s="14" t="n">
        <v>5500</v>
      </c>
      <c r="Z899" s="6" t="s">
        <v>1252</v>
      </c>
      <c r="AA899" s="6" t="s">
        <v>1253</v>
      </c>
      <c r="AB899" s="15" t="str">
        <f aca="true" t="array" ref="AB899:AB899">LEFT(AA899,LOOKUP(2^15,FIND(".",AA899,ROW(INDIRECT("1:"&amp;LEN(AA899)))))-1)</f>
        <v>NB_2023_041 - 20230920 - 1</v>
      </c>
      <c r="AC899" s="6" t="s">
        <v>1254</v>
      </c>
      <c r="AD899" s="15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3" t="s">
        <v>1266</v>
      </c>
      <c r="B900" s="34"/>
      <c r="C900" s="4" t="s">
        <v>1267</v>
      </c>
      <c r="D900" s="6" t="s">
        <v>19</v>
      </c>
      <c r="E900" s="6" t="s">
        <v>1247</v>
      </c>
      <c r="F900" s="7" t="s">
        <v>110</v>
      </c>
      <c r="G900" s="6" t="s">
        <v>1247</v>
      </c>
      <c r="H900" s="16" t="s">
        <v>66</v>
      </c>
      <c r="I900" s="6" t="str">
        <f aca="false">CONCATENATE(E900, "_",H900)</f>
        <v>NLA_2023_017_Blank_2</v>
      </c>
      <c r="J900" s="6" t="s">
        <v>52</v>
      </c>
      <c r="K900" s="6" t="s">
        <v>165</v>
      </c>
      <c r="L900" s="7" t="s">
        <v>46</v>
      </c>
      <c r="M900" s="17" t="s">
        <v>46</v>
      </c>
      <c r="N900" s="6" t="s">
        <v>65</v>
      </c>
      <c r="O900" s="6" t="s">
        <v>46</v>
      </c>
      <c r="P900" s="6" t="s">
        <v>46</v>
      </c>
      <c r="Q900" s="6" t="s">
        <v>46</v>
      </c>
      <c r="R900" s="6" t="s">
        <v>46</v>
      </c>
      <c r="S900" s="6" t="s">
        <v>46</v>
      </c>
      <c r="T900" s="6" t="s">
        <v>46</v>
      </c>
      <c r="U900" s="6" t="s">
        <v>46</v>
      </c>
      <c r="V900" s="1" t="n">
        <v>2</v>
      </c>
      <c r="W900" s="4" t="s">
        <v>1251</v>
      </c>
      <c r="X900" s="6" t="s">
        <v>46</v>
      </c>
      <c r="Y900" s="14" t="n">
        <v>5500</v>
      </c>
      <c r="Z900" s="6" t="s">
        <v>1252</v>
      </c>
      <c r="AA900" s="6" t="s">
        <v>1253</v>
      </c>
      <c r="AB900" s="15" t="str">
        <f aca="true" t="array" ref="AB900:AB900">LEFT(AA900,LOOKUP(2^15,FIND(".",AA900,ROW(INDIRECT("1:"&amp;LEN(AA900)))))-1)</f>
        <v>NB_2023_041 - 20230920 - 1</v>
      </c>
      <c r="AC900" s="6" t="s">
        <v>1254</v>
      </c>
      <c r="AD900" s="15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3" t="s">
        <v>1266</v>
      </c>
      <c r="B901" s="34"/>
      <c r="C901" s="4" t="s">
        <v>1267</v>
      </c>
      <c r="D901" s="6" t="s">
        <v>19</v>
      </c>
      <c r="E901" s="6" t="s">
        <v>1247</v>
      </c>
      <c r="F901" s="7" t="s">
        <v>110</v>
      </c>
      <c r="G901" s="6" t="s">
        <v>1247</v>
      </c>
      <c r="H901" s="16" t="s">
        <v>67</v>
      </c>
      <c r="I901" s="6" t="str">
        <f aca="false">CONCATENATE(E901, "_",H901)</f>
        <v>NLA_2023_017_Blank_3</v>
      </c>
      <c r="J901" s="6" t="s">
        <v>52</v>
      </c>
      <c r="K901" s="6" t="s">
        <v>171</v>
      </c>
      <c r="L901" s="7" t="s">
        <v>46</v>
      </c>
      <c r="M901" s="17" t="s">
        <v>46</v>
      </c>
      <c r="N901" s="6" t="s">
        <v>65</v>
      </c>
      <c r="O901" s="6" t="s">
        <v>46</v>
      </c>
      <c r="P901" s="6" t="s">
        <v>46</v>
      </c>
      <c r="Q901" s="6" t="s">
        <v>46</v>
      </c>
      <c r="R901" s="6" t="s">
        <v>46</v>
      </c>
      <c r="S901" s="6" t="s">
        <v>46</v>
      </c>
      <c r="T901" s="6" t="s">
        <v>46</v>
      </c>
      <c r="U901" s="6" t="s">
        <v>46</v>
      </c>
      <c r="V901" s="1" t="n">
        <v>3</v>
      </c>
      <c r="W901" s="4" t="s">
        <v>1251</v>
      </c>
      <c r="X901" s="6" t="s">
        <v>46</v>
      </c>
      <c r="Y901" s="14" t="n">
        <v>5500</v>
      </c>
      <c r="Z901" s="6" t="s">
        <v>1252</v>
      </c>
      <c r="AA901" s="6" t="s">
        <v>1253</v>
      </c>
      <c r="AB901" s="15" t="str">
        <f aca="true" t="array" ref="AB901:AB901">LEFT(AA901,LOOKUP(2^15,FIND(".",AA901,ROW(INDIRECT("1:"&amp;LEN(AA901)))))-1)</f>
        <v>NB_2023_041 - 20230920 - 1</v>
      </c>
      <c r="AC901" s="6" t="s">
        <v>1254</v>
      </c>
      <c r="AD901" s="15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3" t="s">
        <v>1266</v>
      </c>
      <c r="B902" s="34"/>
      <c r="C902" s="4" t="s">
        <v>1267</v>
      </c>
      <c r="D902" s="6" t="s">
        <v>19</v>
      </c>
      <c r="E902" s="6" t="s">
        <v>1247</v>
      </c>
      <c r="F902" s="7" t="s">
        <v>110</v>
      </c>
      <c r="G902" s="6" t="s">
        <v>1247</v>
      </c>
      <c r="H902" s="16" t="s">
        <v>221</v>
      </c>
      <c r="I902" s="6" t="str">
        <f aca="false">CONCATENATE(E902, "_",H902)</f>
        <v>NLA_2023_017_Blank_4</v>
      </c>
      <c r="J902" s="6" t="s">
        <v>52</v>
      </c>
      <c r="K902" s="6" t="s">
        <v>1256</v>
      </c>
      <c r="L902" s="7" t="s">
        <v>46</v>
      </c>
      <c r="M902" s="17" t="s">
        <v>46</v>
      </c>
      <c r="N902" s="6" t="s">
        <v>65</v>
      </c>
      <c r="O902" s="6" t="s">
        <v>46</v>
      </c>
      <c r="P902" s="6" t="s">
        <v>46</v>
      </c>
      <c r="Q902" s="6" t="s">
        <v>46</v>
      </c>
      <c r="R902" s="6" t="s">
        <v>46</v>
      </c>
      <c r="S902" s="6" t="s">
        <v>46</v>
      </c>
      <c r="T902" s="6" t="s">
        <v>46</v>
      </c>
      <c r="U902" s="6" t="s">
        <v>46</v>
      </c>
      <c r="V902" s="1" t="n">
        <v>4</v>
      </c>
      <c r="W902" s="4" t="s">
        <v>1251</v>
      </c>
      <c r="X902" s="6" t="s">
        <v>46</v>
      </c>
      <c r="Y902" s="14" t="n">
        <v>5500</v>
      </c>
      <c r="Z902" s="6" t="s">
        <v>1252</v>
      </c>
      <c r="AA902" s="6" t="s">
        <v>1253</v>
      </c>
      <c r="AB902" s="15" t="str">
        <f aca="true" t="array" ref="AB902:AB902">LEFT(AA902,LOOKUP(2^15,FIND(".",AA902,ROW(INDIRECT("1:"&amp;LEN(AA902)))))-1)</f>
        <v>NB_2023_041 - 20230920 - 1</v>
      </c>
      <c r="AC902" s="6" t="s">
        <v>1254</v>
      </c>
      <c r="AD902" s="15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3" t="s">
        <v>1266</v>
      </c>
      <c r="B903" s="34"/>
      <c r="C903" s="4" t="s">
        <v>1267</v>
      </c>
      <c r="D903" s="6" t="s">
        <v>19</v>
      </c>
      <c r="E903" s="6" t="s">
        <v>1247</v>
      </c>
      <c r="F903" s="7" t="s">
        <v>110</v>
      </c>
      <c r="G903" s="6" t="s">
        <v>1247</v>
      </c>
      <c r="H903" s="16" t="s">
        <v>68</v>
      </c>
      <c r="I903" s="6" t="str">
        <f aca="false">CONCATENATE(E903, "_",H903)</f>
        <v>NLA_2023_017_QC_C_1</v>
      </c>
      <c r="J903" s="6" t="s">
        <v>52</v>
      </c>
      <c r="K903" s="6" t="s">
        <v>152</v>
      </c>
      <c r="L903" s="9" t="s">
        <v>69</v>
      </c>
      <c r="M903" s="3" t="s">
        <v>46</v>
      </c>
      <c r="N903" s="6" t="s">
        <v>70</v>
      </c>
      <c r="O903" s="6" t="s">
        <v>46</v>
      </c>
      <c r="P903" s="6" t="s">
        <v>71</v>
      </c>
      <c r="Q903" s="6" t="s">
        <v>71</v>
      </c>
      <c r="R903" s="6" t="s">
        <v>72</v>
      </c>
      <c r="S903" s="6" t="s">
        <v>73</v>
      </c>
      <c r="T903" s="6" t="s">
        <v>46</v>
      </c>
      <c r="U903" s="6" t="n">
        <v>1000</v>
      </c>
      <c r="V903" s="1" t="n">
        <v>1</v>
      </c>
      <c r="W903" s="4" t="s">
        <v>1251</v>
      </c>
      <c r="X903" s="6" t="s">
        <v>74</v>
      </c>
      <c r="Y903" s="14" t="n">
        <v>5500</v>
      </c>
      <c r="Z903" s="6" t="s">
        <v>1252</v>
      </c>
      <c r="AA903" s="6" t="s">
        <v>1253</v>
      </c>
      <c r="AB903" s="15" t="str">
        <f aca="true" t="array" ref="AB903:AB903">LEFT(AA903,LOOKUP(2^15,FIND(".",AA903,ROW(INDIRECT("1:"&amp;LEN(AA903)))))-1)</f>
        <v>NB_2023_041 - 20230920 - 1</v>
      </c>
      <c r="AC903" s="6" t="s">
        <v>1254</v>
      </c>
      <c r="AD903" s="15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3" t="s">
        <v>1266</v>
      </c>
      <c r="B904" s="34"/>
      <c r="C904" s="4" t="s">
        <v>1267</v>
      </c>
      <c r="D904" s="6" t="s">
        <v>19</v>
      </c>
      <c r="E904" s="6" t="s">
        <v>1247</v>
      </c>
      <c r="F904" s="7" t="s">
        <v>110</v>
      </c>
      <c r="G904" s="6" t="s">
        <v>1247</v>
      </c>
      <c r="H904" s="16" t="s">
        <v>75</v>
      </c>
      <c r="I904" s="6" t="str">
        <f aca="false">CONCATENATE(E904, "_",H904)</f>
        <v>NLA_2023_017_QC_C_2</v>
      </c>
      <c r="J904" s="6" t="s">
        <v>52</v>
      </c>
      <c r="K904" s="6" t="s">
        <v>164</v>
      </c>
      <c r="L904" s="9" t="s">
        <v>69</v>
      </c>
      <c r="M904" s="3" t="s">
        <v>46</v>
      </c>
      <c r="N904" s="6" t="s">
        <v>70</v>
      </c>
      <c r="O904" s="6" t="s">
        <v>46</v>
      </c>
      <c r="P904" s="6" t="s">
        <v>71</v>
      </c>
      <c r="Q904" s="6" t="s">
        <v>71</v>
      </c>
      <c r="R904" s="6" t="s">
        <v>72</v>
      </c>
      <c r="S904" s="6" t="s">
        <v>73</v>
      </c>
      <c r="T904" s="6" t="s">
        <v>46</v>
      </c>
      <c r="U904" s="6" t="n">
        <v>1000</v>
      </c>
      <c r="V904" s="1" t="n">
        <v>2</v>
      </c>
      <c r="W904" s="4" t="s">
        <v>1251</v>
      </c>
      <c r="X904" s="6" t="s">
        <v>74</v>
      </c>
      <c r="Y904" s="14" t="n">
        <v>5500</v>
      </c>
      <c r="Z904" s="6" t="s">
        <v>1252</v>
      </c>
      <c r="AA904" s="6" t="s">
        <v>1253</v>
      </c>
      <c r="AB904" s="15" t="str">
        <f aca="true" t="array" ref="AB904:AB904">LEFT(AA904,LOOKUP(2^15,FIND(".",AA904,ROW(INDIRECT("1:"&amp;LEN(AA904)))))-1)</f>
        <v>NB_2023_041 - 20230920 - 1</v>
      </c>
      <c r="AC904" s="6" t="s">
        <v>1254</v>
      </c>
      <c r="AD904" s="15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3" t="s">
        <v>1266</v>
      </c>
      <c r="B905" s="34"/>
      <c r="C905" s="4" t="s">
        <v>1267</v>
      </c>
      <c r="D905" s="6" t="s">
        <v>19</v>
      </c>
      <c r="E905" s="6" t="s">
        <v>1247</v>
      </c>
      <c r="F905" s="7" t="s">
        <v>110</v>
      </c>
      <c r="G905" s="6" t="s">
        <v>1247</v>
      </c>
      <c r="H905" s="16" t="s">
        <v>76</v>
      </c>
      <c r="I905" s="6" t="str">
        <f aca="false">CONCATENATE(E905, "_",H905)</f>
        <v>NLA_2023_017_QC_C_3</v>
      </c>
      <c r="J905" s="6" t="s">
        <v>52</v>
      </c>
      <c r="K905" s="6" t="s">
        <v>170</v>
      </c>
      <c r="L905" s="9" t="s">
        <v>69</v>
      </c>
      <c r="M905" s="3" t="s">
        <v>46</v>
      </c>
      <c r="N905" s="6" t="s">
        <v>70</v>
      </c>
      <c r="O905" s="6" t="s">
        <v>46</v>
      </c>
      <c r="P905" s="6" t="s">
        <v>71</v>
      </c>
      <c r="Q905" s="6" t="s">
        <v>71</v>
      </c>
      <c r="R905" s="6" t="s">
        <v>72</v>
      </c>
      <c r="S905" s="6" t="s">
        <v>73</v>
      </c>
      <c r="T905" s="6" t="s">
        <v>46</v>
      </c>
      <c r="U905" s="6" t="n">
        <v>1000</v>
      </c>
      <c r="V905" s="1" t="n">
        <v>3</v>
      </c>
      <c r="W905" s="4" t="s">
        <v>1251</v>
      </c>
      <c r="X905" s="6" t="s">
        <v>74</v>
      </c>
      <c r="Y905" s="14" t="n">
        <v>5500</v>
      </c>
      <c r="Z905" s="6" t="s">
        <v>1252</v>
      </c>
      <c r="AA905" s="6" t="s">
        <v>1253</v>
      </c>
      <c r="AB905" s="15" t="str">
        <f aca="true" t="array" ref="AB905:AB905">LEFT(AA905,LOOKUP(2^15,FIND(".",AA905,ROW(INDIRECT("1:"&amp;LEN(AA905)))))-1)</f>
        <v>NB_2023_041 - 20230920 - 1</v>
      </c>
      <c r="AC905" s="6" t="s">
        <v>1254</v>
      </c>
      <c r="AD905" s="15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3" t="s">
        <v>1266</v>
      </c>
      <c r="B906" s="34"/>
      <c r="C906" s="4" t="s">
        <v>1267</v>
      </c>
      <c r="D906" s="6" t="s">
        <v>19</v>
      </c>
      <c r="E906" s="6" t="s">
        <v>1247</v>
      </c>
      <c r="F906" s="7" t="s">
        <v>110</v>
      </c>
      <c r="G906" s="6" t="s">
        <v>1247</v>
      </c>
      <c r="H906" s="16" t="s">
        <v>222</v>
      </c>
      <c r="I906" s="6" t="str">
        <f aca="false">CONCATENATE(E906, "_",H906)</f>
        <v>NLA_2023_017_QC_C_4</v>
      </c>
      <c r="J906" s="6" t="s">
        <v>52</v>
      </c>
      <c r="K906" s="6" t="s">
        <v>1257</v>
      </c>
      <c r="L906" s="9" t="s">
        <v>69</v>
      </c>
      <c r="M906" s="3" t="s">
        <v>46</v>
      </c>
      <c r="N906" s="6" t="s">
        <v>70</v>
      </c>
      <c r="O906" s="6" t="s">
        <v>46</v>
      </c>
      <c r="P906" s="6" t="s">
        <v>71</v>
      </c>
      <c r="Q906" s="6" t="s">
        <v>71</v>
      </c>
      <c r="R906" s="6" t="s">
        <v>72</v>
      </c>
      <c r="S906" s="6" t="s">
        <v>73</v>
      </c>
      <c r="T906" s="6" t="s">
        <v>46</v>
      </c>
      <c r="U906" s="6" t="n">
        <v>1000</v>
      </c>
      <c r="V906" s="1" t="n">
        <v>4</v>
      </c>
      <c r="W906" s="4" t="s">
        <v>1251</v>
      </c>
      <c r="X906" s="6" t="s">
        <v>74</v>
      </c>
      <c r="Y906" s="14" t="n">
        <v>5500</v>
      </c>
      <c r="Z906" s="6" t="s">
        <v>1252</v>
      </c>
      <c r="AA906" s="6" t="s">
        <v>1253</v>
      </c>
      <c r="AB906" s="15" t="str">
        <f aca="true" t="array" ref="AB906:AB906">LEFT(AA906,LOOKUP(2^15,FIND(".",AA906,ROW(INDIRECT("1:"&amp;LEN(AA906)))))-1)</f>
        <v>NB_2023_041 - 20230920 - 1</v>
      </c>
      <c r="AC906" s="6" t="s">
        <v>1254</v>
      </c>
      <c r="AD906" s="15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3" t="s">
        <v>1266</v>
      </c>
      <c r="B907" s="34"/>
      <c r="C907" s="4" t="s">
        <v>1267</v>
      </c>
      <c r="D907" s="6" t="s">
        <v>19</v>
      </c>
      <c r="E907" s="6" t="s">
        <v>1247</v>
      </c>
      <c r="F907" s="7" t="s">
        <v>110</v>
      </c>
      <c r="G907" s="6" t="s">
        <v>1247</v>
      </c>
      <c r="H907" s="16" t="s">
        <v>77</v>
      </c>
      <c r="I907" s="6" t="str">
        <f aca="false">CONCATENATE(E907, "_",H907)</f>
        <v>NLA_2023_017_QC_P_1</v>
      </c>
      <c r="J907" s="4" t="s">
        <v>52</v>
      </c>
      <c r="K907" s="18" t="s">
        <v>77</v>
      </c>
      <c r="L907" s="7" t="s">
        <v>69</v>
      </c>
      <c r="M907" s="3" t="s">
        <v>46</v>
      </c>
      <c r="N907" s="6" t="s">
        <v>78</v>
      </c>
      <c r="O907" s="6" t="s">
        <v>46</v>
      </c>
      <c r="P907" s="6" t="s">
        <v>79</v>
      </c>
      <c r="Q907" s="6" t="s">
        <v>80</v>
      </c>
      <c r="R907" s="6" t="s">
        <v>81</v>
      </c>
      <c r="S907" s="6" t="s">
        <v>46</v>
      </c>
      <c r="T907" s="6" t="s">
        <v>46</v>
      </c>
      <c r="U907" s="6" t="s">
        <v>82</v>
      </c>
      <c r="V907" s="1" t="n">
        <v>1</v>
      </c>
      <c r="W907" s="4" t="s">
        <v>1251</v>
      </c>
      <c r="X907" s="6" t="s">
        <v>83</v>
      </c>
      <c r="Y907" s="14" t="n">
        <v>5500</v>
      </c>
      <c r="Z907" s="6" t="s">
        <v>1252</v>
      </c>
      <c r="AA907" s="6" t="s">
        <v>1253</v>
      </c>
      <c r="AB907" s="15" t="str">
        <f aca="true" t="array" ref="AB907:AB907">LEFT(AA907,LOOKUP(2^15,FIND(".",AA907,ROW(INDIRECT("1:"&amp;LEN(AA907)))))-1)</f>
        <v>NB_2023_041 - 20230920 - 1</v>
      </c>
      <c r="AC907" s="6" t="s">
        <v>1254</v>
      </c>
      <c r="AD907" s="15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3" t="s">
        <v>1266</v>
      </c>
      <c r="B908" s="34"/>
      <c r="C908" s="4" t="s">
        <v>1267</v>
      </c>
      <c r="D908" s="6" t="s">
        <v>19</v>
      </c>
      <c r="E908" s="6" t="s">
        <v>1247</v>
      </c>
      <c r="F908" s="7" t="s">
        <v>110</v>
      </c>
      <c r="G908" s="6" t="s">
        <v>1247</v>
      </c>
      <c r="H908" s="16" t="s">
        <v>84</v>
      </c>
      <c r="I908" s="6" t="str">
        <f aca="false">CONCATENATE(E908, "_",H908)</f>
        <v>NLA_2023_017_QC_P_2</v>
      </c>
      <c r="J908" s="4" t="s">
        <v>52</v>
      </c>
      <c r="K908" s="18" t="s">
        <v>84</v>
      </c>
      <c r="L908" s="7" t="s">
        <v>69</v>
      </c>
      <c r="M908" s="3" t="s">
        <v>46</v>
      </c>
      <c r="N908" s="6" t="s">
        <v>78</v>
      </c>
      <c r="O908" s="6" t="s">
        <v>46</v>
      </c>
      <c r="P908" s="6" t="s">
        <v>79</v>
      </c>
      <c r="Q908" s="6" t="s">
        <v>80</v>
      </c>
      <c r="R908" s="6" t="s">
        <v>81</v>
      </c>
      <c r="S908" s="6" t="s">
        <v>46</v>
      </c>
      <c r="T908" s="6" t="s">
        <v>46</v>
      </c>
      <c r="U908" s="6" t="s">
        <v>82</v>
      </c>
      <c r="V908" s="1" t="n">
        <v>2</v>
      </c>
      <c r="W908" s="4" t="s">
        <v>1251</v>
      </c>
      <c r="X908" s="6" t="s">
        <v>83</v>
      </c>
      <c r="Y908" s="14" t="n">
        <v>5500</v>
      </c>
      <c r="Z908" s="6" t="s">
        <v>1252</v>
      </c>
      <c r="AA908" s="6" t="s">
        <v>1253</v>
      </c>
      <c r="AB908" s="15" t="str">
        <f aca="true" t="array" ref="AB908:AB908">LEFT(AA908,LOOKUP(2^15,FIND(".",AA908,ROW(INDIRECT("1:"&amp;LEN(AA908)))))-1)</f>
        <v>NB_2023_041 - 20230920 - 1</v>
      </c>
      <c r="AC908" s="6" t="s">
        <v>1254</v>
      </c>
      <c r="AD908" s="15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3" t="s">
        <v>1275</v>
      </c>
      <c r="B909" s="34"/>
      <c r="C909" s="4" t="s">
        <v>1276</v>
      </c>
      <c r="D909" s="6" t="s">
        <v>19</v>
      </c>
      <c r="E909" s="6" t="s">
        <v>1277</v>
      </c>
      <c r="F909" s="7" t="s">
        <v>1278</v>
      </c>
      <c r="G909" s="6" t="s">
        <v>1279</v>
      </c>
      <c r="H909" s="27" t="s">
        <v>108</v>
      </c>
      <c r="I909" s="6" t="str">
        <f aca="false">CONCATENATE(E909, "_",H909)</f>
        <v>NLA_2022_013_001</v>
      </c>
      <c r="J909" s="6" t="s">
        <v>38</v>
      </c>
      <c r="K909" s="6" t="s">
        <v>1280</v>
      </c>
      <c r="L909" s="9" t="s">
        <v>69</v>
      </c>
      <c r="M909" s="13" t="s">
        <v>1281</v>
      </c>
      <c r="N909" s="6" t="s">
        <v>246</v>
      </c>
      <c r="O909" s="35" t="s">
        <v>1212</v>
      </c>
      <c r="P909" s="6" t="s">
        <v>1282</v>
      </c>
      <c r="Q909" s="6" t="s">
        <v>1282</v>
      </c>
      <c r="R909" s="6" t="s">
        <v>44</v>
      </c>
      <c r="S909" s="6"/>
      <c r="T909" s="6" t="s">
        <v>1240</v>
      </c>
      <c r="U909" s="1" t="n">
        <v>1500</v>
      </c>
      <c r="V909" s="1" t="n">
        <v>1</v>
      </c>
      <c r="W909" s="6"/>
      <c r="X909" s="9" t="s">
        <v>1215</v>
      </c>
      <c r="Y909" s="1" t="n">
        <v>5500</v>
      </c>
      <c r="Z909" s="6" t="s">
        <v>1283</v>
      </c>
      <c r="AA909" s="6" t="s">
        <v>1284</v>
      </c>
      <c r="AB909" s="15" t="str">
        <f aca="true" t="array" ref="AB909:AB909">LEFT(AA909,LOOKUP(2^15,FIND(".",AA909,ROW(INDIRECT("1:"&amp;LEN(AA909)))))-1)</f>
        <v>NB_2022_061 - 22122022 - 1</v>
      </c>
      <c r="AC909" s="6" t="s">
        <v>1285</v>
      </c>
      <c r="AD909" s="15" t="str">
        <f aca="true" t="array" ref="AD909:AD909">LEFT(AC909,LOOKUP(2^15,FIND(".",AC909,ROW(INDIRECT("1:"&amp;LEN(AC909)))))-1)</f>
        <v>NB_2022_061 - 22122022 - 2</v>
      </c>
      <c r="AE909" s="6" t="str">
        <f aca="false">CONCATENATE(AB909, "-",H909, ".mzML")</f>
        <v>NB_2022_061 - 22122022 - 1-001.mzML</v>
      </c>
      <c r="AF909" s="6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3" t="s">
        <v>1275</v>
      </c>
      <c r="B910" s="34"/>
      <c r="C910" s="4" t="s">
        <v>1276</v>
      </c>
      <c r="D910" s="6" t="s">
        <v>19</v>
      </c>
      <c r="E910" s="6" t="s">
        <v>1277</v>
      </c>
      <c r="F910" s="7" t="s">
        <v>1278</v>
      </c>
      <c r="G910" s="6" t="s">
        <v>1279</v>
      </c>
      <c r="H910" s="27" t="s">
        <v>88</v>
      </c>
      <c r="I910" s="6" t="str">
        <f aca="false">CONCATENATE(E910, "_",H910)</f>
        <v>NLA_2022_013_002</v>
      </c>
      <c r="J910" s="6" t="s">
        <v>38</v>
      </c>
      <c r="K910" s="6" t="s">
        <v>1286</v>
      </c>
      <c r="L910" s="9" t="s">
        <v>69</v>
      </c>
      <c r="M910" s="13" t="s">
        <v>1281</v>
      </c>
      <c r="N910" s="6" t="s">
        <v>246</v>
      </c>
      <c r="O910" s="35" t="s">
        <v>1212</v>
      </c>
      <c r="P910" s="6" t="s">
        <v>1282</v>
      </c>
      <c r="Q910" s="6" t="s">
        <v>1282</v>
      </c>
      <c r="R910" s="6" t="s">
        <v>44</v>
      </c>
      <c r="S910" s="6"/>
      <c r="T910" s="6" t="s">
        <v>1240</v>
      </c>
      <c r="U910" s="1" t="n">
        <v>1500</v>
      </c>
      <c r="V910" s="1" t="n">
        <v>2</v>
      </c>
      <c r="W910" s="6"/>
      <c r="X910" s="9" t="s">
        <v>1215</v>
      </c>
      <c r="Y910" s="1" t="n">
        <v>5500</v>
      </c>
      <c r="Z910" s="6" t="s">
        <v>1283</v>
      </c>
      <c r="AA910" s="6" t="s">
        <v>1284</v>
      </c>
      <c r="AB910" s="15" t="str">
        <f aca="true" t="array" ref="AB910:AB910">LEFT(AA910,LOOKUP(2^15,FIND(".",AA910,ROW(INDIRECT("1:"&amp;LEN(AA910)))))-1)</f>
        <v>NB_2022_061 - 22122022 - 1</v>
      </c>
      <c r="AC910" s="6" t="s">
        <v>1285</v>
      </c>
      <c r="AD910" s="15" t="str">
        <f aca="true" t="array" ref="AD910:AD910">LEFT(AC910,LOOKUP(2^15,FIND(".",AC910,ROW(INDIRECT("1:"&amp;LEN(AC910)))))-1)</f>
        <v>NB_2022_061 - 22122022 - 2</v>
      </c>
      <c r="AE910" s="6" t="str">
        <f aca="false">CONCATENATE(AB910, "-",H910, ".mzML")</f>
        <v>NB_2022_061 - 22122022 - 1-002.mzML</v>
      </c>
      <c r="AF910" s="6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3" t="s">
        <v>1275</v>
      </c>
      <c r="B911" s="34"/>
      <c r="C911" s="4" t="s">
        <v>1276</v>
      </c>
      <c r="D911" s="6" t="s">
        <v>19</v>
      </c>
      <c r="E911" s="6" t="s">
        <v>1277</v>
      </c>
      <c r="F911" s="7" t="s">
        <v>1278</v>
      </c>
      <c r="G911" s="6" t="s">
        <v>1279</v>
      </c>
      <c r="H911" s="27" t="s">
        <v>97</v>
      </c>
      <c r="I911" s="6" t="str">
        <f aca="false">CONCATENATE(E911, "_",H911)</f>
        <v>NLA_2022_013_003</v>
      </c>
      <c r="J911" s="6" t="s">
        <v>38</v>
      </c>
      <c r="K911" s="6" t="s">
        <v>1287</v>
      </c>
      <c r="L911" s="9" t="s">
        <v>69</v>
      </c>
      <c r="M911" s="13" t="s">
        <v>1281</v>
      </c>
      <c r="N911" s="6" t="s">
        <v>246</v>
      </c>
      <c r="O911" s="35" t="s">
        <v>1212</v>
      </c>
      <c r="P911" s="6" t="s">
        <v>1282</v>
      </c>
      <c r="Q911" s="6" t="s">
        <v>1282</v>
      </c>
      <c r="R911" s="6" t="s">
        <v>44</v>
      </c>
      <c r="S911" s="6"/>
      <c r="T911" s="6" t="s">
        <v>1240</v>
      </c>
      <c r="U911" s="1" t="n">
        <v>1500</v>
      </c>
      <c r="V911" s="1" t="n">
        <v>3</v>
      </c>
      <c r="W911" s="6"/>
      <c r="X911" s="9" t="s">
        <v>1215</v>
      </c>
      <c r="Y911" s="1" t="n">
        <v>5500</v>
      </c>
      <c r="Z911" s="6" t="s">
        <v>1283</v>
      </c>
      <c r="AA911" s="6" t="s">
        <v>1284</v>
      </c>
      <c r="AB911" s="15" t="str">
        <f aca="true" t="array" ref="AB911:AB911">LEFT(AA911,LOOKUP(2^15,FIND(".",AA911,ROW(INDIRECT("1:"&amp;LEN(AA911)))))-1)</f>
        <v>NB_2022_061 - 22122022 - 1</v>
      </c>
      <c r="AC911" s="6" t="s">
        <v>1285</v>
      </c>
      <c r="AD911" s="15" t="str">
        <f aca="true" t="array" ref="AD911:AD911">LEFT(AC911,LOOKUP(2^15,FIND(".",AC911,ROW(INDIRECT("1:"&amp;LEN(AC911)))))-1)</f>
        <v>NB_2022_061 - 22122022 - 2</v>
      </c>
      <c r="AE911" s="6" t="str">
        <f aca="false">CONCATENATE(AB911, "-",H911, ".mzML")</f>
        <v>NB_2022_061 - 22122022 - 1-003.mzML</v>
      </c>
      <c r="AF911" s="6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3" t="s">
        <v>1275</v>
      </c>
      <c r="B912" s="34"/>
      <c r="C912" s="4" t="s">
        <v>1276</v>
      </c>
      <c r="D912" s="6" t="s">
        <v>19</v>
      </c>
      <c r="E912" s="6" t="s">
        <v>1277</v>
      </c>
      <c r="F912" s="7" t="s">
        <v>1278</v>
      </c>
      <c r="G912" s="6" t="s">
        <v>1279</v>
      </c>
      <c r="H912" s="27" t="s">
        <v>99</v>
      </c>
      <c r="I912" s="6" t="str">
        <f aca="false">CONCATENATE(E912, "_",H912)</f>
        <v>NLA_2022_013_004</v>
      </c>
      <c r="J912" s="38" t="s">
        <v>52</v>
      </c>
      <c r="K912" s="6" t="s">
        <v>1288</v>
      </c>
      <c r="L912" s="9" t="s">
        <v>69</v>
      </c>
      <c r="M912" s="13" t="s">
        <v>1281</v>
      </c>
      <c r="N912" s="6" t="s">
        <v>246</v>
      </c>
      <c r="O912" s="35" t="s">
        <v>1212</v>
      </c>
      <c r="P912" s="6" t="s">
        <v>1282</v>
      </c>
      <c r="Q912" s="6" t="s">
        <v>1282</v>
      </c>
      <c r="R912" s="6" t="s">
        <v>44</v>
      </c>
      <c r="S912" s="6"/>
      <c r="T912" s="6" t="s">
        <v>1243</v>
      </c>
      <c r="U912" s="1" t="n">
        <v>1500</v>
      </c>
      <c r="V912" s="1" t="n">
        <v>1</v>
      </c>
      <c r="W912" s="6"/>
      <c r="X912" s="9" t="s">
        <v>1215</v>
      </c>
      <c r="Y912" s="1" t="n">
        <v>5500</v>
      </c>
      <c r="Z912" s="6" t="s">
        <v>1283</v>
      </c>
      <c r="AA912" s="6" t="s">
        <v>1284</v>
      </c>
      <c r="AB912" s="15" t="str">
        <f aca="true" t="array" ref="AB912:AB912">LEFT(AA912,LOOKUP(2^15,FIND(".",AA912,ROW(INDIRECT("1:"&amp;LEN(AA912)))))-1)</f>
        <v>NB_2022_061 - 22122022 - 1</v>
      </c>
      <c r="AC912" s="6" t="s">
        <v>1285</v>
      </c>
      <c r="AD912" s="15" t="str">
        <f aca="true" t="array" ref="AD912:AD912">LEFT(AC912,LOOKUP(2^15,FIND(".",AC912,ROW(INDIRECT("1:"&amp;LEN(AC912)))))-1)</f>
        <v>NB_2022_061 - 22122022 - 2</v>
      </c>
      <c r="AE912" s="6" t="str">
        <f aca="false">CONCATENATE(AB912, "-",H912, ".mzML")</f>
        <v>NB_2022_061 - 22122022 - 1-004.mzML</v>
      </c>
      <c r="AF912" s="6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3" t="s">
        <v>1275</v>
      </c>
      <c r="B913" s="34"/>
      <c r="C913" s="4" t="s">
        <v>1276</v>
      </c>
      <c r="D913" s="6" t="s">
        <v>19</v>
      </c>
      <c r="E913" s="6" t="s">
        <v>1277</v>
      </c>
      <c r="F913" s="7" t="s">
        <v>1278</v>
      </c>
      <c r="G913" s="6" t="s">
        <v>1279</v>
      </c>
      <c r="H913" s="27" t="s">
        <v>91</v>
      </c>
      <c r="I913" s="6" t="str">
        <f aca="false">CONCATENATE(E913, "_",H913)</f>
        <v>NLA_2022_013_005</v>
      </c>
      <c r="J913" s="38" t="s">
        <v>52</v>
      </c>
      <c r="K913" s="6" t="s">
        <v>1289</v>
      </c>
      <c r="L913" s="9" t="s">
        <v>69</v>
      </c>
      <c r="M913" s="13" t="s">
        <v>1281</v>
      </c>
      <c r="N913" s="6" t="s">
        <v>246</v>
      </c>
      <c r="O913" s="35" t="s">
        <v>1212</v>
      </c>
      <c r="P913" s="6" t="s">
        <v>1282</v>
      </c>
      <c r="Q913" s="6" t="s">
        <v>1282</v>
      </c>
      <c r="R913" s="6" t="s">
        <v>44</v>
      </c>
      <c r="S913" s="6"/>
      <c r="T913" s="6" t="s">
        <v>1243</v>
      </c>
      <c r="U913" s="1" t="n">
        <v>1500</v>
      </c>
      <c r="V913" s="1" t="n">
        <v>2</v>
      </c>
      <c r="W913" s="6"/>
      <c r="X913" s="9" t="s">
        <v>1215</v>
      </c>
      <c r="Y913" s="1" t="n">
        <v>5500</v>
      </c>
      <c r="Z913" s="6" t="s">
        <v>1283</v>
      </c>
      <c r="AA913" s="6" t="s">
        <v>1284</v>
      </c>
      <c r="AB913" s="15" t="str">
        <f aca="true" t="array" ref="AB913:AB913">LEFT(AA913,LOOKUP(2^15,FIND(".",AA913,ROW(INDIRECT("1:"&amp;LEN(AA913)))))-1)</f>
        <v>NB_2022_061 - 22122022 - 1</v>
      </c>
      <c r="AC913" s="6" t="s">
        <v>1285</v>
      </c>
      <c r="AD913" s="15" t="str">
        <f aca="true" t="array" ref="AD913:AD913">LEFT(AC913,LOOKUP(2^15,FIND(".",AC913,ROW(INDIRECT("1:"&amp;LEN(AC913)))))-1)</f>
        <v>NB_2022_061 - 22122022 - 2</v>
      </c>
      <c r="AE913" s="6" t="str">
        <f aca="false">CONCATENATE(AB913, "-",H913, ".mzML")</f>
        <v>NB_2022_061 - 22122022 - 1-005.mzML</v>
      </c>
      <c r="AF913" s="6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3" t="s">
        <v>1275</v>
      </c>
      <c r="B914" s="34"/>
      <c r="C914" s="4" t="s">
        <v>1276</v>
      </c>
      <c r="D914" s="6" t="s">
        <v>19</v>
      </c>
      <c r="E914" s="6" t="s">
        <v>1277</v>
      </c>
      <c r="F914" s="7" t="s">
        <v>1278</v>
      </c>
      <c r="G914" s="6" t="s">
        <v>1279</v>
      </c>
      <c r="H914" s="27" t="s">
        <v>101</v>
      </c>
      <c r="I914" s="6" t="str">
        <f aca="false">CONCATENATE(E914, "_",H914)</f>
        <v>NLA_2022_013_006</v>
      </c>
      <c r="J914" s="38" t="s">
        <v>52</v>
      </c>
      <c r="K914" s="6" t="s">
        <v>1290</v>
      </c>
      <c r="L914" s="9" t="s">
        <v>69</v>
      </c>
      <c r="M914" s="13" t="s">
        <v>1281</v>
      </c>
      <c r="N914" s="6" t="s">
        <v>246</v>
      </c>
      <c r="O914" s="35" t="s">
        <v>1212</v>
      </c>
      <c r="P914" s="6" t="s">
        <v>1282</v>
      </c>
      <c r="Q914" s="6" t="s">
        <v>1282</v>
      </c>
      <c r="R914" s="6" t="s">
        <v>44</v>
      </c>
      <c r="S914" s="6"/>
      <c r="T914" s="6" t="s">
        <v>1243</v>
      </c>
      <c r="U914" s="1" t="n">
        <v>1500</v>
      </c>
      <c r="V914" s="1" t="n">
        <v>3</v>
      </c>
      <c r="W914" s="6"/>
      <c r="X914" s="9" t="s">
        <v>1215</v>
      </c>
      <c r="Y914" s="1" t="n">
        <v>5500</v>
      </c>
      <c r="Z914" s="6" t="s">
        <v>1283</v>
      </c>
      <c r="AA914" s="6" t="s">
        <v>1284</v>
      </c>
      <c r="AB914" s="15" t="str">
        <f aca="true" t="array" ref="AB914:AB914">LEFT(AA914,LOOKUP(2^15,FIND(".",AA914,ROW(INDIRECT("1:"&amp;LEN(AA914)))))-1)</f>
        <v>NB_2022_061 - 22122022 - 1</v>
      </c>
      <c r="AC914" s="6" t="s">
        <v>1285</v>
      </c>
      <c r="AD914" s="15" t="str">
        <f aca="true" t="array" ref="AD914:AD914">LEFT(AC914,LOOKUP(2^15,FIND(".",AC914,ROW(INDIRECT("1:"&amp;LEN(AC914)))))-1)</f>
        <v>NB_2022_061 - 22122022 - 2</v>
      </c>
      <c r="AE914" s="6" t="str">
        <f aca="false">CONCATENATE(AB914, "-",H914, ".mzML")</f>
        <v>NB_2022_061 - 22122022 - 1-006.mzML</v>
      </c>
      <c r="AF914" s="6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3" t="s">
        <v>1275</v>
      </c>
      <c r="B915" s="34"/>
      <c r="C915" s="4" t="s">
        <v>1276</v>
      </c>
      <c r="D915" s="6" t="s">
        <v>19</v>
      </c>
      <c r="E915" s="6" t="s">
        <v>1277</v>
      </c>
      <c r="F915" s="7" t="s">
        <v>1278</v>
      </c>
      <c r="G915" s="6" t="s">
        <v>1277</v>
      </c>
      <c r="H915" s="27" t="s">
        <v>64</v>
      </c>
      <c r="I915" s="6" t="str">
        <f aca="false">CONCATENATE(E915, "_",H915)</f>
        <v>NLA_2022_013_Blank_1</v>
      </c>
      <c r="J915" s="38" t="s">
        <v>52</v>
      </c>
      <c r="K915" s="6" t="n">
        <v>1</v>
      </c>
      <c r="L915" s="9" t="s">
        <v>46</v>
      </c>
      <c r="M915" s="13" t="s">
        <v>46</v>
      </c>
      <c r="N915" s="6" t="s">
        <v>65</v>
      </c>
      <c r="O915" s="6" t="s">
        <v>46</v>
      </c>
      <c r="P915" s="6" t="s">
        <v>46</v>
      </c>
      <c r="Q915" s="6" t="s">
        <v>46</v>
      </c>
      <c r="R915" s="6" t="s">
        <v>46</v>
      </c>
      <c r="S915" s="6" t="s">
        <v>46</v>
      </c>
      <c r="T915" s="6" t="s">
        <v>46</v>
      </c>
      <c r="U915" s="6" t="s">
        <v>46</v>
      </c>
      <c r="V915" s="1" t="n">
        <v>1</v>
      </c>
      <c r="W915" s="6"/>
      <c r="X915" s="6" t="s">
        <v>46</v>
      </c>
      <c r="Y915" s="1" t="n">
        <v>5500</v>
      </c>
      <c r="Z915" s="6" t="s">
        <v>1283</v>
      </c>
      <c r="AA915" s="6" t="s">
        <v>1284</v>
      </c>
      <c r="AB915" s="15" t="str">
        <f aca="true" t="array" ref="AB915:AB915">LEFT(AA915,LOOKUP(2^15,FIND(".",AA915,ROW(INDIRECT("1:"&amp;LEN(AA915)))))-1)</f>
        <v>NB_2022_061 - 22122022 - 1</v>
      </c>
      <c r="AC915" s="6" t="s">
        <v>1285</v>
      </c>
      <c r="AD915" s="15" t="str">
        <f aca="true" t="array" ref="AD915:AD915">LEFT(AC915,LOOKUP(2^15,FIND(".",AC915,ROW(INDIRECT("1:"&amp;LEN(AC915)))))-1)</f>
        <v>NB_2022_061 - 22122022 - 2</v>
      </c>
      <c r="AE915" s="6" t="str">
        <f aca="false">CONCATENATE(AB915, "-",H915, ".mzML")</f>
        <v>NB_2022_061 - 22122022 - 1-Blank_1.mzML</v>
      </c>
      <c r="AF915" s="6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3" t="s">
        <v>1275</v>
      </c>
      <c r="B916" s="34"/>
      <c r="C916" s="4" t="s">
        <v>1276</v>
      </c>
      <c r="D916" s="6" t="s">
        <v>19</v>
      </c>
      <c r="E916" s="6" t="s">
        <v>1277</v>
      </c>
      <c r="F916" s="7" t="s">
        <v>1278</v>
      </c>
      <c r="G916" s="6" t="s">
        <v>1277</v>
      </c>
      <c r="H916" s="27" t="s">
        <v>66</v>
      </c>
      <c r="I916" s="6" t="str">
        <f aca="false">CONCATENATE(E916, "_",H916)</f>
        <v>NLA_2022_013_Blank_2</v>
      </c>
      <c r="J916" s="38" t="s">
        <v>52</v>
      </c>
      <c r="K916" s="6" t="n">
        <v>2</v>
      </c>
      <c r="L916" s="9" t="s">
        <v>46</v>
      </c>
      <c r="M916" s="13" t="s">
        <v>46</v>
      </c>
      <c r="N916" s="6" t="s">
        <v>65</v>
      </c>
      <c r="O916" s="6" t="s">
        <v>46</v>
      </c>
      <c r="P916" s="6" t="s">
        <v>46</v>
      </c>
      <c r="Q916" s="6" t="s">
        <v>46</v>
      </c>
      <c r="R916" s="6" t="s">
        <v>46</v>
      </c>
      <c r="S916" s="6" t="s">
        <v>46</v>
      </c>
      <c r="T916" s="6" t="s">
        <v>46</v>
      </c>
      <c r="U916" s="6" t="s">
        <v>46</v>
      </c>
      <c r="V916" s="1" t="n">
        <v>2</v>
      </c>
      <c r="W916" s="6"/>
      <c r="X916" s="6" t="s">
        <v>46</v>
      </c>
      <c r="Y916" s="1" t="n">
        <v>5500</v>
      </c>
      <c r="Z916" s="6" t="s">
        <v>1283</v>
      </c>
      <c r="AA916" s="6" t="s">
        <v>1284</v>
      </c>
      <c r="AB916" s="15" t="str">
        <f aca="true" t="array" ref="AB916:AB916">LEFT(AA916,LOOKUP(2^15,FIND(".",AA916,ROW(INDIRECT("1:"&amp;LEN(AA916)))))-1)</f>
        <v>NB_2022_061 - 22122022 - 1</v>
      </c>
      <c r="AC916" s="6" t="s">
        <v>1285</v>
      </c>
      <c r="AD916" s="15" t="str">
        <f aca="true" t="array" ref="AD916:AD916">LEFT(AC916,LOOKUP(2^15,FIND(".",AC916,ROW(INDIRECT("1:"&amp;LEN(AC916)))))-1)</f>
        <v>NB_2022_061 - 22122022 - 2</v>
      </c>
      <c r="AE916" s="6" t="str">
        <f aca="false">CONCATENATE(AB916, "-",H916, ".mzML")</f>
        <v>NB_2022_061 - 22122022 - 1-Blank_2.mzML</v>
      </c>
      <c r="AF916" s="6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3" t="s">
        <v>1275</v>
      </c>
      <c r="B917" s="34"/>
      <c r="C917" s="4" t="s">
        <v>1276</v>
      </c>
      <c r="D917" s="6" t="s">
        <v>19</v>
      </c>
      <c r="E917" s="6" t="s">
        <v>1277</v>
      </c>
      <c r="F917" s="7" t="s">
        <v>1278</v>
      </c>
      <c r="G917" s="6" t="s">
        <v>1277</v>
      </c>
      <c r="H917" s="27" t="s">
        <v>67</v>
      </c>
      <c r="I917" s="6" t="str">
        <f aca="false">CONCATENATE(E917, "_",H917)</f>
        <v>NLA_2022_013_Blank_3</v>
      </c>
      <c r="J917" s="38" t="s">
        <v>52</v>
      </c>
      <c r="K917" s="6" t="n">
        <v>3</v>
      </c>
      <c r="L917" s="9" t="s">
        <v>46</v>
      </c>
      <c r="M917" s="13" t="s">
        <v>46</v>
      </c>
      <c r="N917" s="6" t="s">
        <v>65</v>
      </c>
      <c r="O917" s="6" t="s">
        <v>46</v>
      </c>
      <c r="P917" s="6" t="s">
        <v>46</v>
      </c>
      <c r="Q917" s="6" t="s">
        <v>46</v>
      </c>
      <c r="R917" s="6" t="s">
        <v>46</v>
      </c>
      <c r="S917" s="6" t="s">
        <v>46</v>
      </c>
      <c r="T917" s="6" t="s">
        <v>46</v>
      </c>
      <c r="U917" s="6" t="s">
        <v>46</v>
      </c>
      <c r="V917" s="1" t="n">
        <v>3</v>
      </c>
      <c r="W917" s="6"/>
      <c r="X917" s="6" t="s">
        <v>46</v>
      </c>
      <c r="Y917" s="1" t="n">
        <v>5500</v>
      </c>
      <c r="Z917" s="6" t="s">
        <v>1283</v>
      </c>
      <c r="AA917" s="6" t="s">
        <v>1284</v>
      </c>
      <c r="AB917" s="15" t="str">
        <f aca="true" t="array" ref="AB917:AB917">LEFT(AA917,LOOKUP(2^15,FIND(".",AA917,ROW(INDIRECT("1:"&amp;LEN(AA917)))))-1)</f>
        <v>NB_2022_061 - 22122022 - 1</v>
      </c>
      <c r="AC917" s="6" t="s">
        <v>1285</v>
      </c>
      <c r="AD917" s="15" t="str">
        <f aca="true" t="array" ref="AD917:AD917">LEFT(AC917,LOOKUP(2^15,FIND(".",AC917,ROW(INDIRECT("1:"&amp;LEN(AC917)))))-1)</f>
        <v>NB_2022_061 - 22122022 - 2</v>
      </c>
      <c r="AE917" s="6" t="str">
        <f aca="false">CONCATENATE(AB917, "-",H917, ".mzML")</f>
        <v>NB_2022_061 - 22122022 - 1-Blank_3.mzML</v>
      </c>
      <c r="AF917" s="6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3" t="s">
        <v>1275</v>
      </c>
      <c r="B918" s="34"/>
      <c r="C918" s="4" t="s">
        <v>1276</v>
      </c>
      <c r="D918" s="6" t="s">
        <v>19</v>
      </c>
      <c r="E918" s="6" t="s">
        <v>1277</v>
      </c>
      <c r="F918" s="7" t="s">
        <v>1278</v>
      </c>
      <c r="G918" s="6" t="s">
        <v>1277</v>
      </c>
      <c r="H918" s="27" t="s">
        <v>68</v>
      </c>
      <c r="I918" s="6" t="str">
        <f aca="false">CONCATENATE(E918, "_",H918)</f>
        <v>NLA_2022_013_QC_C_1</v>
      </c>
      <c r="J918" s="38" t="s">
        <v>52</v>
      </c>
      <c r="K918" s="6" t="n">
        <v>1</v>
      </c>
      <c r="L918" s="9" t="s">
        <v>69</v>
      </c>
      <c r="M918" s="3" t="s">
        <v>46</v>
      </c>
      <c r="N918" s="6" t="s">
        <v>70</v>
      </c>
      <c r="O918" s="6" t="s">
        <v>46</v>
      </c>
      <c r="P918" s="6" t="s">
        <v>71</v>
      </c>
      <c r="Q918" s="6" t="s">
        <v>71</v>
      </c>
      <c r="R918" s="6" t="s">
        <v>72</v>
      </c>
      <c r="S918" s="6" t="s">
        <v>73</v>
      </c>
      <c r="T918" s="6" t="s">
        <v>46</v>
      </c>
      <c r="U918" s="6" t="n">
        <v>1000</v>
      </c>
      <c r="V918" s="1" t="n">
        <v>1</v>
      </c>
      <c r="W918" s="6"/>
      <c r="X918" s="6" t="s">
        <v>74</v>
      </c>
      <c r="Y918" s="6" t="n">
        <v>5500</v>
      </c>
      <c r="Z918" s="6" t="s">
        <v>1283</v>
      </c>
      <c r="AA918" s="6" t="s">
        <v>1284</v>
      </c>
      <c r="AB918" s="15" t="str">
        <f aca="true" t="array" ref="AB918:AB918">LEFT(AA918,LOOKUP(2^15,FIND(".",AA918,ROW(INDIRECT("1:"&amp;LEN(AA918)))))-1)</f>
        <v>NB_2022_061 - 22122022 - 1</v>
      </c>
      <c r="AC918" s="6" t="s">
        <v>1285</v>
      </c>
      <c r="AD918" s="15" t="str">
        <f aca="true" t="array" ref="AD918:AD918">LEFT(AC918,LOOKUP(2^15,FIND(".",AC918,ROW(INDIRECT("1:"&amp;LEN(AC918)))))-1)</f>
        <v>NB_2022_061 - 22122022 - 2</v>
      </c>
      <c r="AE918" s="6" t="str">
        <f aca="false">CONCATENATE(AB918, "-",H918, ".mzML")</f>
        <v>NB_2022_061 - 22122022 - 1-QC_C_1.mzML</v>
      </c>
      <c r="AF918" s="6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3" t="s">
        <v>1275</v>
      </c>
      <c r="B919" s="34"/>
      <c r="C919" s="4" t="s">
        <v>1276</v>
      </c>
      <c r="D919" s="6" t="s">
        <v>19</v>
      </c>
      <c r="E919" s="6" t="s">
        <v>1277</v>
      </c>
      <c r="F919" s="7" t="s">
        <v>1278</v>
      </c>
      <c r="G919" s="6" t="s">
        <v>1277</v>
      </c>
      <c r="H919" s="27" t="s">
        <v>75</v>
      </c>
      <c r="I919" s="6" t="str">
        <f aca="false">CONCATENATE(E919, "_",H919)</f>
        <v>NLA_2022_013_QC_C_2</v>
      </c>
      <c r="J919" s="38" t="s">
        <v>52</v>
      </c>
      <c r="K919" s="6" t="n">
        <v>2</v>
      </c>
      <c r="L919" s="9" t="s">
        <v>69</v>
      </c>
      <c r="M919" s="3" t="s">
        <v>46</v>
      </c>
      <c r="N919" s="6" t="s">
        <v>70</v>
      </c>
      <c r="O919" s="6" t="s">
        <v>46</v>
      </c>
      <c r="P919" s="6" t="s">
        <v>71</v>
      </c>
      <c r="Q919" s="6" t="s">
        <v>71</v>
      </c>
      <c r="R919" s="6" t="s">
        <v>72</v>
      </c>
      <c r="S919" s="6" t="s">
        <v>73</v>
      </c>
      <c r="T919" s="6" t="s">
        <v>46</v>
      </c>
      <c r="U919" s="6" t="n">
        <v>1000</v>
      </c>
      <c r="V919" s="1" t="n">
        <v>2</v>
      </c>
      <c r="W919" s="6"/>
      <c r="X919" s="6" t="s">
        <v>74</v>
      </c>
      <c r="Y919" s="6" t="n">
        <v>5500</v>
      </c>
      <c r="Z919" s="6" t="s">
        <v>1283</v>
      </c>
      <c r="AA919" s="6" t="s">
        <v>1284</v>
      </c>
      <c r="AB919" s="15" t="str">
        <f aca="true" t="array" ref="AB919:AB919">LEFT(AA919,LOOKUP(2^15,FIND(".",AA919,ROW(INDIRECT("1:"&amp;LEN(AA919)))))-1)</f>
        <v>NB_2022_061 - 22122022 - 1</v>
      </c>
      <c r="AC919" s="6" t="s">
        <v>1285</v>
      </c>
      <c r="AD919" s="15" t="str">
        <f aca="true" t="array" ref="AD919:AD919">LEFT(AC919,LOOKUP(2^15,FIND(".",AC919,ROW(INDIRECT("1:"&amp;LEN(AC919)))))-1)</f>
        <v>NB_2022_061 - 22122022 - 2</v>
      </c>
      <c r="AE919" s="6" t="str">
        <f aca="false">CONCATENATE(AB919, "-",H919, ".mzML")</f>
        <v>NB_2022_061 - 22122022 - 1-QC_C_2.mzML</v>
      </c>
      <c r="AF919" s="6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3" t="s">
        <v>1275</v>
      </c>
      <c r="B920" s="34"/>
      <c r="C920" s="4" t="s">
        <v>1276</v>
      </c>
      <c r="D920" s="6" t="s">
        <v>19</v>
      </c>
      <c r="E920" s="6" t="s">
        <v>1277</v>
      </c>
      <c r="F920" s="7" t="s">
        <v>1278</v>
      </c>
      <c r="G920" s="6" t="s">
        <v>1277</v>
      </c>
      <c r="H920" s="27" t="s">
        <v>76</v>
      </c>
      <c r="I920" s="6" t="str">
        <f aca="false">CONCATENATE(E920, "_",H920)</f>
        <v>NLA_2022_013_QC_C_3</v>
      </c>
      <c r="J920" s="38" t="s">
        <v>52</v>
      </c>
      <c r="K920" s="6" t="n">
        <v>3</v>
      </c>
      <c r="L920" s="9" t="s">
        <v>69</v>
      </c>
      <c r="M920" s="3" t="s">
        <v>46</v>
      </c>
      <c r="N920" s="6" t="s">
        <v>70</v>
      </c>
      <c r="O920" s="6" t="s">
        <v>46</v>
      </c>
      <c r="P920" s="6" t="s">
        <v>71</v>
      </c>
      <c r="Q920" s="6" t="s">
        <v>71</v>
      </c>
      <c r="R920" s="6" t="s">
        <v>72</v>
      </c>
      <c r="S920" s="6" t="s">
        <v>73</v>
      </c>
      <c r="T920" s="6" t="s">
        <v>46</v>
      </c>
      <c r="U920" s="6" t="n">
        <v>1000</v>
      </c>
      <c r="V920" s="1" t="n">
        <v>3</v>
      </c>
      <c r="W920" s="6"/>
      <c r="X920" s="6" t="s">
        <v>74</v>
      </c>
      <c r="Y920" s="6" t="n">
        <v>5500</v>
      </c>
      <c r="Z920" s="6" t="s">
        <v>1283</v>
      </c>
      <c r="AA920" s="6" t="s">
        <v>1284</v>
      </c>
      <c r="AB920" s="15" t="str">
        <f aca="true" t="array" ref="AB920:AB920">LEFT(AA920,LOOKUP(2^15,FIND(".",AA920,ROW(INDIRECT("1:"&amp;LEN(AA920)))))-1)</f>
        <v>NB_2022_061 - 22122022 - 1</v>
      </c>
      <c r="AC920" s="6" t="s">
        <v>1285</v>
      </c>
      <c r="AD920" s="15" t="str">
        <f aca="true" t="array" ref="AD920:AD920">LEFT(AC920,LOOKUP(2^15,FIND(".",AC920,ROW(INDIRECT("1:"&amp;LEN(AC920)))))-1)</f>
        <v>NB_2022_061 - 22122022 - 2</v>
      </c>
      <c r="AE920" s="6" t="str">
        <f aca="false">CONCATENATE(AB920, "-",H920, ".mzML")</f>
        <v>NB_2022_061 - 22122022 - 1-QC_C_3.mzML</v>
      </c>
      <c r="AF920" s="6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3" t="s">
        <v>1275</v>
      </c>
      <c r="B921" s="34"/>
      <c r="C921" s="4" t="s">
        <v>1276</v>
      </c>
      <c r="D921" s="6" t="s">
        <v>19</v>
      </c>
      <c r="E921" s="6" t="s">
        <v>1277</v>
      </c>
      <c r="F921" s="7" t="s">
        <v>1278</v>
      </c>
      <c r="G921" s="6" t="s">
        <v>1277</v>
      </c>
      <c r="H921" s="27" t="s">
        <v>77</v>
      </c>
      <c r="I921" s="6" t="str">
        <f aca="false">CONCATENATE(E921, "_",H921)</f>
        <v>NLA_2022_013_QC_P_1</v>
      </c>
      <c r="J921" s="38" t="s">
        <v>52</v>
      </c>
      <c r="K921" s="6" t="n">
        <v>1</v>
      </c>
      <c r="L921" s="9" t="s">
        <v>69</v>
      </c>
      <c r="M921" s="13" t="s">
        <v>46</v>
      </c>
      <c r="N921" s="6" t="s">
        <v>78</v>
      </c>
      <c r="O921" s="6" t="s">
        <v>46</v>
      </c>
      <c r="P921" s="6" t="s">
        <v>79</v>
      </c>
      <c r="Q921" s="6" t="s">
        <v>80</v>
      </c>
      <c r="R921" s="6" t="s">
        <v>81</v>
      </c>
      <c r="S921" s="6" t="s">
        <v>46</v>
      </c>
      <c r="T921" s="6" t="s">
        <v>46</v>
      </c>
      <c r="U921" s="6" t="s">
        <v>82</v>
      </c>
      <c r="V921" s="1" t="n">
        <v>1</v>
      </c>
      <c r="W921" s="6"/>
      <c r="X921" s="6" t="s">
        <v>83</v>
      </c>
      <c r="Y921" s="6" t="n">
        <v>5500</v>
      </c>
      <c r="Z921" s="6" t="s">
        <v>1283</v>
      </c>
      <c r="AA921" s="6" t="s">
        <v>1284</v>
      </c>
      <c r="AB921" s="15" t="str">
        <f aca="true" t="array" ref="AB921:AB921">LEFT(AA921,LOOKUP(2^15,FIND(".",AA921,ROW(INDIRECT("1:"&amp;LEN(AA921)))))-1)</f>
        <v>NB_2022_061 - 22122022 - 1</v>
      </c>
      <c r="AC921" s="6" t="s">
        <v>1285</v>
      </c>
      <c r="AD921" s="15" t="str">
        <f aca="true" t="array" ref="AD921:AD921">LEFT(AC921,LOOKUP(2^15,FIND(".",AC921,ROW(INDIRECT("1:"&amp;LEN(AC921)))))-1)</f>
        <v>NB_2022_061 - 22122022 - 2</v>
      </c>
      <c r="AE921" s="6" t="str">
        <f aca="false">CONCATENATE(AB921, "-",H921, ".mzML")</f>
        <v>NB_2022_061 - 22122022 - 1-QC_P_1.mzML</v>
      </c>
      <c r="AF921" s="6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3" t="s">
        <v>1275</v>
      </c>
      <c r="B922" s="34"/>
      <c r="C922" s="4" t="s">
        <v>1276</v>
      </c>
      <c r="D922" s="6" t="s">
        <v>19</v>
      </c>
      <c r="E922" s="6" t="s">
        <v>1277</v>
      </c>
      <c r="F922" s="7" t="s">
        <v>1278</v>
      </c>
      <c r="G922" s="6" t="s">
        <v>1277</v>
      </c>
      <c r="H922" s="27" t="s">
        <v>84</v>
      </c>
      <c r="I922" s="6" t="str">
        <f aca="false">CONCATENATE(E922, "_",H922)</f>
        <v>NLA_2022_013_QC_P_2</v>
      </c>
      <c r="J922" s="38" t="s">
        <v>52</v>
      </c>
      <c r="K922" s="6" t="n">
        <v>2</v>
      </c>
      <c r="L922" s="9" t="s">
        <v>69</v>
      </c>
      <c r="M922" s="13" t="s">
        <v>46</v>
      </c>
      <c r="N922" s="6" t="s">
        <v>78</v>
      </c>
      <c r="O922" s="6" t="s">
        <v>46</v>
      </c>
      <c r="P922" s="6" t="s">
        <v>79</v>
      </c>
      <c r="Q922" s="6" t="s">
        <v>80</v>
      </c>
      <c r="R922" s="6" t="s">
        <v>81</v>
      </c>
      <c r="S922" s="6" t="s">
        <v>46</v>
      </c>
      <c r="T922" s="6" t="s">
        <v>46</v>
      </c>
      <c r="U922" s="6" t="s">
        <v>82</v>
      </c>
      <c r="V922" s="1" t="n">
        <v>2</v>
      </c>
      <c r="W922" s="6"/>
      <c r="X922" s="6" t="s">
        <v>83</v>
      </c>
      <c r="Y922" s="6" t="n">
        <v>5500</v>
      </c>
      <c r="Z922" s="6" t="s">
        <v>1283</v>
      </c>
      <c r="AA922" s="6" t="s">
        <v>1284</v>
      </c>
      <c r="AB922" s="15" t="str">
        <f aca="true" t="array" ref="AB922:AB922">LEFT(AA922,LOOKUP(2^15,FIND(".",AA922,ROW(INDIRECT("1:"&amp;LEN(AA922)))))-1)</f>
        <v>NB_2022_061 - 22122022 - 1</v>
      </c>
      <c r="AC922" s="6" t="s">
        <v>1285</v>
      </c>
      <c r="AD922" s="15" t="str">
        <f aca="true" t="array" ref="AD922:AD922">LEFT(AC922,LOOKUP(2^15,FIND(".",AC922,ROW(INDIRECT("1:"&amp;LEN(AC922)))))-1)</f>
        <v>NB_2022_061 - 22122022 - 2</v>
      </c>
      <c r="AE922" s="6" t="str">
        <f aca="false">CONCATENATE(AB922, "-",H922, ".mzML")</f>
        <v>NB_2022_061 - 22122022 - 1-QC_P_2.mzML</v>
      </c>
      <c r="AF922" s="6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3" t="s">
        <v>1275</v>
      </c>
      <c r="B923" s="34"/>
      <c r="C923" s="4" t="s">
        <v>1276</v>
      </c>
      <c r="D923" s="6" t="s">
        <v>19</v>
      </c>
      <c r="E923" s="6" t="s">
        <v>1277</v>
      </c>
      <c r="F923" s="7" t="s">
        <v>1278</v>
      </c>
      <c r="G923" s="6" t="s">
        <v>1277</v>
      </c>
      <c r="H923" s="27" t="s">
        <v>85</v>
      </c>
      <c r="I923" s="6" t="str">
        <f aca="false">CONCATENATE(E923, "_",H923)</f>
        <v>NLA_2022_013_QC_P_3</v>
      </c>
      <c r="J923" s="38" t="s">
        <v>52</v>
      </c>
      <c r="K923" s="6" t="n">
        <v>3</v>
      </c>
      <c r="L923" s="9" t="s">
        <v>69</v>
      </c>
      <c r="M923" s="13" t="s">
        <v>46</v>
      </c>
      <c r="N923" s="6" t="s">
        <v>78</v>
      </c>
      <c r="O923" s="6" t="s">
        <v>46</v>
      </c>
      <c r="P923" s="6" t="s">
        <v>79</v>
      </c>
      <c r="Q923" s="6" t="s">
        <v>80</v>
      </c>
      <c r="R923" s="6" t="s">
        <v>81</v>
      </c>
      <c r="S923" s="6" t="s">
        <v>46</v>
      </c>
      <c r="T923" s="6" t="s">
        <v>46</v>
      </c>
      <c r="U923" s="6" t="s">
        <v>82</v>
      </c>
      <c r="V923" s="1" t="n">
        <v>3</v>
      </c>
      <c r="W923" s="6"/>
      <c r="X923" s="6" t="s">
        <v>83</v>
      </c>
      <c r="Y923" s="6" t="n">
        <v>5500</v>
      </c>
      <c r="Z923" s="6" t="s">
        <v>1283</v>
      </c>
      <c r="AA923" s="6" t="s">
        <v>1284</v>
      </c>
      <c r="AB923" s="15" t="str">
        <f aca="true" t="array" ref="AB923:AB923">LEFT(AA923,LOOKUP(2^15,FIND(".",AA923,ROW(INDIRECT("1:"&amp;LEN(AA923)))))-1)</f>
        <v>NB_2022_061 - 22122022 - 1</v>
      </c>
      <c r="AC923" s="6" t="s">
        <v>1285</v>
      </c>
      <c r="AD923" s="15" t="str">
        <f aca="true" t="array" ref="AD923:AD923">LEFT(AC923,LOOKUP(2^15,FIND(".",AC923,ROW(INDIRECT("1:"&amp;LEN(AC923)))))-1)</f>
        <v>NB_2022_061 - 22122022 - 2</v>
      </c>
      <c r="AE923" s="6" t="str">
        <f aca="false">CONCATENATE(AB923, "-",H923, ".mzML")</f>
        <v>NB_2022_061 - 22122022 - 1-QC_P_3.mzML</v>
      </c>
      <c r="AF923" s="6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3" t="s">
        <v>1291</v>
      </c>
      <c r="B924" s="34"/>
      <c r="C924" s="4" t="s">
        <v>1292</v>
      </c>
      <c r="D924" s="6" t="s">
        <v>19</v>
      </c>
      <c r="E924" s="6" t="s">
        <v>1277</v>
      </c>
      <c r="F924" s="7" t="s">
        <v>1278</v>
      </c>
      <c r="G924" s="6" t="s">
        <v>1293</v>
      </c>
      <c r="H924" s="27" t="s">
        <v>227</v>
      </c>
      <c r="I924" s="6" t="str">
        <f aca="false">CONCATENATE(E924, "_",H924)</f>
        <v>NLA_2022_013_019</v>
      </c>
      <c r="J924" s="38" t="s">
        <v>38</v>
      </c>
      <c r="K924" s="6" t="s">
        <v>1294</v>
      </c>
      <c r="L924" s="9" t="s">
        <v>69</v>
      </c>
      <c r="M924" s="13" t="s">
        <v>1295</v>
      </c>
      <c r="N924" s="6" t="s">
        <v>246</v>
      </c>
      <c r="O924" s="35" t="s">
        <v>1212</v>
      </c>
      <c r="P924" s="6" t="s">
        <v>1213</v>
      </c>
      <c r="Q924" s="6" t="s">
        <v>1214</v>
      </c>
      <c r="R924" s="6" t="s">
        <v>72</v>
      </c>
      <c r="S924" s="6"/>
      <c r="T924" s="6" t="s">
        <v>1240</v>
      </c>
      <c r="U924" s="1" t="n">
        <v>1500</v>
      </c>
      <c r="V924" s="1" t="n">
        <v>1</v>
      </c>
      <c r="W924" s="6"/>
      <c r="X924" s="9" t="s">
        <v>1215</v>
      </c>
      <c r="Y924" s="1" t="n">
        <v>5500</v>
      </c>
      <c r="Z924" s="6" t="s">
        <v>1283</v>
      </c>
      <c r="AA924" s="6" t="s">
        <v>1284</v>
      </c>
      <c r="AB924" s="15" t="str">
        <f aca="true" t="array" ref="AB924:AB924">LEFT(AA924,LOOKUP(2^15,FIND(".",AA924,ROW(INDIRECT("1:"&amp;LEN(AA924)))))-1)</f>
        <v>NB_2022_061 - 22122022 - 1</v>
      </c>
      <c r="AC924" s="6" t="s">
        <v>1285</v>
      </c>
      <c r="AD924" s="15" t="str">
        <f aca="true" t="array" ref="AD924:AD924">LEFT(AC924,LOOKUP(2^15,FIND(".",AC924,ROW(INDIRECT("1:"&amp;LEN(AC924)))))-1)</f>
        <v>NB_2022_061 - 22122022 - 2</v>
      </c>
      <c r="AE924" s="6" t="str">
        <f aca="false">CONCATENATE(AB924, "-",H924, ".mzML")</f>
        <v>NB_2022_061 - 22122022 - 1-019.mzML</v>
      </c>
      <c r="AF924" s="6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3" t="s">
        <v>1291</v>
      </c>
      <c r="B925" s="34"/>
      <c r="C925" s="4" t="s">
        <v>1292</v>
      </c>
      <c r="D925" s="6" t="s">
        <v>19</v>
      </c>
      <c r="E925" s="6" t="s">
        <v>1277</v>
      </c>
      <c r="F925" s="7" t="s">
        <v>1278</v>
      </c>
      <c r="G925" s="6" t="s">
        <v>1293</v>
      </c>
      <c r="H925" s="27" t="s">
        <v>230</v>
      </c>
      <c r="I925" s="6" t="str">
        <f aca="false">CONCATENATE(E925, "_",H925)</f>
        <v>NLA_2022_013_020</v>
      </c>
      <c r="J925" s="38" t="s">
        <v>38</v>
      </c>
      <c r="K925" s="6" t="s">
        <v>1296</v>
      </c>
      <c r="L925" s="9" t="s">
        <v>69</v>
      </c>
      <c r="M925" s="13" t="s">
        <v>1295</v>
      </c>
      <c r="N925" s="6" t="s">
        <v>246</v>
      </c>
      <c r="O925" s="35" t="s">
        <v>1212</v>
      </c>
      <c r="P925" s="6" t="s">
        <v>1213</v>
      </c>
      <c r="Q925" s="6" t="s">
        <v>1214</v>
      </c>
      <c r="R925" s="6" t="s">
        <v>72</v>
      </c>
      <c r="S925" s="6"/>
      <c r="T925" s="6" t="s">
        <v>1240</v>
      </c>
      <c r="U925" s="1" t="n">
        <v>1500</v>
      </c>
      <c r="V925" s="1" t="n">
        <v>2</v>
      </c>
      <c r="W925" s="6"/>
      <c r="X925" s="9" t="s">
        <v>1215</v>
      </c>
      <c r="Y925" s="1" t="n">
        <v>5500</v>
      </c>
      <c r="Z925" s="6" t="s">
        <v>1283</v>
      </c>
      <c r="AA925" s="6" t="s">
        <v>1284</v>
      </c>
      <c r="AB925" s="15" t="str">
        <f aca="true" t="array" ref="AB925:AB925">LEFT(AA925,LOOKUP(2^15,FIND(".",AA925,ROW(INDIRECT("1:"&amp;LEN(AA925)))))-1)</f>
        <v>NB_2022_061 - 22122022 - 1</v>
      </c>
      <c r="AC925" s="6" t="s">
        <v>1285</v>
      </c>
      <c r="AD925" s="15" t="str">
        <f aca="true" t="array" ref="AD925:AD925">LEFT(AC925,LOOKUP(2^15,FIND(".",AC925,ROW(INDIRECT("1:"&amp;LEN(AC925)))))-1)</f>
        <v>NB_2022_061 - 22122022 - 2</v>
      </c>
      <c r="AE925" s="6" t="str">
        <f aca="false">CONCATENATE(AB925, "-",H925, ".mzML")</f>
        <v>NB_2022_061 - 22122022 - 1-020.mzML</v>
      </c>
      <c r="AF925" s="6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3" t="s">
        <v>1291</v>
      </c>
      <c r="B926" s="34"/>
      <c r="C926" s="4" t="s">
        <v>1292</v>
      </c>
      <c r="D926" s="6" t="s">
        <v>19</v>
      </c>
      <c r="E926" s="6" t="s">
        <v>1277</v>
      </c>
      <c r="F926" s="7" t="s">
        <v>1278</v>
      </c>
      <c r="G926" s="6" t="s">
        <v>1293</v>
      </c>
      <c r="H926" s="27" t="s">
        <v>62</v>
      </c>
      <c r="I926" s="6" t="str">
        <f aca="false">CONCATENATE(E926, "_",H926)</f>
        <v>NLA_2022_013_021</v>
      </c>
      <c r="J926" s="38" t="s">
        <v>52</v>
      </c>
      <c r="K926" s="6" t="s">
        <v>1297</v>
      </c>
      <c r="L926" s="9" t="s">
        <v>69</v>
      </c>
      <c r="M926" s="13" t="s">
        <v>1295</v>
      </c>
      <c r="N926" s="6" t="s">
        <v>246</v>
      </c>
      <c r="O926" s="35" t="s">
        <v>1212</v>
      </c>
      <c r="P926" s="6" t="s">
        <v>1213</v>
      </c>
      <c r="Q926" s="6" t="s">
        <v>1214</v>
      </c>
      <c r="R926" s="6" t="s">
        <v>72</v>
      </c>
      <c r="S926" s="6"/>
      <c r="T926" s="6" t="s">
        <v>1243</v>
      </c>
      <c r="U926" s="1" t="n">
        <v>1500</v>
      </c>
      <c r="V926" s="1" t="n">
        <v>1</v>
      </c>
      <c r="W926" s="6"/>
      <c r="X926" s="9" t="s">
        <v>1215</v>
      </c>
      <c r="Y926" s="1" t="n">
        <v>5500</v>
      </c>
      <c r="Z926" s="6" t="s">
        <v>1283</v>
      </c>
      <c r="AA926" s="6" t="s">
        <v>1284</v>
      </c>
      <c r="AB926" s="15" t="str">
        <f aca="true" t="array" ref="AB926:AB926">LEFT(AA926,LOOKUP(2^15,FIND(".",AA926,ROW(INDIRECT("1:"&amp;LEN(AA926)))))-1)</f>
        <v>NB_2022_061 - 22122022 - 1</v>
      </c>
      <c r="AC926" s="6" t="s">
        <v>1285</v>
      </c>
      <c r="AD926" s="15" t="str">
        <f aca="true" t="array" ref="AD926:AD926">LEFT(AC926,LOOKUP(2^15,FIND(".",AC926,ROW(INDIRECT("1:"&amp;LEN(AC926)))))-1)</f>
        <v>NB_2022_061 - 22122022 - 2</v>
      </c>
      <c r="AE926" s="6" t="str">
        <f aca="false">CONCATENATE(AB926, "-",H926, ".mzML")</f>
        <v>NB_2022_061 - 22122022 - 1-021.mzML</v>
      </c>
      <c r="AF926" s="6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3" t="s">
        <v>1291</v>
      </c>
      <c r="B927" s="34"/>
      <c r="C927" s="4" t="s">
        <v>1292</v>
      </c>
      <c r="D927" s="6" t="s">
        <v>19</v>
      </c>
      <c r="E927" s="6" t="s">
        <v>1277</v>
      </c>
      <c r="F927" s="7" t="s">
        <v>1278</v>
      </c>
      <c r="G927" s="6" t="s">
        <v>1293</v>
      </c>
      <c r="H927" s="27" t="s">
        <v>288</v>
      </c>
      <c r="I927" s="6" t="str">
        <f aca="false">CONCATENATE(E927, "_",H927)</f>
        <v>NLA_2022_013_022</v>
      </c>
      <c r="J927" s="38" t="s">
        <v>52</v>
      </c>
      <c r="K927" s="6" t="s">
        <v>1298</v>
      </c>
      <c r="L927" s="9" t="s">
        <v>69</v>
      </c>
      <c r="M927" s="13" t="s">
        <v>1295</v>
      </c>
      <c r="N927" s="6" t="s">
        <v>246</v>
      </c>
      <c r="O927" s="35" t="s">
        <v>1212</v>
      </c>
      <c r="P927" s="6" t="s">
        <v>1213</v>
      </c>
      <c r="Q927" s="6" t="s">
        <v>1214</v>
      </c>
      <c r="R927" s="6" t="s">
        <v>72</v>
      </c>
      <c r="S927" s="6"/>
      <c r="T927" s="6" t="s">
        <v>1243</v>
      </c>
      <c r="U927" s="1" t="n">
        <v>1500</v>
      </c>
      <c r="V927" s="1" t="n">
        <v>2</v>
      </c>
      <c r="W927" s="6"/>
      <c r="X927" s="9" t="s">
        <v>1215</v>
      </c>
      <c r="Y927" s="1" t="n">
        <v>5500</v>
      </c>
      <c r="Z927" s="6" t="s">
        <v>1283</v>
      </c>
      <c r="AA927" s="6" t="s">
        <v>1284</v>
      </c>
      <c r="AB927" s="15" t="str">
        <f aca="true" t="array" ref="AB927:AB927">LEFT(AA927,LOOKUP(2^15,FIND(".",AA927,ROW(INDIRECT("1:"&amp;LEN(AA927)))))-1)</f>
        <v>NB_2022_061 - 22122022 - 1</v>
      </c>
      <c r="AC927" s="6" t="s">
        <v>1285</v>
      </c>
      <c r="AD927" s="15" t="str">
        <f aca="true" t="array" ref="AD927:AD927">LEFT(AC927,LOOKUP(2^15,FIND(".",AC927,ROW(INDIRECT("1:"&amp;LEN(AC927)))))-1)</f>
        <v>NB_2022_061 - 22122022 - 2</v>
      </c>
      <c r="AE927" s="6" t="str">
        <f aca="false">CONCATENATE(AB927, "-",H927, ".mzML")</f>
        <v>NB_2022_061 - 22122022 - 1-022.mzML</v>
      </c>
      <c r="AF927" s="6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3" t="s">
        <v>1291</v>
      </c>
      <c r="B928" s="34"/>
      <c r="C928" s="4" t="s">
        <v>1292</v>
      </c>
      <c r="D928" s="6" t="s">
        <v>19</v>
      </c>
      <c r="E928" s="6" t="s">
        <v>1277</v>
      </c>
      <c r="F928" s="7" t="s">
        <v>1278</v>
      </c>
      <c r="G928" s="6" t="s">
        <v>1277</v>
      </c>
      <c r="H928" s="27" t="s">
        <v>64</v>
      </c>
      <c r="I928" s="6" t="str">
        <f aca="false">CONCATENATE(E928, "_",H928)</f>
        <v>NLA_2022_013_Blank_1</v>
      </c>
      <c r="J928" s="38" t="s">
        <v>52</v>
      </c>
      <c r="K928" s="6" t="n">
        <v>1</v>
      </c>
      <c r="L928" s="9" t="s">
        <v>46</v>
      </c>
      <c r="M928" s="13" t="s">
        <v>46</v>
      </c>
      <c r="N928" s="6" t="s">
        <v>65</v>
      </c>
      <c r="O928" s="6" t="s">
        <v>46</v>
      </c>
      <c r="P928" s="6" t="s">
        <v>46</v>
      </c>
      <c r="Q928" s="6" t="s">
        <v>46</v>
      </c>
      <c r="R928" s="6" t="s">
        <v>46</v>
      </c>
      <c r="S928" s="6" t="s">
        <v>46</v>
      </c>
      <c r="T928" s="6" t="s">
        <v>46</v>
      </c>
      <c r="U928" s="6" t="s">
        <v>46</v>
      </c>
      <c r="V928" s="1" t="n">
        <v>1</v>
      </c>
      <c r="W928" s="6"/>
      <c r="X928" s="6" t="s">
        <v>46</v>
      </c>
      <c r="Y928" s="1" t="n">
        <v>5500</v>
      </c>
      <c r="Z928" s="6" t="s">
        <v>1283</v>
      </c>
      <c r="AA928" s="6" t="s">
        <v>1284</v>
      </c>
      <c r="AB928" s="15" t="str">
        <f aca="true" t="array" ref="AB928:AB928">LEFT(AA928,LOOKUP(2^15,FIND(".",AA928,ROW(INDIRECT("1:"&amp;LEN(AA928)))))-1)</f>
        <v>NB_2022_061 - 22122022 - 1</v>
      </c>
      <c r="AC928" s="6" t="s">
        <v>1285</v>
      </c>
      <c r="AD928" s="15" t="str">
        <f aca="true" t="array" ref="AD928:AD928">LEFT(AC928,LOOKUP(2^15,FIND(".",AC928,ROW(INDIRECT("1:"&amp;LEN(AC928)))))-1)</f>
        <v>NB_2022_061 - 22122022 - 2</v>
      </c>
      <c r="AE928" s="6" t="str">
        <f aca="false">CONCATENATE(AB928, "-",H928, ".mzML")</f>
        <v>NB_2022_061 - 22122022 - 1-Blank_1.mzML</v>
      </c>
      <c r="AF928" s="6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3" t="s">
        <v>1291</v>
      </c>
      <c r="B929" s="34"/>
      <c r="C929" s="4" t="s">
        <v>1292</v>
      </c>
      <c r="D929" s="6" t="s">
        <v>19</v>
      </c>
      <c r="E929" s="6" t="s">
        <v>1277</v>
      </c>
      <c r="F929" s="7" t="s">
        <v>1278</v>
      </c>
      <c r="G929" s="6" t="s">
        <v>1277</v>
      </c>
      <c r="H929" s="27" t="s">
        <v>66</v>
      </c>
      <c r="I929" s="6" t="str">
        <f aca="false">CONCATENATE(E929, "_",H929)</f>
        <v>NLA_2022_013_Blank_2</v>
      </c>
      <c r="J929" s="38" t="s">
        <v>52</v>
      </c>
      <c r="K929" s="6" t="n">
        <v>2</v>
      </c>
      <c r="L929" s="9" t="s">
        <v>46</v>
      </c>
      <c r="M929" s="13" t="s">
        <v>46</v>
      </c>
      <c r="N929" s="6" t="s">
        <v>65</v>
      </c>
      <c r="O929" s="6" t="s">
        <v>46</v>
      </c>
      <c r="P929" s="6" t="s">
        <v>46</v>
      </c>
      <c r="Q929" s="6" t="s">
        <v>46</v>
      </c>
      <c r="R929" s="6" t="s">
        <v>46</v>
      </c>
      <c r="S929" s="6" t="s">
        <v>46</v>
      </c>
      <c r="T929" s="6" t="s">
        <v>46</v>
      </c>
      <c r="U929" s="6" t="s">
        <v>46</v>
      </c>
      <c r="V929" s="1" t="n">
        <v>2</v>
      </c>
      <c r="W929" s="6"/>
      <c r="X929" s="6" t="s">
        <v>46</v>
      </c>
      <c r="Y929" s="1" t="n">
        <v>5500</v>
      </c>
      <c r="Z929" s="6" t="s">
        <v>1283</v>
      </c>
      <c r="AA929" s="6" t="s">
        <v>1284</v>
      </c>
      <c r="AB929" s="15" t="str">
        <f aca="true" t="array" ref="AB929:AB929">LEFT(AA929,LOOKUP(2^15,FIND(".",AA929,ROW(INDIRECT("1:"&amp;LEN(AA929)))))-1)</f>
        <v>NB_2022_061 - 22122022 - 1</v>
      </c>
      <c r="AC929" s="6" t="s">
        <v>1285</v>
      </c>
      <c r="AD929" s="15" t="str">
        <f aca="true" t="array" ref="AD929:AD929">LEFT(AC929,LOOKUP(2^15,FIND(".",AC929,ROW(INDIRECT("1:"&amp;LEN(AC929)))))-1)</f>
        <v>NB_2022_061 - 22122022 - 2</v>
      </c>
      <c r="AE929" s="6" t="str">
        <f aca="false">CONCATENATE(AB929, "-",H929, ".mzML")</f>
        <v>NB_2022_061 - 22122022 - 1-Blank_2.mzML</v>
      </c>
      <c r="AF929" s="6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3" t="s">
        <v>1291</v>
      </c>
      <c r="B930" s="34"/>
      <c r="C930" s="4" t="s">
        <v>1292</v>
      </c>
      <c r="D930" s="6" t="s">
        <v>19</v>
      </c>
      <c r="E930" s="6" t="s">
        <v>1277</v>
      </c>
      <c r="F930" s="7" t="s">
        <v>1278</v>
      </c>
      <c r="G930" s="6" t="s">
        <v>1277</v>
      </c>
      <c r="H930" s="27" t="s">
        <v>67</v>
      </c>
      <c r="I930" s="6" t="str">
        <f aca="false">CONCATENATE(E930, "_",H930)</f>
        <v>NLA_2022_013_Blank_3</v>
      </c>
      <c r="J930" s="38" t="s">
        <v>52</v>
      </c>
      <c r="K930" s="6" t="n">
        <v>3</v>
      </c>
      <c r="L930" s="9" t="s">
        <v>46</v>
      </c>
      <c r="M930" s="13" t="s">
        <v>46</v>
      </c>
      <c r="N930" s="6" t="s">
        <v>65</v>
      </c>
      <c r="O930" s="6" t="s">
        <v>46</v>
      </c>
      <c r="P930" s="6" t="s">
        <v>46</v>
      </c>
      <c r="Q930" s="6" t="s">
        <v>46</v>
      </c>
      <c r="R930" s="6" t="s">
        <v>46</v>
      </c>
      <c r="S930" s="6" t="s">
        <v>46</v>
      </c>
      <c r="T930" s="6" t="s">
        <v>46</v>
      </c>
      <c r="U930" s="6" t="s">
        <v>46</v>
      </c>
      <c r="V930" s="1" t="n">
        <v>3</v>
      </c>
      <c r="W930" s="6"/>
      <c r="X930" s="6" t="s">
        <v>46</v>
      </c>
      <c r="Y930" s="1" t="n">
        <v>5500</v>
      </c>
      <c r="Z930" s="6" t="s">
        <v>1283</v>
      </c>
      <c r="AA930" s="6" t="s">
        <v>1284</v>
      </c>
      <c r="AB930" s="15" t="str">
        <f aca="true" t="array" ref="AB930:AB930">LEFT(AA930,LOOKUP(2^15,FIND(".",AA930,ROW(INDIRECT("1:"&amp;LEN(AA930)))))-1)</f>
        <v>NB_2022_061 - 22122022 - 1</v>
      </c>
      <c r="AC930" s="6" t="s">
        <v>1285</v>
      </c>
      <c r="AD930" s="15" t="str">
        <f aca="true" t="array" ref="AD930:AD930">LEFT(AC930,LOOKUP(2^15,FIND(".",AC930,ROW(INDIRECT("1:"&amp;LEN(AC930)))))-1)</f>
        <v>NB_2022_061 - 22122022 - 2</v>
      </c>
      <c r="AE930" s="6" t="str">
        <f aca="false">CONCATENATE(AB930, "-",H930, ".mzML")</f>
        <v>NB_2022_061 - 22122022 - 1-Blank_3.mzML</v>
      </c>
      <c r="AF930" s="6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3" t="s">
        <v>1291</v>
      </c>
      <c r="B931" s="34"/>
      <c r="C931" s="4" t="s">
        <v>1292</v>
      </c>
      <c r="D931" s="6" t="s">
        <v>19</v>
      </c>
      <c r="E931" s="6" t="s">
        <v>1277</v>
      </c>
      <c r="F931" s="7" t="s">
        <v>1278</v>
      </c>
      <c r="G931" s="6" t="s">
        <v>1277</v>
      </c>
      <c r="H931" s="27" t="s">
        <v>68</v>
      </c>
      <c r="I931" s="6" t="str">
        <f aca="false">CONCATENATE(E931, "_",H931)</f>
        <v>NLA_2022_013_QC_C_1</v>
      </c>
      <c r="J931" s="38" t="s">
        <v>52</v>
      </c>
      <c r="K931" s="6" t="n">
        <v>1</v>
      </c>
      <c r="L931" s="9" t="s">
        <v>69</v>
      </c>
      <c r="M931" s="3" t="s">
        <v>46</v>
      </c>
      <c r="N931" s="6" t="s">
        <v>70</v>
      </c>
      <c r="O931" s="6" t="s">
        <v>46</v>
      </c>
      <c r="P931" s="6" t="s">
        <v>71</v>
      </c>
      <c r="Q931" s="6" t="s">
        <v>71</v>
      </c>
      <c r="R931" s="6" t="s">
        <v>72</v>
      </c>
      <c r="S931" s="6" t="s">
        <v>73</v>
      </c>
      <c r="T931" s="6" t="s">
        <v>46</v>
      </c>
      <c r="U931" s="6" t="n">
        <v>1000</v>
      </c>
      <c r="V931" s="1" t="n">
        <v>1</v>
      </c>
      <c r="W931" s="6"/>
      <c r="X931" s="6" t="s">
        <v>74</v>
      </c>
      <c r="Y931" s="6" t="n">
        <v>5500</v>
      </c>
      <c r="Z931" s="6" t="s">
        <v>1283</v>
      </c>
      <c r="AA931" s="6" t="s">
        <v>1284</v>
      </c>
      <c r="AB931" s="15" t="str">
        <f aca="true" t="array" ref="AB931:AB931">LEFT(AA931,LOOKUP(2^15,FIND(".",AA931,ROW(INDIRECT("1:"&amp;LEN(AA931)))))-1)</f>
        <v>NB_2022_061 - 22122022 - 1</v>
      </c>
      <c r="AC931" s="6" t="s">
        <v>1285</v>
      </c>
      <c r="AD931" s="15" t="str">
        <f aca="true" t="array" ref="AD931:AD931">LEFT(AC931,LOOKUP(2^15,FIND(".",AC931,ROW(INDIRECT("1:"&amp;LEN(AC931)))))-1)</f>
        <v>NB_2022_061 - 22122022 - 2</v>
      </c>
      <c r="AE931" s="6" t="str">
        <f aca="false">CONCATENATE(AB931, "-",H931, ".mzML")</f>
        <v>NB_2022_061 - 22122022 - 1-QC_C_1.mzML</v>
      </c>
      <c r="AF931" s="6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3" t="s">
        <v>1291</v>
      </c>
      <c r="B932" s="34"/>
      <c r="C932" s="4" t="s">
        <v>1292</v>
      </c>
      <c r="D932" s="6" t="s">
        <v>19</v>
      </c>
      <c r="E932" s="6" t="s">
        <v>1277</v>
      </c>
      <c r="F932" s="7" t="s">
        <v>1278</v>
      </c>
      <c r="G932" s="6" t="s">
        <v>1277</v>
      </c>
      <c r="H932" s="27" t="s">
        <v>75</v>
      </c>
      <c r="I932" s="6" t="str">
        <f aca="false">CONCATENATE(E932, "_",H932)</f>
        <v>NLA_2022_013_QC_C_2</v>
      </c>
      <c r="J932" s="38" t="s">
        <v>52</v>
      </c>
      <c r="K932" s="6" t="n">
        <v>2</v>
      </c>
      <c r="L932" s="9" t="s">
        <v>69</v>
      </c>
      <c r="M932" s="3" t="s">
        <v>46</v>
      </c>
      <c r="N932" s="6" t="s">
        <v>70</v>
      </c>
      <c r="O932" s="6" t="s">
        <v>46</v>
      </c>
      <c r="P932" s="6" t="s">
        <v>71</v>
      </c>
      <c r="Q932" s="6" t="s">
        <v>71</v>
      </c>
      <c r="R932" s="6" t="s">
        <v>72</v>
      </c>
      <c r="S932" s="6" t="s">
        <v>73</v>
      </c>
      <c r="T932" s="6" t="s">
        <v>46</v>
      </c>
      <c r="U932" s="6" t="n">
        <v>1000</v>
      </c>
      <c r="V932" s="1" t="n">
        <v>2</v>
      </c>
      <c r="W932" s="6"/>
      <c r="X932" s="6" t="s">
        <v>74</v>
      </c>
      <c r="Y932" s="6" t="n">
        <v>5500</v>
      </c>
      <c r="Z932" s="6" t="s">
        <v>1283</v>
      </c>
      <c r="AA932" s="6" t="s">
        <v>1284</v>
      </c>
      <c r="AB932" s="15" t="str">
        <f aca="true" t="array" ref="AB932:AB932">LEFT(AA932,LOOKUP(2^15,FIND(".",AA932,ROW(INDIRECT("1:"&amp;LEN(AA932)))))-1)</f>
        <v>NB_2022_061 - 22122022 - 1</v>
      </c>
      <c r="AC932" s="6" t="s">
        <v>1285</v>
      </c>
      <c r="AD932" s="15" t="str">
        <f aca="true" t="array" ref="AD932:AD932">LEFT(AC932,LOOKUP(2^15,FIND(".",AC932,ROW(INDIRECT("1:"&amp;LEN(AC932)))))-1)</f>
        <v>NB_2022_061 - 22122022 - 2</v>
      </c>
      <c r="AE932" s="6" t="str">
        <f aca="false">CONCATENATE(AB932, "-",H932, ".mzML")</f>
        <v>NB_2022_061 - 22122022 - 1-QC_C_2.mzML</v>
      </c>
      <c r="AF932" s="6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3" t="s">
        <v>1291</v>
      </c>
      <c r="B933" s="34"/>
      <c r="C933" s="4" t="s">
        <v>1292</v>
      </c>
      <c r="D933" s="6" t="s">
        <v>19</v>
      </c>
      <c r="E933" s="6" t="s">
        <v>1277</v>
      </c>
      <c r="F933" s="7" t="s">
        <v>1278</v>
      </c>
      <c r="G933" s="6" t="s">
        <v>1277</v>
      </c>
      <c r="H933" s="27" t="s">
        <v>76</v>
      </c>
      <c r="I933" s="6" t="str">
        <f aca="false">CONCATENATE(E933, "_",H933)</f>
        <v>NLA_2022_013_QC_C_3</v>
      </c>
      <c r="J933" s="38" t="s">
        <v>52</v>
      </c>
      <c r="K933" s="6" t="n">
        <v>3</v>
      </c>
      <c r="L933" s="9" t="s">
        <v>69</v>
      </c>
      <c r="M933" s="3" t="s">
        <v>46</v>
      </c>
      <c r="N933" s="6" t="s">
        <v>70</v>
      </c>
      <c r="O933" s="6" t="s">
        <v>46</v>
      </c>
      <c r="P933" s="6" t="s">
        <v>71</v>
      </c>
      <c r="Q933" s="6" t="s">
        <v>71</v>
      </c>
      <c r="R933" s="6" t="s">
        <v>72</v>
      </c>
      <c r="S933" s="6" t="s">
        <v>73</v>
      </c>
      <c r="T933" s="6" t="s">
        <v>46</v>
      </c>
      <c r="U933" s="6" t="n">
        <v>1000</v>
      </c>
      <c r="V933" s="1" t="n">
        <v>3</v>
      </c>
      <c r="W933" s="6"/>
      <c r="X933" s="6" t="s">
        <v>74</v>
      </c>
      <c r="Y933" s="6" t="n">
        <v>5500</v>
      </c>
      <c r="Z933" s="6" t="s">
        <v>1283</v>
      </c>
      <c r="AA933" s="6" t="s">
        <v>1284</v>
      </c>
      <c r="AB933" s="15" t="str">
        <f aca="true" t="array" ref="AB933:AB933">LEFT(AA933,LOOKUP(2^15,FIND(".",AA933,ROW(INDIRECT("1:"&amp;LEN(AA933)))))-1)</f>
        <v>NB_2022_061 - 22122022 - 1</v>
      </c>
      <c r="AC933" s="6" t="s">
        <v>1285</v>
      </c>
      <c r="AD933" s="15" t="str">
        <f aca="true" t="array" ref="AD933:AD933">LEFT(AC933,LOOKUP(2^15,FIND(".",AC933,ROW(INDIRECT("1:"&amp;LEN(AC933)))))-1)</f>
        <v>NB_2022_061 - 22122022 - 2</v>
      </c>
      <c r="AE933" s="6" t="str">
        <f aca="false">CONCATENATE(AB933, "-",H933, ".mzML")</f>
        <v>NB_2022_061 - 22122022 - 1-QC_C_3.mzML</v>
      </c>
      <c r="AF933" s="6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3" t="s">
        <v>1291</v>
      </c>
      <c r="B934" s="34"/>
      <c r="C934" s="4" t="s">
        <v>1292</v>
      </c>
      <c r="D934" s="6" t="s">
        <v>19</v>
      </c>
      <c r="E934" s="6" t="s">
        <v>1277</v>
      </c>
      <c r="F934" s="7" t="s">
        <v>1278</v>
      </c>
      <c r="G934" s="6" t="s">
        <v>1277</v>
      </c>
      <c r="H934" s="27" t="s">
        <v>77</v>
      </c>
      <c r="I934" s="6" t="str">
        <f aca="false">CONCATENATE(E934, "_",H934)</f>
        <v>NLA_2022_013_QC_P_1</v>
      </c>
      <c r="J934" s="38" t="s">
        <v>52</v>
      </c>
      <c r="K934" s="6" t="n">
        <v>1</v>
      </c>
      <c r="L934" s="9" t="s">
        <v>69</v>
      </c>
      <c r="M934" s="13" t="s">
        <v>46</v>
      </c>
      <c r="N934" s="6" t="s">
        <v>78</v>
      </c>
      <c r="O934" s="6" t="s">
        <v>46</v>
      </c>
      <c r="P934" s="6" t="s">
        <v>79</v>
      </c>
      <c r="Q934" s="6" t="s">
        <v>80</v>
      </c>
      <c r="R934" s="6" t="s">
        <v>81</v>
      </c>
      <c r="S934" s="6" t="s">
        <v>46</v>
      </c>
      <c r="T934" s="6" t="s">
        <v>46</v>
      </c>
      <c r="U934" s="6" t="s">
        <v>82</v>
      </c>
      <c r="V934" s="1" t="n">
        <v>1</v>
      </c>
      <c r="W934" s="6"/>
      <c r="X934" s="6" t="s">
        <v>83</v>
      </c>
      <c r="Y934" s="6" t="n">
        <v>5500</v>
      </c>
      <c r="Z934" s="6" t="s">
        <v>1283</v>
      </c>
      <c r="AA934" s="6" t="s">
        <v>1284</v>
      </c>
      <c r="AB934" s="15" t="str">
        <f aca="true" t="array" ref="AB934:AB934">LEFT(AA934,LOOKUP(2^15,FIND(".",AA934,ROW(INDIRECT("1:"&amp;LEN(AA934)))))-1)</f>
        <v>NB_2022_061 - 22122022 - 1</v>
      </c>
      <c r="AC934" s="6" t="s">
        <v>1285</v>
      </c>
      <c r="AD934" s="15" t="str">
        <f aca="true" t="array" ref="AD934:AD934">LEFT(AC934,LOOKUP(2^15,FIND(".",AC934,ROW(INDIRECT("1:"&amp;LEN(AC934)))))-1)</f>
        <v>NB_2022_061 - 22122022 - 2</v>
      </c>
      <c r="AE934" s="6" t="str">
        <f aca="false">CONCATENATE(AB934, "-",H934, ".mzML")</f>
        <v>NB_2022_061 - 22122022 - 1-QC_P_1.mzML</v>
      </c>
      <c r="AF934" s="6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3" t="s">
        <v>1291</v>
      </c>
      <c r="B935" s="34"/>
      <c r="C935" s="4" t="s">
        <v>1292</v>
      </c>
      <c r="D935" s="6" t="s">
        <v>19</v>
      </c>
      <c r="E935" s="6" t="s">
        <v>1277</v>
      </c>
      <c r="F935" s="7" t="s">
        <v>1278</v>
      </c>
      <c r="G935" s="6" t="s">
        <v>1277</v>
      </c>
      <c r="H935" s="27" t="s">
        <v>84</v>
      </c>
      <c r="I935" s="6" t="str">
        <f aca="false">CONCATENATE(E935, "_",H935)</f>
        <v>NLA_2022_013_QC_P_2</v>
      </c>
      <c r="J935" s="38" t="s">
        <v>52</v>
      </c>
      <c r="K935" s="6" t="n">
        <v>2</v>
      </c>
      <c r="L935" s="9" t="s">
        <v>69</v>
      </c>
      <c r="M935" s="13" t="s">
        <v>46</v>
      </c>
      <c r="N935" s="6" t="s">
        <v>78</v>
      </c>
      <c r="O935" s="6" t="s">
        <v>46</v>
      </c>
      <c r="P935" s="6" t="s">
        <v>79</v>
      </c>
      <c r="Q935" s="6" t="s">
        <v>80</v>
      </c>
      <c r="R935" s="6" t="s">
        <v>81</v>
      </c>
      <c r="S935" s="6" t="s">
        <v>46</v>
      </c>
      <c r="T935" s="6" t="s">
        <v>46</v>
      </c>
      <c r="U935" s="6" t="s">
        <v>82</v>
      </c>
      <c r="V935" s="1" t="n">
        <v>2</v>
      </c>
      <c r="W935" s="6"/>
      <c r="X935" s="6" t="s">
        <v>83</v>
      </c>
      <c r="Y935" s="6" t="n">
        <v>5500</v>
      </c>
      <c r="Z935" s="6" t="s">
        <v>1283</v>
      </c>
      <c r="AA935" s="6" t="s">
        <v>1284</v>
      </c>
      <c r="AB935" s="15" t="str">
        <f aca="true" t="array" ref="AB935:AB935">LEFT(AA935,LOOKUP(2^15,FIND(".",AA935,ROW(INDIRECT("1:"&amp;LEN(AA935)))))-1)</f>
        <v>NB_2022_061 - 22122022 - 1</v>
      </c>
      <c r="AC935" s="6" t="s">
        <v>1285</v>
      </c>
      <c r="AD935" s="15" t="str">
        <f aca="true" t="array" ref="AD935:AD935">LEFT(AC935,LOOKUP(2^15,FIND(".",AC935,ROW(INDIRECT("1:"&amp;LEN(AC935)))))-1)</f>
        <v>NB_2022_061 - 22122022 - 2</v>
      </c>
      <c r="AE935" s="6" t="str">
        <f aca="false">CONCATENATE(AB935, "-",H935, ".mzML")</f>
        <v>NB_2022_061 - 22122022 - 1-QC_P_2.mzML</v>
      </c>
      <c r="AF935" s="6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3" t="s">
        <v>1291</v>
      </c>
      <c r="B936" s="34"/>
      <c r="C936" s="4" t="s">
        <v>1292</v>
      </c>
      <c r="D936" s="6" t="s">
        <v>19</v>
      </c>
      <c r="E936" s="6" t="s">
        <v>1277</v>
      </c>
      <c r="F936" s="7" t="s">
        <v>1278</v>
      </c>
      <c r="G936" s="6" t="s">
        <v>1277</v>
      </c>
      <c r="H936" s="27" t="s">
        <v>85</v>
      </c>
      <c r="I936" s="6" t="str">
        <f aca="false">CONCATENATE(E936, "_",H936)</f>
        <v>NLA_2022_013_QC_P_3</v>
      </c>
      <c r="J936" s="38" t="s">
        <v>52</v>
      </c>
      <c r="K936" s="6" t="n">
        <v>3</v>
      </c>
      <c r="L936" s="9" t="s">
        <v>69</v>
      </c>
      <c r="M936" s="13" t="s">
        <v>46</v>
      </c>
      <c r="N936" s="6" t="s">
        <v>78</v>
      </c>
      <c r="O936" s="6" t="s">
        <v>46</v>
      </c>
      <c r="P936" s="6" t="s">
        <v>79</v>
      </c>
      <c r="Q936" s="6" t="s">
        <v>80</v>
      </c>
      <c r="R936" s="6" t="s">
        <v>81</v>
      </c>
      <c r="S936" s="6" t="s">
        <v>46</v>
      </c>
      <c r="T936" s="6" t="s">
        <v>46</v>
      </c>
      <c r="U936" s="6" t="s">
        <v>82</v>
      </c>
      <c r="V936" s="1" t="n">
        <v>3</v>
      </c>
      <c r="W936" s="6"/>
      <c r="X936" s="6" t="s">
        <v>83</v>
      </c>
      <c r="Y936" s="6" t="n">
        <v>5500</v>
      </c>
      <c r="Z936" s="6" t="s">
        <v>1283</v>
      </c>
      <c r="AA936" s="6" t="s">
        <v>1284</v>
      </c>
      <c r="AB936" s="15" t="str">
        <f aca="true" t="array" ref="AB936:AB936">LEFT(AA936,LOOKUP(2^15,FIND(".",AA936,ROW(INDIRECT("1:"&amp;LEN(AA936)))))-1)</f>
        <v>NB_2022_061 - 22122022 - 1</v>
      </c>
      <c r="AC936" s="6" t="s">
        <v>1285</v>
      </c>
      <c r="AD936" s="15" t="str">
        <f aca="true" t="array" ref="AD936:AD936">LEFT(AC936,LOOKUP(2^15,FIND(".",AC936,ROW(INDIRECT("1:"&amp;LEN(AC936)))))-1)</f>
        <v>NB_2022_061 - 22122022 - 2</v>
      </c>
      <c r="AE936" s="6" t="str">
        <f aca="false">CONCATENATE(AB936, "-",H936, ".mzML")</f>
        <v>NB_2022_061 - 22122022 - 1-QC_P_3.mzML</v>
      </c>
      <c r="AF936" s="6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3" t="s">
        <v>1299</v>
      </c>
      <c r="B937" s="34"/>
      <c r="C937" s="4" t="s">
        <v>1300</v>
      </c>
      <c r="D937" s="6" t="s">
        <v>19</v>
      </c>
      <c r="E937" s="6" t="s">
        <v>1277</v>
      </c>
      <c r="F937" s="7" t="s">
        <v>1278</v>
      </c>
      <c r="G937" s="6" t="s">
        <v>1301</v>
      </c>
      <c r="H937" s="27" t="s">
        <v>139</v>
      </c>
      <c r="I937" s="6" t="str">
        <f aca="false">CONCATENATE(E937, "_",H937)</f>
        <v>NLA_2022_013_007</v>
      </c>
      <c r="J937" s="38" t="s">
        <v>38</v>
      </c>
      <c r="K937" s="6" t="s">
        <v>1302</v>
      </c>
      <c r="L937" s="9" t="s">
        <v>69</v>
      </c>
      <c r="M937" s="13" t="s">
        <v>1303</v>
      </c>
      <c r="N937" s="6" t="s">
        <v>246</v>
      </c>
      <c r="O937" s="35" t="s">
        <v>1220</v>
      </c>
      <c r="P937" s="6" t="s">
        <v>1213</v>
      </c>
      <c r="Q937" s="6" t="s">
        <v>1213</v>
      </c>
      <c r="R937" s="6" t="s">
        <v>72</v>
      </c>
      <c r="S937" s="6"/>
      <c r="T937" s="6" t="s">
        <v>1263</v>
      </c>
      <c r="U937" s="1" t="n">
        <v>1500</v>
      </c>
      <c r="V937" s="1" t="n">
        <v>1</v>
      </c>
      <c r="W937" s="6"/>
      <c r="X937" s="9" t="s">
        <v>1215</v>
      </c>
      <c r="Y937" s="1" t="n">
        <v>5500</v>
      </c>
      <c r="Z937" s="6" t="s">
        <v>1283</v>
      </c>
      <c r="AA937" s="6" t="s">
        <v>1284</v>
      </c>
      <c r="AB937" s="15" t="str">
        <f aca="true" t="array" ref="AB937:AB937">LEFT(AA937,LOOKUP(2^15,FIND(".",AA937,ROW(INDIRECT("1:"&amp;LEN(AA937)))))-1)</f>
        <v>NB_2022_061 - 22122022 - 1</v>
      </c>
      <c r="AC937" s="6" t="s">
        <v>1285</v>
      </c>
      <c r="AD937" s="15" t="str">
        <f aca="true" t="array" ref="AD937:AD937">LEFT(AC937,LOOKUP(2^15,FIND(".",AC937,ROW(INDIRECT("1:"&amp;LEN(AC937)))))-1)</f>
        <v>NB_2022_061 - 22122022 - 2</v>
      </c>
      <c r="AE937" s="6" t="str">
        <f aca="false">CONCATENATE(AB937, "-",H937, ".mzML")</f>
        <v>NB_2022_061 - 22122022 - 1-007.mzML</v>
      </c>
      <c r="AF937" s="6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3" t="s">
        <v>1299</v>
      </c>
      <c r="B938" s="34"/>
      <c r="C938" s="4" t="s">
        <v>1300</v>
      </c>
      <c r="D938" s="6" t="s">
        <v>19</v>
      </c>
      <c r="E938" s="6" t="s">
        <v>1277</v>
      </c>
      <c r="F938" s="7" t="s">
        <v>1278</v>
      </c>
      <c r="G938" s="6" t="s">
        <v>1301</v>
      </c>
      <c r="H938" s="27" t="s">
        <v>142</v>
      </c>
      <c r="I938" s="6" t="str">
        <f aca="false">CONCATENATE(E938, "_",H938)</f>
        <v>NLA_2022_013_008</v>
      </c>
      <c r="J938" s="38" t="s">
        <v>38</v>
      </c>
      <c r="K938" s="6" t="s">
        <v>1304</v>
      </c>
      <c r="L938" s="9" t="s">
        <v>69</v>
      </c>
      <c r="M938" s="13" t="s">
        <v>1303</v>
      </c>
      <c r="N938" s="6" t="s">
        <v>246</v>
      </c>
      <c r="O938" s="35" t="s">
        <v>1220</v>
      </c>
      <c r="P938" s="6" t="s">
        <v>1213</v>
      </c>
      <c r="Q938" s="6" t="s">
        <v>1213</v>
      </c>
      <c r="R938" s="6" t="s">
        <v>72</v>
      </c>
      <c r="S938" s="6"/>
      <c r="T938" s="6" t="s">
        <v>1263</v>
      </c>
      <c r="U938" s="1" t="n">
        <v>1500</v>
      </c>
      <c r="V938" s="1" t="n">
        <v>2</v>
      </c>
      <c r="W938" s="6"/>
      <c r="X938" s="9" t="s">
        <v>1215</v>
      </c>
      <c r="Y938" s="1" t="n">
        <v>5500</v>
      </c>
      <c r="Z938" s="6" t="s">
        <v>1283</v>
      </c>
      <c r="AA938" s="6" t="s">
        <v>1284</v>
      </c>
      <c r="AB938" s="15" t="str">
        <f aca="true" t="array" ref="AB938:AB938">LEFT(AA938,LOOKUP(2^15,FIND(".",AA938,ROW(INDIRECT("1:"&amp;LEN(AA938)))))-1)</f>
        <v>NB_2022_061 - 22122022 - 1</v>
      </c>
      <c r="AC938" s="6" t="s">
        <v>1285</v>
      </c>
      <c r="AD938" s="15" t="str">
        <f aca="true" t="array" ref="AD938:AD938">LEFT(AC938,LOOKUP(2^15,FIND(".",AC938,ROW(INDIRECT("1:"&amp;LEN(AC938)))))-1)</f>
        <v>NB_2022_061 - 22122022 - 2</v>
      </c>
      <c r="AE938" s="6" t="str">
        <f aca="false">CONCATENATE(AB938, "-",H938, ".mzML")</f>
        <v>NB_2022_061 - 22122022 - 1-008.mzML</v>
      </c>
      <c r="AF938" s="6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3" t="s">
        <v>1299</v>
      </c>
      <c r="B939" s="34"/>
      <c r="C939" s="4" t="s">
        <v>1300</v>
      </c>
      <c r="D939" s="6" t="s">
        <v>19</v>
      </c>
      <c r="E939" s="6" t="s">
        <v>1277</v>
      </c>
      <c r="F939" s="7" t="s">
        <v>1278</v>
      </c>
      <c r="G939" s="6" t="s">
        <v>1301</v>
      </c>
      <c r="H939" s="27" t="s">
        <v>37</v>
      </c>
      <c r="I939" s="6" t="str">
        <f aca="false">CONCATENATE(E939, "_",H939)</f>
        <v>NLA_2022_013_009</v>
      </c>
      <c r="J939" s="38" t="s">
        <v>38</v>
      </c>
      <c r="K939" s="6" t="s">
        <v>1305</v>
      </c>
      <c r="L939" s="9" t="s">
        <v>69</v>
      </c>
      <c r="M939" s="13" t="s">
        <v>1303</v>
      </c>
      <c r="N939" s="6" t="s">
        <v>246</v>
      </c>
      <c r="O939" s="35" t="s">
        <v>1220</v>
      </c>
      <c r="P939" s="6" t="s">
        <v>1213</v>
      </c>
      <c r="Q939" s="6" t="s">
        <v>1213</v>
      </c>
      <c r="R939" s="6" t="s">
        <v>72</v>
      </c>
      <c r="S939" s="6"/>
      <c r="T939" s="6" t="s">
        <v>1263</v>
      </c>
      <c r="U939" s="1" t="n">
        <v>1500</v>
      </c>
      <c r="V939" s="1" t="n">
        <v>3</v>
      </c>
      <c r="W939" s="6"/>
      <c r="X939" s="9" t="s">
        <v>1215</v>
      </c>
      <c r="Y939" s="1" t="n">
        <v>5500</v>
      </c>
      <c r="Z939" s="6" t="s">
        <v>1283</v>
      </c>
      <c r="AA939" s="6" t="s">
        <v>1284</v>
      </c>
      <c r="AB939" s="15" t="str">
        <f aca="true" t="array" ref="AB939:AB939">LEFT(AA939,LOOKUP(2^15,FIND(".",AA939,ROW(INDIRECT("1:"&amp;LEN(AA939)))))-1)</f>
        <v>NB_2022_061 - 22122022 - 1</v>
      </c>
      <c r="AC939" s="6" t="s">
        <v>1285</v>
      </c>
      <c r="AD939" s="15" t="str">
        <f aca="true" t="array" ref="AD939:AD939">LEFT(AC939,LOOKUP(2^15,FIND(".",AC939,ROW(INDIRECT("1:"&amp;LEN(AC939)))))-1)</f>
        <v>NB_2022_061 - 22122022 - 2</v>
      </c>
      <c r="AE939" s="6" t="str">
        <f aca="false">CONCATENATE(AB939, "-",H939, ".mzML")</f>
        <v>NB_2022_061 - 22122022 - 1-009.mzML</v>
      </c>
      <c r="AF939" s="6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3" t="s">
        <v>1299</v>
      </c>
      <c r="B940" s="34"/>
      <c r="C940" s="4" t="s">
        <v>1300</v>
      </c>
      <c r="D940" s="6" t="s">
        <v>19</v>
      </c>
      <c r="E940" s="6" t="s">
        <v>1277</v>
      </c>
      <c r="F940" s="7" t="s">
        <v>1278</v>
      </c>
      <c r="G940" s="6" t="s">
        <v>1301</v>
      </c>
      <c r="H940" s="27" t="s">
        <v>129</v>
      </c>
      <c r="I940" s="6" t="str">
        <f aca="false">CONCATENATE(E940, "_",H940)</f>
        <v>NLA_2022_013_010</v>
      </c>
      <c r="J940" s="38" t="s">
        <v>52</v>
      </c>
      <c r="K940" s="6" t="s">
        <v>1306</v>
      </c>
      <c r="L940" s="9" t="s">
        <v>69</v>
      </c>
      <c r="M940" s="13" t="s">
        <v>1303</v>
      </c>
      <c r="N940" s="6" t="s">
        <v>246</v>
      </c>
      <c r="O940" s="35" t="s">
        <v>1220</v>
      </c>
      <c r="P940" s="6" t="s">
        <v>1213</v>
      </c>
      <c r="Q940" s="6" t="s">
        <v>1213</v>
      </c>
      <c r="R940" s="6" t="s">
        <v>72</v>
      </c>
      <c r="S940" s="6"/>
      <c r="T940" s="6" t="s">
        <v>1265</v>
      </c>
      <c r="U940" s="1" t="n">
        <v>1500</v>
      </c>
      <c r="V940" s="1" t="n">
        <v>1</v>
      </c>
      <c r="W940" s="6"/>
      <c r="X940" s="9" t="s">
        <v>1215</v>
      </c>
      <c r="Y940" s="1" t="n">
        <v>5500</v>
      </c>
      <c r="Z940" s="6" t="s">
        <v>1283</v>
      </c>
      <c r="AA940" s="6" t="s">
        <v>1284</v>
      </c>
      <c r="AB940" s="15" t="str">
        <f aca="true" t="array" ref="AB940:AB940">LEFT(AA940,LOOKUP(2^15,FIND(".",AA940,ROW(INDIRECT("1:"&amp;LEN(AA940)))))-1)</f>
        <v>NB_2022_061 - 22122022 - 1</v>
      </c>
      <c r="AC940" s="6" t="s">
        <v>1285</v>
      </c>
      <c r="AD940" s="15" t="str">
        <f aca="true" t="array" ref="AD940:AD940">LEFT(AC940,LOOKUP(2^15,FIND(".",AC940,ROW(INDIRECT("1:"&amp;LEN(AC940)))))-1)</f>
        <v>NB_2022_061 - 22122022 - 2</v>
      </c>
      <c r="AE940" s="6" t="str">
        <f aca="false">CONCATENATE(AB940, "-",H940, ".mzML")</f>
        <v>NB_2022_061 - 22122022 - 1-010.mzML</v>
      </c>
      <c r="AF940" s="6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3" t="s">
        <v>1299</v>
      </c>
      <c r="B941" s="34"/>
      <c r="C941" s="4" t="s">
        <v>1300</v>
      </c>
      <c r="D941" s="6" t="s">
        <v>19</v>
      </c>
      <c r="E941" s="6" t="s">
        <v>1277</v>
      </c>
      <c r="F941" s="7" t="s">
        <v>1278</v>
      </c>
      <c r="G941" s="6" t="s">
        <v>1301</v>
      </c>
      <c r="H941" s="27" t="s">
        <v>132</v>
      </c>
      <c r="I941" s="6" t="str">
        <f aca="false">CONCATENATE(E941, "_",H941)</f>
        <v>NLA_2022_013_011</v>
      </c>
      <c r="J941" s="38" t="s">
        <v>52</v>
      </c>
      <c r="K941" s="6" t="s">
        <v>1307</v>
      </c>
      <c r="L941" s="9" t="s">
        <v>69</v>
      </c>
      <c r="M941" s="13" t="s">
        <v>1303</v>
      </c>
      <c r="N941" s="6" t="s">
        <v>246</v>
      </c>
      <c r="O941" s="35" t="s">
        <v>1220</v>
      </c>
      <c r="P941" s="6" t="s">
        <v>1213</v>
      </c>
      <c r="Q941" s="6" t="s">
        <v>1213</v>
      </c>
      <c r="R941" s="6" t="s">
        <v>72</v>
      </c>
      <c r="S941" s="6"/>
      <c r="T941" s="6" t="s">
        <v>1265</v>
      </c>
      <c r="U941" s="1" t="n">
        <v>1500</v>
      </c>
      <c r="V941" s="1" t="n">
        <v>2</v>
      </c>
      <c r="W941" s="6"/>
      <c r="X941" s="9" t="s">
        <v>1215</v>
      </c>
      <c r="Y941" s="1" t="n">
        <v>5500</v>
      </c>
      <c r="Z941" s="6" t="s">
        <v>1283</v>
      </c>
      <c r="AA941" s="6" t="s">
        <v>1284</v>
      </c>
      <c r="AB941" s="15" t="str">
        <f aca="true" t="array" ref="AB941:AB941">LEFT(AA941,LOOKUP(2^15,FIND(".",AA941,ROW(INDIRECT("1:"&amp;LEN(AA941)))))-1)</f>
        <v>NB_2022_061 - 22122022 - 1</v>
      </c>
      <c r="AC941" s="6" t="s">
        <v>1285</v>
      </c>
      <c r="AD941" s="15" t="str">
        <f aca="true" t="array" ref="AD941:AD941">LEFT(AC941,LOOKUP(2^15,FIND(".",AC941,ROW(INDIRECT("1:"&amp;LEN(AC941)))))-1)</f>
        <v>NB_2022_061 - 22122022 - 2</v>
      </c>
      <c r="AE941" s="6" t="str">
        <f aca="false">CONCATENATE(AB941, "-",H941, ".mzML")</f>
        <v>NB_2022_061 - 22122022 - 1-011.mzML</v>
      </c>
      <c r="AF941" s="6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3" t="s">
        <v>1299</v>
      </c>
      <c r="B942" s="34"/>
      <c r="C942" s="4" t="s">
        <v>1300</v>
      </c>
      <c r="D942" s="6" t="s">
        <v>19</v>
      </c>
      <c r="E942" s="6" t="s">
        <v>1277</v>
      </c>
      <c r="F942" s="7" t="s">
        <v>1278</v>
      </c>
      <c r="G942" s="6" t="s">
        <v>1301</v>
      </c>
      <c r="H942" s="27" t="s">
        <v>51</v>
      </c>
      <c r="I942" s="6" t="str">
        <f aca="false">CONCATENATE(E942, "_",H942)</f>
        <v>NLA_2022_013_012</v>
      </c>
      <c r="J942" s="38" t="s">
        <v>52</v>
      </c>
      <c r="K942" s="6" t="s">
        <v>1308</v>
      </c>
      <c r="L942" s="9" t="s">
        <v>69</v>
      </c>
      <c r="M942" s="13" t="s">
        <v>1303</v>
      </c>
      <c r="N942" s="6" t="s">
        <v>246</v>
      </c>
      <c r="O942" s="35" t="s">
        <v>1220</v>
      </c>
      <c r="P942" s="6" t="s">
        <v>1213</v>
      </c>
      <c r="Q942" s="6" t="s">
        <v>1213</v>
      </c>
      <c r="R942" s="6" t="s">
        <v>72</v>
      </c>
      <c r="S942" s="6"/>
      <c r="T942" s="6" t="s">
        <v>1265</v>
      </c>
      <c r="U942" s="1" t="n">
        <v>1500</v>
      </c>
      <c r="V942" s="1" t="n">
        <v>3</v>
      </c>
      <c r="W942" s="6"/>
      <c r="X942" s="9" t="s">
        <v>1215</v>
      </c>
      <c r="Y942" s="1" t="n">
        <v>5500</v>
      </c>
      <c r="Z942" s="6" t="s">
        <v>1283</v>
      </c>
      <c r="AA942" s="6" t="s">
        <v>1284</v>
      </c>
      <c r="AB942" s="15" t="str">
        <f aca="true" t="array" ref="AB942:AB942">LEFT(AA942,LOOKUP(2^15,FIND(".",AA942,ROW(INDIRECT("1:"&amp;LEN(AA942)))))-1)</f>
        <v>NB_2022_061 - 22122022 - 1</v>
      </c>
      <c r="AC942" s="6" t="s">
        <v>1285</v>
      </c>
      <c r="AD942" s="15" t="str">
        <f aca="true" t="array" ref="AD942:AD942">LEFT(AC942,LOOKUP(2^15,FIND(".",AC942,ROW(INDIRECT("1:"&amp;LEN(AC942)))))-1)</f>
        <v>NB_2022_061 - 22122022 - 2</v>
      </c>
      <c r="AE942" s="6" t="str">
        <f aca="false">CONCATENATE(AB942, "-",H942, ".mzML")</f>
        <v>NB_2022_061 - 22122022 - 1-012.mzML</v>
      </c>
      <c r="AF942" s="6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3" t="s">
        <v>1299</v>
      </c>
      <c r="B943" s="34"/>
      <c r="C943" s="4" t="s">
        <v>1300</v>
      </c>
      <c r="D943" s="6" t="s">
        <v>19</v>
      </c>
      <c r="E943" s="6" t="s">
        <v>1277</v>
      </c>
      <c r="F943" s="7" t="s">
        <v>1278</v>
      </c>
      <c r="G943" s="6" t="s">
        <v>1277</v>
      </c>
      <c r="H943" s="27" t="s">
        <v>64</v>
      </c>
      <c r="I943" s="6" t="str">
        <f aca="false">CONCATENATE(E943, "_",H943)</f>
        <v>NLA_2022_013_Blank_1</v>
      </c>
      <c r="J943" s="38" t="s">
        <v>52</v>
      </c>
      <c r="K943" s="6" t="n">
        <v>1</v>
      </c>
      <c r="L943" s="9" t="s">
        <v>46</v>
      </c>
      <c r="M943" s="13" t="s">
        <v>46</v>
      </c>
      <c r="N943" s="6" t="s">
        <v>65</v>
      </c>
      <c r="O943" s="6" t="s">
        <v>46</v>
      </c>
      <c r="P943" s="6" t="s">
        <v>46</v>
      </c>
      <c r="Q943" s="6" t="s">
        <v>46</v>
      </c>
      <c r="R943" s="6" t="s">
        <v>46</v>
      </c>
      <c r="S943" s="6" t="s">
        <v>46</v>
      </c>
      <c r="T943" s="6" t="s">
        <v>46</v>
      </c>
      <c r="U943" s="6" t="s">
        <v>46</v>
      </c>
      <c r="V943" s="1" t="n">
        <v>1</v>
      </c>
      <c r="W943" s="6"/>
      <c r="X943" s="6" t="s">
        <v>46</v>
      </c>
      <c r="Y943" s="1" t="n">
        <v>5500</v>
      </c>
      <c r="Z943" s="6" t="s">
        <v>1283</v>
      </c>
      <c r="AA943" s="6" t="s">
        <v>1284</v>
      </c>
      <c r="AB943" s="15" t="str">
        <f aca="true" t="array" ref="AB943:AB943">LEFT(AA943,LOOKUP(2^15,FIND(".",AA943,ROW(INDIRECT("1:"&amp;LEN(AA943)))))-1)</f>
        <v>NB_2022_061 - 22122022 - 1</v>
      </c>
      <c r="AC943" s="6" t="s">
        <v>1285</v>
      </c>
      <c r="AD943" s="15" t="str">
        <f aca="true" t="array" ref="AD943:AD943">LEFT(AC943,LOOKUP(2^15,FIND(".",AC943,ROW(INDIRECT("1:"&amp;LEN(AC943)))))-1)</f>
        <v>NB_2022_061 - 22122022 - 2</v>
      </c>
      <c r="AE943" s="6" t="str">
        <f aca="false">CONCATENATE(AB943, "-",H943, ".mzML")</f>
        <v>NB_2022_061 - 22122022 - 1-Blank_1.mzML</v>
      </c>
      <c r="AF943" s="6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3" t="s">
        <v>1299</v>
      </c>
      <c r="B944" s="34"/>
      <c r="C944" s="4" t="s">
        <v>1300</v>
      </c>
      <c r="D944" s="6" t="s">
        <v>19</v>
      </c>
      <c r="E944" s="6" t="s">
        <v>1277</v>
      </c>
      <c r="F944" s="7" t="s">
        <v>1278</v>
      </c>
      <c r="G944" s="6" t="s">
        <v>1277</v>
      </c>
      <c r="H944" s="27" t="s">
        <v>66</v>
      </c>
      <c r="I944" s="6" t="str">
        <f aca="false">CONCATENATE(E944, "_",H944)</f>
        <v>NLA_2022_013_Blank_2</v>
      </c>
      <c r="J944" s="38" t="s">
        <v>52</v>
      </c>
      <c r="K944" s="6" t="n">
        <v>2</v>
      </c>
      <c r="L944" s="9" t="s">
        <v>46</v>
      </c>
      <c r="M944" s="13" t="s">
        <v>46</v>
      </c>
      <c r="N944" s="6" t="s">
        <v>65</v>
      </c>
      <c r="O944" s="6" t="s">
        <v>46</v>
      </c>
      <c r="P944" s="6" t="s">
        <v>46</v>
      </c>
      <c r="Q944" s="6" t="s">
        <v>46</v>
      </c>
      <c r="R944" s="6" t="s">
        <v>46</v>
      </c>
      <c r="S944" s="6" t="s">
        <v>46</v>
      </c>
      <c r="T944" s="6" t="s">
        <v>46</v>
      </c>
      <c r="U944" s="6" t="s">
        <v>46</v>
      </c>
      <c r="V944" s="1" t="n">
        <v>2</v>
      </c>
      <c r="W944" s="6"/>
      <c r="X944" s="6" t="s">
        <v>46</v>
      </c>
      <c r="Y944" s="1" t="n">
        <v>5500</v>
      </c>
      <c r="Z944" s="6" t="s">
        <v>1283</v>
      </c>
      <c r="AA944" s="6" t="s">
        <v>1284</v>
      </c>
      <c r="AB944" s="15" t="str">
        <f aca="true" t="array" ref="AB944:AB944">LEFT(AA944,LOOKUP(2^15,FIND(".",AA944,ROW(INDIRECT("1:"&amp;LEN(AA944)))))-1)</f>
        <v>NB_2022_061 - 22122022 - 1</v>
      </c>
      <c r="AC944" s="6" t="s">
        <v>1285</v>
      </c>
      <c r="AD944" s="15" t="str">
        <f aca="true" t="array" ref="AD944:AD944">LEFT(AC944,LOOKUP(2^15,FIND(".",AC944,ROW(INDIRECT("1:"&amp;LEN(AC944)))))-1)</f>
        <v>NB_2022_061 - 22122022 - 2</v>
      </c>
      <c r="AE944" s="6" t="str">
        <f aca="false">CONCATENATE(AB944, "-",H944, ".mzML")</f>
        <v>NB_2022_061 - 22122022 - 1-Blank_2.mzML</v>
      </c>
      <c r="AF944" s="6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3" t="s">
        <v>1299</v>
      </c>
      <c r="B945" s="34"/>
      <c r="C945" s="4" t="s">
        <v>1300</v>
      </c>
      <c r="D945" s="6" t="s">
        <v>19</v>
      </c>
      <c r="E945" s="6" t="s">
        <v>1277</v>
      </c>
      <c r="F945" s="7" t="s">
        <v>1278</v>
      </c>
      <c r="G945" s="6" t="s">
        <v>1277</v>
      </c>
      <c r="H945" s="27" t="s">
        <v>67</v>
      </c>
      <c r="I945" s="6" t="str">
        <f aca="false">CONCATENATE(E945, "_",H945)</f>
        <v>NLA_2022_013_Blank_3</v>
      </c>
      <c r="J945" s="38" t="s">
        <v>52</v>
      </c>
      <c r="K945" s="6" t="n">
        <v>3</v>
      </c>
      <c r="L945" s="9" t="s">
        <v>46</v>
      </c>
      <c r="M945" s="13" t="s">
        <v>46</v>
      </c>
      <c r="N945" s="6" t="s">
        <v>65</v>
      </c>
      <c r="O945" s="6" t="s">
        <v>46</v>
      </c>
      <c r="P945" s="6" t="s">
        <v>46</v>
      </c>
      <c r="Q945" s="6" t="s">
        <v>46</v>
      </c>
      <c r="R945" s="6" t="s">
        <v>46</v>
      </c>
      <c r="S945" s="6" t="s">
        <v>46</v>
      </c>
      <c r="T945" s="6" t="s">
        <v>46</v>
      </c>
      <c r="U945" s="6" t="s">
        <v>46</v>
      </c>
      <c r="V945" s="1" t="n">
        <v>3</v>
      </c>
      <c r="W945" s="6"/>
      <c r="X945" s="6" t="s">
        <v>46</v>
      </c>
      <c r="Y945" s="1" t="n">
        <v>5500</v>
      </c>
      <c r="Z945" s="6" t="s">
        <v>1283</v>
      </c>
      <c r="AA945" s="6" t="s">
        <v>1284</v>
      </c>
      <c r="AB945" s="15" t="str">
        <f aca="true" t="array" ref="AB945:AB945">LEFT(AA945,LOOKUP(2^15,FIND(".",AA945,ROW(INDIRECT("1:"&amp;LEN(AA945)))))-1)</f>
        <v>NB_2022_061 - 22122022 - 1</v>
      </c>
      <c r="AC945" s="6" t="s">
        <v>1285</v>
      </c>
      <c r="AD945" s="15" t="str">
        <f aca="true" t="array" ref="AD945:AD945">LEFT(AC945,LOOKUP(2^15,FIND(".",AC945,ROW(INDIRECT("1:"&amp;LEN(AC945)))))-1)</f>
        <v>NB_2022_061 - 22122022 - 2</v>
      </c>
      <c r="AE945" s="6" t="str">
        <f aca="false">CONCATENATE(AB945, "-",H945, ".mzML")</f>
        <v>NB_2022_061 - 22122022 - 1-Blank_3.mzML</v>
      </c>
      <c r="AF945" s="6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3" t="s">
        <v>1299</v>
      </c>
      <c r="B946" s="34"/>
      <c r="C946" s="4" t="s">
        <v>1300</v>
      </c>
      <c r="D946" s="6" t="s">
        <v>19</v>
      </c>
      <c r="E946" s="6" t="s">
        <v>1277</v>
      </c>
      <c r="F946" s="7" t="s">
        <v>1278</v>
      </c>
      <c r="G946" s="6" t="s">
        <v>1277</v>
      </c>
      <c r="H946" s="27" t="s">
        <v>68</v>
      </c>
      <c r="I946" s="6" t="str">
        <f aca="false">CONCATENATE(E946, "_",H946)</f>
        <v>NLA_2022_013_QC_C_1</v>
      </c>
      <c r="J946" s="38" t="s">
        <v>52</v>
      </c>
      <c r="K946" s="6" t="n">
        <v>1</v>
      </c>
      <c r="L946" s="9" t="s">
        <v>69</v>
      </c>
      <c r="M946" s="3" t="s">
        <v>46</v>
      </c>
      <c r="N946" s="6" t="s">
        <v>70</v>
      </c>
      <c r="O946" s="6" t="s">
        <v>46</v>
      </c>
      <c r="P946" s="6" t="s">
        <v>71</v>
      </c>
      <c r="Q946" s="6" t="s">
        <v>71</v>
      </c>
      <c r="R946" s="6" t="s">
        <v>72</v>
      </c>
      <c r="S946" s="6" t="s">
        <v>73</v>
      </c>
      <c r="T946" s="6" t="s">
        <v>46</v>
      </c>
      <c r="U946" s="6" t="n">
        <v>1000</v>
      </c>
      <c r="V946" s="1" t="n">
        <v>1</v>
      </c>
      <c r="W946" s="6"/>
      <c r="X946" s="6" t="s">
        <v>74</v>
      </c>
      <c r="Y946" s="6" t="n">
        <v>5500</v>
      </c>
      <c r="Z946" s="6" t="s">
        <v>1283</v>
      </c>
      <c r="AA946" s="6" t="s">
        <v>1284</v>
      </c>
      <c r="AB946" s="15" t="str">
        <f aca="true" t="array" ref="AB946:AB946">LEFT(AA946,LOOKUP(2^15,FIND(".",AA946,ROW(INDIRECT("1:"&amp;LEN(AA946)))))-1)</f>
        <v>NB_2022_061 - 22122022 - 1</v>
      </c>
      <c r="AC946" s="6" t="s">
        <v>1285</v>
      </c>
      <c r="AD946" s="15" t="str">
        <f aca="true" t="array" ref="AD946:AD946">LEFT(AC946,LOOKUP(2^15,FIND(".",AC946,ROW(INDIRECT("1:"&amp;LEN(AC946)))))-1)</f>
        <v>NB_2022_061 - 22122022 - 2</v>
      </c>
      <c r="AE946" s="6" t="str">
        <f aca="false">CONCATENATE(AB946, "-",H946, ".mzML")</f>
        <v>NB_2022_061 - 22122022 - 1-QC_C_1.mzML</v>
      </c>
      <c r="AF946" s="6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3" t="s">
        <v>1299</v>
      </c>
      <c r="B947" s="34"/>
      <c r="C947" s="4" t="s">
        <v>1300</v>
      </c>
      <c r="D947" s="6" t="s">
        <v>19</v>
      </c>
      <c r="E947" s="6" t="s">
        <v>1277</v>
      </c>
      <c r="F947" s="7" t="s">
        <v>1278</v>
      </c>
      <c r="G947" s="6" t="s">
        <v>1277</v>
      </c>
      <c r="H947" s="27" t="s">
        <v>75</v>
      </c>
      <c r="I947" s="6" t="str">
        <f aca="false">CONCATENATE(E947, "_",H947)</f>
        <v>NLA_2022_013_QC_C_2</v>
      </c>
      <c r="J947" s="38" t="s">
        <v>52</v>
      </c>
      <c r="K947" s="6" t="n">
        <v>2</v>
      </c>
      <c r="L947" s="9" t="s">
        <v>69</v>
      </c>
      <c r="M947" s="3" t="s">
        <v>46</v>
      </c>
      <c r="N947" s="6" t="s">
        <v>70</v>
      </c>
      <c r="O947" s="6" t="s">
        <v>46</v>
      </c>
      <c r="P947" s="6" t="s">
        <v>71</v>
      </c>
      <c r="Q947" s="6" t="s">
        <v>71</v>
      </c>
      <c r="R947" s="6" t="s">
        <v>72</v>
      </c>
      <c r="S947" s="6" t="s">
        <v>73</v>
      </c>
      <c r="T947" s="6" t="s">
        <v>46</v>
      </c>
      <c r="U947" s="6" t="n">
        <v>1000</v>
      </c>
      <c r="V947" s="1" t="n">
        <v>2</v>
      </c>
      <c r="W947" s="6"/>
      <c r="X947" s="6" t="s">
        <v>74</v>
      </c>
      <c r="Y947" s="6" t="n">
        <v>5500</v>
      </c>
      <c r="Z947" s="6" t="s">
        <v>1283</v>
      </c>
      <c r="AA947" s="6" t="s">
        <v>1284</v>
      </c>
      <c r="AB947" s="15" t="str">
        <f aca="true" t="array" ref="AB947:AB947">LEFT(AA947,LOOKUP(2^15,FIND(".",AA947,ROW(INDIRECT("1:"&amp;LEN(AA947)))))-1)</f>
        <v>NB_2022_061 - 22122022 - 1</v>
      </c>
      <c r="AC947" s="6" t="s">
        <v>1285</v>
      </c>
      <c r="AD947" s="15" t="str">
        <f aca="true" t="array" ref="AD947:AD947">LEFT(AC947,LOOKUP(2^15,FIND(".",AC947,ROW(INDIRECT("1:"&amp;LEN(AC947)))))-1)</f>
        <v>NB_2022_061 - 22122022 - 2</v>
      </c>
      <c r="AE947" s="6" t="str">
        <f aca="false">CONCATENATE(AB947, "-",H947, ".mzML")</f>
        <v>NB_2022_061 - 22122022 - 1-QC_C_2.mzML</v>
      </c>
      <c r="AF947" s="6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3" t="s">
        <v>1299</v>
      </c>
      <c r="B948" s="34"/>
      <c r="C948" s="4" t="s">
        <v>1300</v>
      </c>
      <c r="D948" s="6" t="s">
        <v>19</v>
      </c>
      <c r="E948" s="6" t="s">
        <v>1277</v>
      </c>
      <c r="F948" s="7" t="s">
        <v>1278</v>
      </c>
      <c r="G948" s="6" t="s">
        <v>1277</v>
      </c>
      <c r="H948" s="27" t="s">
        <v>76</v>
      </c>
      <c r="I948" s="6" t="str">
        <f aca="false">CONCATENATE(E948, "_",H948)</f>
        <v>NLA_2022_013_QC_C_3</v>
      </c>
      <c r="J948" s="38" t="s">
        <v>52</v>
      </c>
      <c r="K948" s="6" t="n">
        <v>3</v>
      </c>
      <c r="L948" s="9" t="s">
        <v>69</v>
      </c>
      <c r="M948" s="3" t="s">
        <v>46</v>
      </c>
      <c r="N948" s="6" t="s">
        <v>70</v>
      </c>
      <c r="O948" s="6" t="s">
        <v>46</v>
      </c>
      <c r="P948" s="6" t="s">
        <v>71</v>
      </c>
      <c r="Q948" s="6" t="s">
        <v>71</v>
      </c>
      <c r="R948" s="6" t="s">
        <v>72</v>
      </c>
      <c r="S948" s="6" t="s">
        <v>73</v>
      </c>
      <c r="T948" s="6" t="s">
        <v>46</v>
      </c>
      <c r="U948" s="6" t="n">
        <v>1000</v>
      </c>
      <c r="V948" s="1" t="n">
        <v>3</v>
      </c>
      <c r="W948" s="6"/>
      <c r="X948" s="6" t="s">
        <v>74</v>
      </c>
      <c r="Y948" s="6" t="n">
        <v>5500</v>
      </c>
      <c r="Z948" s="6" t="s">
        <v>1283</v>
      </c>
      <c r="AA948" s="6" t="s">
        <v>1284</v>
      </c>
      <c r="AB948" s="15" t="str">
        <f aca="true" t="array" ref="AB948:AB948">LEFT(AA948,LOOKUP(2^15,FIND(".",AA948,ROW(INDIRECT("1:"&amp;LEN(AA948)))))-1)</f>
        <v>NB_2022_061 - 22122022 - 1</v>
      </c>
      <c r="AC948" s="6" t="s">
        <v>1285</v>
      </c>
      <c r="AD948" s="15" t="str">
        <f aca="true" t="array" ref="AD948:AD948">LEFT(AC948,LOOKUP(2^15,FIND(".",AC948,ROW(INDIRECT("1:"&amp;LEN(AC948)))))-1)</f>
        <v>NB_2022_061 - 22122022 - 2</v>
      </c>
      <c r="AE948" s="6" t="str">
        <f aca="false">CONCATENATE(AB948, "-",H948, ".mzML")</f>
        <v>NB_2022_061 - 22122022 - 1-QC_C_3.mzML</v>
      </c>
      <c r="AF948" s="6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3" t="s">
        <v>1299</v>
      </c>
      <c r="B949" s="34"/>
      <c r="C949" s="4" t="s">
        <v>1300</v>
      </c>
      <c r="D949" s="6" t="s">
        <v>19</v>
      </c>
      <c r="E949" s="6" t="s">
        <v>1277</v>
      </c>
      <c r="F949" s="7" t="s">
        <v>1278</v>
      </c>
      <c r="G949" s="6" t="s">
        <v>1277</v>
      </c>
      <c r="H949" s="27" t="s">
        <v>77</v>
      </c>
      <c r="I949" s="6" t="str">
        <f aca="false">CONCATENATE(E949, "_",H949)</f>
        <v>NLA_2022_013_QC_P_1</v>
      </c>
      <c r="J949" s="38" t="s">
        <v>52</v>
      </c>
      <c r="K949" s="6" t="n">
        <v>1</v>
      </c>
      <c r="L949" s="9" t="s">
        <v>69</v>
      </c>
      <c r="M949" s="13" t="s">
        <v>46</v>
      </c>
      <c r="N949" s="6" t="s">
        <v>78</v>
      </c>
      <c r="O949" s="6" t="s">
        <v>46</v>
      </c>
      <c r="P949" s="6" t="s">
        <v>79</v>
      </c>
      <c r="Q949" s="6" t="s">
        <v>80</v>
      </c>
      <c r="R949" s="6" t="s">
        <v>81</v>
      </c>
      <c r="S949" s="6" t="s">
        <v>46</v>
      </c>
      <c r="T949" s="6" t="s">
        <v>46</v>
      </c>
      <c r="U949" s="6" t="s">
        <v>82</v>
      </c>
      <c r="V949" s="1" t="n">
        <v>1</v>
      </c>
      <c r="W949" s="6"/>
      <c r="X949" s="6" t="s">
        <v>83</v>
      </c>
      <c r="Y949" s="6" t="n">
        <v>5500</v>
      </c>
      <c r="Z949" s="6" t="s">
        <v>1283</v>
      </c>
      <c r="AA949" s="6" t="s">
        <v>1284</v>
      </c>
      <c r="AB949" s="15" t="str">
        <f aca="true" t="array" ref="AB949:AB949">LEFT(AA949,LOOKUP(2^15,FIND(".",AA949,ROW(INDIRECT("1:"&amp;LEN(AA949)))))-1)</f>
        <v>NB_2022_061 - 22122022 - 1</v>
      </c>
      <c r="AC949" s="6" t="s">
        <v>1285</v>
      </c>
      <c r="AD949" s="15" t="str">
        <f aca="true" t="array" ref="AD949:AD949">LEFT(AC949,LOOKUP(2^15,FIND(".",AC949,ROW(INDIRECT("1:"&amp;LEN(AC949)))))-1)</f>
        <v>NB_2022_061 - 22122022 - 2</v>
      </c>
      <c r="AE949" s="6" t="str">
        <f aca="false">CONCATENATE(AB949, "-",H949, ".mzML")</f>
        <v>NB_2022_061 - 22122022 - 1-QC_P_1.mzML</v>
      </c>
      <c r="AF949" s="6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3" t="s">
        <v>1299</v>
      </c>
      <c r="B950" s="34"/>
      <c r="C950" s="4" t="s">
        <v>1300</v>
      </c>
      <c r="D950" s="6" t="s">
        <v>19</v>
      </c>
      <c r="E950" s="6" t="s">
        <v>1277</v>
      </c>
      <c r="F950" s="7" t="s">
        <v>1278</v>
      </c>
      <c r="G950" s="6" t="s">
        <v>1277</v>
      </c>
      <c r="H950" s="27" t="s">
        <v>84</v>
      </c>
      <c r="I950" s="6" t="str">
        <f aca="false">CONCATENATE(E950, "_",H950)</f>
        <v>NLA_2022_013_QC_P_2</v>
      </c>
      <c r="J950" s="38" t="s">
        <v>52</v>
      </c>
      <c r="K950" s="6" t="n">
        <v>2</v>
      </c>
      <c r="L950" s="9" t="s">
        <v>69</v>
      </c>
      <c r="M950" s="13" t="s">
        <v>46</v>
      </c>
      <c r="N950" s="6" t="s">
        <v>78</v>
      </c>
      <c r="O950" s="6" t="s">
        <v>46</v>
      </c>
      <c r="P950" s="6" t="s">
        <v>79</v>
      </c>
      <c r="Q950" s="6" t="s">
        <v>80</v>
      </c>
      <c r="R950" s="6" t="s">
        <v>81</v>
      </c>
      <c r="S950" s="6" t="s">
        <v>46</v>
      </c>
      <c r="T950" s="6" t="s">
        <v>46</v>
      </c>
      <c r="U950" s="6" t="s">
        <v>82</v>
      </c>
      <c r="V950" s="1" t="n">
        <v>2</v>
      </c>
      <c r="W950" s="6"/>
      <c r="X950" s="6" t="s">
        <v>83</v>
      </c>
      <c r="Y950" s="6" t="n">
        <v>5500</v>
      </c>
      <c r="Z950" s="6" t="s">
        <v>1283</v>
      </c>
      <c r="AA950" s="6" t="s">
        <v>1284</v>
      </c>
      <c r="AB950" s="15" t="str">
        <f aca="true" t="array" ref="AB950:AB950">LEFT(AA950,LOOKUP(2^15,FIND(".",AA950,ROW(INDIRECT("1:"&amp;LEN(AA950)))))-1)</f>
        <v>NB_2022_061 - 22122022 - 1</v>
      </c>
      <c r="AC950" s="6" t="s">
        <v>1285</v>
      </c>
      <c r="AD950" s="15" t="str">
        <f aca="true" t="array" ref="AD950:AD950">LEFT(AC950,LOOKUP(2^15,FIND(".",AC950,ROW(INDIRECT("1:"&amp;LEN(AC950)))))-1)</f>
        <v>NB_2022_061 - 22122022 - 2</v>
      </c>
      <c r="AE950" s="6" t="str">
        <f aca="false">CONCATENATE(AB950, "-",H950, ".mzML")</f>
        <v>NB_2022_061 - 22122022 - 1-QC_P_2.mzML</v>
      </c>
      <c r="AF950" s="6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3" t="s">
        <v>1299</v>
      </c>
      <c r="B951" s="34"/>
      <c r="C951" s="4" t="s">
        <v>1300</v>
      </c>
      <c r="D951" s="6" t="s">
        <v>19</v>
      </c>
      <c r="E951" s="6" t="s">
        <v>1277</v>
      </c>
      <c r="F951" s="7" t="s">
        <v>1278</v>
      </c>
      <c r="G951" s="6" t="s">
        <v>1277</v>
      </c>
      <c r="H951" s="27" t="s">
        <v>85</v>
      </c>
      <c r="I951" s="6" t="str">
        <f aca="false">CONCATENATE(E951, "_",H951)</f>
        <v>NLA_2022_013_QC_P_3</v>
      </c>
      <c r="J951" s="38" t="s">
        <v>52</v>
      </c>
      <c r="K951" s="6" t="n">
        <v>3</v>
      </c>
      <c r="L951" s="9" t="s">
        <v>69</v>
      </c>
      <c r="M951" s="13" t="s">
        <v>46</v>
      </c>
      <c r="N951" s="6" t="s">
        <v>78</v>
      </c>
      <c r="O951" s="6" t="s">
        <v>46</v>
      </c>
      <c r="P951" s="6" t="s">
        <v>79</v>
      </c>
      <c r="Q951" s="6" t="s">
        <v>80</v>
      </c>
      <c r="R951" s="6" t="s">
        <v>81</v>
      </c>
      <c r="S951" s="6" t="s">
        <v>46</v>
      </c>
      <c r="T951" s="6" t="s">
        <v>46</v>
      </c>
      <c r="U951" s="6" t="s">
        <v>82</v>
      </c>
      <c r="V951" s="1" t="n">
        <v>3</v>
      </c>
      <c r="W951" s="6"/>
      <c r="X951" s="6" t="s">
        <v>83</v>
      </c>
      <c r="Y951" s="6" t="n">
        <v>5500</v>
      </c>
      <c r="Z951" s="6" t="s">
        <v>1283</v>
      </c>
      <c r="AA951" s="6" t="s">
        <v>1284</v>
      </c>
      <c r="AB951" s="15" t="str">
        <f aca="true" t="array" ref="AB951:AB951">LEFT(AA951,LOOKUP(2^15,FIND(".",AA951,ROW(INDIRECT("1:"&amp;LEN(AA951)))))-1)</f>
        <v>NB_2022_061 - 22122022 - 1</v>
      </c>
      <c r="AC951" s="6" t="s">
        <v>1285</v>
      </c>
      <c r="AD951" s="15" t="str">
        <f aca="true" t="array" ref="AD951:AD951">LEFT(AC951,LOOKUP(2^15,FIND(".",AC951,ROW(INDIRECT("1:"&amp;LEN(AC951)))))-1)</f>
        <v>NB_2022_061 - 22122022 - 2</v>
      </c>
      <c r="AE951" s="6" t="str">
        <f aca="false">CONCATENATE(AB951, "-",H951, ".mzML")</f>
        <v>NB_2022_061 - 22122022 - 1-QC_P_3.mzML</v>
      </c>
      <c r="AF951" s="6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3" t="s">
        <v>1309</v>
      </c>
      <c r="B952" s="34"/>
      <c r="C952" s="4" t="s">
        <v>1310</v>
      </c>
      <c r="D952" s="6" t="s">
        <v>19</v>
      </c>
      <c r="E952" s="6" t="s">
        <v>1277</v>
      </c>
      <c r="F952" s="7" t="s">
        <v>1278</v>
      </c>
      <c r="G952" s="6" t="s">
        <v>1293</v>
      </c>
      <c r="H952" s="27" t="s">
        <v>56</v>
      </c>
      <c r="I952" s="6" t="str">
        <f aca="false">CONCATENATE(E952, "_",H952)</f>
        <v>NLA_2022_013_013</v>
      </c>
      <c r="J952" s="38" t="s">
        <v>38</v>
      </c>
      <c r="K952" s="6" t="s">
        <v>1311</v>
      </c>
      <c r="L952" s="9" t="s">
        <v>69</v>
      </c>
      <c r="M952" s="13" t="s">
        <v>1295</v>
      </c>
      <c r="N952" s="6" t="s">
        <v>246</v>
      </c>
      <c r="O952" s="35" t="s">
        <v>1220</v>
      </c>
      <c r="P952" s="6" t="s">
        <v>1213</v>
      </c>
      <c r="Q952" s="6" t="s">
        <v>1213</v>
      </c>
      <c r="R952" s="6" t="s">
        <v>72</v>
      </c>
      <c r="S952" s="6"/>
      <c r="T952" s="6" t="s">
        <v>1263</v>
      </c>
      <c r="U952" s="1" t="n">
        <v>1500</v>
      </c>
      <c r="V952" s="1" t="n">
        <v>1</v>
      </c>
      <c r="W952" s="6"/>
      <c r="X952" s="9" t="s">
        <v>1215</v>
      </c>
      <c r="Y952" s="1" t="n">
        <v>5500</v>
      </c>
      <c r="Z952" s="6" t="s">
        <v>1283</v>
      </c>
      <c r="AA952" s="6" t="s">
        <v>1284</v>
      </c>
      <c r="AB952" s="15" t="str">
        <f aca="true" t="array" ref="AB952:AB952">LEFT(AA952,LOOKUP(2^15,FIND(".",AA952,ROW(INDIRECT("1:"&amp;LEN(AA952)))))-1)</f>
        <v>NB_2022_061 - 22122022 - 1</v>
      </c>
      <c r="AC952" s="6" t="s">
        <v>1285</v>
      </c>
      <c r="AD952" s="15" t="str">
        <f aca="true" t="array" ref="AD952:AD952">LEFT(AC952,LOOKUP(2^15,FIND(".",AC952,ROW(INDIRECT("1:"&amp;LEN(AC952)))))-1)</f>
        <v>NB_2022_061 - 22122022 - 2</v>
      </c>
      <c r="AE952" s="6" t="str">
        <f aca="false">CONCATENATE(AB952, "-",H952, ".mzML")</f>
        <v>NB_2022_061 - 22122022 - 1-013.mzML</v>
      </c>
      <c r="AF952" s="6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3" t="s">
        <v>1309</v>
      </c>
      <c r="B953" s="34"/>
      <c r="C953" s="4" t="s">
        <v>1310</v>
      </c>
      <c r="D953" s="6" t="s">
        <v>19</v>
      </c>
      <c r="E953" s="6" t="s">
        <v>1277</v>
      </c>
      <c r="F953" s="7" t="s">
        <v>1278</v>
      </c>
      <c r="G953" s="6" t="s">
        <v>1293</v>
      </c>
      <c r="H953" s="27" t="s">
        <v>58</v>
      </c>
      <c r="I953" s="6" t="str">
        <f aca="false">CONCATENATE(E953, "_",H953)</f>
        <v>NLA_2022_013_014</v>
      </c>
      <c r="J953" s="38" t="s">
        <v>38</v>
      </c>
      <c r="K953" s="6" t="s">
        <v>1312</v>
      </c>
      <c r="L953" s="9" t="s">
        <v>69</v>
      </c>
      <c r="M953" s="13" t="s">
        <v>1295</v>
      </c>
      <c r="N953" s="6" t="s">
        <v>246</v>
      </c>
      <c r="O953" s="35" t="s">
        <v>1220</v>
      </c>
      <c r="P953" s="6" t="s">
        <v>1213</v>
      </c>
      <c r="Q953" s="6" t="s">
        <v>1213</v>
      </c>
      <c r="R953" s="6" t="s">
        <v>72</v>
      </c>
      <c r="S953" s="6"/>
      <c r="T953" s="6" t="s">
        <v>1263</v>
      </c>
      <c r="U953" s="1" t="n">
        <v>1500</v>
      </c>
      <c r="V953" s="1" t="n">
        <v>2</v>
      </c>
      <c r="W953" s="6"/>
      <c r="X953" s="9" t="s">
        <v>1215</v>
      </c>
      <c r="Y953" s="1" t="n">
        <v>5500</v>
      </c>
      <c r="Z953" s="6" t="s">
        <v>1283</v>
      </c>
      <c r="AA953" s="6" t="s">
        <v>1284</v>
      </c>
      <c r="AB953" s="15" t="str">
        <f aca="true" t="array" ref="AB953:AB953">LEFT(AA953,LOOKUP(2^15,FIND(".",AA953,ROW(INDIRECT("1:"&amp;LEN(AA953)))))-1)</f>
        <v>NB_2022_061 - 22122022 - 1</v>
      </c>
      <c r="AC953" s="6" t="s">
        <v>1285</v>
      </c>
      <c r="AD953" s="15" t="str">
        <f aca="true" t="array" ref="AD953:AD953">LEFT(AC953,LOOKUP(2^15,FIND(".",AC953,ROW(INDIRECT("1:"&amp;LEN(AC953)))))-1)</f>
        <v>NB_2022_061 - 22122022 - 2</v>
      </c>
      <c r="AE953" s="6" t="str">
        <f aca="false">CONCATENATE(AB953, "-",H953, ".mzML")</f>
        <v>NB_2022_061 - 22122022 - 1-014.mzML</v>
      </c>
      <c r="AF953" s="6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3" t="s">
        <v>1309</v>
      </c>
      <c r="B954" s="34"/>
      <c r="C954" s="4" t="s">
        <v>1310</v>
      </c>
      <c r="D954" s="6" t="s">
        <v>19</v>
      </c>
      <c r="E954" s="6" t="s">
        <v>1277</v>
      </c>
      <c r="F954" s="7" t="s">
        <v>1278</v>
      </c>
      <c r="G954" s="6" t="s">
        <v>1293</v>
      </c>
      <c r="H954" s="27" t="s">
        <v>172</v>
      </c>
      <c r="I954" s="6" t="str">
        <f aca="false">CONCATENATE(E954, "_",H954)</f>
        <v>NLA_2022_013_015</v>
      </c>
      <c r="J954" s="38" t="s">
        <v>38</v>
      </c>
      <c r="K954" s="6" t="s">
        <v>1313</v>
      </c>
      <c r="L954" s="9" t="s">
        <v>69</v>
      </c>
      <c r="M954" s="13" t="s">
        <v>1295</v>
      </c>
      <c r="N954" s="6" t="s">
        <v>246</v>
      </c>
      <c r="O954" s="35" t="s">
        <v>1220</v>
      </c>
      <c r="P954" s="6" t="s">
        <v>1213</v>
      </c>
      <c r="Q954" s="6" t="s">
        <v>1213</v>
      </c>
      <c r="R954" s="6" t="s">
        <v>72</v>
      </c>
      <c r="S954" s="6"/>
      <c r="T954" s="6" t="s">
        <v>1263</v>
      </c>
      <c r="U954" s="1" t="n">
        <v>1500</v>
      </c>
      <c r="V954" s="1" t="n">
        <v>3</v>
      </c>
      <c r="W954" s="6"/>
      <c r="X954" s="9" t="s">
        <v>1215</v>
      </c>
      <c r="Y954" s="1" t="n">
        <v>5500</v>
      </c>
      <c r="Z954" s="6" t="s">
        <v>1283</v>
      </c>
      <c r="AA954" s="6" t="s">
        <v>1284</v>
      </c>
      <c r="AB954" s="15" t="str">
        <f aca="true" t="array" ref="AB954:AB954">LEFT(AA954,LOOKUP(2^15,FIND(".",AA954,ROW(INDIRECT("1:"&amp;LEN(AA954)))))-1)</f>
        <v>NB_2022_061 - 22122022 - 1</v>
      </c>
      <c r="AC954" s="6" t="s">
        <v>1285</v>
      </c>
      <c r="AD954" s="15" t="str">
        <f aca="true" t="array" ref="AD954:AD954">LEFT(AC954,LOOKUP(2^15,FIND(".",AC954,ROW(INDIRECT("1:"&amp;LEN(AC954)))))-1)</f>
        <v>NB_2022_061 - 22122022 - 2</v>
      </c>
      <c r="AE954" s="6" t="str">
        <f aca="false">CONCATENATE(AB954, "-",H954, ".mzML")</f>
        <v>NB_2022_061 - 22122022 - 1-015.mzML</v>
      </c>
      <c r="AF954" s="6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3" t="s">
        <v>1309</v>
      </c>
      <c r="B955" s="34"/>
      <c r="C955" s="4" t="s">
        <v>1310</v>
      </c>
      <c r="D955" s="6" t="s">
        <v>19</v>
      </c>
      <c r="E955" s="6" t="s">
        <v>1277</v>
      </c>
      <c r="F955" s="7" t="s">
        <v>1278</v>
      </c>
      <c r="G955" s="6" t="s">
        <v>1293</v>
      </c>
      <c r="H955" s="27" t="s">
        <v>60</v>
      </c>
      <c r="I955" s="6" t="str">
        <f aca="false">CONCATENATE(E955, "_",H955)</f>
        <v>NLA_2022_013_016</v>
      </c>
      <c r="J955" s="38" t="s">
        <v>52</v>
      </c>
      <c r="K955" s="6" t="s">
        <v>1314</v>
      </c>
      <c r="L955" s="9" t="s">
        <v>69</v>
      </c>
      <c r="M955" s="13" t="s">
        <v>1295</v>
      </c>
      <c r="N955" s="6" t="s">
        <v>246</v>
      </c>
      <c r="O955" s="35" t="s">
        <v>1220</v>
      </c>
      <c r="P955" s="6" t="s">
        <v>1213</v>
      </c>
      <c r="Q955" s="6" t="s">
        <v>1213</v>
      </c>
      <c r="R955" s="6" t="s">
        <v>72</v>
      </c>
      <c r="S955" s="6"/>
      <c r="T955" s="6" t="s">
        <v>1265</v>
      </c>
      <c r="U955" s="1" t="n">
        <v>1500</v>
      </c>
      <c r="V955" s="1" t="n">
        <v>1</v>
      </c>
      <c r="W955" s="6"/>
      <c r="X955" s="9" t="s">
        <v>1215</v>
      </c>
      <c r="Y955" s="1" t="n">
        <v>5500</v>
      </c>
      <c r="Z955" s="6" t="s">
        <v>1283</v>
      </c>
      <c r="AA955" s="6" t="s">
        <v>1284</v>
      </c>
      <c r="AB955" s="15" t="str">
        <f aca="true" t="array" ref="AB955:AB955">LEFT(AA955,LOOKUP(2^15,FIND(".",AA955,ROW(INDIRECT("1:"&amp;LEN(AA955)))))-1)</f>
        <v>NB_2022_061 - 22122022 - 1</v>
      </c>
      <c r="AC955" s="6" t="s">
        <v>1285</v>
      </c>
      <c r="AD955" s="15" t="str">
        <f aca="true" t="array" ref="AD955:AD955">LEFT(AC955,LOOKUP(2^15,FIND(".",AC955,ROW(INDIRECT("1:"&amp;LEN(AC955)))))-1)</f>
        <v>NB_2022_061 - 22122022 - 2</v>
      </c>
      <c r="AE955" s="6" t="str">
        <f aca="false">CONCATENATE(AB955, "-",H955, ".mzML")</f>
        <v>NB_2022_061 - 22122022 - 1-016.mzML</v>
      </c>
      <c r="AF955" s="6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3" t="s">
        <v>1309</v>
      </c>
      <c r="B956" s="34"/>
      <c r="C956" s="4" t="s">
        <v>1310</v>
      </c>
      <c r="D956" s="6" t="s">
        <v>19</v>
      </c>
      <c r="E956" s="6" t="s">
        <v>1277</v>
      </c>
      <c r="F956" s="7" t="s">
        <v>1278</v>
      </c>
      <c r="G956" s="6" t="s">
        <v>1293</v>
      </c>
      <c r="H956" s="27" t="s">
        <v>181</v>
      </c>
      <c r="I956" s="6" t="str">
        <f aca="false">CONCATENATE(E956, "_",H956)</f>
        <v>NLA_2022_013_017</v>
      </c>
      <c r="J956" s="38" t="s">
        <v>52</v>
      </c>
      <c r="K956" s="6" t="s">
        <v>1315</v>
      </c>
      <c r="L956" s="9" t="s">
        <v>69</v>
      </c>
      <c r="M956" s="13" t="s">
        <v>1295</v>
      </c>
      <c r="N956" s="6" t="s">
        <v>246</v>
      </c>
      <c r="O956" s="35" t="s">
        <v>1220</v>
      </c>
      <c r="P956" s="6" t="s">
        <v>1213</v>
      </c>
      <c r="Q956" s="6" t="s">
        <v>1213</v>
      </c>
      <c r="R956" s="6" t="s">
        <v>72</v>
      </c>
      <c r="S956" s="6"/>
      <c r="T956" s="6" t="s">
        <v>1265</v>
      </c>
      <c r="U956" s="1" t="n">
        <v>1500</v>
      </c>
      <c r="V956" s="1" t="n">
        <v>2</v>
      </c>
      <c r="W956" s="6"/>
      <c r="X956" s="9" t="s">
        <v>1215</v>
      </c>
      <c r="Y956" s="1" t="n">
        <v>5500</v>
      </c>
      <c r="Z956" s="6" t="s">
        <v>1283</v>
      </c>
      <c r="AA956" s="6" t="s">
        <v>1284</v>
      </c>
      <c r="AB956" s="15" t="str">
        <f aca="true" t="array" ref="AB956:AB956">LEFT(AA956,LOOKUP(2^15,FIND(".",AA956,ROW(INDIRECT("1:"&amp;LEN(AA956)))))-1)</f>
        <v>NB_2022_061 - 22122022 - 1</v>
      </c>
      <c r="AC956" s="6" t="s">
        <v>1285</v>
      </c>
      <c r="AD956" s="15" t="str">
        <f aca="true" t="array" ref="AD956:AD956">LEFT(AC956,LOOKUP(2^15,FIND(".",AC956,ROW(INDIRECT("1:"&amp;LEN(AC956)))))-1)</f>
        <v>NB_2022_061 - 22122022 - 2</v>
      </c>
      <c r="AE956" s="6" t="str">
        <f aca="false">CONCATENATE(AB956, "-",H956, ".mzML")</f>
        <v>NB_2022_061 - 22122022 - 1-017.mzML</v>
      </c>
      <c r="AF956" s="6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3" t="s">
        <v>1309</v>
      </c>
      <c r="B957" s="34"/>
      <c r="C957" s="4" t="s">
        <v>1310</v>
      </c>
      <c r="D957" s="6" t="s">
        <v>19</v>
      </c>
      <c r="E957" s="6" t="s">
        <v>1277</v>
      </c>
      <c r="F957" s="7" t="s">
        <v>1278</v>
      </c>
      <c r="G957" s="6" t="s">
        <v>1293</v>
      </c>
      <c r="H957" s="27" t="s">
        <v>93</v>
      </c>
      <c r="I957" s="6" t="str">
        <f aca="false">CONCATENATE(E957, "_",H957)</f>
        <v>NLA_2022_013_018</v>
      </c>
      <c r="J957" s="38" t="s">
        <v>52</v>
      </c>
      <c r="K957" s="6" t="s">
        <v>1316</v>
      </c>
      <c r="L957" s="9" t="s">
        <v>69</v>
      </c>
      <c r="M957" s="13" t="s">
        <v>1295</v>
      </c>
      <c r="N957" s="6" t="s">
        <v>246</v>
      </c>
      <c r="O957" s="35" t="s">
        <v>1220</v>
      </c>
      <c r="P957" s="6" t="s">
        <v>1213</v>
      </c>
      <c r="Q957" s="6" t="s">
        <v>1213</v>
      </c>
      <c r="R957" s="6" t="s">
        <v>72</v>
      </c>
      <c r="S957" s="6"/>
      <c r="T957" s="6" t="s">
        <v>1265</v>
      </c>
      <c r="U957" s="1" t="n">
        <v>1500</v>
      </c>
      <c r="V957" s="1" t="n">
        <v>3</v>
      </c>
      <c r="W957" s="6"/>
      <c r="X957" s="9" t="s">
        <v>1215</v>
      </c>
      <c r="Y957" s="1" t="n">
        <v>5500</v>
      </c>
      <c r="Z957" s="6" t="s">
        <v>1283</v>
      </c>
      <c r="AA957" s="6" t="s">
        <v>1284</v>
      </c>
      <c r="AB957" s="15" t="str">
        <f aca="true" t="array" ref="AB957:AB957">LEFT(AA957,LOOKUP(2^15,FIND(".",AA957,ROW(INDIRECT("1:"&amp;LEN(AA957)))))-1)</f>
        <v>NB_2022_061 - 22122022 - 1</v>
      </c>
      <c r="AC957" s="6" t="s">
        <v>1285</v>
      </c>
      <c r="AD957" s="15" t="str">
        <f aca="true" t="array" ref="AD957:AD957">LEFT(AC957,LOOKUP(2^15,FIND(".",AC957,ROW(INDIRECT("1:"&amp;LEN(AC957)))))-1)</f>
        <v>NB_2022_061 - 22122022 - 2</v>
      </c>
      <c r="AE957" s="6" t="str">
        <f aca="false">CONCATENATE(AB957, "-",H957, ".mzML")</f>
        <v>NB_2022_061 - 22122022 - 1-018.mzML</v>
      </c>
      <c r="AF957" s="6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3" t="s">
        <v>1309</v>
      </c>
      <c r="B958" s="34"/>
      <c r="C958" s="4" t="s">
        <v>1310</v>
      </c>
      <c r="D958" s="6" t="s">
        <v>19</v>
      </c>
      <c r="E958" s="6" t="s">
        <v>1277</v>
      </c>
      <c r="F958" s="7" t="s">
        <v>1278</v>
      </c>
      <c r="G958" s="6" t="s">
        <v>1277</v>
      </c>
      <c r="H958" s="27" t="s">
        <v>64</v>
      </c>
      <c r="I958" s="6" t="str">
        <f aca="false">CONCATENATE(E958, "_",H958)</f>
        <v>NLA_2022_013_Blank_1</v>
      </c>
      <c r="J958" s="38" t="s">
        <v>52</v>
      </c>
      <c r="K958" s="6" t="n">
        <v>1</v>
      </c>
      <c r="L958" s="9" t="s">
        <v>46</v>
      </c>
      <c r="M958" s="13" t="s">
        <v>46</v>
      </c>
      <c r="N958" s="6" t="s">
        <v>65</v>
      </c>
      <c r="O958" s="6" t="s">
        <v>46</v>
      </c>
      <c r="P958" s="6" t="s">
        <v>46</v>
      </c>
      <c r="Q958" s="6" t="s">
        <v>46</v>
      </c>
      <c r="R958" s="6" t="s">
        <v>46</v>
      </c>
      <c r="S958" s="6" t="s">
        <v>46</v>
      </c>
      <c r="T958" s="6" t="s">
        <v>46</v>
      </c>
      <c r="U958" s="6" t="s">
        <v>46</v>
      </c>
      <c r="V958" s="1" t="n">
        <v>1</v>
      </c>
      <c r="W958" s="6"/>
      <c r="X958" s="6" t="s">
        <v>46</v>
      </c>
      <c r="Y958" s="1" t="n">
        <v>5500</v>
      </c>
      <c r="Z958" s="6" t="s">
        <v>1283</v>
      </c>
      <c r="AA958" s="6" t="s">
        <v>1284</v>
      </c>
      <c r="AB958" s="15" t="str">
        <f aca="true" t="array" ref="AB958:AB958">LEFT(AA958,LOOKUP(2^15,FIND(".",AA958,ROW(INDIRECT("1:"&amp;LEN(AA958)))))-1)</f>
        <v>NB_2022_061 - 22122022 - 1</v>
      </c>
      <c r="AC958" s="6" t="s">
        <v>1285</v>
      </c>
      <c r="AD958" s="15" t="str">
        <f aca="true" t="array" ref="AD958:AD958">LEFT(AC958,LOOKUP(2^15,FIND(".",AC958,ROW(INDIRECT("1:"&amp;LEN(AC958)))))-1)</f>
        <v>NB_2022_061 - 22122022 - 2</v>
      </c>
      <c r="AE958" s="6" t="str">
        <f aca="false">CONCATENATE(AB958, "-",H958, ".mzML")</f>
        <v>NB_2022_061 - 22122022 - 1-Blank_1.mzML</v>
      </c>
      <c r="AF958" s="6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3" t="s">
        <v>1309</v>
      </c>
      <c r="B959" s="34"/>
      <c r="C959" s="4" t="s">
        <v>1310</v>
      </c>
      <c r="D959" s="6" t="s">
        <v>19</v>
      </c>
      <c r="E959" s="6" t="s">
        <v>1277</v>
      </c>
      <c r="F959" s="7" t="s">
        <v>1278</v>
      </c>
      <c r="G959" s="6" t="s">
        <v>1277</v>
      </c>
      <c r="H959" s="27" t="s">
        <v>66</v>
      </c>
      <c r="I959" s="6" t="str">
        <f aca="false">CONCATENATE(E959, "_",H959)</f>
        <v>NLA_2022_013_Blank_2</v>
      </c>
      <c r="J959" s="38" t="s">
        <v>52</v>
      </c>
      <c r="K959" s="6" t="n">
        <v>2</v>
      </c>
      <c r="L959" s="9" t="s">
        <v>46</v>
      </c>
      <c r="M959" s="13" t="s">
        <v>46</v>
      </c>
      <c r="N959" s="6" t="s">
        <v>65</v>
      </c>
      <c r="O959" s="6" t="s">
        <v>46</v>
      </c>
      <c r="P959" s="6" t="s">
        <v>46</v>
      </c>
      <c r="Q959" s="6" t="s">
        <v>46</v>
      </c>
      <c r="R959" s="6" t="s">
        <v>46</v>
      </c>
      <c r="S959" s="6" t="s">
        <v>46</v>
      </c>
      <c r="T959" s="6" t="s">
        <v>46</v>
      </c>
      <c r="U959" s="6" t="s">
        <v>46</v>
      </c>
      <c r="V959" s="1" t="n">
        <v>2</v>
      </c>
      <c r="W959" s="6"/>
      <c r="X959" s="6" t="s">
        <v>46</v>
      </c>
      <c r="Y959" s="1" t="n">
        <v>5500</v>
      </c>
      <c r="Z959" s="6" t="s">
        <v>1283</v>
      </c>
      <c r="AA959" s="6" t="s">
        <v>1284</v>
      </c>
      <c r="AB959" s="15" t="str">
        <f aca="true" t="array" ref="AB959:AB959">LEFT(AA959,LOOKUP(2^15,FIND(".",AA959,ROW(INDIRECT("1:"&amp;LEN(AA959)))))-1)</f>
        <v>NB_2022_061 - 22122022 - 1</v>
      </c>
      <c r="AC959" s="6" t="s">
        <v>1285</v>
      </c>
      <c r="AD959" s="15" t="str">
        <f aca="true" t="array" ref="AD959:AD959">LEFT(AC959,LOOKUP(2^15,FIND(".",AC959,ROW(INDIRECT("1:"&amp;LEN(AC959)))))-1)</f>
        <v>NB_2022_061 - 22122022 - 2</v>
      </c>
      <c r="AE959" s="6" t="str">
        <f aca="false">CONCATENATE(AB959, "-",H959, ".mzML")</f>
        <v>NB_2022_061 - 22122022 - 1-Blank_2.mzML</v>
      </c>
      <c r="AF959" s="6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3" t="s">
        <v>1309</v>
      </c>
      <c r="B960" s="34"/>
      <c r="C960" s="4" t="s">
        <v>1310</v>
      </c>
      <c r="D960" s="6" t="s">
        <v>19</v>
      </c>
      <c r="E960" s="6" t="s">
        <v>1277</v>
      </c>
      <c r="F960" s="7" t="s">
        <v>1278</v>
      </c>
      <c r="G960" s="6" t="s">
        <v>1277</v>
      </c>
      <c r="H960" s="27" t="s">
        <v>67</v>
      </c>
      <c r="I960" s="6" t="str">
        <f aca="false">CONCATENATE(E960, "_",H960)</f>
        <v>NLA_2022_013_Blank_3</v>
      </c>
      <c r="J960" s="38" t="s">
        <v>52</v>
      </c>
      <c r="K960" s="6" t="n">
        <v>3</v>
      </c>
      <c r="L960" s="9" t="s">
        <v>46</v>
      </c>
      <c r="M960" s="13" t="s">
        <v>46</v>
      </c>
      <c r="N960" s="6" t="s">
        <v>65</v>
      </c>
      <c r="O960" s="6" t="s">
        <v>46</v>
      </c>
      <c r="P960" s="6" t="s">
        <v>46</v>
      </c>
      <c r="Q960" s="6" t="s">
        <v>46</v>
      </c>
      <c r="R960" s="6" t="s">
        <v>46</v>
      </c>
      <c r="S960" s="6" t="s">
        <v>46</v>
      </c>
      <c r="T960" s="6" t="s">
        <v>46</v>
      </c>
      <c r="U960" s="6" t="s">
        <v>46</v>
      </c>
      <c r="V960" s="1" t="n">
        <v>3</v>
      </c>
      <c r="W960" s="6"/>
      <c r="X960" s="6" t="s">
        <v>46</v>
      </c>
      <c r="Y960" s="1" t="n">
        <v>5500</v>
      </c>
      <c r="Z960" s="6" t="s">
        <v>1283</v>
      </c>
      <c r="AA960" s="6" t="s">
        <v>1284</v>
      </c>
      <c r="AB960" s="15" t="str">
        <f aca="true" t="array" ref="AB960:AB960">LEFT(AA960,LOOKUP(2^15,FIND(".",AA960,ROW(INDIRECT("1:"&amp;LEN(AA960)))))-1)</f>
        <v>NB_2022_061 - 22122022 - 1</v>
      </c>
      <c r="AC960" s="6" t="s">
        <v>1285</v>
      </c>
      <c r="AD960" s="15" t="str">
        <f aca="true" t="array" ref="AD960:AD960">LEFT(AC960,LOOKUP(2^15,FIND(".",AC960,ROW(INDIRECT("1:"&amp;LEN(AC960)))))-1)</f>
        <v>NB_2022_061 - 22122022 - 2</v>
      </c>
      <c r="AE960" s="6" t="str">
        <f aca="false">CONCATENATE(AB960, "-",H960, ".mzML")</f>
        <v>NB_2022_061 - 22122022 - 1-Blank_3.mzML</v>
      </c>
      <c r="AF960" s="6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3" t="s">
        <v>1309</v>
      </c>
      <c r="B961" s="34"/>
      <c r="C961" s="4" t="s">
        <v>1310</v>
      </c>
      <c r="D961" s="6" t="s">
        <v>19</v>
      </c>
      <c r="E961" s="6" t="s">
        <v>1277</v>
      </c>
      <c r="F961" s="7" t="s">
        <v>1278</v>
      </c>
      <c r="G961" s="6" t="s">
        <v>1277</v>
      </c>
      <c r="H961" s="27" t="s">
        <v>68</v>
      </c>
      <c r="I961" s="6" t="str">
        <f aca="false">CONCATENATE(E961, "_",H961)</f>
        <v>NLA_2022_013_QC_C_1</v>
      </c>
      <c r="J961" s="38" t="s">
        <v>52</v>
      </c>
      <c r="K961" s="6" t="n">
        <v>1</v>
      </c>
      <c r="L961" s="9" t="s">
        <v>69</v>
      </c>
      <c r="M961" s="3" t="s">
        <v>46</v>
      </c>
      <c r="N961" s="6" t="s">
        <v>70</v>
      </c>
      <c r="O961" s="6" t="s">
        <v>46</v>
      </c>
      <c r="P961" s="6" t="s">
        <v>71</v>
      </c>
      <c r="Q961" s="6" t="s">
        <v>71</v>
      </c>
      <c r="R961" s="6" t="s">
        <v>72</v>
      </c>
      <c r="S961" s="6" t="s">
        <v>73</v>
      </c>
      <c r="T961" s="6" t="s">
        <v>46</v>
      </c>
      <c r="U961" s="6" t="n">
        <v>1000</v>
      </c>
      <c r="V961" s="1" t="n">
        <v>1</v>
      </c>
      <c r="W961" s="6"/>
      <c r="X961" s="6" t="s">
        <v>74</v>
      </c>
      <c r="Y961" s="6" t="n">
        <v>5500</v>
      </c>
      <c r="Z961" s="6" t="s">
        <v>1283</v>
      </c>
      <c r="AA961" s="6" t="s">
        <v>1284</v>
      </c>
      <c r="AB961" s="15" t="str">
        <f aca="true" t="array" ref="AB961:AB961">LEFT(AA961,LOOKUP(2^15,FIND(".",AA961,ROW(INDIRECT("1:"&amp;LEN(AA961)))))-1)</f>
        <v>NB_2022_061 - 22122022 - 1</v>
      </c>
      <c r="AC961" s="6" t="s">
        <v>1285</v>
      </c>
      <c r="AD961" s="15" t="str">
        <f aca="true" t="array" ref="AD961:AD961">LEFT(AC961,LOOKUP(2^15,FIND(".",AC961,ROW(INDIRECT("1:"&amp;LEN(AC961)))))-1)</f>
        <v>NB_2022_061 - 22122022 - 2</v>
      </c>
      <c r="AE961" s="6" t="str">
        <f aca="false">CONCATENATE(AB961, "-",H961, ".mzML")</f>
        <v>NB_2022_061 - 22122022 - 1-QC_C_1.mzML</v>
      </c>
      <c r="AF961" s="6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3" t="s">
        <v>1309</v>
      </c>
      <c r="B962" s="34"/>
      <c r="C962" s="4" t="s">
        <v>1310</v>
      </c>
      <c r="D962" s="6" t="s">
        <v>19</v>
      </c>
      <c r="E962" s="6" t="s">
        <v>1277</v>
      </c>
      <c r="F962" s="7" t="s">
        <v>1278</v>
      </c>
      <c r="G962" s="6" t="s">
        <v>1277</v>
      </c>
      <c r="H962" s="27" t="s">
        <v>75</v>
      </c>
      <c r="I962" s="6" t="str">
        <f aca="false">CONCATENATE(E962, "_",H962)</f>
        <v>NLA_2022_013_QC_C_2</v>
      </c>
      <c r="J962" s="38" t="s">
        <v>52</v>
      </c>
      <c r="K962" s="6" t="n">
        <v>2</v>
      </c>
      <c r="L962" s="9" t="s">
        <v>69</v>
      </c>
      <c r="M962" s="3" t="s">
        <v>46</v>
      </c>
      <c r="N962" s="6" t="s">
        <v>70</v>
      </c>
      <c r="O962" s="6" t="s">
        <v>46</v>
      </c>
      <c r="P962" s="6" t="s">
        <v>71</v>
      </c>
      <c r="Q962" s="6" t="s">
        <v>71</v>
      </c>
      <c r="R962" s="6" t="s">
        <v>72</v>
      </c>
      <c r="S962" s="6" t="s">
        <v>73</v>
      </c>
      <c r="T962" s="6" t="s">
        <v>46</v>
      </c>
      <c r="U962" s="6" t="n">
        <v>1000</v>
      </c>
      <c r="V962" s="1" t="n">
        <v>2</v>
      </c>
      <c r="W962" s="6"/>
      <c r="X962" s="6" t="s">
        <v>74</v>
      </c>
      <c r="Y962" s="6" t="n">
        <v>5500</v>
      </c>
      <c r="Z962" s="6" t="s">
        <v>1283</v>
      </c>
      <c r="AA962" s="6" t="s">
        <v>1284</v>
      </c>
      <c r="AB962" s="15" t="str">
        <f aca="true" t="array" ref="AB962:AB962">LEFT(AA962,LOOKUP(2^15,FIND(".",AA962,ROW(INDIRECT("1:"&amp;LEN(AA962)))))-1)</f>
        <v>NB_2022_061 - 22122022 - 1</v>
      </c>
      <c r="AC962" s="6" t="s">
        <v>1285</v>
      </c>
      <c r="AD962" s="15" t="str">
        <f aca="true" t="array" ref="AD962:AD962">LEFT(AC962,LOOKUP(2^15,FIND(".",AC962,ROW(INDIRECT("1:"&amp;LEN(AC962)))))-1)</f>
        <v>NB_2022_061 - 22122022 - 2</v>
      </c>
      <c r="AE962" s="6" t="str">
        <f aca="false">CONCATENATE(AB962, "-",H962, ".mzML")</f>
        <v>NB_2022_061 - 22122022 - 1-QC_C_2.mzML</v>
      </c>
      <c r="AF962" s="6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3" t="s">
        <v>1309</v>
      </c>
      <c r="B963" s="34"/>
      <c r="C963" s="4" t="s">
        <v>1310</v>
      </c>
      <c r="D963" s="6" t="s">
        <v>19</v>
      </c>
      <c r="E963" s="6" t="s">
        <v>1277</v>
      </c>
      <c r="F963" s="7" t="s">
        <v>1278</v>
      </c>
      <c r="G963" s="6" t="s">
        <v>1277</v>
      </c>
      <c r="H963" s="27" t="s">
        <v>76</v>
      </c>
      <c r="I963" s="6" t="str">
        <f aca="false">CONCATENATE(E963, "_",H963)</f>
        <v>NLA_2022_013_QC_C_3</v>
      </c>
      <c r="J963" s="38" t="s">
        <v>52</v>
      </c>
      <c r="K963" s="6" t="n">
        <v>3</v>
      </c>
      <c r="L963" s="9" t="s">
        <v>69</v>
      </c>
      <c r="M963" s="3" t="s">
        <v>46</v>
      </c>
      <c r="N963" s="6" t="s">
        <v>70</v>
      </c>
      <c r="O963" s="6" t="s">
        <v>46</v>
      </c>
      <c r="P963" s="6" t="s">
        <v>71</v>
      </c>
      <c r="Q963" s="6" t="s">
        <v>71</v>
      </c>
      <c r="R963" s="6" t="s">
        <v>72</v>
      </c>
      <c r="S963" s="6" t="s">
        <v>73</v>
      </c>
      <c r="T963" s="6" t="s">
        <v>46</v>
      </c>
      <c r="U963" s="6" t="n">
        <v>1000</v>
      </c>
      <c r="V963" s="1" t="n">
        <v>3</v>
      </c>
      <c r="W963" s="6"/>
      <c r="X963" s="6" t="s">
        <v>74</v>
      </c>
      <c r="Y963" s="6" t="n">
        <v>5500</v>
      </c>
      <c r="Z963" s="6" t="s">
        <v>1283</v>
      </c>
      <c r="AA963" s="6" t="s">
        <v>1284</v>
      </c>
      <c r="AB963" s="15" t="str">
        <f aca="true" t="array" ref="AB963:AB963">LEFT(AA963,LOOKUP(2^15,FIND(".",AA963,ROW(INDIRECT("1:"&amp;LEN(AA963)))))-1)</f>
        <v>NB_2022_061 - 22122022 - 1</v>
      </c>
      <c r="AC963" s="6" t="s">
        <v>1285</v>
      </c>
      <c r="AD963" s="15" t="str">
        <f aca="true" t="array" ref="AD963:AD963">LEFT(AC963,LOOKUP(2^15,FIND(".",AC963,ROW(INDIRECT("1:"&amp;LEN(AC963)))))-1)</f>
        <v>NB_2022_061 - 22122022 - 2</v>
      </c>
      <c r="AE963" s="6" t="str">
        <f aca="false">CONCATENATE(AB963, "-",H963, ".mzML")</f>
        <v>NB_2022_061 - 22122022 - 1-QC_C_3.mzML</v>
      </c>
      <c r="AF963" s="6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3" t="s">
        <v>1309</v>
      </c>
      <c r="B964" s="34"/>
      <c r="C964" s="4" t="s">
        <v>1310</v>
      </c>
      <c r="D964" s="6" t="s">
        <v>19</v>
      </c>
      <c r="E964" s="6" t="s">
        <v>1277</v>
      </c>
      <c r="F964" s="7" t="s">
        <v>1278</v>
      </c>
      <c r="G964" s="6" t="s">
        <v>1277</v>
      </c>
      <c r="H964" s="27" t="s">
        <v>77</v>
      </c>
      <c r="I964" s="6" t="str">
        <f aca="false">CONCATENATE(E964, "_",H964)</f>
        <v>NLA_2022_013_QC_P_1</v>
      </c>
      <c r="J964" s="38" t="s">
        <v>52</v>
      </c>
      <c r="K964" s="6" t="n">
        <v>1</v>
      </c>
      <c r="L964" s="9" t="s">
        <v>69</v>
      </c>
      <c r="M964" s="13" t="s">
        <v>46</v>
      </c>
      <c r="N964" s="6" t="s">
        <v>78</v>
      </c>
      <c r="O964" s="6" t="s">
        <v>46</v>
      </c>
      <c r="P964" s="6" t="s">
        <v>79</v>
      </c>
      <c r="Q964" s="6" t="s">
        <v>80</v>
      </c>
      <c r="R964" s="6" t="s">
        <v>81</v>
      </c>
      <c r="S964" s="6" t="s">
        <v>46</v>
      </c>
      <c r="T964" s="6" t="s">
        <v>46</v>
      </c>
      <c r="U964" s="6" t="s">
        <v>82</v>
      </c>
      <c r="V964" s="1" t="n">
        <v>1</v>
      </c>
      <c r="W964" s="6"/>
      <c r="X964" s="6" t="s">
        <v>83</v>
      </c>
      <c r="Y964" s="6" t="n">
        <v>5500</v>
      </c>
      <c r="Z964" s="6" t="s">
        <v>1283</v>
      </c>
      <c r="AA964" s="6" t="s">
        <v>1284</v>
      </c>
      <c r="AB964" s="15" t="str">
        <f aca="true" t="array" ref="AB964:AB964">LEFT(AA964,LOOKUP(2^15,FIND(".",AA964,ROW(INDIRECT("1:"&amp;LEN(AA964)))))-1)</f>
        <v>NB_2022_061 - 22122022 - 1</v>
      </c>
      <c r="AC964" s="6" t="s">
        <v>1285</v>
      </c>
      <c r="AD964" s="15" t="str">
        <f aca="true" t="array" ref="AD964:AD964">LEFT(AC964,LOOKUP(2^15,FIND(".",AC964,ROW(INDIRECT("1:"&amp;LEN(AC964)))))-1)</f>
        <v>NB_2022_061 - 22122022 - 2</v>
      </c>
      <c r="AE964" s="6" t="str">
        <f aca="false">CONCATENATE(AB964, "-",H964, ".mzML")</f>
        <v>NB_2022_061 - 22122022 - 1-QC_P_1.mzML</v>
      </c>
      <c r="AF964" s="6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3" t="s">
        <v>1309</v>
      </c>
      <c r="B965" s="34"/>
      <c r="C965" s="4" t="s">
        <v>1310</v>
      </c>
      <c r="D965" s="6" t="s">
        <v>19</v>
      </c>
      <c r="E965" s="6" t="s">
        <v>1277</v>
      </c>
      <c r="F965" s="7" t="s">
        <v>1278</v>
      </c>
      <c r="G965" s="6" t="s">
        <v>1277</v>
      </c>
      <c r="H965" s="27" t="s">
        <v>84</v>
      </c>
      <c r="I965" s="6" t="str">
        <f aca="false">CONCATENATE(E965, "_",H965)</f>
        <v>NLA_2022_013_QC_P_2</v>
      </c>
      <c r="J965" s="38" t="s">
        <v>52</v>
      </c>
      <c r="K965" s="6" t="n">
        <v>2</v>
      </c>
      <c r="L965" s="9" t="s">
        <v>69</v>
      </c>
      <c r="M965" s="13" t="s">
        <v>46</v>
      </c>
      <c r="N965" s="6" t="s">
        <v>78</v>
      </c>
      <c r="O965" s="6" t="s">
        <v>46</v>
      </c>
      <c r="P965" s="6" t="s">
        <v>79</v>
      </c>
      <c r="Q965" s="6" t="s">
        <v>80</v>
      </c>
      <c r="R965" s="6" t="s">
        <v>81</v>
      </c>
      <c r="S965" s="6" t="s">
        <v>46</v>
      </c>
      <c r="T965" s="6" t="s">
        <v>46</v>
      </c>
      <c r="U965" s="6" t="s">
        <v>82</v>
      </c>
      <c r="V965" s="1" t="n">
        <v>2</v>
      </c>
      <c r="W965" s="6"/>
      <c r="X965" s="6" t="s">
        <v>83</v>
      </c>
      <c r="Y965" s="6" t="n">
        <v>5500</v>
      </c>
      <c r="Z965" s="6" t="s">
        <v>1283</v>
      </c>
      <c r="AA965" s="6" t="s">
        <v>1284</v>
      </c>
      <c r="AB965" s="15" t="str">
        <f aca="true" t="array" ref="AB965:AB965">LEFT(AA965,LOOKUP(2^15,FIND(".",AA965,ROW(INDIRECT("1:"&amp;LEN(AA965)))))-1)</f>
        <v>NB_2022_061 - 22122022 - 1</v>
      </c>
      <c r="AC965" s="6" t="s">
        <v>1285</v>
      </c>
      <c r="AD965" s="15" t="str">
        <f aca="true" t="array" ref="AD965:AD965">LEFT(AC965,LOOKUP(2^15,FIND(".",AC965,ROW(INDIRECT("1:"&amp;LEN(AC965)))))-1)</f>
        <v>NB_2022_061 - 22122022 - 2</v>
      </c>
      <c r="AE965" s="6" t="str">
        <f aca="false">CONCATENATE(AB965, "-",H965, ".mzML")</f>
        <v>NB_2022_061 - 22122022 - 1-QC_P_2.mzML</v>
      </c>
      <c r="AF965" s="6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3" t="s">
        <v>1309</v>
      </c>
      <c r="B966" s="34"/>
      <c r="C966" s="4" t="s">
        <v>1310</v>
      </c>
      <c r="D966" s="6" t="s">
        <v>19</v>
      </c>
      <c r="E966" s="6" t="s">
        <v>1277</v>
      </c>
      <c r="F966" s="7" t="s">
        <v>1278</v>
      </c>
      <c r="G966" s="6" t="s">
        <v>1277</v>
      </c>
      <c r="H966" s="27" t="s">
        <v>85</v>
      </c>
      <c r="I966" s="6" t="str">
        <f aca="false">CONCATENATE(E966, "_",H966)</f>
        <v>NLA_2022_013_QC_P_3</v>
      </c>
      <c r="J966" s="38" t="s">
        <v>52</v>
      </c>
      <c r="K966" s="6" t="n">
        <v>3</v>
      </c>
      <c r="L966" s="9" t="s">
        <v>69</v>
      </c>
      <c r="M966" s="13" t="s">
        <v>46</v>
      </c>
      <c r="N966" s="6" t="s">
        <v>78</v>
      </c>
      <c r="O966" s="6" t="s">
        <v>46</v>
      </c>
      <c r="P966" s="6" t="s">
        <v>79</v>
      </c>
      <c r="Q966" s="6" t="s">
        <v>80</v>
      </c>
      <c r="R966" s="6" t="s">
        <v>81</v>
      </c>
      <c r="S966" s="6" t="s">
        <v>46</v>
      </c>
      <c r="T966" s="6" t="s">
        <v>46</v>
      </c>
      <c r="U966" s="6" t="s">
        <v>82</v>
      </c>
      <c r="V966" s="1" t="n">
        <v>3</v>
      </c>
      <c r="W966" s="6"/>
      <c r="X966" s="6" t="s">
        <v>83</v>
      </c>
      <c r="Y966" s="6" t="n">
        <v>5500</v>
      </c>
      <c r="Z966" s="6" t="s">
        <v>1283</v>
      </c>
      <c r="AA966" s="6" t="s">
        <v>1284</v>
      </c>
      <c r="AB966" s="15" t="str">
        <f aca="true" t="array" ref="AB966:AB966">LEFT(AA966,LOOKUP(2^15,FIND(".",AA966,ROW(INDIRECT("1:"&amp;LEN(AA966)))))-1)</f>
        <v>NB_2022_061 - 22122022 - 1</v>
      </c>
      <c r="AC966" s="6" t="s">
        <v>1285</v>
      </c>
      <c r="AD966" s="15" t="str">
        <f aca="true" t="array" ref="AD966:AD966">LEFT(AC966,LOOKUP(2^15,FIND(".",AC966,ROW(INDIRECT("1:"&amp;LEN(AC966)))))-1)</f>
        <v>NB_2022_061 - 22122022 - 2</v>
      </c>
      <c r="AE966" s="6" t="str">
        <f aca="false">CONCATENATE(AB966, "-",H966, ".mzML")</f>
        <v>NB_2022_061 - 22122022 - 1-QC_P_3.mzML</v>
      </c>
      <c r="AF966" s="6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3" t="s">
        <v>1317</v>
      </c>
      <c r="B967" s="34"/>
      <c r="C967" s="4" t="s">
        <v>1318</v>
      </c>
      <c r="D967" s="6" t="s">
        <v>14</v>
      </c>
      <c r="E967" s="6" t="s">
        <v>1319</v>
      </c>
      <c r="F967" s="7" t="s">
        <v>1320</v>
      </c>
      <c r="G967" s="6" t="s">
        <v>1321</v>
      </c>
      <c r="H967" s="7" t="s">
        <v>97</v>
      </c>
      <c r="I967" s="6" t="str">
        <f aca="false">CONCATENATE(E967, "_",H967)</f>
        <v>NLA_2023_018_003</v>
      </c>
      <c r="J967" s="6" t="s">
        <v>52</v>
      </c>
      <c r="K967" s="6" t="s">
        <v>1322</v>
      </c>
      <c r="L967" s="9" t="s">
        <v>69</v>
      </c>
      <c r="M967" s="17" t="s">
        <v>1323</v>
      </c>
      <c r="N967" s="6" t="s">
        <v>246</v>
      </c>
      <c r="O967" s="35" t="s">
        <v>1220</v>
      </c>
      <c r="P967" s="1" t="s">
        <v>43</v>
      </c>
      <c r="Q967" s="6" t="s">
        <v>1269</v>
      </c>
      <c r="R967" s="6" t="s">
        <v>44</v>
      </c>
      <c r="S967" s="14"/>
      <c r="U967" s="6" t="n">
        <v>1500</v>
      </c>
      <c r="V967" s="14" t="n">
        <v>1</v>
      </c>
      <c r="W967" s="4"/>
      <c r="X967" s="9" t="s">
        <v>1215</v>
      </c>
      <c r="Y967" s="14" t="n">
        <v>5500</v>
      </c>
      <c r="Z967" s="6" t="s">
        <v>1324</v>
      </c>
      <c r="AA967" s="6" t="s">
        <v>1325</v>
      </c>
      <c r="AB967" s="15" t="str">
        <f aca="true" t="array" ref="AB967:AB967">LEFT(AA967,LOOKUP(2^15,FIND(".",AA967,ROW(INDIRECT("1:"&amp;LEN(AA967)))))-1)</f>
        <v>NB_2023_016 - 20230425 - 1</v>
      </c>
      <c r="AC967" s="6" t="s">
        <v>1326</v>
      </c>
      <c r="AD967" s="15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3" t="s">
        <v>1317</v>
      </c>
      <c r="B968" s="34"/>
      <c r="C968" s="4" t="s">
        <v>1318</v>
      </c>
      <c r="D968" s="6" t="s">
        <v>14</v>
      </c>
      <c r="E968" s="6" t="s">
        <v>1319</v>
      </c>
      <c r="F968" s="7" t="s">
        <v>1320</v>
      </c>
      <c r="G968" s="6" t="s">
        <v>1321</v>
      </c>
      <c r="H968" s="7" t="s">
        <v>60</v>
      </c>
      <c r="I968" s="6" t="str">
        <f aca="false">CONCATENATE(E968, "_",H968)</f>
        <v>NLA_2023_018_016</v>
      </c>
      <c r="J968" s="6" t="s">
        <v>38</v>
      </c>
      <c r="K968" s="6" t="s">
        <v>1327</v>
      </c>
      <c r="L968" s="9" t="s">
        <v>69</v>
      </c>
      <c r="M968" s="17" t="s">
        <v>1323</v>
      </c>
      <c r="N968" s="6" t="s">
        <v>246</v>
      </c>
      <c r="O968" s="35" t="s">
        <v>1212</v>
      </c>
      <c r="P968" s="1" t="s">
        <v>43</v>
      </c>
      <c r="Q968" s="1" t="s">
        <v>43</v>
      </c>
      <c r="R968" s="6" t="s">
        <v>44</v>
      </c>
      <c r="U968" s="6" t="n">
        <v>1500</v>
      </c>
      <c r="V968" s="1" t="n">
        <v>2</v>
      </c>
      <c r="W968" s="4"/>
      <c r="X968" s="9" t="s">
        <v>1215</v>
      </c>
      <c r="Y968" s="14" t="n">
        <v>5500</v>
      </c>
      <c r="Z968" s="6" t="s">
        <v>1324</v>
      </c>
      <c r="AA968" s="6" t="s">
        <v>1325</v>
      </c>
      <c r="AB968" s="15" t="str">
        <f aca="true" t="array" ref="AB968:AB968">LEFT(AA968,LOOKUP(2^15,FIND(".",AA968,ROW(INDIRECT("1:"&amp;LEN(AA968)))))-1)</f>
        <v>NB_2023_016 - 20230425 - 1</v>
      </c>
      <c r="AC968" s="6" t="s">
        <v>1326</v>
      </c>
      <c r="AD968" s="15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3" t="s">
        <v>1317</v>
      </c>
      <c r="B969" s="34"/>
      <c r="C969" s="4" t="s">
        <v>1318</v>
      </c>
      <c r="D969" s="6" t="s">
        <v>14</v>
      </c>
      <c r="E969" s="6" t="s">
        <v>1319</v>
      </c>
      <c r="F969" s="7" t="s">
        <v>1320</v>
      </c>
      <c r="G969" s="6" t="s">
        <v>1321</v>
      </c>
      <c r="H969" s="7" t="s">
        <v>227</v>
      </c>
      <c r="I969" s="6" t="str">
        <f aca="false">CONCATENATE(E969, "_",H969)</f>
        <v>NLA_2023_018_019</v>
      </c>
      <c r="J969" s="6" t="s">
        <v>52</v>
      </c>
      <c r="K969" s="6" t="s">
        <v>1328</v>
      </c>
      <c r="L969" s="9" t="s">
        <v>69</v>
      </c>
      <c r="M969" s="17" t="s">
        <v>1323</v>
      </c>
      <c r="N969" s="6" t="s">
        <v>246</v>
      </c>
      <c r="O969" s="35" t="s">
        <v>1220</v>
      </c>
      <c r="P969" s="1" t="s">
        <v>43</v>
      </c>
      <c r="Q969" s="6" t="s">
        <v>1269</v>
      </c>
      <c r="R969" s="6" t="s">
        <v>44</v>
      </c>
      <c r="S969" s="14"/>
      <c r="U969" s="6" t="n">
        <v>1500</v>
      </c>
      <c r="V969" s="14" t="n">
        <v>3</v>
      </c>
      <c r="W969" s="4"/>
      <c r="X969" s="9" t="s">
        <v>1215</v>
      </c>
      <c r="Y969" s="14" t="n">
        <v>5500</v>
      </c>
      <c r="Z969" s="6" t="s">
        <v>1324</v>
      </c>
      <c r="AA969" s="6" t="s">
        <v>1325</v>
      </c>
      <c r="AB969" s="15" t="str">
        <f aca="true" t="array" ref="AB969:AB969">LEFT(AA969,LOOKUP(2^15,FIND(".",AA969,ROW(INDIRECT("1:"&amp;LEN(AA969)))))-1)</f>
        <v>NB_2023_016 - 20230425 - 1</v>
      </c>
      <c r="AC969" s="6" t="s">
        <v>1326</v>
      </c>
      <c r="AD969" s="15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3" t="s">
        <v>1317</v>
      </c>
      <c r="B970" s="34"/>
      <c r="C970" s="4" t="s">
        <v>1318</v>
      </c>
      <c r="D970" s="6" t="s">
        <v>14</v>
      </c>
      <c r="E970" s="6" t="s">
        <v>1319</v>
      </c>
      <c r="F970" s="7" t="s">
        <v>1320</v>
      </c>
      <c r="G970" s="6" t="s">
        <v>1321</v>
      </c>
      <c r="H970" s="7" t="s">
        <v>1329</v>
      </c>
      <c r="I970" s="6" t="str">
        <f aca="false">CONCATENATE(E970, "_",H970)</f>
        <v>NLA_2023_018_028</v>
      </c>
      <c r="J970" s="6" t="s">
        <v>38</v>
      </c>
      <c r="K970" s="6" t="s">
        <v>1330</v>
      </c>
      <c r="L970" s="9" t="s">
        <v>69</v>
      </c>
      <c r="M970" s="17" t="s">
        <v>1323</v>
      </c>
      <c r="N970" s="6" t="s">
        <v>246</v>
      </c>
      <c r="O970" s="35" t="s">
        <v>1212</v>
      </c>
      <c r="P970" s="1" t="s">
        <v>43</v>
      </c>
      <c r="Q970" s="1" t="s">
        <v>43</v>
      </c>
      <c r="R970" s="6" t="s">
        <v>44</v>
      </c>
      <c r="U970" s="6" t="n">
        <v>1500</v>
      </c>
      <c r="V970" s="1" t="n">
        <v>4</v>
      </c>
      <c r="W970" s="4"/>
      <c r="X970" s="9" t="s">
        <v>1215</v>
      </c>
      <c r="Y970" s="14" t="n">
        <v>5500</v>
      </c>
      <c r="Z970" s="6" t="s">
        <v>1324</v>
      </c>
      <c r="AA970" s="6" t="s">
        <v>1325</v>
      </c>
      <c r="AB970" s="15" t="str">
        <f aca="true" t="array" ref="AB970:AB970">LEFT(AA970,LOOKUP(2^15,FIND(".",AA970,ROW(INDIRECT("1:"&amp;LEN(AA970)))))-1)</f>
        <v>NB_2023_016 - 20230425 - 1</v>
      </c>
      <c r="AC970" s="6" t="s">
        <v>1326</v>
      </c>
      <c r="AD970" s="15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3" t="s">
        <v>1317</v>
      </c>
      <c r="B971" s="34"/>
      <c r="C971" s="4" t="s">
        <v>1318</v>
      </c>
      <c r="D971" s="6" t="s">
        <v>14</v>
      </c>
      <c r="E971" s="6" t="s">
        <v>1319</v>
      </c>
      <c r="F971" s="7" t="s">
        <v>1320</v>
      </c>
      <c r="G971" s="6" t="s">
        <v>1321</v>
      </c>
      <c r="H971" s="7" t="s">
        <v>445</v>
      </c>
      <c r="I971" s="6" t="str">
        <f aca="false">CONCATENATE(E971, "_",H971)</f>
        <v>NLA_2023_018_031</v>
      </c>
      <c r="J971" s="6" t="s">
        <v>52</v>
      </c>
      <c r="K971" s="6" t="s">
        <v>1331</v>
      </c>
      <c r="L971" s="9" t="s">
        <v>69</v>
      </c>
      <c r="M971" s="17" t="s">
        <v>1323</v>
      </c>
      <c r="N971" s="6" t="s">
        <v>246</v>
      </c>
      <c r="O971" s="35" t="s">
        <v>1220</v>
      </c>
      <c r="P971" s="1" t="s">
        <v>43</v>
      </c>
      <c r="Q971" s="6" t="s">
        <v>1269</v>
      </c>
      <c r="R971" s="6" t="s">
        <v>44</v>
      </c>
      <c r="S971" s="14"/>
      <c r="U971" s="6" t="n">
        <v>1500</v>
      </c>
      <c r="V971" s="14" t="n">
        <v>2</v>
      </c>
      <c r="W971" s="4"/>
      <c r="X971" s="9" t="s">
        <v>1215</v>
      </c>
      <c r="Y971" s="14" t="n">
        <v>5500</v>
      </c>
      <c r="Z971" s="6" t="s">
        <v>1324</v>
      </c>
      <c r="AA971" s="6" t="s">
        <v>1325</v>
      </c>
      <c r="AB971" s="15" t="str">
        <f aca="true" t="array" ref="AB971:AB971">LEFT(AA971,LOOKUP(2^15,FIND(".",AA971,ROW(INDIRECT("1:"&amp;LEN(AA971)))))-1)</f>
        <v>NB_2023_016 - 20230425 - 1</v>
      </c>
      <c r="AC971" s="6" t="s">
        <v>1326</v>
      </c>
      <c r="AD971" s="15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3" t="s">
        <v>1317</v>
      </c>
      <c r="B972" s="34"/>
      <c r="C972" s="4" t="s">
        <v>1318</v>
      </c>
      <c r="D972" s="6" t="s">
        <v>14</v>
      </c>
      <c r="E972" s="6" t="s">
        <v>1319</v>
      </c>
      <c r="F972" s="7" t="s">
        <v>1320</v>
      </c>
      <c r="G972" s="6" t="s">
        <v>1321</v>
      </c>
      <c r="H972" s="7" t="s">
        <v>1063</v>
      </c>
      <c r="I972" s="6" t="str">
        <f aca="false">CONCATENATE(E972, "_",H972)</f>
        <v>NLA_2023_018_033</v>
      </c>
      <c r="J972" s="6" t="s">
        <v>38</v>
      </c>
      <c r="K972" s="6" t="s">
        <v>1332</v>
      </c>
      <c r="L972" s="9" t="s">
        <v>69</v>
      </c>
      <c r="M972" s="17" t="s">
        <v>1323</v>
      </c>
      <c r="N972" s="6" t="s">
        <v>246</v>
      </c>
      <c r="O972" s="35" t="s">
        <v>1212</v>
      </c>
      <c r="P972" s="1" t="s">
        <v>43</v>
      </c>
      <c r="Q972" s="1" t="s">
        <v>43</v>
      </c>
      <c r="R972" s="6" t="s">
        <v>44</v>
      </c>
      <c r="U972" s="6" t="n">
        <v>1500</v>
      </c>
      <c r="V972" s="1" t="n">
        <v>3</v>
      </c>
      <c r="W972" s="4"/>
      <c r="X972" s="9" t="s">
        <v>1215</v>
      </c>
      <c r="Y972" s="14" t="n">
        <v>5500</v>
      </c>
      <c r="Z972" s="6" t="s">
        <v>1324</v>
      </c>
      <c r="AA972" s="6" t="s">
        <v>1325</v>
      </c>
      <c r="AB972" s="15" t="str">
        <f aca="true" t="array" ref="AB972:AB972">LEFT(AA972,LOOKUP(2^15,FIND(".",AA972,ROW(INDIRECT("1:"&amp;LEN(AA972)))))-1)</f>
        <v>NB_2023_016 - 20230425 - 1</v>
      </c>
      <c r="AC972" s="6" t="s">
        <v>1326</v>
      </c>
      <c r="AD972" s="15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3" t="s">
        <v>1317</v>
      </c>
      <c r="B973" s="34"/>
      <c r="C973" s="4" t="s">
        <v>1318</v>
      </c>
      <c r="D973" s="6" t="s">
        <v>14</v>
      </c>
      <c r="E973" s="6" t="s">
        <v>1319</v>
      </c>
      <c r="F973" s="7" t="s">
        <v>1320</v>
      </c>
      <c r="G973" s="6" t="s">
        <v>1321</v>
      </c>
      <c r="H973" s="7" t="s">
        <v>925</v>
      </c>
      <c r="I973" s="6" t="str">
        <f aca="false">CONCATENATE(E973, "_",H973)</f>
        <v>NLA_2023_018_036</v>
      </c>
      <c r="J973" s="6" t="s">
        <v>38</v>
      </c>
      <c r="K973" s="6" t="s">
        <v>1333</v>
      </c>
      <c r="L973" s="9" t="s">
        <v>69</v>
      </c>
      <c r="M973" s="17" t="s">
        <v>1323</v>
      </c>
      <c r="N973" s="6" t="s">
        <v>246</v>
      </c>
      <c r="O973" s="35" t="s">
        <v>1212</v>
      </c>
      <c r="P973" s="1" t="s">
        <v>43</v>
      </c>
      <c r="Q973" s="1" t="s">
        <v>43</v>
      </c>
      <c r="R973" s="6" t="s">
        <v>44</v>
      </c>
      <c r="U973" s="6" t="n">
        <v>1500</v>
      </c>
      <c r="V973" s="1" t="n">
        <v>1</v>
      </c>
      <c r="W973" s="4"/>
      <c r="X973" s="9" t="s">
        <v>1215</v>
      </c>
      <c r="Y973" s="14" t="n">
        <v>5500</v>
      </c>
      <c r="Z973" s="6" t="s">
        <v>1324</v>
      </c>
      <c r="AA973" s="6" t="s">
        <v>1325</v>
      </c>
      <c r="AB973" s="15" t="str">
        <f aca="true" t="array" ref="AB973:AB973">LEFT(AA973,LOOKUP(2^15,FIND(".",AA973,ROW(INDIRECT("1:"&amp;LEN(AA973)))))-1)</f>
        <v>NB_2023_016 - 20230425 - 1</v>
      </c>
      <c r="AC973" s="6" t="s">
        <v>1326</v>
      </c>
      <c r="AD973" s="15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3" t="s">
        <v>1317</v>
      </c>
      <c r="B974" s="34"/>
      <c r="C974" s="4" t="s">
        <v>1318</v>
      </c>
      <c r="D974" s="6" t="s">
        <v>14</v>
      </c>
      <c r="E974" s="6" t="s">
        <v>1319</v>
      </c>
      <c r="F974" s="7" t="s">
        <v>1320</v>
      </c>
      <c r="G974" s="6" t="s">
        <v>1319</v>
      </c>
      <c r="H974" s="16" t="s">
        <v>64</v>
      </c>
      <c r="I974" s="6" t="str">
        <f aca="false">CONCATENATE(E974, "_",H974)</f>
        <v>NLA_2023_018_Blank_1</v>
      </c>
      <c r="J974" s="6" t="s">
        <v>52</v>
      </c>
      <c r="K974" s="18" t="s">
        <v>64</v>
      </c>
      <c r="L974" s="7" t="s">
        <v>46</v>
      </c>
      <c r="M974" s="17" t="s">
        <v>46</v>
      </c>
      <c r="N974" s="6" t="s">
        <v>65</v>
      </c>
      <c r="O974" s="6" t="s">
        <v>46</v>
      </c>
      <c r="P974" s="6" t="s">
        <v>46</v>
      </c>
      <c r="Q974" s="6" t="s">
        <v>46</v>
      </c>
      <c r="R974" s="6" t="s">
        <v>46</v>
      </c>
      <c r="S974" s="6" t="s">
        <v>46</v>
      </c>
      <c r="T974" s="6" t="s">
        <v>46</v>
      </c>
      <c r="U974" s="6" t="s">
        <v>46</v>
      </c>
      <c r="V974" s="1" t="n">
        <v>1</v>
      </c>
      <c r="W974" s="4"/>
      <c r="X974" s="6" t="s">
        <v>46</v>
      </c>
      <c r="Y974" s="14" t="n">
        <v>5500</v>
      </c>
      <c r="Z974" s="6" t="s">
        <v>1324</v>
      </c>
      <c r="AA974" s="6" t="s">
        <v>1325</v>
      </c>
      <c r="AB974" s="15" t="str">
        <f aca="true" t="array" ref="AB974:AB974">LEFT(AA974,LOOKUP(2^15,FIND(".",AA974,ROW(INDIRECT("1:"&amp;LEN(AA974)))))-1)</f>
        <v>NB_2023_016 - 20230425 - 1</v>
      </c>
      <c r="AC974" s="6" t="s">
        <v>1326</v>
      </c>
      <c r="AD974" s="15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3" t="s">
        <v>1317</v>
      </c>
      <c r="B975" s="34"/>
      <c r="C975" s="4" t="s">
        <v>1318</v>
      </c>
      <c r="D975" s="6" t="s">
        <v>14</v>
      </c>
      <c r="E975" s="6" t="s">
        <v>1319</v>
      </c>
      <c r="F975" s="7" t="s">
        <v>1320</v>
      </c>
      <c r="G975" s="6" t="s">
        <v>1319</v>
      </c>
      <c r="H975" s="16" t="s">
        <v>67</v>
      </c>
      <c r="I975" s="6" t="str">
        <f aca="false">CONCATENATE(E975, "_",H975)</f>
        <v>NLA_2023_018_Blank_3</v>
      </c>
      <c r="J975" s="6" t="s">
        <v>52</v>
      </c>
      <c r="K975" s="18" t="s">
        <v>67</v>
      </c>
      <c r="L975" s="7" t="s">
        <v>46</v>
      </c>
      <c r="M975" s="17" t="s">
        <v>46</v>
      </c>
      <c r="N975" s="6" t="s">
        <v>65</v>
      </c>
      <c r="O975" s="6" t="s">
        <v>46</v>
      </c>
      <c r="P975" s="6" t="s">
        <v>46</v>
      </c>
      <c r="Q975" s="6" t="s">
        <v>46</v>
      </c>
      <c r="R975" s="6" t="s">
        <v>46</v>
      </c>
      <c r="S975" s="6" t="s">
        <v>46</v>
      </c>
      <c r="T975" s="6" t="s">
        <v>46</v>
      </c>
      <c r="U975" s="6" t="s">
        <v>46</v>
      </c>
      <c r="V975" s="1" t="n">
        <v>3</v>
      </c>
      <c r="W975" s="4"/>
      <c r="X975" s="6" t="s">
        <v>46</v>
      </c>
      <c r="Y975" s="14" t="n">
        <v>5500</v>
      </c>
      <c r="Z975" s="6" t="s">
        <v>1324</v>
      </c>
      <c r="AA975" s="6" t="s">
        <v>1325</v>
      </c>
      <c r="AB975" s="15" t="str">
        <f aca="true" t="array" ref="AB975:AB975">LEFT(AA975,LOOKUP(2^15,FIND(".",AA975,ROW(INDIRECT("1:"&amp;LEN(AA975)))))-1)</f>
        <v>NB_2023_016 - 20230425 - 1</v>
      </c>
      <c r="AC975" s="6" t="s">
        <v>1326</v>
      </c>
      <c r="AD975" s="15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3" t="s">
        <v>1317</v>
      </c>
      <c r="B976" s="34"/>
      <c r="C976" s="4" t="s">
        <v>1318</v>
      </c>
      <c r="D976" s="6" t="s">
        <v>14</v>
      </c>
      <c r="E976" s="6" t="s">
        <v>1319</v>
      </c>
      <c r="F976" s="7" t="s">
        <v>1320</v>
      </c>
      <c r="G976" s="6" t="s">
        <v>1319</v>
      </c>
      <c r="H976" s="16" t="s">
        <v>221</v>
      </c>
      <c r="I976" s="6" t="str">
        <f aca="false">CONCATENATE(E976, "_",H976)</f>
        <v>NLA_2023_018_Blank_4</v>
      </c>
      <c r="J976" s="6" t="s">
        <v>52</v>
      </c>
      <c r="K976" s="18" t="s">
        <v>221</v>
      </c>
      <c r="L976" s="7" t="s">
        <v>46</v>
      </c>
      <c r="M976" s="17" t="s">
        <v>46</v>
      </c>
      <c r="N976" s="6" t="s">
        <v>65</v>
      </c>
      <c r="O976" s="6" t="s">
        <v>46</v>
      </c>
      <c r="P976" s="6" t="s">
        <v>46</v>
      </c>
      <c r="Q976" s="6" t="s">
        <v>46</v>
      </c>
      <c r="R976" s="6" t="s">
        <v>46</v>
      </c>
      <c r="S976" s="6" t="s">
        <v>46</v>
      </c>
      <c r="T976" s="6" t="s">
        <v>46</v>
      </c>
      <c r="U976" s="6" t="s">
        <v>46</v>
      </c>
      <c r="V976" s="1" t="n">
        <v>4</v>
      </c>
      <c r="W976" s="4"/>
      <c r="X976" s="6" t="s">
        <v>46</v>
      </c>
      <c r="Y976" s="14" t="n">
        <v>5500</v>
      </c>
      <c r="Z976" s="6" t="s">
        <v>1324</v>
      </c>
      <c r="AA976" s="6" t="s">
        <v>1325</v>
      </c>
      <c r="AB976" s="15" t="str">
        <f aca="true" t="array" ref="AB976:AB976">LEFT(AA976,LOOKUP(2^15,FIND(".",AA976,ROW(INDIRECT("1:"&amp;LEN(AA976)))))-1)</f>
        <v>NB_2023_016 - 20230425 - 1</v>
      </c>
      <c r="AC976" s="6" t="s">
        <v>1326</v>
      </c>
      <c r="AD976" s="15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3" t="s">
        <v>1317</v>
      </c>
      <c r="B977" s="34"/>
      <c r="C977" s="4" t="s">
        <v>1318</v>
      </c>
      <c r="D977" s="6" t="s">
        <v>14</v>
      </c>
      <c r="E977" s="6" t="s">
        <v>1319</v>
      </c>
      <c r="F977" s="7" t="s">
        <v>1320</v>
      </c>
      <c r="G977" s="6" t="s">
        <v>1319</v>
      </c>
      <c r="H977" s="16" t="s">
        <v>68</v>
      </c>
      <c r="I977" s="6" t="str">
        <f aca="false">CONCATENATE(E977, "_",H977)</f>
        <v>NLA_2023_018_QC_C_1</v>
      </c>
      <c r="J977" s="6" t="s">
        <v>52</v>
      </c>
      <c r="K977" s="18" t="s">
        <v>68</v>
      </c>
      <c r="L977" s="9" t="s">
        <v>69</v>
      </c>
      <c r="M977" s="3" t="s">
        <v>46</v>
      </c>
      <c r="N977" s="6" t="s">
        <v>70</v>
      </c>
      <c r="O977" s="6" t="s">
        <v>46</v>
      </c>
      <c r="P977" s="6" t="s">
        <v>71</v>
      </c>
      <c r="Q977" s="6" t="s">
        <v>71</v>
      </c>
      <c r="R977" s="6" t="s">
        <v>72</v>
      </c>
      <c r="S977" s="6" t="s">
        <v>73</v>
      </c>
      <c r="T977" s="6" t="s">
        <v>46</v>
      </c>
      <c r="U977" s="6" t="n">
        <v>1000</v>
      </c>
      <c r="V977" s="1" t="n">
        <v>1</v>
      </c>
      <c r="W977" s="4"/>
      <c r="X977" s="6" t="s">
        <v>74</v>
      </c>
      <c r="Y977" s="14" t="n">
        <v>5500</v>
      </c>
      <c r="Z977" s="6" t="s">
        <v>1324</v>
      </c>
      <c r="AA977" s="6" t="s">
        <v>1325</v>
      </c>
      <c r="AB977" s="15" t="str">
        <f aca="true" t="array" ref="AB977:AB977">LEFT(AA977,LOOKUP(2^15,FIND(".",AA977,ROW(INDIRECT("1:"&amp;LEN(AA977)))))-1)</f>
        <v>NB_2023_016 - 20230425 - 1</v>
      </c>
      <c r="AC977" s="6" t="s">
        <v>1326</v>
      </c>
      <c r="AD977" s="15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3" t="s">
        <v>1317</v>
      </c>
      <c r="B978" s="34"/>
      <c r="C978" s="4" t="s">
        <v>1318</v>
      </c>
      <c r="D978" s="6" t="s">
        <v>14</v>
      </c>
      <c r="E978" s="6" t="s">
        <v>1319</v>
      </c>
      <c r="F978" s="7" t="s">
        <v>1320</v>
      </c>
      <c r="G978" s="6" t="s">
        <v>1319</v>
      </c>
      <c r="H978" s="16" t="s">
        <v>75</v>
      </c>
      <c r="I978" s="6" t="str">
        <f aca="false">CONCATENATE(E978, "_",H978)</f>
        <v>NLA_2023_018_QC_C_2</v>
      </c>
      <c r="J978" s="6" t="s">
        <v>52</v>
      </c>
      <c r="K978" s="18" t="s">
        <v>75</v>
      </c>
      <c r="L978" s="9" t="s">
        <v>69</v>
      </c>
      <c r="M978" s="3" t="s">
        <v>46</v>
      </c>
      <c r="N978" s="6" t="s">
        <v>70</v>
      </c>
      <c r="O978" s="6" t="s">
        <v>46</v>
      </c>
      <c r="P978" s="6" t="s">
        <v>71</v>
      </c>
      <c r="Q978" s="6" t="s">
        <v>71</v>
      </c>
      <c r="R978" s="6" t="s">
        <v>72</v>
      </c>
      <c r="S978" s="6" t="s">
        <v>73</v>
      </c>
      <c r="T978" s="6" t="s">
        <v>46</v>
      </c>
      <c r="U978" s="6" t="n">
        <v>1000</v>
      </c>
      <c r="V978" s="1" t="n">
        <v>2</v>
      </c>
      <c r="W978" s="4"/>
      <c r="X978" s="6" t="s">
        <v>74</v>
      </c>
      <c r="Y978" s="14" t="n">
        <v>5500</v>
      </c>
      <c r="Z978" s="6" t="s">
        <v>1324</v>
      </c>
      <c r="AA978" s="6" t="s">
        <v>1325</v>
      </c>
      <c r="AB978" s="15" t="str">
        <f aca="true" t="array" ref="AB978:AB978">LEFT(AA978,LOOKUP(2^15,FIND(".",AA978,ROW(INDIRECT("1:"&amp;LEN(AA978)))))-1)</f>
        <v>NB_2023_016 - 20230425 - 1</v>
      </c>
      <c r="AC978" s="6" t="s">
        <v>1326</v>
      </c>
      <c r="AD978" s="15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3" t="s">
        <v>1317</v>
      </c>
      <c r="B979" s="34"/>
      <c r="C979" s="4" t="s">
        <v>1318</v>
      </c>
      <c r="D979" s="6" t="s">
        <v>14</v>
      </c>
      <c r="E979" s="6" t="s">
        <v>1319</v>
      </c>
      <c r="F979" s="7" t="s">
        <v>1320</v>
      </c>
      <c r="G979" s="6" t="s">
        <v>1319</v>
      </c>
      <c r="H979" s="16" t="s">
        <v>76</v>
      </c>
      <c r="I979" s="6" t="str">
        <f aca="false">CONCATENATE(E979, "_",H979)</f>
        <v>NLA_2023_018_QC_C_3</v>
      </c>
      <c r="J979" s="6" t="s">
        <v>52</v>
      </c>
      <c r="K979" s="18" t="s">
        <v>76</v>
      </c>
      <c r="L979" s="9" t="s">
        <v>69</v>
      </c>
      <c r="M979" s="3" t="s">
        <v>46</v>
      </c>
      <c r="N979" s="6" t="s">
        <v>70</v>
      </c>
      <c r="O979" s="6" t="s">
        <v>46</v>
      </c>
      <c r="P979" s="6" t="s">
        <v>71</v>
      </c>
      <c r="Q979" s="6" t="s">
        <v>71</v>
      </c>
      <c r="R979" s="6" t="s">
        <v>72</v>
      </c>
      <c r="S979" s="6" t="s">
        <v>73</v>
      </c>
      <c r="T979" s="6" t="s">
        <v>46</v>
      </c>
      <c r="U979" s="6" t="n">
        <v>1000</v>
      </c>
      <c r="V979" s="1" t="n">
        <v>3</v>
      </c>
      <c r="W979" s="4"/>
      <c r="X979" s="6" t="s">
        <v>74</v>
      </c>
      <c r="Y979" s="14" t="n">
        <v>5500</v>
      </c>
      <c r="Z979" s="6" t="s">
        <v>1324</v>
      </c>
      <c r="AA979" s="6" t="s">
        <v>1325</v>
      </c>
      <c r="AB979" s="15" t="str">
        <f aca="true" t="array" ref="AB979:AB979">LEFT(AA979,LOOKUP(2^15,FIND(".",AA979,ROW(INDIRECT("1:"&amp;LEN(AA979)))))-1)</f>
        <v>NB_2023_016 - 20230425 - 1</v>
      </c>
      <c r="AC979" s="6" t="s">
        <v>1326</v>
      </c>
      <c r="AD979" s="15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3" t="s">
        <v>1317</v>
      </c>
      <c r="B980" s="34"/>
      <c r="C980" s="4" t="s">
        <v>1318</v>
      </c>
      <c r="D980" s="6" t="s">
        <v>14</v>
      </c>
      <c r="E980" s="6" t="s">
        <v>1319</v>
      </c>
      <c r="F980" s="7" t="s">
        <v>1320</v>
      </c>
      <c r="G980" s="6" t="s">
        <v>1319</v>
      </c>
      <c r="H980" s="16" t="s">
        <v>222</v>
      </c>
      <c r="I980" s="6" t="str">
        <f aca="false">CONCATENATE(E980, "_",H980)</f>
        <v>NLA_2023_018_QC_C_4</v>
      </c>
      <c r="J980" s="6" t="s">
        <v>52</v>
      </c>
      <c r="K980" s="18" t="s">
        <v>222</v>
      </c>
      <c r="L980" s="9" t="s">
        <v>69</v>
      </c>
      <c r="M980" s="3" t="s">
        <v>46</v>
      </c>
      <c r="N980" s="6" t="s">
        <v>70</v>
      </c>
      <c r="O980" s="6" t="s">
        <v>46</v>
      </c>
      <c r="P980" s="6" t="s">
        <v>71</v>
      </c>
      <c r="Q980" s="6" t="s">
        <v>71</v>
      </c>
      <c r="R980" s="6" t="s">
        <v>72</v>
      </c>
      <c r="S980" s="6" t="s">
        <v>73</v>
      </c>
      <c r="T980" s="6" t="s">
        <v>46</v>
      </c>
      <c r="U980" s="6" t="n">
        <v>1000</v>
      </c>
      <c r="V980" s="1" t="n">
        <v>4</v>
      </c>
      <c r="W980" s="4"/>
      <c r="X980" s="6" t="s">
        <v>74</v>
      </c>
      <c r="Y980" s="14" t="n">
        <v>5500</v>
      </c>
      <c r="Z980" s="6" t="s">
        <v>1324</v>
      </c>
      <c r="AA980" s="6" t="s">
        <v>1325</v>
      </c>
      <c r="AB980" s="15" t="str">
        <f aca="true" t="array" ref="AB980:AB980">LEFT(AA980,LOOKUP(2^15,FIND(".",AA980,ROW(INDIRECT("1:"&amp;LEN(AA980)))))-1)</f>
        <v>NB_2023_016 - 20230425 - 1</v>
      </c>
      <c r="AC980" s="6" t="s">
        <v>1326</v>
      </c>
      <c r="AD980" s="15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3" t="s">
        <v>1317</v>
      </c>
      <c r="B981" s="34"/>
      <c r="C981" s="4" t="s">
        <v>1318</v>
      </c>
      <c r="D981" s="6" t="s">
        <v>14</v>
      </c>
      <c r="E981" s="6" t="s">
        <v>1319</v>
      </c>
      <c r="F981" s="7" t="s">
        <v>1320</v>
      </c>
      <c r="G981" s="6" t="s">
        <v>1319</v>
      </c>
      <c r="H981" s="16" t="s">
        <v>77</v>
      </c>
      <c r="I981" s="6" t="str">
        <f aca="false">CONCATENATE(E981, "_",H981)</f>
        <v>NLA_2023_018_QC_P_1</v>
      </c>
      <c r="J981" s="6" t="s">
        <v>52</v>
      </c>
      <c r="K981" s="18" t="s">
        <v>77</v>
      </c>
      <c r="L981" s="7" t="s">
        <v>69</v>
      </c>
      <c r="M981" s="3" t="s">
        <v>46</v>
      </c>
      <c r="N981" s="6" t="s">
        <v>78</v>
      </c>
      <c r="O981" s="6" t="s">
        <v>46</v>
      </c>
      <c r="P981" s="6" t="s">
        <v>79</v>
      </c>
      <c r="Q981" s="6" t="s">
        <v>80</v>
      </c>
      <c r="R981" s="6" t="s">
        <v>81</v>
      </c>
      <c r="S981" s="6" t="s">
        <v>46</v>
      </c>
      <c r="T981" s="6" t="s">
        <v>46</v>
      </c>
      <c r="U981" s="6" t="s">
        <v>82</v>
      </c>
      <c r="V981" s="1" t="n">
        <v>1</v>
      </c>
      <c r="W981" s="4"/>
      <c r="X981" s="6" t="s">
        <v>83</v>
      </c>
      <c r="Y981" s="14" t="n">
        <v>5500</v>
      </c>
      <c r="Z981" s="6" t="s">
        <v>1324</v>
      </c>
      <c r="AA981" s="6" t="s">
        <v>1325</v>
      </c>
      <c r="AB981" s="15" t="str">
        <f aca="true" t="array" ref="AB981:AB981">LEFT(AA981,LOOKUP(2^15,FIND(".",AA981,ROW(INDIRECT("1:"&amp;LEN(AA981)))))-1)</f>
        <v>NB_2023_016 - 20230425 - 1</v>
      </c>
      <c r="AC981" s="6" t="s">
        <v>1326</v>
      </c>
      <c r="AD981" s="15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3" t="s">
        <v>1317</v>
      </c>
      <c r="B982" s="34"/>
      <c r="C982" s="4" t="s">
        <v>1318</v>
      </c>
      <c r="D982" s="6" t="s">
        <v>14</v>
      </c>
      <c r="E982" s="6" t="s">
        <v>1319</v>
      </c>
      <c r="F982" s="7" t="s">
        <v>1320</v>
      </c>
      <c r="G982" s="6" t="s">
        <v>1319</v>
      </c>
      <c r="H982" s="16" t="s">
        <v>84</v>
      </c>
      <c r="I982" s="6" t="str">
        <f aca="false">CONCATENATE(E982, "_",H982)</f>
        <v>NLA_2023_018_QC_P_2</v>
      </c>
      <c r="J982" s="6" t="s">
        <v>52</v>
      </c>
      <c r="K982" s="18" t="s">
        <v>84</v>
      </c>
      <c r="L982" s="7" t="s">
        <v>69</v>
      </c>
      <c r="M982" s="3" t="s">
        <v>46</v>
      </c>
      <c r="N982" s="6" t="s">
        <v>78</v>
      </c>
      <c r="O982" s="6" t="s">
        <v>46</v>
      </c>
      <c r="P982" s="6" t="s">
        <v>79</v>
      </c>
      <c r="Q982" s="6" t="s">
        <v>80</v>
      </c>
      <c r="R982" s="6" t="s">
        <v>81</v>
      </c>
      <c r="S982" s="6" t="s">
        <v>46</v>
      </c>
      <c r="T982" s="6" t="s">
        <v>46</v>
      </c>
      <c r="U982" s="6" t="s">
        <v>82</v>
      </c>
      <c r="V982" s="1" t="n">
        <v>2</v>
      </c>
      <c r="W982" s="4"/>
      <c r="X982" s="6" t="s">
        <v>83</v>
      </c>
      <c r="Y982" s="14" t="n">
        <v>5500</v>
      </c>
      <c r="Z982" s="6" t="s">
        <v>1324</v>
      </c>
      <c r="AA982" s="6" t="s">
        <v>1325</v>
      </c>
      <c r="AB982" s="15" t="str">
        <f aca="true" t="array" ref="AB982:AB982">LEFT(AA982,LOOKUP(2^15,FIND(".",AA982,ROW(INDIRECT("1:"&amp;LEN(AA982)))))-1)</f>
        <v>NB_2023_016 - 20230425 - 1</v>
      </c>
      <c r="AC982" s="6" t="s">
        <v>1326</v>
      </c>
      <c r="AD982" s="15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3" t="s">
        <v>1317</v>
      </c>
      <c r="B983" s="34"/>
      <c r="C983" s="4" t="s">
        <v>1318</v>
      </c>
      <c r="D983" s="6" t="s">
        <v>14</v>
      </c>
      <c r="E983" s="6" t="s">
        <v>1319</v>
      </c>
      <c r="F983" s="7" t="s">
        <v>1320</v>
      </c>
      <c r="G983" s="6" t="s">
        <v>1319</v>
      </c>
      <c r="H983" s="16" t="s">
        <v>85</v>
      </c>
      <c r="I983" s="6" t="str">
        <f aca="false">CONCATENATE(E983, "_",H983)</f>
        <v>NLA_2023_018_QC_P_3</v>
      </c>
      <c r="J983" s="4" t="s">
        <v>52</v>
      </c>
      <c r="K983" s="18" t="s">
        <v>85</v>
      </c>
      <c r="L983" s="7" t="s">
        <v>69</v>
      </c>
      <c r="M983" s="3" t="s">
        <v>46</v>
      </c>
      <c r="N983" s="6" t="s">
        <v>78</v>
      </c>
      <c r="O983" s="6" t="s">
        <v>46</v>
      </c>
      <c r="P983" s="6" t="s">
        <v>79</v>
      </c>
      <c r="Q983" s="6" t="s">
        <v>80</v>
      </c>
      <c r="R983" s="6" t="s">
        <v>81</v>
      </c>
      <c r="S983" s="6" t="s">
        <v>46</v>
      </c>
      <c r="T983" s="6" t="s">
        <v>46</v>
      </c>
      <c r="U983" s="6" t="s">
        <v>82</v>
      </c>
      <c r="V983" s="1" t="n">
        <v>3</v>
      </c>
      <c r="W983" s="4"/>
      <c r="X983" s="6" t="s">
        <v>83</v>
      </c>
      <c r="Y983" s="14" t="n">
        <v>5500</v>
      </c>
      <c r="Z983" s="6" t="s">
        <v>1324</v>
      </c>
      <c r="AA983" s="6" t="s">
        <v>1325</v>
      </c>
      <c r="AB983" s="15" t="str">
        <f aca="true" t="array" ref="AB983:AB983">LEFT(AA983,LOOKUP(2^15,FIND(".",AA983,ROW(INDIRECT("1:"&amp;LEN(AA983)))))-1)</f>
        <v>NB_2023_016 - 20230425 - 1</v>
      </c>
      <c r="AC983" s="6" t="s">
        <v>1326</v>
      </c>
      <c r="AD983" s="15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3" t="s">
        <v>1317</v>
      </c>
      <c r="B984" s="34"/>
      <c r="C984" s="4" t="s">
        <v>1318</v>
      </c>
      <c r="D984" s="6" t="s">
        <v>14</v>
      </c>
      <c r="E984" s="6" t="s">
        <v>1319</v>
      </c>
      <c r="F984" s="7" t="s">
        <v>1320</v>
      </c>
      <c r="G984" s="6" t="s">
        <v>1319</v>
      </c>
      <c r="H984" s="16" t="s">
        <v>224</v>
      </c>
      <c r="I984" s="6" t="str">
        <f aca="false">CONCATENATE(E984, "_",H984)</f>
        <v>NLA_2023_018_QC_P_4</v>
      </c>
      <c r="J984" s="4" t="s">
        <v>52</v>
      </c>
      <c r="K984" s="18" t="s">
        <v>224</v>
      </c>
      <c r="L984" s="7" t="s">
        <v>69</v>
      </c>
      <c r="M984" s="3" t="s">
        <v>46</v>
      </c>
      <c r="N984" s="6" t="s">
        <v>78</v>
      </c>
      <c r="O984" s="6" t="s">
        <v>46</v>
      </c>
      <c r="P984" s="6" t="s">
        <v>79</v>
      </c>
      <c r="Q984" s="6" t="s">
        <v>80</v>
      </c>
      <c r="R984" s="6" t="s">
        <v>81</v>
      </c>
      <c r="S984" s="6" t="s">
        <v>46</v>
      </c>
      <c r="T984" s="6" t="s">
        <v>46</v>
      </c>
      <c r="U984" s="6" t="s">
        <v>82</v>
      </c>
      <c r="V984" s="1" t="n">
        <v>4</v>
      </c>
      <c r="W984" s="4"/>
      <c r="X984" s="6" t="s">
        <v>83</v>
      </c>
      <c r="Y984" s="14" t="n">
        <v>5500</v>
      </c>
      <c r="Z984" s="6" t="s">
        <v>1324</v>
      </c>
      <c r="AA984" s="6" t="s">
        <v>1325</v>
      </c>
      <c r="AB984" s="15" t="str">
        <f aca="true" t="array" ref="AB984:AB984">LEFT(AA984,LOOKUP(2^15,FIND(".",AA984,ROW(INDIRECT("1:"&amp;LEN(AA984)))))-1)</f>
        <v>NB_2023_016 - 20230425 - 1</v>
      </c>
      <c r="AC984" s="6" t="s">
        <v>1326</v>
      </c>
      <c r="AD984" s="15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3" t="s">
        <v>1334</v>
      </c>
      <c r="B985" s="34"/>
      <c r="C985" s="4" t="s">
        <v>1335</v>
      </c>
      <c r="D985" s="6" t="s">
        <v>14</v>
      </c>
      <c r="E985" s="6" t="s">
        <v>1319</v>
      </c>
      <c r="F985" s="7" t="s">
        <v>1320</v>
      </c>
      <c r="G985" s="6" t="s">
        <v>1336</v>
      </c>
      <c r="H985" s="7" t="s">
        <v>142</v>
      </c>
      <c r="I985" s="6" t="str">
        <f aca="false">CONCATENATE(E985, "_",H985)</f>
        <v>NLA_2023_018_008</v>
      </c>
      <c r="J985" s="6" t="s">
        <v>52</v>
      </c>
      <c r="K985" s="6" t="s">
        <v>1337</v>
      </c>
      <c r="L985" s="9" t="s">
        <v>69</v>
      </c>
      <c r="M985" s="17" t="s">
        <v>1338</v>
      </c>
      <c r="N985" s="6" t="s">
        <v>246</v>
      </c>
      <c r="O985" s="35" t="s">
        <v>1220</v>
      </c>
      <c r="P985" s="1" t="s">
        <v>43</v>
      </c>
      <c r="Q985" s="6" t="s">
        <v>1269</v>
      </c>
      <c r="R985" s="6" t="s">
        <v>44</v>
      </c>
      <c r="S985" s="14"/>
      <c r="U985" s="6" t="n">
        <v>1500</v>
      </c>
      <c r="V985" s="14" t="n">
        <v>2</v>
      </c>
      <c r="W985" s="4"/>
      <c r="X985" s="9" t="s">
        <v>1215</v>
      </c>
      <c r="Y985" s="14" t="n">
        <v>5500</v>
      </c>
      <c r="Z985" s="6" t="s">
        <v>1324</v>
      </c>
      <c r="AA985" s="6" t="s">
        <v>1325</v>
      </c>
      <c r="AB985" s="15" t="str">
        <f aca="true" t="array" ref="AB985:AB985">LEFT(AA985,LOOKUP(2^15,FIND(".",AA985,ROW(INDIRECT("1:"&amp;LEN(AA985)))))-1)</f>
        <v>NB_2023_016 - 20230425 - 1</v>
      </c>
      <c r="AC985" s="6" t="s">
        <v>1326</v>
      </c>
      <c r="AD985" s="15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3" t="s">
        <v>1334</v>
      </c>
      <c r="B986" s="34"/>
      <c r="C986" s="4" t="s">
        <v>1335</v>
      </c>
      <c r="D986" s="6" t="s">
        <v>14</v>
      </c>
      <c r="E986" s="6" t="s">
        <v>1319</v>
      </c>
      <c r="F986" s="7" t="s">
        <v>1320</v>
      </c>
      <c r="G986" s="6" t="s">
        <v>1336</v>
      </c>
      <c r="H986" s="7" t="s">
        <v>129</v>
      </c>
      <c r="I986" s="6" t="str">
        <f aca="false">CONCATENATE(E986, "_",H986)</f>
        <v>NLA_2023_018_010</v>
      </c>
      <c r="J986" s="6" t="s">
        <v>52</v>
      </c>
      <c r="K986" s="6" t="s">
        <v>1339</v>
      </c>
      <c r="L986" s="9" t="s">
        <v>69</v>
      </c>
      <c r="M986" s="17" t="s">
        <v>1338</v>
      </c>
      <c r="N986" s="6" t="s">
        <v>246</v>
      </c>
      <c r="O986" s="35" t="s">
        <v>1220</v>
      </c>
      <c r="P986" s="1" t="s">
        <v>43</v>
      </c>
      <c r="Q986" s="6" t="s">
        <v>1269</v>
      </c>
      <c r="R986" s="6" t="s">
        <v>44</v>
      </c>
      <c r="S986" s="14"/>
      <c r="U986" s="6" t="n">
        <v>1500</v>
      </c>
      <c r="V986" s="14" t="n">
        <v>1</v>
      </c>
      <c r="W986" s="4"/>
      <c r="X986" s="9" t="s">
        <v>1215</v>
      </c>
      <c r="Y986" s="14" t="n">
        <v>5500</v>
      </c>
      <c r="Z986" s="6" t="s">
        <v>1324</v>
      </c>
      <c r="AA986" s="6" t="s">
        <v>1325</v>
      </c>
      <c r="AB986" s="15" t="str">
        <f aca="true" t="array" ref="AB986:AB986">LEFT(AA986,LOOKUP(2^15,FIND(".",AA986,ROW(INDIRECT("1:"&amp;LEN(AA986)))))-1)</f>
        <v>NB_2023_016 - 20230425 - 1</v>
      </c>
      <c r="AC986" s="6" t="s">
        <v>1326</v>
      </c>
      <c r="AD986" s="15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3" t="s">
        <v>1334</v>
      </c>
      <c r="B987" s="34"/>
      <c r="C987" s="4" t="s">
        <v>1335</v>
      </c>
      <c r="D987" s="6" t="s">
        <v>14</v>
      </c>
      <c r="E987" s="6" t="s">
        <v>1319</v>
      </c>
      <c r="F987" s="7" t="s">
        <v>1320</v>
      </c>
      <c r="G987" s="6" t="s">
        <v>1336</v>
      </c>
      <c r="H987" s="7" t="s">
        <v>181</v>
      </c>
      <c r="I987" s="6" t="str">
        <f aca="false">CONCATENATE(E987, "_",H987)</f>
        <v>NLA_2023_018_017</v>
      </c>
      <c r="J987" s="6" t="s">
        <v>38</v>
      </c>
      <c r="K987" s="6" t="s">
        <v>1340</v>
      </c>
      <c r="L987" s="9" t="s">
        <v>69</v>
      </c>
      <c r="M987" s="17" t="s">
        <v>1338</v>
      </c>
      <c r="N987" s="6" t="s">
        <v>246</v>
      </c>
      <c r="O987" s="35" t="s">
        <v>1212</v>
      </c>
      <c r="P987" s="1" t="s">
        <v>43</v>
      </c>
      <c r="Q987" s="1" t="s">
        <v>43</v>
      </c>
      <c r="R987" s="6" t="s">
        <v>44</v>
      </c>
      <c r="S987" s="14"/>
      <c r="U987" s="6" t="n">
        <v>1500</v>
      </c>
      <c r="V987" s="14" t="n">
        <v>2</v>
      </c>
      <c r="W987" s="4"/>
      <c r="X987" s="9" t="s">
        <v>1215</v>
      </c>
      <c r="Y987" s="14" t="n">
        <v>5500</v>
      </c>
      <c r="Z987" s="6" t="s">
        <v>1324</v>
      </c>
      <c r="AA987" s="6" t="s">
        <v>1325</v>
      </c>
      <c r="AB987" s="15" t="str">
        <f aca="true" t="array" ref="AB987:AB987">LEFT(AA987,LOOKUP(2^15,FIND(".",AA987,ROW(INDIRECT("1:"&amp;LEN(AA987)))))-1)</f>
        <v>NB_2023_016 - 20230425 - 1</v>
      </c>
      <c r="AC987" s="6" t="s">
        <v>1326</v>
      </c>
      <c r="AD987" s="15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3" t="s">
        <v>1334</v>
      </c>
      <c r="B988" s="34"/>
      <c r="C988" s="4" t="s">
        <v>1335</v>
      </c>
      <c r="D988" s="6" t="s">
        <v>14</v>
      </c>
      <c r="E988" s="6" t="s">
        <v>1319</v>
      </c>
      <c r="F988" s="7" t="s">
        <v>1320</v>
      </c>
      <c r="G988" s="6" t="s">
        <v>1336</v>
      </c>
      <c r="H988" s="7" t="s">
        <v>237</v>
      </c>
      <c r="I988" s="6" t="str">
        <f aca="false">CONCATENATE(E988, "_",H988)</f>
        <v>NLA_2023_018_024</v>
      </c>
      <c r="J988" s="6" t="s">
        <v>52</v>
      </c>
      <c r="K988" s="6" t="s">
        <v>1341</v>
      </c>
      <c r="L988" s="9" t="s">
        <v>69</v>
      </c>
      <c r="M988" s="17" t="s">
        <v>1338</v>
      </c>
      <c r="N988" s="6" t="s">
        <v>246</v>
      </c>
      <c r="O988" s="35" t="s">
        <v>1220</v>
      </c>
      <c r="P988" s="1" t="s">
        <v>43</v>
      </c>
      <c r="Q988" s="6" t="s">
        <v>1269</v>
      </c>
      <c r="R988" s="6" t="s">
        <v>44</v>
      </c>
      <c r="S988" s="14"/>
      <c r="U988" s="6" t="n">
        <v>1500</v>
      </c>
      <c r="V988" s="14" t="n">
        <v>3</v>
      </c>
      <c r="W988" s="4"/>
      <c r="X988" s="9" t="s">
        <v>1215</v>
      </c>
      <c r="Y988" s="14" t="n">
        <v>5500</v>
      </c>
      <c r="Z988" s="6" t="s">
        <v>1324</v>
      </c>
      <c r="AA988" s="6" t="s">
        <v>1325</v>
      </c>
      <c r="AB988" s="15" t="str">
        <f aca="true" t="array" ref="AB988:AB988">LEFT(AA988,LOOKUP(2^15,FIND(".",AA988,ROW(INDIRECT("1:"&amp;LEN(AA988)))))-1)</f>
        <v>NB_2023_016 - 20230425 - 1</v>
      </c>
      <c r="AC988" s="6" t="s">
        <v>1326</v>
      </c>
      <c r="AD988" s="15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3" t="s">
        <v>1334</v>
      </c>
      <c r="B989" s="34"/>
      <c r="C989" s="4" t="s">
        <v>1335</v>
      </c>
      <c r="D989" s="6" t="s">
        <v>14</v>
      </c>
      <c r="E989" s="6" t="s">
        <v>1319</v>
      </c>
      <c r="F989" s="7" t="s">
        <v>1320</v>
      </c>
      <c r="G989" s="6" t="s">
        <v>1336</v>
      </c>
      <c r="H989" s="7" t="s">
        <v>439</v>
      </c>
      <c r="I989" s="6" t="str">
        <f aca="false">CONCATENATE(E989, "_",H989)</f>
        <v>NLA_2023_018_029</v>
      </c>
      <c r="J989" s="6" t="s">
        <v>38</v>
      </c>
      <c r="K989" s="6" t="s">
        <v>1342</v>
      </c>
      <c r="L989" s="9" t="s">
        <v>69</v>
      </c>
      <c r="M989" s="17" t="s">
        <v>1338</v>
      </c>
      <c r="N989" s="6" t="s">
        <v>246</v>
      </c>
      <c r="O989" s="35" t="s">
        <v>1212</v>
      </c>
      <c r="P989" s="1" t="s">
        <v>43</v>
      </c>
      <c r="Q989" s="6" t="s">
        <v>43</v>
      </c>
      <c r="R989" s="6" t="s">
        <v>44</v>
      </c>
      <c r="U989" s="6" t="n">
        <v>1500</v>
      </c>
      <c r="V989" s="1" t="n">
        <v>1</v>
      </c>
      <c r="W989" s="4"/>
      <c r="X989" s="9" t="s">
        <v>1215</v>
      </c>
      <c r="Y989" s="14" t="n">
        <v>5500</v>
      </c>
      <c r="Z989" s="6" t="s">
        <v>1324</v>
      </c>
      <c r="AA989" s="6" t="s">
        <v>1325</v>
      </c>
      <c r="AB989" s="15" t="str">
        <f aca="true" t="array" ref="AB989:AB989">LEFT(AA989,LOOKUP(2^15,FIND(".",AA989,ROW(INDIRECT("1:"&amp;LEN(AA989)))))-1)</f>
        <v>NB_2023_016 - 20230425 - 1</v>
      </c>
      <c r="AC989" s="6" t="s">
        <v>1326</v>
      </c>
      <c r="AD989" s="15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3" t="s">
        <v>1334</v>
      </c>
      <c r="B990" s="34"/>
      <c r="C990" s="4" t="s">
        <v>1335</v>
      </c>
      <c r="D990" s="6" t="s">
        <v>14</v>
      </c>
      <c r="E990" s="6" t="s">
        <v>1319</v>
      </c>
      <c r="F990" s="7" t="s">
        <v>1320</v>
      </c>
      <c r="G990" s="6" t="s">
        <v>1319</v>
      </c>
      <c r="H990" s="16" t="s">
        <v>64</v>
      </c>
      <c r="I990" s="6" t="str">
        <f aca="false">CONCATENATE(E990, "_",H990)</f>
        <v>NLA_2023_018_Blank_1</v>
      </c>
      <c r="J990" s="6" t="s">
        <v>52</v>
      </c>
      <c r="K990" s="18" t="s">
        <v>64</v>
      </c>
      <c r="L990" s="7" t="s">
        <v>46</v>
      </c>
      <c r="M990" s="17" t="s">
        <v>46</v>
      </c>
      <c r="N990" s="6" t="s">
        <v>65</v>
      </c>
      <c r="O990" s="6" t="s">
        <v>46</v>
      </c>
      <c r="P990" s="6" t="s">
        <v>46</v>
      </c>
      <c r="Q990" s="6" t="s">
        <v>46</v>
      </c>
      <c r="R990" s="6" t="s">
        <v>46</v>
      </c>
      <c r="S990" s="6" t="s">
        <v>46</v>
      </c>
      <c r="T990" s="6" t="s">
        <v>46</v>
      </c>
      <c r="U990" s="6" t="s">
        <v>46</v>
      </c>
      <c r="V990" s="1" t="n">
        <v>1</v>
      </c>
      <c r="W990" s="4"/>
      <c r="X990" s="6" t="s">
        <v>46</v>
      </c>
      <c r="Y990" s="14" t="n">
        <v>5500</v>
      </c>
      <c r="Z990" s="6" t="s">
        <v>1324</v>
      </c>
      <c r="AA990" s="6" t="s">
        <v>1325</v>
      </c>
      <c r="AB990" s="15" t="str">
        <f aca="true" t="array" ref="AB990:AB990">LEFT(AA990,LOOKUP(2^15,FIND(".",AA990,ROW(INDIRECT("1:"&amp;LEN(AA990)))))-1)</f>
        <v>NB_2023_016 - 20230425 - 1</v>
      </c>
      <c r="AC990" s="6" t="s">
        <v>1326</v>
      </c>
      <c r="AD990" s="15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3" t="s">
        <v>1334</v>
      </c>
      <c r="B991" s="34"/>
      <c r="C991" s="4" t="s">
        <v>1335</v>
      </c>
      <c r="D991" s="6" t="s">
        <v>14</v>
      </c>
      <c r="E991" s="6" t="s">
        <v>1319</v>
      </c>
      <c r="F991" s="7" t="s">
        <v>1320</v>
      </c>
      <c r="G991" s="6" t="s">
        <v>1319</v>
      </c>
      <c r="H991" s="16" t="s">
        <v>67</v>
      </c>
      <c r="I991" s="6" t="str">
        <f aca="false">CONCATENATE(E991, "_",H991)</f>
        <v>NLA_2023_018_Blank_3</v>
      </c>
      <c r="J991" s="6" t="s">
        <v>52</v>
      </c>
      <c r="K991" s="18" t="s">
        <v>67</v>
      </c>
      <c r="L991" s="7" t="s">
        <v>46</v>
      </c>
      <c r="M991" s="17" t="s">
        <v>46</v>
      </c>
      <c r="N991" s="6" t="s">
        <v>65</v>
      </c>
      <c r="O991" s="6" t="s">
        <v>46</v>
      </c>
      <c r="P991" s="6" t="s">
        <v>46</v>
      </c>
      <c r="Q991" s="6" t="s">
        <v>46</v>
      </c>
      <c r="R991" s="6" t="s">
        <v>46</v>
      </c>
      <c r="S991" s="6" t="s">
        <v>46</v>
      </c>
      <c r="T991" s="6" t="s">
        <v>46</v>
      </c>
      <c r="U991" s="6" t="s">
        <v>46</v>
      </c>
      <c r="V991" s="1" t="n">
        <v>3</v>
      </c>
      <c r="W991" s="4"/>
      <c r="X991" s="6" t="s">
        <v>46</v>
      </c>
      <c r="Y991" s="14" t="n">
        <v>5500</v>
      </c>
      <c r="Z991" s="6" t="s">
        <v>1324</v>
      </c>
      <c r="AA991" s="6" t="s">
        <v>1325</v>
      </c>
      <c r="AB991" s="15" t="str">
        <f aca="true" t="array" ref="AB991:AB991">LEFT(AA991,LOOKUP(2^15,FIND(".",AA991,ROW(INDIRECT("1:"&amp;LEN(AA991)))))-1)</f>
        <v>NB_2023_016 - 20230425 - 1</v>
      </c>
      <c r="AC991" s="6" t="s">
        <v>1326</v>
      </c>
      <c r="AD991" s="15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3" t="s">
        <v>1334</v>
      </c>
      <c r="B992" s="34"/>
      <c r="C992" s="4" t="s">
        <v>1335</v>
      </c>
      <c r="D992" s="6" t="s">
        <v>14</v>
      </c>
      <c r="E992" s="6" t="s">
        <v>1319</v>
      </c>
      <c r="F992" s="7" t="s">
        <v>1320</v>
      </c>
      <c r="G992" s="6" t="s">
        <v>1319</v>
      </c>
      <c r="H992" s="16" t="s">
        <v>221</v>
      </c>
      <c r="I992" s="6" t="str">
        <f aca="false">CONCATENATE(E992, "_",H992)</f>
        <v>NLA_2023_018_Blank_4</v>
      </c>
      <c r="J992" s="6" t="s">
        <v>52</v>
      </c>
      <c r="K992" s="18" t="s">
        <v>221</v>
      </c>
      <c r="L992" s="7" t="s">
        <v>46</v>
      </c>
      <c r="M992" s="17" t="s">
        <v>46</v>
      </c>
      <c r="N992" s="6" t="s">
        <v>65</v>
      </c>
      <c r="O992" s="6" t="s">
        <v>46</v>
      </c>
      <c r="P992" s="6" t="s">
        <v>46</v>
      </c>
      <c r="Q992" s="6" t="s">
        <v>46</v>
      </c>
      <c r="R992" s="6" t="s">
        <v>46</v>
      </c>
      <c r="S992" s="6" t="s">
        <v>46</v>
      </c>
      <c r="T992" s="6" t="s">
        <v>46</v>
      </c>
      <c r="U992" s="6" t="s">
        <v>46</v>
      </c>
      <c r="V992" s="1" t="n">
        <v>4</v>
      </c>
      <c r="W992" s="4"/>
      <c r="X992" s="6" t="s">
        <v>46</v>
      </c>
      <c r="Y992" s="14" t="n">
        <v>5500</v>
      </c>
      <c r="Z992" s="6" t="s">
        <v>1324</v>
      </c>
      <c r="AA992" s="6" t="s">
        <v>1325</v>
      </c>
      <c r="AB992" s="15" t="str">
        <f aca="true" t="array" ref="AB992:AB992">LEFT(AA992,LOOKUP(2^15,FIND(".",AA992,ROW(INDIRECT("1:"&amp;LEN(AA992)))))-1)</f>
        <v>NB_2023_016 - 20230425 - 1</v>
      </c>
      <c r="AC992" s="6" t="s">
        <v>1326</v>
      </c>
      <c r="AD992" s="15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3" t="s">
        <v>1334</v>
      </c>
      <c r="B993" s="34"/>
      <c r="C993" s="4" t="s">
        <v>1335</v>
      </c>
      <c r="D993" s="6" t="s">
        <v>14</v>
      </c>
      <c r="E993" s="6" t="s">
        <v>1319</v>
      </c>
      <c r="F993" s="7" t="s">
        <v>1320</v>
      </c>
      <c r="G993" s="6" t="s">
        <v>1319</v>
      </c>
      <c r="H993" s="16" t="s">
        <v>68</v>
      </c>
      <c r="I993" s="6" t="str">
        <f aca="false">CONCATENATE(E993, "_",H993)</f>
        <v>NLA_2023_018_QC_C_1</v>
      </c>
      <c r="J993" s="6" t="s">
        <v>52</v>
      </c>
      <c r="K993" s="18" t="s">
        <v>68</v>
      </c>
      <c r="L993" s="9" t="s">
        <v>69</v>
      </c>
      <c r="M993" s="3" t="s">
        <v>46</v>
      </c>
      <c r="N993" s="6" t="s">
        <v>70</v>
      </c>
      <c r="O993" s="6" t="s">
        <v>46</v>
      </c>
      <c r="P993" s="6" t="s">
        <v>71</v>
      </c>
      <c r="Q993" s="6" t="s">
        <v>71</v>
      </c>
      <c r="R993" s="6" t="s">
        <v>72</v>
      </c>
      <c r="S993" s="6" t="s">
        <v>73</v>
      </c>
      <c r="T993" s="6" t="s">
        <v>46</v>
      </c>
      <c r="U993" s="6" t="n">
        <v>1000</v>
      </c>
      <c r="V993" s="1" t="n">
        <v>1</v>
      </c>
      <c r="W993" s="4"/>
      <c r="X993" s="6" t="s">
        <v>74</v>
      </c>
      <c r="Y993" s="14" t="n">
        <v>5500</v>
      </c>
      <c r="Z993" s="6" t="s">
        <v>1324</v>
      </c>
      <c r="AA993" s="6" t="s">
        <v>1325</v>
      </c>
      <c r="AB993" s="15" t="str">
        <f aca="true" t="array" ref="AB993:AB993">LEFT(AA993,LOOKUP(2^15,FIND(".",AA993,ROW(INDIRECT("1:"&amp;LEN(AA993)))))-1)</f>
        <v>NB_2023_016 - 20230425 - 1</v>
      </c>
      <c r="AC993" s="6" t="s">
        <v>1326</v>
      </c>
      <c r="AD993" s="15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3" t="s">
        <v>1334</v>
      </c>
      <c r="B994" s="34"/>
      <c r="C994" s="4" t="s">
        <v>1335</v>
      </c>
      <c r="D994" s="6" t="s">
        <v>14</v>
      </c>
      <c r="E994" s="6" t="s">
        <v>1319</v>
      </c>
      <c r="F994" s="7" t="s">
        <v>1320</v>
      </c>
      <c r="G994" s="6" t="s">
        <v>1319</v>
      </c>
      <c r="H994" s="16" t="s">
        <v>75</v>
      </c>
      <c r="I994" s="6" t="str">
        <f aca="false">CONCATENATE(E994, "_",H994)</f>
        <v>NLA_2023_018_QC_C_2</v>
      </c>
      <c r="J994" s="6" t="s">
        <v>52</v>
      </c>
      <c r="K994" s="18" t="s">
        <v>75</v>
      </c>
      <c r="L994" s="9" t="s">
        <v>69</v>
      </c>
      <c r="M994" s="3" t="s">
        <v>46</v>
      </c>
      <c r="N994" s="6" t="s">
        <v>70</v>
      </c>
      <c r="O994" s="6" t="s">
        <v>46</v>
      </c>
      <c r="P994" s="6" t="s">
        <v>71</v>
      </c>
      <c r="Q994" s="6" t="s">
        <v>71</v>
      </c>
      <c r="R994" s="6" t="s">
        <v>72</v>
      </c>
      <c r="S994" s="6" t="s">
        <v>73</v>
      </c>
      <c r="T994" s="6" t="s">
        <v>46</v>
      </c>
      <c r="U994" s="6" t="n">
        <v>1000</v>
      </c>
      <c r="V994" s="1" t="n">
        <v>2</v>
      </c>
      <c r="W994" s="4"/>
      <c r="X994" s="6" t="s">
        <v>74</v>
      </c>
      <c r="Y994" s="14" t="n">
        <v>5500</v>
      </c>
      <c r="Z994" s="6" t="s">
        <v>1324</v>
      </c>
      <c r="AA994" s="6" t="s">
        <v>1325</v>
      </c>
      <c r="AB994" s="15" t="str">
        <f aca="true" t="array" ref="AB994:AB994">LEFT(AA994,LOOKUP(2^15,FIND(".",AA994,ROW(INDIRECT("1:"&amp;LEN(AA994)))))-1)</f>
        <v>NB_2023_016 - 20230425 - 1</v>
      </c>
      <c r="AC994" s="6" t="s">
        <v>1326</v>
      </c>
      <c r="AD994" s="15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3" t="s">
        <v>1334</v>
      </c>
      <c r="B995" s="34"/>
      <c r="C995" s="4" t="s">
        <v>1335</v>
      </c>
      <c r="D995" s="6" t="s">
        <v>14</v>
      </c>
      <c r="E995" s="6" t="s">
        <v>1319</v>
      </c>
      <c r="F995" s="7" t="s">
        <v>1320</v>
      </c>
      <c r="G995" s="6" t="s">
        <v>1319</v>
      </c>
      <c r="H995" s="16" t="s">
        <v>76</v>
      </c>
      <c r="I995" s="6" t="str">
        <f aca="false">CONCATENATE(E995, "_",H995)</f>
        <v>NLA_2023_018_QC_C_3</v>
      </c>
      <c r="J995" s="6" t="s">
        <v>52</v>
      </c>
      <c r="K995" s="18" t="s">
        <v>76</v>
      </c>
      <c r="L995" s="9" t="s">
        <v>69</v>
      </c>
      <c r="M995" s="3" t="s">
        <v>46</v>
      </c>
      <c r="N995" s="6" t="s">
        <v>70</v>
      </c>
      <c r="O995" s="6" t="s">
        <v>46</v>
      </c>
      <c r="P995" s="6" t="s">
        <v>71</v>
      </c>
      <c r="Q995" s="6" t="s">
        <v>71</v>
      </c>
      <c r="R995" s="6" t="s">
        <v>72</v>
      </c>
      <c r="S995" s="6" t="s">
        <v>73</v>
      </c>
      <c r="T995" s="6" t="s">
        <v>46</v>
      </c>
      <c r="U995" s="6" t="n">
        <v>1000</v>
      </c>
      <c r="V995" s="1" t="n">
        <v>3</v>
      </c>
      <c r="W995" s="4"/>
      <c r="X995" s="6" t="s">
        <v>74</v>
      </c>
      <c r="Y995" s="14" t="n">
        <v>5500</v>
      </c>
      <c r="Z995" s="6" t="s">
        <v>1324</v>
      </c>
      <c r="AA995" s="6" t="s">
        <v>1325</v>
      </c>
      <c r="AB995" s="15" t="str">
        <f aca="true" t="array" ref="AB995:AB995">LEFT(AA995,LOOKUP(2^15,FIND(".",AA995,ROW(INDIRECT("1:"&amp;LEN(AA995)))))-1)</f>
        <v>NB_2023_016 - 20230425 - 1</v>
      </c>
      <c r="AC995" s="6" t="s">
        <v>1326</v>
      </c>
      <c r="AD995" s="15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3" t="s">
        <v>1334</v>
      </c>
      <c r="B996" s="34"/>
      <c r="C996" s="4" t="s">
        <v>1335</v>
      </c>
      <c r="D996" s="6" t="s">
        <v>14</v>
      </c>
      <c r="E996" s="6" t="s">
        <v>1319</v>
      </c>
      <c r="F996" s="7" t="s">
        <v>1320</v>
      </c>
      <c r="G996" s="6" t="s">
        <v>1319</v>
      </c>
      <c r="H996" s="16" t="s">
        <v>222</v>
      </c>
      <c r="I996" s="6" t="str">
        <f aca="false">CONCATENATE(E996, "_",H996)</f>
        <v>NLA_2023_018_QC_C_4</v>
      </c>
      <c r="J996" s="6" t="s">
        <v>52</v>
      </c>
      <c r="K996" s="18" t="s">
        <v>222</v>
      </c>
      <c r="L996" s="9" t="s">
        <v>69</v>
      </c>
      <c r="M996" s="3" t="s">
        <v>46</v>
      </c>
      <c r="N996" s="6" t="s">
        <v>70</v>
      </c>
      <c r="O996" s="6" t="s">
        <v>46</v>
      </c>
      <c r="P996" s="6" t="s">
        <v>71</v>
      </c>
      <c r="Q996" s="6" t="s">
        <v>71</v>
      </c>
      <c r="R996" s="6" t="s">
        <v>72</v>
      </c>
      <c r="S996" s="6" t="s">
        <v>73</v>
      </c>
      <c r="T996" s="6" t="s">
        <v>46</v>
      </c>
      <c r="U996" s="6" t="n">
        <v>1000</v>
      </c>
      <c r="V996" s="1" t="n">
        <v>4</v>
      </c>
      <c r="W996" s="4"/>
      <c r="X996" s="6" t="s">
        <v>74</v>
      </c>
      <c r="Y996" s="14" t="n">
        <v>5500</v>
      </c>
      <c r="Z996" s="6" t="s">
        <v>1324</v>
      </c>
      <c r="AA996" s="6" t="s">
        <v>1325</v>
      </c>
      <c r="AB996" s="15" t="str">
        <f aca="true" t="array" ref="AB996:AB996">LEFT(AA996,LOOKUP(2^15,FIND(".",AA996,ROW(INDIRECT("1:"&amp;LEN(AA996)))))-1)</f>
        <v>NB_2023_016 - 20230425 - 1</v>
      </c>
      <c r="AC996" s="6" t="s">
        <v>1326</v>
      </c>
      <c r="AD996" s="15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3" t="s">
        <v>1334</v>
      </c>
      <c r="B997" s="34"/>
      <c r="C997" s="4" t="s">
        <v>1335</v>
      </c>
      <c r="D997" s="6" t="s">
        <v>14</v>
      </c>
      <c r="E997" s="6" t="s">
        <v>1319</v>
      </c>
      <c r="F997" s="7" t="s">
        <v>1320</v>
      </c>
      <c r="G997" s="6" t="s">
        <v>1319</v>
      </c>
      <c r="H997" s="16" t="s">
        <v>77</v>
      </c>
      <c r="I997" s="6" t="str">
        <f aca="false">CONCATENATE(E997, "_",H997)</f>
        <v>NLA_2023_018_QC_P_1</v>
      </c>
      <c r="J997" s="6" t="s">
        <v>52</v>
      </c>
      <c r="K997" s="18" t="s">
        <v>77</v>
      </c>
      <c r="L997" s="7" t="s">
        <v>69</v>
      </c>
      <c r="M997" s="3" t="s">
        <v>46</v>
      </c>
      <c r="N997" s="6" t="s">
        <v>78</v>
      </c>
      <c r="O997" s="6" t="s">
        <v>46</v>
      </c>
      <c r="P997" s="6" t="s">
        <v>79</v>
      </c>
      <c r="Q997" s="6" t="s">
        <v>80</v>
      </c>
      <c r="R997" s="6" t="s">
        <v>81</v>
      </c>
      <c r="S997" s="6" t="s">
        <v>46</v>
      </c>
      <c r="T997" s="6" t="s">
        <v>46</v>
      </c>
      <c r="U997" s="6" t="s">
        <v>82</v>
      </c>
      <c r="V997" s="1" t="n">
        <v>1</v>
      </c>
      <c r="W997" s="4"/>
      <c r="X997" s="6" t="s">
        <v>83</v>
      </c>
      <c r="Y997" s="14" t="n">
        <v>5500</v>
      </c>
      <c r="Z997" s="6" t="s">
        <v>1324</v>
      </c>
      <c r="AA997" s="6" t="s">
        <v>1325</v>
      </c>
      <c r="AB997" s="15" t="str">
        <f aca="true" t="array" ref="AB997:AB997">LEFT(AA997,LOOKUP(2^15,FIND(".",AA997,ROW(INDIRECT("1:"&amp;LEN(AA997)))))-1)</f>
        <v>NB_2023_016 - 20230425 - 1</v>
      </c>
      <c r="AC997" s="6" t="s">
        <v>1326</v>
      </c>
      <c r="AD997" s="15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3" t="s">
        <v>1334</v>
      </c>
      <c r="B998" s="34"/>
      <c r="C998" s="4" t="s">
        <v>1335</v>
      </c>
      <c r="D998" s="6" t="s">
        <v>14</v>
      </c>
      <c r="E998" s="6" t="s">
        <v>1319</v>
      </c>
      <c r="F998" s="7" t="s">
        <v>1320</v>
      </c>
      <c r="G998" s="6" t="s">
        <v>1319</v>
      </c>
      <c r="H998" s="16" t="s">
        <v>84</v>
      </c>
      <c r="I998" s="6" t="str">
        <f aca="false">CONCATENATE(E998, "_",H998)</f>
        <v>NLA_2023_018_QC_P_2</v>
      </c>
      <c r="J998" s="6" t="s">
        <v>52</v>
      </c>
      <c r="K998" s="18" t="s">
        <v>84</v>
      </c>
      <c r="L998" s="7" t="s">
        <v>69</v>
      </c>
      <c r="M998" s="3" t="s">
        <v>46</v>
      </c>
      <c r="N998" s="6" t="s">
        <v>78</v>
      </c>
      <c r="O998" s="6" t="s">
        <v>46</v>
      </c>
      <c r="P998" s="6" t="s">
        <v>79</v>
      </c>
      <c r="Q998" s="6" t="s">
        <v>80</v>
      </c>
      <c r="R998" s="6" t="s">
        <v>81</v>
      </c>
      <c r="S998" s="6" t="s">
        <v>46</v>
      </c>
      <c r="T998" s="6" t="s">
        <v>46</v>
      </c>
      <c r="U998" s="6" t="s">
        <v>82</v>
      </c>
      <c r="V998" s="1" t="n">
        <v>2</v>
      </c>
      <c r="W998" s="4"/>
      <c r="X998" s="6" t="s">
        <v>83</v>
      </c>
      <c r="Y998" s="14" t="n">
        <v>5500</v>
      </c>
      <c r="Z998" s="6" t="s">
        <v>1324</v>
      </c>
      <c r="AA998" s="6" t="s">
        <v>1325</v>
      </c>
      <c r="AB998" s="15" t="str">
        <f aca="true" t="array" ref="AB998:AB998">LEFT(AA998,LOOKUP(2^15,FIND(".",AA998,ROW(INDIRECT("1:"&amp;LEN(AA998)))))-1)</f>
        <v>NB_2023_016 - 20230425 - 1</v>
      </c>
      <c r="AC998" s="6" t="s">
        <v>1326</v>
      </c>
      <c r="AD998" s="15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3" t="s">
        <v>1334</v>
      </c>
      <c r="B999" s="34"/>
      <c r="C999" s="4" t="s">
        <v>1335</v>
      </c>
      <c r="D999" s="6" t="s">
        <v>14</v>
      </c>
      <c r="E999" s="6" t="s">
        <v>1319</v>
      </c>
      <c r="F999" s="7" t="s">
        <v>1320</v>
      </c>
      <c r="G999" s="6" t="s">
        <v>1319</v>
      </c>
      <c r="H999" s="16" t="s">
        <v>85</v>
      </c>
      <c r="I999" s="6" t="str">
        <f aca="false">CONCATENATE(E999, "_",H999)</f>
        <v>NLA_2023_018_QC_P_3</v>
      </c>
      <c r="J999" s="4" t="s">
        <v>52</v>
      </c>
      <c r="K999" s="18" t="s">
        <v>85</v>
      </c>
      <c r="L999" s="7" t="s">
        <v>69</v>
      </c>
      <c r="M999" s="3" t="s">
        <v>46</v>
      </c>
      <c r="N999" s="6" t="s">
        <v>78</v>
      </c>
      <c r="O999" s="6" t="s">
        <v>46</v>
      </c>
      <c r="P999" s="6" t="s">
        <v>79</v>
      </c>
      <c r="Q999" s="6" t="s">
        <v>80</v>
      </c>
      <c r="R999" s="6" t="s">
        <v>81</v>
      </c>
      <c r="S999" s="6" t="s">
        <v>46</v>
      </c>
      <c r="T999" s="6" t="s">
        <v>46</v>
      </c>
      <c r="U999" s="6" t="s">
        <v>82</v>
      </c>
      <c r="V999" s="1" t="n">
        <v>3</v>
      </c>
      <c r="W999" s="4"/>
      <c r="X999" s="6" t="s">
        <v>83</v>
      </c>
      <c r="Y999" s="14" t="n">
        <v>5500</v>
      </c>
      <c r="Z999" s="6" t="s">
        <v>1324</v>
      </c>
      <c r="AA999" s="6" t="s">
        <v>1325</v>
      </c>
      <c r="AB999" s="15" t="str">
        <f aca="true" t="array" ref="AB999:AB999">LEFT(AA999,LOOKUP(2^15,FIND(".",AA999,ROW(INDIRECT("1:"&amp;LEN(AA999)))))-1)</f>
        <v>NB_2023_016 - 20230425 - 1</v>
      </c>
      <c r="AC999" s="6" t="s">
        <v>1326</v>
      </c>
      <c r="AD999" s="15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3" t="s">
        <v>1334</v>
      </c>
      <c r="B1000" s="34"/>
      <c r="C1000" s="4" t="s">
        <v>1335</v>
      </c>
      <c r="D1000" s="6" t="s">
        <v>14</v>
      </c>
      <c r="E1000" s="6" t="s">
        <v>1319</v>
      </c>
      <c r="F1000" s="7" t="s">
        <v>1320</v>
      </c>
      <c r="G1000" s="6" t="s">
        <v>1319</v>
      </c>
      <c r="H1000" s="16" t="s">
        <v>224</v>
      </c>
      <c r="I1000" s="6" t="str">
        <f aca="false">CONCATENATE(E1000, "_",H1000)</f>
        <v>NLA_2023_018_QC_P_4</v>
      </c>
      <c r="J1000" s="4" t="s">
        <v>52</v>
      </c>
      <c r="K1000" s="18" t="s">
        <v>224</v>
      </c>
      <c r="L1000" s="7" t="s">
        <v>69</v>
      </c>
      <c r="M1000" s="3" t="s">
        <v>46</v>
      </c>
      <c r="N1000" s="6" t="s">
        <v>78</v>
      </c>
      <c r="O1000" s="6" t="s">
        <v>46</v>
      </c>
      <c r="P1000" s="6" t="s">
        <v>79</v>
      </c>
      <c r="Q1000" s="6" t="s">
        <v>80</v>
      </c>
      <c r="R1000" s="6" t="s">
        <v>81</v>
      </c>
      <c r="S1000" s="6" t="s">
        <v>46</v>
      </c>
      <c r="T1000" s="6" t="s">
        <v>46</v>
      </c>
      <c r="U1000" s="6" t="s">
        <v>82</v>
      </c>
      <c r="V1000" s="1" t="n">
        <v>4</v>
      </c>
      <c r="W1000" s="4"/>
      <c r="X1000" s="6" t="s">
        <v>83</v>
      </c>
      <c r="Y1000" s="14" t="n">
        <v>5500</v>
      </c>
      <c r="Z1000" s="6" t="s">
        <v>1324</v>
      </c>
      <c r="AA1000" s="6" t="s">
        <v>1325</v>
      </c>
      <c r="AB1000" s="15" t="str">
        <f aca="true" t="array" ref="AB1000:AB1000">LEFT(AA1000,LOOKUP(2^15,FIND(".",AA1000,ROW(INDIRECT("1:"&amp;LEN(AA1000)))))-1)</f>
        <v>NB_2023_016 - 20230425 - 1</v>
      </c>
      <c r="AC1000" s="6" t="s">
        <v>1326</v>
      </c>
      <c r="AD1000" s="15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3" t="s">
        <v>1343</v>
      </c>
      <c r="B1001" s="34"/>
      <c r="C1001" s="4" t="s">
        <v>1344</v>
      </c>
      <c r="D1001" s="6" t="s">
        <v>14</v>
      </c>
      <c r="E1001" s="6" t="s">
        <v>1319</v>
      </c>
      <c r="F1001" s="7" t="s">
        <v>1320</v>
      </c>
      <c r="G1001" s="6" t="s">
        <v>1345</v>
      </c>
      <c r="H1001" s="7" t="s">
        <v>88</v>
      </c>
      <c r="I1001" s="6" t="str">
        <f aca="false">CONCATENATE(E1001, "_",H1001)</f>
        <v>NLA_2023_018_002</v>
      </c>
      <c r="J1001" s="6" t="s">
        <v>52</v>
      </c>
      <c r="K1001" s="6" t="s">
        <v>1346</v>
      </c>
      <c r="L1001" s="9" t="s">
        <v>69</v>
      </c>
      <c r="M1001" s="17" t="s">
        <v>1347</v>
      </c>
      <c r="N1001" s="6" t="s">
        <v>246</v>
      </c>
      <c r="O1001" s="35" t="s">
        <v>1220</v>
      </c>
      <c r="P1001" s="1" t="s">
        <v>43</v>
      </c>
      <c r="Q1001" s="6" t="s">
        <v>1269</v>
      </c>
      <c r="R1001" s="6" t="s">
        <v>44</v>
      </c>
      <c r="U1001" s="6" t="n">
        <v>1500</v>
      </c>
      <c r="V1001" s="1" t="n">
        <v>2</v>
      </c>
      <c r="W1001" s="4"/>
      <c r="X1001" s="9" t="s">
        <v>1215</v>
      </c>
      <c r="Y1001" s="14" t="n">
        <v>5500</v>
      </c>
      <c r="Z1001" s="6" t="s">
        <v>1324</v>
      </c>
      <c r="AA1001" s="6" t="s">
        <v>1325</v>
      </c>
      <c r="AB1001" s="15" t="str">
        <f aca="true" t="array" ref="AB1001:AB1001">LEFT(AA1001,LOOKUP(2^15,FIND(".",AA1001,ROW(INDIRECT("1:"&amp;LEN(AA1001)))))-1)</f>
        <v>NB_2023_016 - 20230425 - 1</v>
      </c>
      <c r="AC1001" s="6" t="s">
        <v>1326</v>
      </c>
      <c r="AD1001" s="15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3" t="s">
        <v>1343</v>
      </c>
      <c r="B1002" s="34"/>
      <c r="C1002" s="4" t="s">
        <v>1344</v>
      </c>
      <c r="D1002" s="6" t="s">
        <v>14</v>
      </c>
      <c r="E1002" s="6" t="s">
        <v>1319</v>
      </c>
      <c r="F1002" s="7" t="s">
        <v>1320</v>
      </c>
      <c r="G1002" s="6" t="s">
        <v>1345</v>
      </c>
      <c r="H1002" s="7" t="s">
        <v>99</v>
      </c>
      <c r="I1002" s="6" t="str">
        <f aca="false">CONCATENATE(E1002, "_",H1002)</f>
        <v>NLA_2023_018_004</v>
      </c>
      <c r="J1002" s="6" t="s">
        <v>52</v>
      </c>
      <c r="K1002" s="6" t="s">
        <v>1348</v>
      </c>
      <c r="L1002" s="9" t="s">
        <v>69</v>
      </c>
      <c r="M1002" s="17" t="s">
        <v>1347</v>
      </c>
      <c r="N1002" s="6" t="s">
        <v>246</v>
      </c>
      <c r="O1002" s="35" t="s">
        <v>1220</v>
      </c>
      <c r="P1002" s="1" t="s">
        <v>43</v>
      </c>
      <c r="Q1002" s="6" t="s">
        <v>1269</v>
      </c>
      <c r="R1002" s="6" t="s">
        <v>44</v>
      </c>
      <c r="S1002" s="14"/>
      <c r="U1002" s="6" t="n">
        <v>1500</v>
      </c>
      <c r="V1002" s="14" t="n">
        <v>3</v>
      </c>
      <c r="W1002" s="4"/>
      <c r="X1002" s="9" t="s">
        <v>1215</v>
      </c>
      <c r="Y1002" s="14" t="n">
        <v>5500</v>
      </c>
      <c r="Z1002" s="6" t="s">
        <v>1324</v>
      </c>
      <c r="AA1002" s="6" t="s">
        <v>1325</v>
      </c>
      <c r="AB1002" s="15" t="str">
        <f aca="true" t="array" ref="AB1002:AB1002">LEFT(AA1002,LOOKUP(2^15,FIND(".",AA1002,ROW(INDIRECT("1:"&amp;LEN(AA1002)))))-1)</f>
        <v>NB_2023_016 - 20230425 - 1</v>
      </c>
      <c r="AC1002" s="6" t="s">
        <v>1326</v>
      </c>
      <c r="AD1002" s="15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3" t="s">
        <v>1343</v>
      </c>
      <c r="B1003" s="34"/>
      <c r="C1003" s="4" t="s">
        <v>1344</v>
      </c>
      <c r="D1003" s="6" t="s">
        <v>14</v>
      </c>
      <c r="E1003" s="6" t="s">
        <v>1319</v>
      </c>
      <c r="F1003" s="7" t="s">
        <v>1320</v>
      </c>
      <c r="G1003" s="6" t="s">
        <v>1345</v>
      </c>
      <c r="H1003" s="7" t="s">
        <v>91</v>
      </c>
      <c r="I1003" s="6" t="str">
        <f aca="false">CONCATENATE(E1003, "_",H1003)</f>
        <v>NLA_2023_018_005</v>
      </c>
      <c r="J1003" s="6" t="s">
        <v>52</v>
      </c>
      <c r="K1003" s="6" t="s">
        <v>1349</v>
      </c>
      <c r="L1003" s="9" t="s">
        <v>69</v>
      </c>
      <c r="M1003" s="17" t="s">
        <v>1347</v>
      </c>
      <c r="N1003" s="6" t="s">
        <v>246</v>
      </c>
      <c r="O1003" s="35" t="s">
        <v>1220</v>
      </c>
      <c r="P1003" s="1" t="s">
        <v>43</v>
      </c>
      <c r="Q1003" s="6" t="s">
        <v>1269</v>
      </c>
      <c r="R1003" s="6" t="s">
        <v>44</v>
      </c>
      <c r="U1003" s="6" t="n">
        <v>1500</v>
      </c>
      <c r="V1003" s="1" t="n">
        <v>1</v>
      </c>
      <c r="W1003" s="4"/>
      <c r="X1003" s="9" t="s">
        <v>1215</v>
      </c>
      <c r="Y1003" s="14" t="n">
        <v>5500</v>
      </c>
      <c r="Z1003" s="6" t="s">
        <v>1324</v>
      </c>
      <c r="AA1003" s="6" t="s">
        <v>1325</v>
      </c>
      <c r="AB1003" s="15" t="str">
        <f aca="true" t="array" ref="AB1003:AB1003">LEFT(AA1003,LOOKUP(2^15,FIND(".",AA1003,ROW(INDIRECT("1:"&amp;LEN(AA1003)))))-1)</f>
        <v>NB_2023_016 - 20230425 - 1</v>
      </c>
      <c r="AC1003" s="6" t="s">
        <v>1326</v>
      </c>
      <c r="AD1003" s="15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3" t="s">
        <v>1343</v>
      </c>
      <c r="B1004" s="34"/>
      <c r="C1004" s="4" t="s">
        <v>1344</v>
      </c>
      <c r="D1004" s="6" t="s">
        <v>14</v>
      </c>
      <c r="E1004" s="6" t="s">
        <v>1319</v>
      </c>
      <c r="F1004" s="7" t="s">
        <v>1320</v>
      </c>
      <c r="G1004" s="6" t="s">
        <v>1345</v>
      </c>
      <c r="H1004" s="7" t="s">
        <v>62</v>
      </c>
      <c r="I1004" s="6" t="str">
        <f aca="false">CONCATENATE(E1004, "_",H1004)</f>
        <v>NLA_2023_018_021</v>
      </c>
      <c r="J1004" s="6" t="s">
        <v>38</v>
      </c>
      <c r="K1004" s="6" t="s">
        <v>1350</v>
      </c>
      <c r="L1004" s="9" t="s">
        <v>69</v>
      </c>
      <c r="M1004" s="17" t="s">
        <v>1347</v>
      </c>
      <c r="N1004" s="6" t="s">
        <v>246</v>
      </c>
      <c r="O1004" s="35" t="s">
        <v>1212</v>
      </c>
      <c r="P1004" s="1" t="s">
        <v>43</v>
      </c>
      <c r="Q1004" s="6" t="s">
        <v>43</v>
      </c>
      <c r="R1004" s="6" t="s">
        <v>44</v>
      </c>
      <c r="S1004" s="14"/>
      <c r="U1004" s="6" t="n">
        <v>1500</v>
      </c>
      <c r="V1004" s="14" t="n">
        <v>1</v>
      </c>
      <c r="W1004" s="4"/>
      <c r="X1004" s="9" t="s">
        <v>1215</v>
      </c>
      <c r="Y1004" s="14" t="n">
        <v>5500</v>
      </c>
      <c r="Z1004" s="6" t="s">
        <v>1324</v>
      </c>
      <c r="AA1004" s="6" t="s">
        <v>1325</v>
      </c>
      <c r="AB1004" s="15" t="str">
        <f aca="true" t="array" ref="AB1004:AB1004">LEFT(AA1004,LOOKUP(2^15,FIND(".",AA1004,ROW(INDIRECT("1:"&amp;LEN(AA1004)))))-1)</f>
        <v>NB_2023_016 - 20230425 - 1</v>
      </c>
      <c r="AC1004" s="6" t="s">
        <v>1326</v>
      </c>
      <c r="AD1004" s="15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3" t="s">
        <v>1343</v>
      </c>
      <c r="B1005" s="34"/>
      <c r="C1005" s="4" t="s">
        <v>1344</v>
      </c>
      <c r="D1005" s="6" t="s">
        <v>14</v>
      </c>
      <c r="E1005" s="6" t="s">
        <v>1319</v>
      </c>
      <c r="F1005" s="7" t="s">
        <v>1320</v>
      </c>
      <c r="G1005" s="6" t="s">
        <v>1345</v>
      </c>
      <c r="H1005" s="7" t="s">
        <v>1351</v>
      </c>
      <c r="I1005" s="6" t="str">
        <f aca="false">CONCATENATE(E1005, "_",H1005)</f>
        <v>NLA_2023_018_025</v>
      </c>
      <c r="J1005" s="6" t="s">
        <v>38</v>
      </c>
      <c r="K1005" s="6" t="s">
        <v>1352</v>
      </c>
      <c r="L1005" s="9" t="s">
        <v>69</v>
      </c>
      <c r="M1005" s="17" t="s">
        <v>1347</v>
      </c>
      <c r="N1005" s="6" t="s">
        <v>246</v>
      </c>
      <c r="O1005" s="35" t="s">
        <v>1212</v>
      </c>
      <c r="P1005" s="1" t="s">
        <v>43</v>
      </c>
      <c r="Q1005" s="6" t="s">
        <v>43</v>
      </c>
      <c r="R1005" s="6" t="s">
        <v>44</v>
      </c>
      <c r="S1005" s="14"/>
      <c r="U1005" s="6" t="n">
        <v>1500</v>
      </c>
      <c r="V1005" s="14" t="n">
        <v>2</v>
      </c>
      <c r="W1005" s="4"/>
      <c r="X1005" s="9" t="s">
        <v>1215</v>
      </c>
      <c r="Y1005" s="14" t="n">
        <v>5500</v>
      </c>
      <c r="Z1005" s="6" t="s">
        <v>1324</v>
      </c>
      <c r="AA1005" s="6" t="s">
        <v>1325</v>
      </c>
      <c r="AB1005" s="15" t="str">
        <f aca="true" t="array" ref="AB1005:AB1005">LEFT(AA1005,LOOKUP(2^15,FIND(".",AA1005,ROW(INDIRECT("1:"&amp;LEN(AA1005)))))-1)</f>
        <v>NB_2023_016 - 20230425 - 1</v>
      </c>
      <c r="AC1005" s="6" t="s">
        <v>1326</v>
      </c>
      <c r="AD1005" s="15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3" t="s">
        <v>1343</v>
      </c>
      <c r="B1006" s="34"/>
      <c r="C1006" s="4" t="s">
        <v>1344</v>
      </c>
      <c r="D1006" s="6" t="s">
        <v>14</v>
      </c>
      <c r="E1006" s="6" t="s">
        <v>1319</v>
      </c>
      <c r="F1006" s="7" t="s">
        <v>1320</v>
      </c>
      <c r="G1006" s="6" t="s">
        <v>1345</v>
      </c>
      <c r="H1006" s="7" t="s">
        <v>1353</v>
      </c>
      <c r="I1006" s="6" t="str">
        <f aca="false">CONCATENATE(E1006, "_",H1006)</f>
        <v>NLA_2023_018_027</v>
      </c>
      <c r="J1006" s="6" t="s">
        <v>38</v>
      </c>
      <c r="K1006" s="6" t="s">
        <v>1354</v>
      </c>
      <c r="L1006" s="9" t="s">
        <v>69</v>
      </c>
      <c r="M1006" s="17" t="s">
        <v>1347</v>
      </c>
      <c r="N1006" s="6" t="s">
        <v>246</v>
      </c>
      <c r="O1006" s="35" t="s">
        <v>1212</v>
      </c>
      <c r="P1006" s="1" t="s">
        <v>43</v>
      </c>
      <c r="Q1006" s="6" t="s">
        <v>43</v>
      </c>
      <c r="R1006" s="6" t="s">
        <v>44</v>
      </c>
      <c r="S1006" s="14"/>
      <c r="U1006" s="6" t="n">
        <v>1500</v>
      </c>
      <c r="V1006" s="14" t="n">
        <v>3</v>
      </c>
      <c r="W1006" s="4"/>
      <c r="X1006" s="9" t="s">
        <v>1215</v>
      </c>
      <c r="Y1006" s="14" t="n">
        <v>5500</v>
      </c>
      <c r="Z1006" s="6" t="s">
        <v>1324</v>
      </c>
      <c r="AA1006" s="6" t="s">
        <v>1325</v>
      </c>
      <c r="AB1006" s="15" t="str">
        <f aca="true" t="array" ref="AB1006:AB1006">LEFT(AA1006,LOOKUP(2^15,FIND(".",AA1006,ROW(INDIRECT("1:"&amp;LEN(AA1006)))))-1)</f>
        <v>NB_2023_016 - 20230425 - 1</v>
      </c>
      <c r="AC1006" s="6" t="s">
        <v>1326</v>
      </c>
      <c r="AD1006" s="15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3" t="s">
        <v>1343</v>
      </c>
      <c r="B1007" s="34"/>
      <c r="C1007" s="4" t="s">
        <v>1344</v>
      </c>
      <c r="D1007" s="6" t="s">
        <v>14</v>
      </c>
      <c r="E1007" s="6" t="s">
        <v>1319</v>
      </c>
      <c r="F1007" s="7" t="s">
        <v>1320</v>
      </c>
      <c r="G1007" s="6" t="s">
        <v>1319</v>
      </c>
      <c r="H1007" s="16" t="s">
        <v>64</v>
      </c>
      <c r="I1007" s="6" t="str">
        <f aca="false">CONCATENATE(E1007, "_",H1007)</f>
        <v>NLA_2023_018_Blank_1</v>
      </c>
      <c r="J1007" s="6" t="s">
        <v>52</v>
      </c>
      <c r="K1007" s="18" t="s">
        <v>64</v>
      </c>
      <c r="L1007" s="7" t="s">
        <v>46</v>
      </c>
      <c r="M1007" s="17" t="s">
        <v>46</v>
      </c>
      <c r="N1007" s="6" t="s">
        <v>65</v>
      </c>
      <c r="O1007" s="6" t="s">
        <v>46</v>
      </c>
      <c r="P1007" s="6" t="s">
        <v>46</v>
      </c>
      <c r="Q1007" s="6" t="s">
        <v>46</v>
      </c>
      <c r="R1007" s="6" t="s">
        <v>46</v>
      </c>
      <c r="S1007" s="6" t="s">
        <v>46</v>
      </c>
      <c r="T1007" s="6" t="s">
        <v>46</v>
      </c>
      <c r="U1007" s="6" t="s">
        <v>46</v>
      </c>
      <c r="V1007" s="1" t="n">
        <v>1</v>
      </c>
      <c r="W1007" s="4"/>
      <c r="X1007" s="6" t="s">
        <v>46</v>
      </c>
      <c r="Y1007" s="14" t="n">
        <v>5500</v>
      </c>
      <c r="Z1007" s="6" t="s">
        <v>1324</v>
      </c>
      <c r="AA1007" s="6" t="s">
        <v>1325</v>
      </c>
      <c r="AB1007" s="15" t="str">
        <f aca="true" t="array" ref="AB1007:AB1007">LEFT(AA1007,LOOKUP(2^15,FIND(".",AA1007,ROW(INDIRECT("1:"&amp;LEN(AA1007)))))-1)</f>
        <v>NB_2023_016 - 20230425 - 1</v>
      </c>
      <c r="AC1007" s="6" t="s">
        <v>1326</v>
      </c>
      <c r="AD1007" s="15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3" t="s">
        <v>1343</v>
      </c>
      <c r="B1008" s="34"/>
      <c r="C1008" s="4" t="s">
        <v>1344</v>
      </c>
      <c r="D1008" s="6" t="s">
        <v>14</v>
      </c>
      <c r="E1008" s="6" t="s">
        <v>1319</v>
      </c>
      <c r="F1008" s="7" t="s">
        <v>1320</v>
      </c>
      <c r="G1008" s="6" t="s">
        <v>1319</v>
      </c>
      <c r="H1008" s="16" t="s">
        <v>67</v>
      </c>
      <c r="I1008" s="6" t="str">
        <f aca="false">CONCATENATE(E1008, "_",H1008)</f>
        <v>NLA_2023_018_Blank_3</v>
      </c>
      <c r="J1008" s="6" t="s">
        <v>52</v>
      </c>
      <c r="K1008" s="18" t="s">
        <v>67</v>
      </c>
      <c r="L1008" s="7" t="s">
        <v>46</v>
      </c>
      <c r="M1008" s="17" t="s">
        <v>46</v>
      </c>
      <c r="N1008" s="6" t="s">
        <v>65</v>
      </c>
      <c r="O1008" s="6" t="s">
        <v>46</v>
      </c>
      <c r="P1008" s="6" t="s">
        <v>46</v>
      </c>
      <c r="Q1008" s="6" t="s">
        <v>46</v>
      </c>
      <c r="R1008" s="6" t="s">
        <v>46</v>
      </c>
      <c r="S1008" s="6" t="s">
        <v>46</v>
      </c>
      <c r="T1008" s="6" t="s">
        <v>46</v>
      </c>
      <c r="U1008" s="6" t="s">
        <v>46</v>
      </c>
      <c r="V1008" s="1" t="n">
        <v>3</v>
      </c>
      <c r="W1008" s="4"/>
      <c r="X1008" s="6" t="s">
        <v>46</v>
      </c>
      <c r="Y1008" s="14" t="n">
        <v>5500</v>
      </c>
      <c r="Z1008" s="6" t="s">
        <v>1324</v>
      </c>
      <c r="AA1008" s="6" t="s">
        <v>1325</v>
      </c>
      <c r="AB1008" s="15" t="str">
        <f aca="true" t="array" ref="AB1008:AB1008">LEFT(AA1008,LOOKUP(2^15,FIND(".",AA1008,ROW(INDIRECT("1:"&amp;LEN(AA1008)))))-1)</f>
        <v>NB_2023_016 - 20230425 - 1</v>
      </c>
      <c r="AC1008" s="6" t="s">
        <v>1326</v>
      </c>
      <c r="AD1008" s="15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3" t="s">
        <v>1343</v>
      </c>
      <c r="B1009" s="34"/>
      <c r="C1009" s="4" t="s">
        <v>1344</v>
      </c>
      <c r="D1009" s="6" t="s">
        <v>14</v>
      </c>
      <c r="E1009" s="6" t="s">
        <v>1319</v>
      </c>
      <c r="F1009" s="7" t="s">
        <v>1320</v>
      </c>
      <c r="G1009" s="6" t="s">
        <v>1319</v>
      </c>
      <c r="H1009" s="16" t="s">
        <v>221</v>
      </c>
      <c r="I1009" s="6" t="str">
        <f aca="false">CONCATENATE(E1009, "_",H1009)</f>
        <v>NLA_2023_018_Blank_4</v>
      </c>
      <c r="J1009" s="6" t="s">
        <v>52</v>
      </c>
      <c r="K1009" s="18" t="s">
        <v>221</v>
      </c>
      <c r="L1009" s="7" t="s">
        <v>46</v>
      </c>
      <c r="M1009" s="17" t="s">
        <v>46</v>
      </c>
      <c r="N1009" s="6" t="s">
        <v>65</v>
      </c>
      <c r="O1009" s="6" t="s">
        <v>46</v>
      </c>
      <c r="P1009" s="6" t="s">
        <v>46</v>
      </c>
      <c r="Q1009" s="6" t="s">
        <v>46</v>
      </c>
      <c r="R1009" s="6" t="s">
        <v>46</v>
      </c>
      <c r="S1009" s="6" t="s">
        <v>46</v>
      </c>
      <c r="T1009" s="6" t="s">
        <v>46</v>
      </c>
      <c r="U1009" s="6" t="s">
        <v>46</v>
      </c>
      <c r="V1009" s="1" t="n">
        <v>4</v>
      </c>
      <c r="W1009" s="4"/>
      <c r="X1009" s="6" t="s">
        <v>46</v>
      </c>
      <c r="Y1009" s="14" t="n">
        <v>5500</v>
      </c>
      <c r="Z1009" s="6" t="s">
        <v>1324</v>
      </c>
      <c r="AA1009" s="6" t="s">
        <v>1325</v>
      </c>
      <c r="AB1009" s="15" t="str">
        <f aca="true" t="array" ref="AB1009:AB1009">LEFT(AA1009,LOOKUP(2^15,FIND(".",AA1009,ROW(INDIRECT("1:"&amp;LEN(AA1009)))))-1)</f>
        <v>NB_2023_016 - 20230425 - 1</v>
      </c>
      <c r="AC1009" s="6" t="s">
        <v>1326</v>
      </c>
      <c r="AD1009" s="15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3" t="s">
        <v>1343</v>
      </c>
      <c r="B1010" s="34"/>
      <c r="C1010" s="4" t="s">
        <v>1344</v>
      </c>
      <c r="D1010" s="6" t="s">
        <v>14</v>
      </c>
      <c r="E1010" s="6" t="s">
        <v>1319</v>
      </c>
      <c r="F1010" s="7" t="s">
        <v>1320</v>
      </c>
      <c r="G1010" s="6" t="s">
        <v>1319</v>
      </c>
      <c r="H1010" s="16" t="s">
        <v>68</v>
      </c>
      <c r="I1010" s="6" t="str">
        <f aca="false">CONCATENATE(E1010, "_",H1010)</f>
        <v>NLA_2023_018_QC_C_1</v>
      </c>
      <c r="J1010" s="6" t="s">
        <v>52</v>
      </c>
      <c r="K1010" s="18" t="s">
        <v>68</v>
      </c>
      <c r="L1010" s="9" t="s">
        <v>69</v>
      </c>
      <c r="M1010" s="3" t="s">
        <v>46</v>
      </c>
      <c r="N1010" s="6" t="s">
        <v>70</v>
      </c>
      <c r="O1010" s="6" t="s">
        <v>46</v>
      </c>
      <c r="P1010" s="6" t="s">
        <v>71</v>
      </c>
      <c r="Q1010" s="6" t="s">
        <v>71</v>
      </c>
      <c r="R1010" s="6" t="s">
        <v>72</v>
      </c>
      <c r="S1010" s="6" t="s">
        <v>73</v>
      </c>
      <c r="T1010" s="6" t="s">
        <v>46</v>
      </c>
      <c r="U1010" s="6" t="n">
        <v>1000</v>
      </c>
      <c r="V1010" s="1" t="n">
        <v>1</v>
      </c>
      <c r="W1010" s="4"/>
      <c r="X1010" s="6" t="s">
        <v>74</v>
      </c>
      <c r="Y1010" s="14" t="n">
        <v>5500</v>
      </c>
      <c r="Z1010" s="6" t="s">
        <v>1324</v>
      </c>
      <c r="AA1010" s="6" t="s">
        <v>1325</v>
      </c>
      <c r="AB1010" s="15" t="str">
        <f aca="true" t="array" ref="AB1010:AB1010">LEFT(AA1010,LOOKUP(2^15,FIND(".",AA1010,ROW(INDIRECT("1:"&amp;LEN(AA1010)))))-1)</f>
        <v>NB_2023_016 - 20230425 - 1</v>
      </c>
      <c r="AC1010" s="6" t="s">
        <v>1326</v>
      </c>
      <c r="AD1010" s="15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3" t="s">
        <v>1343</v>
      </c>
      <c r="B1011" s="34"/>
      <c r="C1011" s="4" t="s">
        <v>1344</v>
      </c>
      <c r="D1011" s="6" t="s">
        <v>14</v>
      </c>
      <c r="E1011" s="6" t="s">
        <v>1319</v>
      </c>
      <c r="F1011" s="7" t="s">
        <v>1320</v>
      </c>
      <c r="G1011" s="6" t="s">
        <v>1319</v>
      </c>
      <c r="H1011" s="16" t="s">
        <v>75</v>
      </c>
      <c r="I1011" s="6" t="str">
        <f aca="false">CONCATENATE(E1011, "_",H1011)</f>
        <v>NLA_2023_018_QC_C_2</v>
      </c>
      <c r="J1011" s="6" t="s">
        <v>52</v>
      </c>
      <c r="K1011" s="18" t="s">
        <v>75</v>
      </c>
      <c r="L1011" s="9" t="s">
        <v>69</v>
      </c>
      <c r="M1011" s="3" t="s">
        <v>46</v>
      </c>
      <c r="N1011" s="6" t="s">
        <v>70</v>
      </c>
      <c r="O1011" s="6" t="s">
        <v>46</v>
      </c>
      <c r="P1011" s="6" t="s">
        <v>71</v>
      </c>
      <c r="Q1011" s="6" t="s">
        <v>71</v>
      </c>
      <c r="R1011" s="6" t="s">
        <v>72</v>
      </c>
      <c r="S1011" s="6" t="s">
        <v>73</v>
      </c>
      <c r="T1011" s="6" t="s">
        <v>46</v>
      </c>
      <c r="U1011" s="6" t="n">
        <v>1000</v>
      </c>
      <c r="V1011" s="1" t="n">
        <v>2</v>
      </c>
      <c r="W1011" s="4"/>
      <c r="X1011" s="6" t="s">
        <v>74</v>
      </c>
      <c r="Y1011" s="14" t="n">
        <v>5500</v>
      </c>
      <c r="Z1011" s="6" t="s">
        <v>1324</v>
      </c>
      <c r="AA1011" s="6" t="s">
        <v>1325</v>
      </c>
      <c r="AB1011" s="15" t="str">
        <f aca="true" t="array" ref="AB1011:AB1011">LEFT(AA1011,LOOKUP(2^15,FIND(".",AA1011,ROW(INDIRECT("1:"&amp;LEN(AA1011)))))-1)</f>
        <v>NB_2023_016 - 20230425 - 1</v>
      </c>
      <c r="AC1011" s="6" t="s">
        <v>1326</v>
      </c>
      <c r="AD1011" s="15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3" t="s">
        <v>1343</v>
      </c>
      <c r="B1012" s="34"/>
      <c r="C1012" s="4" t="s">
        <v>1344</v>
      </c>
      <c r="D1012" s="6" t="s">
        <v>14</v>
      </c>
      <c r="E1012" s="6" t="s">
        <v>1319</v>
      </c>
      <c r="F1012" s="7" t="s">
        <v>1320</v>
      </c>
      <c r="G1012" s="6" t="s">
        <v>1319</v>
      </c>
      <c r="H1012" s="16" t="s">
        <v>76</v>
      </c>
      <c r="I1012" s="6" t="str">
        <f aca="false">CONCATENATE(E1012, "_",H1012)</f>
        <v>NLA_2023_018_QC_C_3</v>
      </c>
      <c r="J1012" s="6" t="s">
        <v>52</v>
      </c>
      <c r="K1012" s="18" t="s">
        <v>76</v>
      </c>
      <c r="L1012" s="9" t="s">
        <v>69</v>
      </c>
      <c r="M1012" s="3" t="s">
        <v>46</v>
      </c>
      <c r="N1012" s="6" t="s">
        <v>70</v>
      </c>
      <c r="O1012" s="6" t="s">
        <v>46</v>
      </c>
      <c r="P1012" s="6" t="s">
        <v>71</v>
      </c>
      <c r="Q1012" s="6" t="s">
        <v>71</v>
      </c>
      <c r="R1012" s="6" t="s">
        <v>72</v>
      </c>
      <c r="S1012" s="6" t="s">
        <v>73</v>
      </c>
      <c r="T1012" s="6" t="s">
        <v>46</v>
      </c>
      <c r="U1012" s="6" t="n">
        <v>1000</v>
      </c>
      <c r="V1012" s="1" t="n">
        <v>3</v>
      </c>
      <c r="W1012" s="4"/>
      <c r="X1012" s="6" t="s">
        <v>74</v>
      </c>
      <c r="Y1012" s="14" t="n">
        <v>5500</v>
      </c>
      <c r="Z1012" s="6" t="s">
        <v>1324</v>
      </c>
      <c r="AA1012" s="6" t="s">
        <v>1325</v>
      </c>
      <c r="AB1012" s="15" t="str">
        <f aca="true" t="array" ref="AB1012:AB1012">LEFT(AA1012,LOOKUP(2^15,FIND(".",AA1012,ROW(INDIRECT("1:"&amp;LEN(AA1012)))))-1)</f>
        <v>NB_2023_016 - 20230425 - 1</v>
      </c>
      <c r="AC1012" s="6" t="s">
        <v>1326</v>
      </c>
      <c r="AD1012" s="15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3" t="s">
        <v>1343</v>
      </c>
      <c r="B1013" s="34"/>
      <c r="C1013" s="4" t="s">
        <v>1344</v>
      </c>
      <c r="D1013" s="6" t="s">
        <v>14</v>
      </c>
      <c r="E1013" s="6" t="s">
        <v>1319</v>
      </c>
      <c r="F1013" s="7" t="s">
        <v>1320</v>
      </c>
      <c r="G1013" s="6" t="s">
        <v>1319</v>
      </c>
      <c r="H1013" s="16" t="s">
        <v>222</v>
      </c>
      <c r="I1013" s="6" t="str">
        <f aca="false">CONCATENATE(E1013, "_",H1013)</f>
        <v>NLA_2023_018_QC_C_4</v>
      </c>
      <c r="J1013" s="6" t="s">
        <v>52</v>
      </c>
      <c r="K1013" s="18" t="s">
        <v>222</v>
      </c>
      <c r="L1013" s="9" t="s">
        <v>69</v>
      </c>
      <c r="M1013" s="3" t="s">
        <v>46</v>
      </c>
      <c r="N1013" s="6" t="s">
        <v>70</v>
      </c>
      <c r="O1013" s="6" t="s">
        <v>46</v>
      </c>
      <c r="P1013" s="6" t="s">
        <v>71</v>
      </c>
      <c r="Q1013" s="6" t="s">
        <v>71</v>
      </c>
      <c r="R1013" s="6" t="s">
        <v>72</v>
      </c>
      <c r="S1013" s="6" t="s">
        <v>73</v>
      </c>
      <c r="T1013" s="6" t="s">
        <v>46</v>
      </c>
      <c r="U1013" s="6" t="n">
        <v>1000</v>
      </c>
      <c r="V1013" s="1" t="n">
        <v>4</v>
      </c>
      <c r="W1013" s="4"/>
      <c r="X1013" s="6" t="s">
        <v>74</v>
      </c>
      <c r="Y1013" s="14" t="n">
        <v>5500</v>
      </c>
      <c r="Z1013" s="6" t="s">
        <v>1324</v>
      </c>
      <c r="AA1013" s="6" t="s">
        <v>1325</v>
      </c>
      <c r="AB1013" s="15" t="str">
        <f aca="true" t="array" ref="AB1013:AB1013">LEFT(AA1013,LOOKUP(2^15,FIND(".",AA1013,ROW(INDIRECT("1:"&amp;LEN(AA1013)))))-1)</f>
        <v>NB_2023_016 - 20230425 - 1</v>
      </c>
      <c r="AC1013" s="6" t="s">
        <v>1326</v>
      </c>
      <c r="AD1013" s="15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3" t="s">
        <v>1343</v>
      </c>
      <c r="B1014" s="34"/>
      <c r="C1014" s="4" t="s">
        <v>1344</v>
      </c>
      <c r="D1014" s="6" t="s">
        <v>14</v>
      </c>
      <c r="E1014" s="6" t="s">
        <v>1319</v>
      </c>
      <c r="F1014" s="7" t="s">
        <v>1320</v>
      </c>
      <c r="G1014" s="6" t="s">
        <v>1319</v>
      </c>
      <c r="H1014" s="16" t="s">
        <v>77</v>
      </c>
      <c r="I1014" s="6" t="str">
        <f aca="false">CONCATENATE(E1014, "_",H1014)</f>
        <v>NLA_2023_018_QC_P_1</v>
      </c>
      <c r="J1014" s="6" t="s">
        <v>52</v>
      </c>
      <c r="K1014" s="18" t="s">
        <v>77</v>
      </c>
      <c r="L1014" s="7" t="s">
        <v>69</v>
      </c>
      <c r="M1014" s="3" t="s">
        <v>46</v>
      </c>
      <c r="N1014" s="6" t="s">
        <v>78</v>
      </c>
      <c r="O1014" s="6" t="s">
        <v>46</v>
      </c>
      <c r="P1014" s="6" t="s">
        <v>79</v>
      </c>
      <c r="Q1014" s="6" t="s">
        <v>80</v>
      </c>
      <c r="R1014" s="6" t="s">
        <v>81</v>
      </c>
      <c r="S1014" s="6" t="s">
        <v>46</v>
      </c>
      <c r="T1014" s="6" t="s">
        <v>46</v>
      </c>
      <c r="U1014" s="6" t="s">
        <v>82</v>
      </c>
      <c r="V1014" s="1" t="n">
        <v>1</v>
      </c>
      <c r="W1014" s="4"/>
      <c r="X1014" s="6" t="s">
        <v>83</v>
      </c>
      <c r="Y1014" s="14" t="n">
        <v>5500</v>
      </c>
      <c r="Z1014" s="6" t="s">
        <v>1324</v>
      </c>
      <c r="AA1014" s="6" t="s">
        <v>1325</v>
      </c>
      <c r="AB1014" s="15" t="str">
        <f aca="true" t="array" ref="AB1014:AB1014">LEFT(AA1014,LOOKUP(2^15,FIND(".",AA1014,ROW(INDIRECT("1:"&amp;LEN(AA1014)))))-1)</f>
        <v>NB_2023_016 - 20230425 - 1</v>
      </c>
      <c r="AC1014" s="6" t="s">
        <v>1326</v>
      </c>
      <c r="AD1014" s="15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3" t="s">
        <v>1343</v>
      </c>
      <c r="B1015" s="34"/>
      <c r="C1015" s="4" t="s">
        <v>1344</v>
      </c>
      <c r="D1015" s="6" t="s">
        <v>14</v>
      </c>
      <c r="E1015" s="6" t="s">
        <v>1319</v>
      </c>
      <c r="F1015" s="7" t="s">
        <v>1320</v>
      </c>
      <c r="G1015" s="6" t="s">
        <v>1319</v>
      </c>
      <c r="H1015" s="16" t="s">
        <v>84</v>
      </c>
      <c r="I1015" s="6" t="str">
        <f aca="false">CONCATENATE(E1015, "_",H1015)</f>
        <v>NLA_2023_018_QC_P_2</v>
      </c>
      <c r="J1015" s="6" t="s">
        <v>52</v>
      </c>
      <c r="K1015" s="18" t="s">
        <v>84</v>
      </c>
      <c r="L1015" s="7" t="s">
        <v>69</v>
      </c>
      <c r="M1015" s="3" t="s">
        <v>46</v>
      </c>
      <c r="N1015" s="6" t="s">
        <v>78</v>
      </c>
      <c r="O1015" s="6" t="s">
        <v>46</v>
      </c>
      <c r="P1015" s="6" t="s">
        <v>79</v>
      </c>
      <c r="Q1015" s="6" t="s">
        <v>80</v>
      </c>
      <c r="R1015" s="6" t="s">
        <v>81</v>
      </c>
      <c r="S1015" s="6" t="s">
        <v>46</v>
      </c>
      <c r="T1015" s="6" t="s">
        <v>46</v>
      </c>
      <c r="U1015" s="6" t="s">
        <v>82</v>
      </c>
      <c r="V1015" s="1" t="n">
        <v>2</v>
      </c>
      <c r="W1015" s="4"/>
      <c r="X1015" s="6" t="s">
        <v>83</v>
      </c>
      <c r="Y1015" s="14" t="n">
        <v>5500</v>
      </c>
      <c r="Z1015" s="6" t="s">
        <v>1324</v>
      </c>
      <c r="AA1015" s="6" t="s">
        <v>1325</v>
      </c>
      <c r="AB1015" s="15" t="str">
        <f aca="true" t="array" ref="AB1015:AB1015">LEFT(AA1015,LOOKUP(2^15,FIND(".",AA1015,ROW(INDIRECT("1:"&amp;LEN(AA1015)))))-1)</f>
        <v>NB_2023_016 - 20230425 - 1</v>
      </c>
      <c r="AC1015" s="6" t="s">
        <v>1326</v>
      </c>
      <c r="AD1015" s="15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3" t="s">
        <v>1343</v>
      </c>
      <c r="B1016" s="34"/>
      <c r="C1016" s="4" t="s">
        <v>1344</v>
      </c>
      <c r="D1016" s="6" t="s">
        <v>14</v>
      </c>
      <c r="E1016" s="6" t="s">
        <v>1319</v>
      </c>
      <c r="F1016" s="7" t="s">
        <v>1320</v>
      </c>
      <c r="G1016" s="6" t="s">
        <v>1319</v>
      </c>
      <c r="H1016" s="16" t="s">
        <v>85</v>
      </c>
      <c r="I1016" s="6" t="str">
        <f aca="false">CONCATENATE(E1016, "_",H1016)</f>
        <v>NLA_2023_018_QC_P_3</v>
      </c>
      <c r="J1016" s="4" t="s">
        <v>52</v>
      </c>
      <c r="K1016" s="18" t="s">
        <v>85</v>
      </c>
      <c r="L1016" s="7" t="s">
        <v>69</v>
      </c>
      <c r="M1016" s="3" t="s">
        <v>46</v>
      </c>
      <c r="N1016" s="6" t="s">
        <v>78</v>
      </c>
      <c r="O1016" s="6" t="s">
        <v>46</v>
      </c>
      <c r="P1016" s="6" t="s">
        <v>79</v>
      </c>
      <c r="Q1016" s="6" t="s">
        <v>80</v>
      </c>
      <c r="R1016" s="6" t="s">
        <v>81</v>
      </c>
      <c r="S1016" s="6" t="s">
        <v>46</v>
      </c>
      <c r="T1016" s="6" t="s">
        <v>46</v>
      </c>
      <c r="U1016" s="6" t="s">
        <v>82</v>
      </c>
      <c r="V1016" s="1" t="n">
        <v>3</v>
      </c>
      <c r="W1016" s="4"/>
      <c r="X1016" s="6" t="s">
        <v>83</v>
      </c>
      <c r="Y1016" s="14" t="n">
        <v>5500</v>
      </c>
      <c r="Z1016" s="6" t="s">
        <v>1324</v>
      </c>
      <c r="AA1016" s="6" t="s">
        <v>1325</v>
      </c>
      <c r="AB1016" s="15" t="str">
        <f aca="true" t="array" ref="AB1016:AB1016">LEFT(AA1016,LOOKUP(2^15,FIND(".",AA1016,ROW(INDIRECT("1:"&amp;LEN(AA1016)))))-1)</f>
        <v>NB_2023_016 - 20230425 - 1</v>
      </c>
      <c r="AC1016" s="6" t="s">
        <v>1326</v>
      </c>
      <c r="AD1016" s="15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3" t="s">
        <v>1343</v>
      </c>
      <c r="B1017" s="34"/>
      <c r="C1017" s="4" t="s">
        <v>1344</v>
      </c>
      <c r="D1017" s="6" t="s">
        <v>14</v>
      </c>
      <c r="E1017" s="6" t="s">
        <v>1319</v>
      </c>
      <c r="F1017" s="7" t="s">
        <v>1320</v>
      </c>
      <c r="G1017" s="6" t="s">
        <v>1319</v>
      </c>
      <c r="H1017" s="16" t="s">
        <v>224</v>
      </c>
      <c r="I1017" s="6" t="str">
        <f aca="false">CONCATENATE(E1017, "_",H1017)</f>
        <v>NLA_2023_018_QC_P_4</v>
      </c>
      <c r="J1017" s="4" t="s">
        <v>52</v>
      </c>
      <c r="K1017" s="18" t="s">
        <v>224</v>
      </c>
      <c r="L1017" s="7" t="s">
        <v>69</v>
      </c>
      <c r="M1017" s="3" t="s">
        <v>46</v>
      </c>
      <c r="N1017" s="6" t="s">
        <v>78</v>
      </c>
      <c r="O1017" s="6" t="s">
        <v>46</v>
      </c>
      <c r="P1017" s="6" t="s">
        <v>79</v>
      </c>
      <c r="Q1017" s="6" t="s">
        <v>80</v>
      </c>
      <c r="R1017" s="6" t="s">
        <v>81</v>
      </c>
      <c r="S1017" s="6" t="s">
        <v>46</v>
      </c>
      <c r="T1017" s="6" t="s">
        <v>46</v>
      </c>
      <c r="U1017" s="6" t="s">
        <v>82</v>
      </c>
      <c r="V1017" s="1" t="n">
        <v>4</v>
      </c>
      <c r="W1017" s="4"/>
      <c r="X1017" s="6" t="s">
        <v>83</v>
      </c>
      <c r="Y1017" s="14" t="n">
        <v>5500</v>
      </c>
      <c r="Z1017" s="6" t="s">
        <v>1324</v>
      </c>
      <c r="AA1017" s="6" t="s">
        <v>1325</v>
      </c>
      <c r="AB1017" s="15" t="str">
        <f aca="true" t="array" ref="AB1017:AB1017">LEFT(AA1017,LOOKUP(2^15,FIND(".",AA1017,ROW(INDIRECT("1:"&amp;LEN(AA1017)))))-1)</f>
        <v>NB_2023_016 - 20230425 - 1</v>
      </c>
      <c r="AC1017" s="6" t="s">
        <v>1326</v>
      </c>
      <c r="AD1017" s="15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3" t="s">
        <v>1355</v>
      </c>
      <c r="B1018" s="34"/>
      <c r="C1018" s="4" t="s">
        <v>1356</v>
      </c>
      <c r="D1018" s="6" t="s">
        <v>19</v>
      </c>
      <c r="E1018" s="6" t="s">
        <v>1319</v>
      </c>
      <c r="F1018" s="7" t="s">
        <v>1320</v>
      </c>
      <c r="G1018" s="6" t="s">
        <v>1321</v>
      </c>
      <c r="H1018" s="7" t="s">
        <v>108</v>
      </c>
      <c r="I1018" s="6" t="str">
        <f aca="false">CONCATENATE(E1018, "_",H1018)</f>
        <v>NLA_2023_018_001</v>
      </c>
      <c r="J1018" s="14" t="s">
        <v>38</v>
      </c>
      <c r="K1018" s="6" t="s">
        <v>1357</v>
      </c>
      <c r="L1018" s="9" t="s">
        <v>69</v>
      </c>
      <c r="M1018" s="17" t="s">
        <v>1323</v>
      </c>
      <c r="N1018" s="6" t="s">
        <v>246</v>
      </c>
      <c r="O1018" s="35" t="s">
        <v>1220</v>
      </c>
      <c r="P1018" s="1" t="s">
        <v>43</v>
      </c>
      <c r="Q1018" s="6" t="s">
        <v>1358</v>
      </c>
      <c r="R1018" s="6" t="s">
        <v>44</v>
      </c>
      <c r="S1018" s="14"/>
      <c r="T1018" s="6" t="s">
        <v>1263</v>
      </c>
      <c r="U1018" s="1" t="n">
        <v>1500</v>
      </c>
      <c r="V1018" s="14" t="n">
        <v>1</v>
      </c>
      <c r="W1018" s="4"/>
      <c r="X1018" s="9" t="s">
        <v>1215</v>
      </c>
      <c r="Y1018" s="14" t="n">
        <v>5500</v>
      </c>
      <c r="Z1018" s="6" t="s">
        <v>1324</v>
      </c>
      <c r="AA1018" s="6" t="s">
        <v>1325</v>
      </c>
      <c r="AB1018" s="15" t="str">
        <f aca="true" t="array" ref="AB1018:AB1018">LEFT(AA1018,LOOKUP(2^15,FIND(".",AA1018,ROW(INDIRECT("1:"&amp;LEN(AA1018)))))-1)</f>
        <v>NB_2023_016 - 20230425 - 1</v>
      </c>
      <c r="AC1018" s="6" t="s">
        <v>1326</v>
      </c>
      <c r="AD1018" s="15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3" t="s">
        <v>1355</v>
      </c>
      <c r="B1019" s="34"/>
      <c r="C1019" s="4" t="s">
        <v>1356</v>
      </c>
      <c r="D1019" s="6" t="s">
        <v>19</v>
      </c>
      <c r="E1019" s="6" t="s">
        <v>1319</v>
      </c>
      <c r="F1019" s="7" t="s">
        <v>1320</v>
      </c>
      <c r="G1019" s="6" t="s">
        <v>1321</v>
      </c>
      <c r="H1019" s="7" t="s">
        <v>139</v>
      </c>
      <c r="I1019" s="6" t="str">
        <f aca="false">CONCATENATE(E1019, "_",H1019)</f>
        <v>NLA_2023_018_007</v>
      </c>
      <c r="J1019" s="14" t="s">
        <v>38</v>
      </c>
      <c r="K1019" s="6" t="s">
        <v>1359</v>
      </c>
      <c r="L1019" s="9" t="s">
        <v>69</v>
      </c>
      <c r="M1019" s="17" t="s">
        <v>1323</v>
      </c>
      <c r="N1019" s="6" t="s">
        <v>246</v>
      </c>
      <c r="O1019" s="35" t="s">
        <v>1220</v>
      </c>
      <c r="P1019" s="1" t="s">
        <v>43</v>
      </c>
      <c r="Q1019" s="6" t="s">
        <v>1358</v>
      </c>
      <c r="R1019" s="6" t="s">
        <v>44</v>
      </c>
      <c r="S1019" s="14"/>
      <c r="T1019" s="6" t="s">
        <v>1263</v>
      </c>
      <c r="U1019" s="1" t="n">
        <v>1500</v>
      </c>
      <c r="V1019" s="14" t="n">
        <v>2</v>
      </c>
      <c r="W1019" s="4"/>
      <c r="X1019" s="9" t="s">
        <v>1215</v>
      </c>
      <c r="Y1019" s="14" t="n">
        <v>5500</v>
      </c>
      <c r="Z1019" s="6" t="s">
        <v>1324</v>
      </c>
      <c r="AA1019" s="6" t="s">
        <v>1325</v>
      </c>
      <c r="AB1019" s="15" t="str">
        <f aca="true" t="array" ref="AB1019:AB1019">LEFT(AA1019,LOOKUP(2^15,FIND(".",AA1019,ROW(INDIRECT("1:"&amp;LEN(AA1019)))))-1)</f>
        <v>NB_2023_016 - 20230425 - 1</v>
      </c>
      <c r="AC1019" s="6" t="s">
        <v>1326</v>
      </c>
      <c r="AD1019" s="15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3" t="s">
        <v>1355</v>
      </c>
      <c r="B1020" s="34"/>
      <c r="C1020" s="4" t="s">
        <v>1356</v>
      </c>
      <c r="D1020" s="6" t="s">
        <v>19</v>
      </c>
      <c r="E1020" s="6" t="s">
        <v>1319</v>
      </c>
      <c r="F1020" s="7" t="s">
        <v>1320</v>
      </c>
      <c r="G1020" s="6" t="s">
        <v>1321</v>
      </c>
      <c r="H1020" s="7" t="s">
        <v>37</v>
      </c>
      <c r="I1020" s="6" t="str">
        <f aca="false">CONCATENATE(E1020, "_",H1020)</f>
        <v>NLA_2023_018_009</v>
      </c>
      <c r="J1020" s="14" t="s">
        <v>52</v>
      </c>
      <c r="K1020" s="6" t="s">
        <v>1360</v>
      </c>
      <c r="L1020" s="9" t="s">
        <v>69</v>
      </c>
      <c r="M1020" s="17" t="s">
        <v>1323</v>
      </c>
      <c r="N1020" s="6" t="s">
        <v>246</v>
      </c>
      <c r="O1020" s="35" t="s">
        <v>1220</v>
      </c>
      <c r="P1020" s="1" t="s">
        <v>43</v>
      </c>
      <c r="Q1020" s="6" t="s">
        <v>1358</v>
      </c>
      <c r="R1020" s="6" t="s">
        <v>44</v>
      </c>
      <c r="S1020" s="14"/>
      <c r="T1020" s="6" t="s">
        <v>1265</v>
      </c>
      <c r="U1020" s="1" t="n">
        <v>1500</v>
      </c>
      <c r="V1020" s="14" t="n">
        <v>3</v>
      </c>
      <c r="W1020" s="4"/>
      <c r="X1020" s="9" t="s">
        <v>1215</v>
      </c>
      <c r="Y1020" s="14" t="n">
        <v>5500</v>
      </c>
      <c r="Z1020" s="6" t="s">
        <v>1324</v>
      </c>
      <c r="AA1020" s="6" t="s">
        <v>1325</v>
      </c>
      <c r="AB1020" s="15" t="str">
        <f aca="true" t="array" ref="AB1020:AB1020">LEFT(AA1020,LOOKUP(2^15,FIND(".",AA1020,ROW(INDIRECT("1:"&amp;LEN(AA1020)))))-1)</f>
        <v>NB_2023_016 - 20230425 - 1</v>
      </c>
      <c r="AC1020" s="6" t="s">
        <v>1326</v>
      </c>
      <c r="AD1020" s="15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3" t="s">
        <v>1355</v>
      </c>
      <c r="B1021" s="34"/>
      <c r="C1021" s="4" t="s">
        <v>1356</v>
      </c>
      <c r="D1021" s="6" t="s">
        <v>19</v>
      </c>
      <c r="E1021" s="6" t="s">
        <v>1319</v>
      </c>
      <c r="F1021" s="7" t="s">
        <v>1320</v>
      </c>
      <c r="G1021" s="6" t="s">
        <v>1321</v>
      </c>
      <c r="H1021" s="7" t="s">
        <v>56</v>
      </c>
      <c r="I1021" s="6" t="str">
        <f aca="false">CONCATENATE(E1021, "_",H1021)</f>
        <v>NLA_2023_018_013</v>
      </c>
      <c r="J1021" s="14" t="s">
        <v>52</v>
      </c>
      <c r="K1021" s="6" t="s">
        <v>1361</v>
      </c>
      <c r="L1021" s="9" t="s">
        <v>69</v>
      </c>
      <c r="M1021" s="17" t="s">
        <v>1323</v>
      </c>
      <c r="N1021" s="6" t="s">
        <v>246</v>
      </c>
      <c r="O1021" s="35" t="s">
        <v>1220</v>
      </c>
      <c r="P1021" s="1" t="s">
        <v>43</v>
      </c>
      <c r="Q1021" s="6" t="s">
        <v>1358</v>
      </c>
      <c r="R1021" s="6" t="s">
        <v>44</v>
      </c>
      <c r="S1021" s="14"/>
      <c r="T1021" s="6" t="s">
        <v>1265</v>
      </c>
      <c r="U1021" s="1" t="n">
        <v>1500</v>
      </c>
      <c r="V1021" s="14" t="n">
        <v>1</v>
      </c>
      <c r="W1021" s="4"/>
      <c r="X1021" s="9" t="s">
        <v>1215</v>
      </c>
      <c r="Y1021" s="14" t="n">
        <v>5500</v>
      </c>
      <c r="Z1021" s="6" t="s">
        <v>1324</v>
      </c>
      <c r="AA1021" s="6" t="s">
        <v>1325</v>
      </c>
      <c r="AB1021" s="15" t="str">
        <f aca="true" t="array" ref="AB1021:AB1021">LEFT(AA1021,LOOKUP(2^15,FIND(".",AA1021,ROW(INDIRECT("1:"&amp;LEN(AA1021)))))-1)</f>
        <v>NB_2023_016 - 20230425 - 1</v>
      </c>
      <c r="AC1021" s="6" t="s">
        <v>1326</v>
      </c>
      <c r="AD1021" s="15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3" t="s">
        <v>1355</v>
      </c>
      <c r="B1022" s="34"/>
      <c r="C1022" s="4" t="s">
        <v>1356</v>
      </c>
      <c r="D1022" s="6" t="s">
        <v>19</v>
      </c>
      <c r="E1022" s="6" t="s">
        <v>1319</v>
      </c>
      <c r="F1022" s="7" t="s">
        <v>1320</v>
      </c>
      <c r="G1022" s="6" t="s">
        <v>1321</v>
      </c>
      <c r="H1022" s="7" t="s">
        <v>230</v>
      </c>
      <c r="I1022" s="6" t="str">
        <f aca="false">CONCATENATE(E1022, "_",H1022)</f>
        <v>NLA_2023_018_020</v>
      </c>
      <c r="J1022" s="14" t="s">
        <v>52</v>
      </c>
      <c r="K1022" s="6" t="s">
        <v>1362</v>
      </c>
      <c r="L1022" s="9" t="s">
        <v>69</v>
      </c>
      <c r="M1022" s="17" t="s">
        <v>1323</v>
      </c>
      <c r="N1022" s="6" t="s">
        <v>246</v>
      </c>
      <c r="O1022" s="35" t="s">
        <v>1220</v>
      </c>
      <c r="P1022" s="1" t="s">
        <v>43</v>
      </c>
      <c r="Q1022" s="6" t="s">
        <v>1358</v>
      </c>
      <c r="R1022" s="6" t="s">
        <v>44</v>
      </c>
      <c r="S1022" s="14"/>
      <c r="T1022" s="6" t="s">
        <v>1265</v>
      </c>
      <c r="U1022" s="1" t="n">
        <v>1500</v>
      </c>
      <c r="V1022" s="14" t="n">
        <v>2</v>
      </c>
      <c r="W1022" s="4"/>
      <c r="X1022" s="9" t="s">
        <v>1215</v>
      </c>
      <c r="Y1022" s="14" t="n">
        <v>5500</v>
      </c>
      <c r="Z1022" s="6" t="s">
        <v>1324</v>
      </c>
      <c r="AA1022" s="6" t="s">
        <v>1325</v>
      </c>
      <c r="AB1022" s="15" t="str">
        <f aca="true" t="array" ref="AB1022:AB1022">LEFT(AA1022,LOOKUP(2^15,FIND(".",AA1022,ROW(INDIRECT("1:"&amp;LEN(AA1022)))))-1)</f>
        <v>NB_2023_016 - 20230425 - 1</v>
      </c>
      <c r="AC1022" s="6" t="s">
        <v>1326</v>
      </c>
      <c r="AD1022" s="15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3" t="s">
        <v>1355</v>
      </c>
      <c r="B1023" s="34"/>
      <c r="C1023" s="4" t="s">
        <v>1356</v>
      </c>
      <c r="D1023" s="6" t="s">
        <v>19</v>
      </c>
      <c r="E1023" s="6" t="s">
        <v>1319</v>
      </c>
      <c r="F1023" s="7" t="s">
        <v>1320</v>
      </c>
      <c r="G1023" s="6" t="s">
        <v>1321</v>
      </c>
      <c r="H1023" s="7" t="s">
        <v>235</v>
      </c>
      <c r="I1023" s="6" t="str">
        <f aca="false">CONCATENATE(E1023, "_",H1023)</f>
        <v>NLA_2023_018_023</v>
      </c>
      <c r="J1023" s="14" t="s">
        <v>38</v>
      </c>
      <c r="K1023" s="6" t="s">
        <v>1363</v>
      </c>
      <c r="L1023" s="9" t="s">
        <v>69</v>
      </c>
      <c r="M1023" s="17" t="s">
        <v>1323</v>
      </c>
      <c r="N1023" s="6" t="s">
        <v>246</v>
      </c>
      <c r="O1023" s="35" t="s">
        <v>1220</v>
      </c>
      <c r="P1023" s="1" t="s">
        <v>43</v>
      </c>
      <c r="Q1023" s="6" t="s">
        <v>1358</v>
      </c>
      <c r="R1023" s="6" t="s">
        <v>44</v>
      </c>
      <c r="S1023" s="14"/>
      <c r="T1023" s="6" t="s">
        <v>1263</v>
      </c>
      <c r="U1023" s="1" t="n">
        <v>1500</v>
      </c>
      <c r="V1023" s="14" t="n">
        <v>3</v>
      </c>
      <c r="W1023" s="4"/>
      <c r="X1023" s="9" t="s">
        <v>1215</v>
      </c>
      <c r="Y1023" s="14" t="n">
        <v>5500</v>
      </c>
      <c r="Z1023" s="6" t="s">
        <v>1324</v>
      </c>
      <c r="AA1023" s="6" t="s">
        <v>1325</v>
      </c>
      <c r="AB1023" s="15" t="str">
        <f aca="true" t="array" ref="AB1023:AB1023">LEFT(AA1023,LOOKUP(2^15,FIND(".",AA1023,ROW(INDIRECT("1:"&amp;LEN(AA1023)))))-1)</f>
        <v>NB_2023_016 - 20230425 - 1</v>
      </c>
      <c r="AC1023" s="6" t="s">
        <v>1326</v>
      </c>
      <c r="AD1023" s="15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3" t="s">
        <v>1355</v>
      </c>
      <c r="B1024" s="34"/>
      <c r="C1024" s="4" t="s">
        <v>1356</v>
      </c>
      <c r="D1024" s="6" t="s">
        <v>19</v>
      </c>
      <c r="E1024" s="6" t="s">
        <v>1319</v>
      </c>
      <c r="F1024" s="7" t="s">
        <v>1320</v>
      </c>
      <c r="G1024" s="6" t="s">
        <v>1319</v>
      </c>
      <c r="H1024" s="16" t="s">
        <v>64</v>
      </c>
      <c r="I1024" s="6" t="str">
        <f aca="false">CONCATENATE(E1024, "_",H1024)</f>
        <v>NLA_2023_018_Blank_1</v>
      </c>
      <c r="J1024" s="6" t="s">
        <v>52</v>
      </c>
      <c r="K1024" s="18" t="s">
        <v>64</v>
      </c>
      <c r="L1024" s="7" t="s">
        <v>46</v>
      </c>
      <c r="M1024" s="17" t="s">
        <v>46</v>
      </c>
      <c r="N1024" s="6" t="s">
        <v>65</v>
      </c>
      <c r="O1024" s="6" t="s">
        <v>46</v>
      </c>
      <c r="P1024" s="6" t="s">
        <v>46</v>
      </c>
      <c r="Q1024" s="6" t="s">
        <v>46</v>
      </c>
      <c r="R1024" s="6" t="s">
        <v>46</v>
      </c>
      <c r="S1024" s="6" t="s">
        <v>46</v>
      </c>
      <c r="T1024" s="6" t="s">
        <v>46</v>
      </c>
      <c r="U1024" s="6" t="s">
        <v>46</v>
      </c>
      <c r="V1024" s="1" t="n">
        <v>1</v>
      </c>
      <c r="W1024" s="4"/>
      <c r="X1024" s="6" t="s">
        <v>46</v>
      </c>
      <c r="Y1024" s="14" t="n">
        <v>5500</v>
      </c>
      <c r="Z1024" s="6" t="s">
        <v>1324</v>
      </c>
      <c r="AA1024" s="6" t="s">
        <v>1325</v>
      </c>
      <c r="AB1024" s="15" t="str">
        <f aca="true" t="array" ref="AB1024:AB1024">LEFT(AA1024,LOOKUP(2^15,FIND(".",AA1024,ROW(INDIRECT("1:"&amp;LEN(AA1024)))))-1)</f>
        <v>NB_2023_016 - 20230425 - 1</v>
      </c>
      <c r="AC1024" s="6" t="s">
        <v>1326</v>
      </c>
      <c r="AD1024" s="15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3" t="s">
        <v>1355</v>
      </c>
      <c r="B1025" s="34"/>
      <c r="C1025" s="4" t="s">
        <v>1356</v>
      </c>
      <c r="D1025" s="6" t="s">
        <v>19</v>
      </c>
      <c r="E1025" s="6" t="s">
        <v>1319</v>
      </c>
      <c r="F1025" s="7" t="s">
        <v>1320</v>
      </c>
      <c r="G1025" s="6" t="s">
        <v>1319</v>
      </c>
      <c r="H1025" s="16" t="s">
        <v>67</v>
      </c>
      <c r="I1025" s="6" t="str">
        <f aca="false">CONCATENATE(E1025, "_",H1025)</f>
        <v>NLA_2023_018_Blank_3</v>
      </c>
      <c r="J1025" s="6" t="s">
        <v>52</v>
      </c>
      <c r="K1025" s="18" t="s">
        <v>67</v>
      </c>
      <c r="L1025" s="7" t="s">
        <v>46</v>
      </c>
      <c r="M1025" s="17" t="s">
        <v>46</v>
      </c>
      <c r="N1025" s="6" t="s">
        <v>65</v>
      </c>
      <c r="O1025" s="6" t="s">
        <v>46</v>
      </c>
      <c r="P1025" s="6" t="s">
        <v>46</v>
      </c>
      <c r="Q1025" s="6" t="s">
        <v>46</v>
      </c>
      <c r="R1025" s="6" t="s">
        <v>46</v>
      </c>
      <c r="S1025" s="6" t="s">
        <v>46</v>
      </c>
      <c r="T1025" s="6" t="s">
        <v>46</v>
      </c>
      <c r="U1025" s="6" t="s">
        <v>46</v>
      </c>
      <c r="V1025" s="1" t="n">
        <v>3</v>
      </c>
      <c r="W1025" s="4"/>
      <c r="X1025" s="6" t="s">
        <v>46</v>
      </c>
      <c r="Y1025" s="14" t="n">
        <v>5500</v>
      </c>
      <c r="Z1025" s="6" t="s">
        <v>1324</v>
      </c>
      <c r="AA1025" s="6" t="s">
        <v>1325</v>
      </c>
      <c r="AB1025" s="15" t="str">
        <f aca="true" t="array" ref="AB1025:AB1025">LEFT(AA1025,LOOKUP(2^15,FIND(".",AA1025,ROW(INDIRECT("1:"&amp;LEN(AA1025)))))-1)</f>
        <v>NB_2023_016 - 20230425 - 1</v>
      </c>
      <c r="AC1025" s="6" t="s">
        <v>1326</v>
      </c>
      <c r="AD1025" s="15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3" t="s">
        <v>1355</v>
      </c>
      <c r="B1026" s="34"/>
      <c r="C1026" s="4" t="s">
        <v>1356</v>
      </c>
      <c r="D1026" s="6" t="s">
        <v>19</v>
      </c>
      <c r="E1026" s="6" t="s">
        <v>1319</v>
      </c>
      <c r="F1026" s="7" t="s">
        <v>1320</v>
      </c>
      <c r="G1026" s="6" t="s">
        <v>1319</v>
      </c>
      <c r="H1026" s="16" t="s">
        <v>221</v>
      </c>
      <c r="I1026" s="6" t="str">
        <f aca="false">CONCATENATE(E1026, "_",H1026)</f>
        <v>NLA_2023_018_Blank_4</v>
      </c>
      <c r="J1026" s="6" t="s">
        <v>52</v>
      </c>
      <c r="K1026" s="18" t="s">
        <v>221</v>
      </c>
      <c r="L1026" s="7" t="s">
        <v>46</v>
      </c>
      <c r="M1026" s="17" t="s">
        <v>46</v>
      </c>
      <c r="N1026" s="6" t="s">
        <v>65</v>
      </c>
      <c r="O1026" s="6" t="s">
        <v>46</v>
      </c>
      <c r="P1026" s="6" t="s">
        <v>46</v>
      </c>
      <c r="Q1026" s="6" t="s">
        <v>46</v>
      </c>
      <c r="R1026" s="6" t="s">
        <v>46</v>
      </c>
      <c r="S1026" s="6" t="s">
        <v>46</v>
      </c>
      <c r="T1026" s="6" t="s">
        <v>46</v>
      </c>
      <c r="U1026" s="6" t="s">
        <v>46</v>
      </c>
      <c r="V1026" s="1" t="n">
        <v>4</v>
      </c>
      <c r="W1026" s="4"/>
      <c r="X1026" s="6" t="s">
        <v>46</v>
      </c>
      <c r="Y1026" s="14" t="n">
        <v>5500</v>
      </c>
      <c r="Z1026" s="6" t="s">
        <v>1324</v>
      </c>
      <c r="AA1026" s="6" t="s">
        <v>1325</v>
      </c>
      <c r="AB1026" s="15" t="str">
        <f aca="true" t="array" ref="AB1026:AB1026">LEFT(AA1026,LOOKUP(2^15,FIND(".",AA1026,ROW(INDIRECT("1:"&amp;LEN(AA1026)))))-1)</f>
        <v>NB_2023_016 - 20230425 - 1</v>
      </c>
      <c r="AC1026" s="6" t="s">
        <v>1326</v>
      </c>
      <c r="AD1026" s="15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3" t="s">
        <v>1355</v>
      </c>
      <c r="B1027" s="34"/>
      <c r="C1027" s="4" t="s">
        <v>1356</v>
      </c>
      <c r="D1027" s="6" t="s">
        <v>19</v>
      </c>
      <c r="E1027" s="6" t="s">
        <v>1319</v>
      </c>
      <c r="F1027" s="7" t="s">
        <v>1320</v>
      </c>
      <c r="G1027" s="6" t="s">
        <v>1319</v>
      </c>
      <c r="H1027" s="16" t="s">
        <v>68</v>
      </c>
      <c r="I1027" s="6" t="str">
        <f aca="false">CONCATENATE(E1027, "_",H1027)</f>
        <v>NLA_2023_018_QC_C_1</v>
      </c>
      <c r="J1027" s="6" t="s">
        <v>52</v>
      </c>
      <c r="K1027" s="18" t="s">
        <v>68</v>
      </c>
      <c r="L1027" s="9" t="s">
        <v>69</v>
      </c>
      <c r="M1027" s="3" t="s">
        <v>46</v>
      </c>
      <c r="N1027" s="6" t="s">
        <v>70</v>
      </c>
      <c r="O1027" s="6" t="s">
        <v>46</v>
      </c>
      <c r="P1027" s="6" t="s">
        <v>71</v>
      </c>
      <c r="Q1027" s="6" t="s">
        <v>71</v>
      </c>
      <c r="R1027" s="6" t="s">
        <v>72</v>
      </c>
      <c r="S1027" s="6" t="s">
        <v>73</v>
      </c>
      <c r="T1027" s="6" t="s">
        <v>46</v>
      </c>
      <c r="U1027" s="6" t="n">
        <v>1000</v>
      </c>
      <c r="V1027" s="1" t="n">
        <v>1</v>
      </c>
      <c r="W1027" s="4"/>
      <c r="X1027" s="6" t="s">
        <v>74</v>
      </c>
      <c r="Y1027" s="14" t="n">
        <v>5500</v>
      </c>
      <c r="Z1027" s="6" t="s">
        <v>1324</v>
      </c>
      <c r="AA1027" s="6" t="s">
        <v>1325</v>
      </c>
      <c r="AB1027" s="15" t="str">
        <f aca="true" t="array" ref="AB1027:AB1027">LEFT(AA1027,LOOKUP(2^15,FIND(".",AA1027,ROW(INDIRECT("1:"&amp;LEN(AA1027)))))-1)</f>
        <v>NB_2023_016 - 20230425 - 1</v>
      </c>
      <c r="AC1027" s="6" t="s">
        <v>1326</v>
      </c>
      <c r="AD1027" s="15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3" t="s">
        <v>1355</v>
      </c>
      <c r="B1028" s="34"/>
      <c r="C1028" s="4" t="s">
        <v>1356</v>
      </c>
      <c r="D1028" s="6" t="s">
        <v>19</v>
      </c>
      <c r="E1028" s="6" t="s">
        <v>1319</v>
      </c>
      <c r="F1028" s="7" t="s">
        <v>1320</v>
      </c>
      <c r="G1028" s="6" t="s">
        <v>1319</v>
      </c>
      <c r="H1028" s="16" t="s">
        <v>75</v>
      </c>
      <c r="I1028" s="6" t="str">
        <f aca="false">CONCATENATE(E1028, "_",H1028)</f>
        <v>NLA_2023_018_QC_C_2</v>
      </c>
      <c r="J1028" s="6" t="s">
        <v>52</v>
      </c>
      <c r="K1028" s="18" t="s">
        <v>75</v>
      </c>
      <c r="L1028" s="9" t="s">
        <v>69</v>
      </c>
      <c r="M1028" s="3" t="s">
        <v>46</v>
      </c>
      <c r="N1028" s="6" t="s">
        <v>70</v>
      </c>
      <c r="O1028" s="6" t="s">
        <v>46</v>
      </c>
      <c r="P1028" s="6" t="s">
        <v>71</v>
      </c>
      <c r="Q1028" s="6" t="s">
        <v>71</v>
      </c>
      <c r="R1028" s="6" t="s">
        <v>72</v>
      </c>
      <c r="S1028" s="6" t="s">
        <v>73</v>
      </c>
      <c r="T1028" s="6" t="s">
        <v>46</v>
      </c>
      <c r="U1028" s="6" t="n">
        <v>1000</v>
      </c>
      <c r="V1028" s="1" t="n">
        <v>2</v>
      </c>
      <c r="W1028" s="4"/>
      <c r="X1028" s="6" t="s">
        <v>74</v>
      </c>
      <c r="Y1028" s="14" t="n">
        <v>5500</v>
      </c>
      <c r="Z1028" s="6" t="s">
        <v>1324</v>
      </c>
      <c r="AA1028" s="6" t="s">
        <v>1325</v>
      </c>
      <c r="AB1028" s="15" t="str">
        <f aca="true" t="array" ref="AB1028:AB1028">LEFT(AA1028,LOOKUP(2^15,FIND(".",AA1028,ROW(INDIRECT("1:"&amp;LEN(AA1028)))))-1)</f>
        <v>NB_2023_016 - 20230425 - 1</v>
      </c>
      <c r="AC1028" s="6" t="s">
        <v>1326</v>
      </c>
      <c r="AD1028" s="15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3" t="s">
        <v>1355</v>
      </c>
      <c r="B1029" s="34"/>
      <c r="C1029" s="4" t="s">
        <v>1356</v>
      </c>
      <c r="D1029" s="6" t="s">
        <v>19</v>
      </c>
      <c r="E1029" s="6" t="s">
        <v>1319</v>
      </c>
      <c r="F1029" s="7" t="s">
        <v>1320</v>
      </c>
      <c r="G1029" s="6" t="s">
        <v>1319</v>
      </c>
      <c r="H1029" s="16" t="s">
        <v>76</v>
      </c>
      <c r="I1029" s="6" t="str">
        <f aca="false">CONCATENATE(E1029, "_",H1029)</f>
        <v>NLA_2023_018_QC_C_3</v>
      </c>
      <c r="J1029" s="6" t="s">
        <v>52</v>
      </c>
      <c r="K1029" s="18" t="s">
        <v>76</v>
      </c>
      <c r="L1029" s="9" t="s">
        <v>69</v>
      </c>
      <c r="M1029" s="3" t="s">
        <v>46</v>
      </c>
      <c r="N1029" s="6" t="s">
        <v>70</v>
      </c>
      <c r="O1029" s="6" t="s">
        <v>46</v>
      </c>
      <c r="P1029" s="6" t="s">
        <v>71</v>
      </c>
      <c r="Q1029" s="6" t="s">
        <v>71</v>
      </c>
      <c r="R1029" s="6" t="s">
        <v>72</v>
      </c>
      <c r="S1029" s="6" t="s">
        <v>73</v>
      </c>
      <c r="T1029" s="6" t="s">
        <v>46</v>
      </c>
      <c r="U1029" s="6" t="n">
        <v>1000</v>
      </c>
      <c r="V1029" s="1" t="n">
        <v>3</v>
      </c>
      <c r="W1029" s="4"/>
      <c r="X1029" s="6" t="s">
        <v>74</v>
      </c>
      <c r="Y1029" s="14" t="n">
        <v>5500</v>
      </c>
      <c r="Z1029" s="6" t="s">
        <v>1324</v>
      </c>
      <c r="AA1029" s="6" t="s">
        <v>1325</v>
      </c>
      <c r="AB1029" s="15" t="str">
        <f aca="true" t="array" ref="AB1029:AB1029">LEFT(AA1029,LOOKUP(2^15,FIND(".",AA1029,ROW(INDIRECT("1:"&amp;LEN(AA1029)))))-1)</f>
        <v>NB_2023_016 - 20230425 - 1</v>
      </c>
      <c r="AC1029" s="6" t="s">
        <v>1326</v>
      </c>
      <c r="AD1029" s="15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3" t="s">
        <v>1355</v>
      </c>
      <c r="B1030" s="34"/>
      <c r="C1030" s="4" t="s">
        <v>1356</v>
      </c>
      <c r="D1030" s="6" t="s">
        <v>19</v>
      </c>
      <c r="E1030" s="6" t="s">
        <v>1319</v>
      </c>
      <c r="F1030" s="7" t="s">
        <v>1320</v>
      </c>
      <c r="G1030" s="6" t="s">
        <v>1319</v>
      </c>
      <c r="H1030" s="16" t="s">
        <v>222</v>
      </c>
      <c r="I1030" s="6" t="str">
        <f aca="false">CONCATENATE(E1030, "_",H1030)</f>
        <v>NLA_2023_018_QC_C_4</v>
      </c>
      <c r="J1030" s="6" t="s">
        <v>52</v>
      </c>
      <c r="K1030" s="18" t="s">
        <v>222</v>
      </c>
      <c r="L1030" s="9" t="s">
        <v>69</v>
      </c>
      <c r="M1030" s="3" t="s">
        <v>46</v>
      </c>
      <c r="N1030" s="6" t="s">
        <v>70</v>
      </c>
      <c r="O1030" s="6" t="s">
        <v>46</v>
      </c>
      <c r="P1030" s="6" t="s">
        <v>71</v>
      </c>
      <c r="Q1030" s="6" t="s">
        <v>71</v>
      </c>
      <c r="R1030" s="6" t="s">
        <v>72</v>
      </c>
      <c r="S1030" s="6" t="s">
        <v>73</v>
      </c>
      <c r="T1030" s="6" t="s">
        <v>46</v>
      </c>
      <c r="U1030" s="6" t="n">
        <v>1000</v>
      </c>
      <c r="V1030" s="1" t="n">
        <v>4</v>
      </c>
      <c r="W1030" s="4"/>
      <c r="X1030" s="6" t="s">
        <v>74</v>
      </c>
      <c r="Y1030" s="14" t="n">
        <v>5500</v>
      </c>
      <c r="Z1030" s="6" t="s">
        <v>1324</v>
      </c>
      <c r="AA1030" s="6" t="s">
        <v>1325</v>
      </c>
      <c r="AB1030" s="15" t="str">
        <f aca="true" t="array" ref="AB1030:AB1030">LEFT(AA1030,LOOKUP(2^15,FIND(".",AA1030,ROW(INDIRECT("1:"&amp;LEN(AA1030)))))-1)</f>
        <v>NB_2023_016 - 20230425 - 1</v>
      </c>
      <c r="AC1030" s="6" t="s">
        <v>1326</v>
      </c>
      <c r="AD1030" s="15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3" t="s">
        <v>1355</v>
      </c>
      <c r="B1031" s="34"/>
      <c r="C1031" s="4" t="s">
        <v>1356</v>
      </c>
      <c r="D1031" s="6" t="s">
        <v>19</v>
      </c>
      <c r="E1031" s="6" t="s">
        <v>1319</v>
      </c>
      <c r="F1031" s="7" t="s">
        <v>1320</v>
      </c>
      <c r="G1031" s="6" t="s">
        <v>1319</v>
      </c>
      <c r="H1031" s="16" t="s">
        <v>77</v>
      </c>
      <c r="I1031" s="6" t="str">
        <f aca="false">CONCATENATE(E1031, "_",H1031)</f>
        <v>NLA_2023_018_QC_P_1</v>
      </c>
      <c r="J1031" s="6" t="s">
        <v>52</v>
      </c>
      <c r="K1031" s="18" t="s">
        <v>77</v>
      </c>
      <c r="L1031" s="7" t="s">
        <v>69</v>
      </c>
      <c r="M1031" s="3" t="s">
        <v>46</v>
      </c>
      <c r="N1031" s="6" t="s">
        <v>78</v>
      </c>
      <c r="O1031" s="6" t="s">
        <v>46</v>
      </c>
      <c r="P1031" s="6" t="s">
        <v>79</v>
      </c>
      <c r="Q1031" s="6" t="s">
        <v>80</v>
      </c>
      <c r="R1031" s="6" t="s">
        <v>81</v>
      </c>
      <c r="S1031" s="6" t="s">
        <v>46</v>
      </c>
      <c r="T1031" s="6" t="s">
        <v>46</v>
      </c>
      <c r="U1031" s="6" t="s">
        <v>82</v>
      </c>
      <c r="V1031" s="1" t="n">
        <v>1</v>
      </c>
      <c r="W1031" s="4"/>
      <c r="X1031" s="6" t="s">
        <v>83</v>
      </c>
      <c r="Y1031" s="14" t="n">
        <v>5500</v>
      </c>
      <c r="Z1031" s="6" t="s">
        <v>1324</v>
      </c>
      <c r="AA1031" s="6" t="s">
        <v>1325</v>
      </c>
      <c r="AB1031" s="15" t="str">
        <f aca="true" t="array" ref="AB1031:AB1031">LEFT(AA1031,LOOKUP(2^15,FIND(".",AA1031,ROW(INDIRECT("1:"&amp;LEN(AA1031)))))-1)</f>
        <v>NB_2023_016 - 20230425 - 1</v>
      </c>
      <c r="AC1031" s="6" t="s">
        <v>1326</v>
      </c>
      <c r="AD1031" s="15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3" t="s">
        <v>1355</v>
      </c>
      <c r="B1032" s="34"/>
      <c r="C1032" s="4" t="s">
        <v>1356</v>
      </c>
      <c r="D1032" s="6" t="s">
        <v>19</v>
      </c>
      <c r="E1032" s="6" t="s">
        <v>1319</v>
      </c>
      <c r="F1032" s="7" t="s">
        <v>1320</v>
      </c>
      <c r="G1032" s="6" t="s">
        <v>1319</v>
      </c>
      <c r="H1032" s="16" t="s">
        <v>84</v>
      </c>
      <c r="I1032" s="6" t="str">
        <f aca="false">CONCATENATE(E1032, "_",H1032)</f>
        <v>NLA_2023_018_QC_P_2</v>
      </c>
      <c r="J1032" s="6" t="s">
        <v>52</v>
      </c>
      <c r="K1032" s="18" t="s">
        <v>84</v>
      </c>
      <c r="L1032" s="7" t="s">
        <v>69</v>
      </c>
      <c r="M1032" s="3" t="s">
        <v>46</v>
      </c>
      <c r="N1032" s="6" t="s">
        <v>78</v>
      </c>
      <c r="O1032" s="6" t="s">
        <v>46</v>
      </c>
      <c r="P1032" s="6" t="s">
        <v>79</v>
      </c>
      <c r="Q1032" s="6" t="s">
        <v>80</v>
      </c>
      <c r="R1032" s="6" t="s">
        <v>81</v>
      </c>
      <c r="S1032" s="6" t="s">
        <v>46</v>
      </c>
      <c r="T1032" s="6" t="s">
        <v>46</v>
      </c>
      <c r="U1032" s="6" t="s">
        <v>82</v>
      </c>
      <c r="V1032" s="1" t="n">
        <v>2</v>
      </c>
      <c r="W1032" s="4"/>
      <c r="X1032" s="6" t="s">
        <v>83</v>
      </c>
      <c r="Y1032" s="14" t="n">
        <v>5500</v>
      </c>
      <c r="Z1032" s="6" t="s">
        <v>1324</v>
      </c>
      <c r="AA1032" s="6" t="s">
        <v>1325</v>
      </c>
      <c r="AB1032" s="15" t="str">
        <f aca="true" t="array" ref="AB1032:AB1032">LEFT(AA1032,LOOKUP(2^15,FIND(".",AA1032,ROW(INDIRECT("1:"&amp;LEN(AA1032)))))-1)</f>
        <v>NB_2023_016 - 20230425 - 1</v>
      </c>
      <c r="AC1032" s="6" t="s">
        <v>1326</v>
      </c>
      <c r="AD1032" s="15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3" t="s">
        <v>1355</v>
      </c>
      <c r="B1033" s="34"/>
      <c r="C1033" s="4" t="s">
        <v>1356</v>
      </c>
      <c r="D1033" s="6" t="s">
        <v>19</v>
      </c>
      <c r="E1033" s="6" t="s">
        <v>1319</v>
      </c>
      <c r="F1033" s="7" t="s">
        <v>1320</v>
      </c>
      <c r="G1033" s="6" t="s">
        <v>1319</v>
      </c>
      <c r="H1033" s="16" t="s">
        <v>85</v>
      </c>
      <c r="I1033" s="6" t="str">
        <f aca="false">CONCATENATE(E1033, "_",H1033)</f>
        <v>NLA_2023_018_QC_P_3</v>
      </c>
      <c r="J1033" s="4" t="s">
        <v>52</v>
      </c>
      <c r="K1033" s="18" t="s">
        <v>85</v>
      </c>
      <c r="L1033" s="7" t="s">
        <v>69</v>
      </c>
      <c r="M1033" s="3" t="s">
        <v>46</v>
      </c>
      <c r="N1033" s="6" t="s">
        <v>78</v>
      </c>
      <c r="O1033" s="6" t="s">
        <v>46</v>
      </c>
      <c r="P1033" s="6" t="s">
        <v>79</v>
      </c>
      <c r="Q1033" s="6" t="s">
        <v>80</v>
      </c>
      <c r="R1033" s="6" t="s">
        <v>81</v>
      </c>
      <c r="S1033" s="6" t="s">
        <v>46</v>
      </c>
      <c r="T1033" s="6" t="s">
        <v>46</v>
      </c>
      <c r="U1033" s="6" t="s">
        <v>82</v>
      </c>
      <c r="V1033" s="1" t="n">
        <v>3</v>
      </c>
      <c r="W1033" s="4"/>
      <c r="X1033" s="6" t="s">
        <v>83</v>
      </c>
      <c r="Y1033" s="14" t="n">
        <v>5500</v>
      </c>
      <c r="Z1033" s="6" t="s">
        <v>1324</v>
      </c>
      <c r="AA1033" s="6" t="s">
        <v>1325</v>
      </c>
      <c r="AB1033" s="15" t="str">
        <f aca="true" t="array" ref="AB1033:AB1033">LEFT(AA1033,LOOKUP(2^15,FIND(".",AA1033,ROW(INDIRECT("1:"&amp;LEN(AA1033)))))-1)</f>
        <v>NB_2023_016 - 20230425 - 1</v>
      </c>
      <c r="AC1033" s="6" t="s">
        <v>1326</v>
      </c>
      <c r="AD1033" s="15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3" t="s">
        <v>1355</v>
      </c>
      <c r="B1034" s="34"/>
      <c r="C1034" s="4" t="s">
        <v>1356</v>
      </c>
      <c r="D1034" s="6" t="s">
        <v>19</v>
      </c>
      <c r="E1034" s="6" t="s">
        <v>1319</v>
      </c>
      <c r="F1034" s="7" t="s">
        <v>1320</v>
      </c>
      <c r="G1034" s="6" t="s">
        <v>1319</v>
      </c>
      <c r="H1034" s="16" t="s">
        <v>224</v>
      </c>
      <c r="I1034" s="6" t="str">
        <f aca="false">CONCATENATE(E1034, "_",H1034)</f>
        <v>NLA_2023_018_QC_P_4</v>
      </c>
      <c r="J1034" s="4" t="s">
        <v>52</v>
      </c>
      <c r="K1034" s="18" t="s">
        <v>224</v>
      </c>
      <c r="L1034" s="7" t="s">
        <v>69</v>
      </c>
      <c r="M1034" s="3" t="s">
        <v>46</v>
      </c>
      <c r="N1034" s="6" t="s">
        <v>78</v>
      </c>
      <c r="O1034" s="6" t="s">
        <v>46</v>
      </c>
      <c r="P1034" s="6" t="s">
        <v>79</v>
      </c>
      <c r="Q1034" s="6" t="s">
        <v>80</v>
      </c>
      <c r="R1034" s="6" t="s">
        <v>81</v>
      </c>
      <c r="S1034" s="6" t="s">
        <v>46</v>
      </c>
      <c r="T1034" s="6" t="s">
        <v>46</v>
      </c>
      <c r="U1034" s="6" t="s">
        <v>82</v>
      </c>
      <c r="V1034" s="1" t="n">
        <v>4</v>
      </c>
      <c r="W1034" s="4"/>
      <c r="X1034" s="6" t="s">
        <v>83</v>
      </c>
      <c r="Y1034" s="14" t="n">
        <v>5500</v>
      </c>
      <c r="Z1034" s="6" t="s">
        <v>1324</v>
      </c>
      <c r="AA1034" s="6" t="s">
        <v>1325</v>
      </c>
      <c r="AB1034" s="15" t="str">
        <f aca="true" t="array" ref="AB1034:AB1034">LEFT(AA1034,LOOKUP(2^15,FIND(".",AA1034,ROW(INDIRECT("1:"&amp;LEN(AA1034)))))-1)</f>
        <v>NB_2023_016 - 20230425 - 1</v>
      </c>
      <c r="AC1034" s="6" t="s">
        <v>1326</v>
      </c>
      <c r="AD1034" s="15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3" t="s">
        <v>1364</v>
      </c>
      <c r="B1035" s="34"/>
      <c r="C1035" s="4" t="s">
        <v>1365</v>
      </c>
      <c r="D1035" s="6" t="s">
        <v>19</v>
      </c>
      <c r="E1035" s="6" t="s">
        <v>1319</v>
      </c>
      <c r="F1035" s="7" t="s">
        <v>1320</v>
      </c>
      <c r="G1035" s="6" t="s">
        <v>1345</v>
      </c>
      <c r="H1035" s="7" t="s">
        <v>101</v>
      </c>
      <c r="I1035" s="6" t="str">
        <f aca="false">CONCATENATE(E1035, "_",H1035)</f>
        <v>NLA_2023_018_006</v>
      </c>
      <c r="J1035" s="6" t="s">
        <v>52</v>
      </c>
      <c r="K1035" s="6" t="s">
        <v>1366</v>
      </c>
      <c r="L1035" s="9" t="s">
        <v>69</v>
      </c>
      <c r="M1035" s="17" t="s">
        <v>1347</v>
      </c>
      <c r="N1035" s="6" t="s">
        <v>246</v>
      </c>
      <c r="O1035" s="35" t="s">
        <v>1220</v>
      </c>
      <c r="P1035" s="1" t="s">
        <v>43</v>
      </c>
      <c r="Q1035" s="6" t="s">
        <v>1358</v>
      </c>
      <c r="R1035" s="6" t="s">
        <v>44</v>
      </c>
      <c r="S1035" s="6"/>
      <c r="T1035" s="6" t="s">
        <v>1265</v>
      </c>
      <c r="U1035" s="1" t="n">
        <v>1500</v>
      </c>
      <c r="V1035" s="1" t="n">
        <v>2</v>
      </c>
      <c r="W1035" s="4"/>
      <c r="X1035" s="9" t="s">
        <v>1215</v>
      </c>
      <c r="Y1035" s="14" t="n">
        <v>5500</v>
      </c>
      <c r="Z1035" s="6" t="s">
        <v>1324</v>
      </c>
      <c r="AA1035" s="6" t="s">
        <v>1325</v>
      </c>
      <c r="AB1035" s="15" t="str">
        <f aca="true" t="array" ref="AB1035:AB1035">LEFT(AA1035,LOOKUP(2^15,FIND(".",AA1035,ROW(INDIRECT("1:"&amp;LEN(AA1035)))))-1)</f>
        <v>NB_2023_016 - 20230425 - 1</v>
      </c>
      <c r="AC1035" s="6" t="s">
        <v>1326</v>
      </c>
      <c r="AD1035" s="15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3" t="s">
        <v>1364</v>
      </c>
      <c r="B1036" s="34"/>
      <c r="C1036" s="4" t="s">
        <v>1365</v>
      </c>
      <c r="D1036" s="6" t="s">
        <v>19</v>
      </c>
      <c r="E1036" s="6" t="s">
        <v>1319</v>
      </c>
      <c r="F1036" s="7" t="s">
        <v>1320</v>
      </c>
      <c r="G1036" s="6" t="s">
        <v>1345</v>
      </c>
      <c r="H1036" s="7" t="s">
        <v>51</v>
      </c>
      <c r="I1036" s="6" t="str">
        <f aca="false">CONCATENATE(E1036, "_",H1036)</f>
        <v>NLA_2023_018_012</v>
      </c>
      <c r="J1036" s="6" t="s">
        <v>52</v>
      </c>
      <c r="K1036" s="6" t="s">
        <v>1367</v>
      </c>
      <c r="L1036" s="9" t="s">
        <v>69</v>
      </c>
      <c r="M1036" s="17" t="s">
        <v>1347</v>
      </c>
      <c r="N1036" s="6" t="s">
        <v>246</v>
      </c>
      <c r="O1036" s="35" t="s">
        <v>1220</v>
      </c>
      <c r="P1036" s="1" t="s">
        <v>43</v>
      </c>
      <c r="Q1036" s="6" t="s">
        <v>1358</v>
      </c>
      <c r="R1036" s="6" t="s">
        <v>44</v>
      </c>
      <c r="S1036" s="6"/>
      <c r="T1036" s="6" t="s">
        <v>1265</v>
      </c>
      <c r="U1036" s="1" t="n">
        <v>1500</v>
      </c>
      <c r="V1036" s="1" t="n">
        <v>1</v>
      </c>
      <c r="W1036" s="4"/>
      <c r="X1036" s="9" t="s">
        <v>1215</v>
      </c>
      <c r="Y1036" s="14" t="n">
        <v>5500</v>
      </c>
      <c r="Z1036" s="6" t="s">
        <v>1324</v>
      </c>
      <c r="AA1036" s="6" t="s">
        <v>1325</v>
      </c>
      <c r="AB1036" s="15" t="str">
        <f aca="true" t="array" ref="AB1036:AB1036">LEFT(AA1036,LOOKUP(2^15,FIND(".",AA1036,ROW(INDIRECT("1:"&amp;LEN(AA1036)))))-1)</f>
        <v>NB_2023_016 - 20230425 - 1</v>
      </c>
      <c r="AC1036" s="6" t="s">
        <v>1326</v>
      </c>
      <c r="AD1036" s="15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3" t="s">
        <v>1364</v>
      </c>
      <c r="B1037" s="34"/>
      <c r="C1037" s="4" t="s">
        <v>1365</v>
      </c>
      <c r="D1037" s="6" t="s">
        <v>19</v>
      </c>
      <c r="E1037" s="6" t="s">
        <v>1319</v>
      </c>
      <c r="F1037" s="7" t="s">
        <v>1320</v>
      </c>
      <c r="G1037" s="6" t="s">
        <v>1345</v>
      </c>
      <c r="H1037" s="7" t="s">
        <v>172</v>
      </c>
      <c r="I1037" s="6" t="str">
        <f aca="false">CONCATENATE(E1037, "_",H1037)</f>
        <v>NLA_2023_018_015</v>
      </c>
      <c r="J1037" s="14" t="s">
        <v>38</v>
      </c>
      <c r="K1037" s="6" t="s">
        <v>1368</v>
      </c>
      <c r="L1037" s="9" t="s">
        <v>69</v>
      </c>
      <c r="M1037" s="17" t="s">
        <v>1347</v>
      </c>
      <c r="N1037" s="6" t="s">
        <v>246</v>
      </c>
      <c r="O1037" s="35" t="s">
        <v>1220</v>
      </c>
      <c r="P1037" s="1" t="s">
        <v>43</v>
      </c>
      <c r="Q1037" s="6" t="s">
        <v>1358</v>
      </c>
      <c r="R1037" s="6" t="s">
        <v>44</v>
      </c>
      <c r="S1037" s="6"/>
      <c r="T1037" s="6" t="s">
        <v>1263</v>
      </c>
      <c r="U1037" s="1" t="n">
        <v>1500</v>
      </c>
      <c r="V1037" s="1" t="n">
        <v>2</v>
      </c>
      <c r="W1037" s="4"/>
      <c r="X1037" s="9" t="s">
        <v>1215</v>
      </c>
      <c r="Y1037" s="14" t="n">
        <v>5500</v>
      </c>
      <c r="Z1037" s="6" t="s">
        <v>1324</v>
      </c>
      <c r="AA1037" s="6" t="s">
        <v>1325</v>
      </c>
      <c r="AB1037" s="15" t="str">
        <f aca="true" t="array" ref="AB1037:AB1037">LEFT(AA1037,LOOKUP(2^15,FIND(".",AA1037,ROW(INDIRECT("1:"&amp;LEN(AA1037)))))-1)</f>
        <v>NB_2023_016 - 20230425 - 1</v>
      </c>
      <c r="AC1037" s="6" t="s">
        <v>1326</v>
      </c>
      <c r="AD1037" s="15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3" t="s">
        <v>1364</v>
      </c>
      <c r="B1038" s="34"/>
      <c r="C1038" s="4" t="s">
        <v>1365</v>
      </c>
      <c r="D1038" s="6" t="s">
        <v>19</v>
      </c>
      <c r="E1038" s="6" t="s">
        <v>1319</v>
      </c>
      <c r="F1038" s="7" t="s">
        <v>1320</v>
      </c>
      <c r="G1038" s="6" t="s">
        <v>1345</v>
      </c>
      <c r="H1038" s="7" t="s">
        <v>93</v>
      </c>
      <c r="I1038" s="6" t="str">
        <f aca="false">CONCATENATE(E1038, "_",H1038)</f>
        <v>NLA_2023_018_018</v>
      </c>
      <c r="J1038" s="14" t="s">
        <v>38</v>
      </c>
      <c r="K1038" s="6" t="s">
        <v>1369</v>
      </c>
      <c r="L1038" s="9" t="s">
        <v>69</v>
      </c>
      <c r="M1038" s="17" t="s">
        <v>1347</v>
      </c>
      <c r="N1038" s="6" t="s">
        <v>246</v>
      </c>
      <c r="O1038" s="35" t="s">
        <v>1220</v>
      </c>
      <c r="P1038" s="1" t="s">
        <v>43</v>
      </c>
      <c r="Q1038" s="6" t="s">
        <v>1358</v>
      </c>
      <c r="R1038" s="6" t="s">
        <v>44</v>
      </c>
      <c r="S1038" s="6"/>
      <c r="T1038" s="6" t="s">
        <v>1263</v>
      </c>
      <c r="U1038" s="1" t="n">
        <v>1500</v>
      </c>
      <c r="V1038" s="1" t="n">
        <v>3</v>
      </c>
      <c r="W1038" s="4"/>
      <c r="X1038" s="9" t="s">
        <v>1215</v>
      </c>
      <c r="Y1038" s="14" t="n">
        <v>5500</v>
      </c>
      <c r="Z1038" s="6" t="s">
        <v>1324</v>
      </c>
      <c r="AA1038" s="6" t="s">
        <v>1325</v>
      </c>
      <c r="AB1038" s="15" t="str">
        <f aca="true" t="array" ref="AB1038:AB1038">LEFT(AA1038,LOOKUP(2^15,FIND(".",AA1038,ROW(INDIRECT("1:"&amp;LEN(AA1038)))))-1)</f>
        <v>NB_2023_016 - 20230425 - 1</v>
      </c>
      <c r="AC1038" s="6" t="s">
        <v>1326</v>
      </c>
      <c r="AD1038" s="15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3" t="s">
        <v>1364</v>
      </c>
      <c r="B1039" s="34"/>
      <c r="C1039" s="4" t="s">
        <v>1365</v>
      </c>
      <c r="D1039" s="6" t="s">
        <v>19</v>
      </c>
      <c r="E1039" s="6" t="s">
        <v>1319</v>
      </c>
      <c r="F1039" s="7" t="s">
        <v>1320</v>
      </c>
      <c r="G1039" s="6" t="s">
        <v>1345</v>
      </c>
      <c r="H1039" s="7" t="s">
        <v>385</v>
      </c>
      <c r="I1039" s="6" t="str">
        <f aca="false">CONCATENATE(E1039, "_",H1039)</f>
        <v>NLA_2023_018_030</v>
      </c>
      <c r="J1039" s="14" t="s">
        <v>38</v>
      </c>
      <c r="K1039" s="6" t="s">
        <v>1370</v>
      </c>
      <c r="L1039" s="9" t="s">
        <v>69</v>
      </c>
      <c r="M1039" s="17" t="s">
        <v>1347</v>
      </c>
      <c r="N1039" s="6" t="s">
        <v>246</v>
      </c>
      <c r="O1039" s="35" t="s">
        <v>1220</v>
      </c>
      <c r="P1039" s="1" t="s">
        <v>43</v>
      </c>
      <c r="Q1039" s="6" t="s">
        <v>1358</v>
      </c>
      <c r="R1039" s="6" t="s">
        <v>44</v>
      </c>
      <c r="S1039" s="6"/>
      <c r="T1039" s="6" t="s">
        <v>1263</v>
      </c>
      <c r="U1039" s="1" t="n">
        <v>1500</v>
      </c>
      <c r="V1039" s="1" t="n">
        <v>1</v>
      </c>
      <c r="W1039" s="4"/>
      <c r="X1039" s="9" t="s">
        <v>1215</v>
      </c>
      <c r="Y1039" s="14" t="n">
        <v>5500</v>
      </c>
      <c r="Z1039" s="6" t="s">
        <v>1324</v>
      </c>
      <c r="AA1039" s="6" t="s">
        <v>1325</v>
      </c>
      <c r="AB1039" s="15" t="str">
        <f aca="true" t="array" ref="AB1039:AB1039">LEFT(AA1039,LOOKUP(2^15,FIND(".",AA1039,ROW(INDIRECT("1:"&amp;LEN(AA1039)))))-1)</f>
        <v>NB_2023_016 - 20230425 - 1</v>
      </c>
      <c r="AC1039" s="6" t="s">
        <v>1326</v>
      </c>
      <c r="AD1039" s="15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3" t="s">
        <v>1364</v>
      </c>
      <c r="B1040" s="34"/>
      <c r="C1040" s="4" t="s">
        <v>1365</v>
      </c>
      <c r="D1040" s="6" t="s">
        <v>19</v>
      </c>
      <c r="E1040" s="6" t="s">
        <v>1319</v>
      </c>
      <c r="F1040" s="7" t="s">
        <v>1320</v>
      </c>
      <c r="G1040" s="6" t="s">
        <v>1345</v>
      </c>
      <c r="H1040" s="7" t="s">
        <v>1371</v>
      </c>
      <c r="I1040" s="6" t="str">
        <f aca="false">CONCATENATE(E1040, "_",H1040)</f>
        <v>NLA_2023_018_037</v>
      </c>
      <c r="J1040" s="6" t="s">
        <v>52</v>
      </c>
      <c r="K1040" s="6" t="s">
        <v>1372</v>
      </c>
      <c r="L1040" s="9" t="s">
        <v>69</v>
      </c>
      <c r="M1040" s="17" t="s">
        <v>1347</v>
      </c>
      <c r="N1040" s="6" t="s">
        <v>246</v>
      </c>
      <c r="O1040" s="35" t="s">
        <v>1220</v>
      </c>
      <c r="P1040" s="1" t="s">
        <v>43</v>
      </c>
      <c r="Q1040" s="6" t="s">
        <v>1358</v>
      </c>
      <c r="R1040" s="6" t="s">
        <v>44</v>
      </c>
      <c r="S1040" s="6"/>
      <c r="T1040" s="6" t="s">
        <v>1265</v>
      </c>
      <c r="U1040" s="1" t="n">
        <v>1500</v>
      </c>
      <c r="V1040" s="1" t="n">
        <v>3</v>
      </c>
      <c r="W1040" s="4"/>
      <c r="X1040" s="9" t="s">
        <v>1215</v>
      </c>
      <c r="Y1040" s="14" t="n">
        <v>5500</v>
      </c>
      <c r="Z1040" s="6" t="s">
        <v>1324</v>
      </c>
      <c r="AA1040" s="6" t="s">
        <v>1325</v>
      </c>
      <c r="AB1040" s="15" t="str">
        <f aca="true" t="array" ref="AB1040:AB1040">LEFT(AA1040,LOOKUP(2^15,FIND(".",AA1040,ROW(INDIRECT("1:"&amp;LEN(AA1040)))))-1)</f>
        <v>NB_2023_016 - 20230425 - 1</v>
      </c>
      <c r="AC1040" s="6" t="s">
        <v>1326</v>
      </c>
      <c r="AD1040" s="15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3" t="s">
        <v>1364</v>
      </c>
      <c r="B1041" s="34"/>
      <c r="C1041" s="4" t="s">
        <v>1365</v>
      </c>
      <c r="D1041" s="6" t="s">
        <v>19</v>
      </c>
      <c r="E1041" s="6" t="s">
        <v>1319</v>
      </c>
      <c r="F1041" s="7" t="s">
        <v>1320</v>
      </c>
      <c r="G1041" s="6" t="s">
        <v>1319</v>
      </c>
      <c r="H1041" s="16" t="s">
        <v>64</v>
      </c>
      <c r="I1041" s="6" t="str">
        <f aca="false">CONCATENATE(E1041, "_",H1041)</f>
        <v>NLA_2023_018_Blank_1</v>
      </c>
      <c r="J1041" s="6" t="s">
        <v>52</v>
      </c>
      <c r="K1041" s="18" t="s">
        <v>64</v>
      </c>
      <c r="L1041" s="7" t="s">
        <v>46</v>
      </c>
      <c r="M1041" s="17" t="s">
        <v>46</v>
      </c>
      <c r="N1041" s="6" t="s">
        <v>65</v>
      </c>
      <c r="O1041" s="6" t="s">
        <v>46</v>
      </c>
      <c r="P1041" s="6" t="s">
        <v>46</v>
      </c>
      <c r="Q1041" s="6" t="s">
        <v>46</v>
      </c>
      <c r="R1041" s="6" t="s">
        <v>46</v>
      </c>
      <c r="S1041" s="6" t="s">
        <v>46</v>
      </c>
      <c r="T1041" s="6" t="s">
        <v>46</v>
      </c>
      <c r="U1041" s="6" t="s">
        <v>46</v>
      </c>
      <c r="V1041" s="1" t="n">
        <v>1</v>
      </c>
      <c r="W1041" s="4"/>
      <c r="X1041" s="6" t="s">
        <v>46</v>
      </c>
      <c r="Y1041" s="14" t="n">
        <v>5500</v>
      </c>
      <c r="Z1041" s="6" t="s">
        <v>1324</v>
      </c>
      <c r="AA1041" s="6" t="s">
        <v>1325</v>
      </c>
      <c r="AB1041" s="15" t="str">
        <f aca="true" t="array" ref="AB1041:AB1041">LEFT(AA1041,LOOKUP(2^15,FIND(".",AA1041,ROW(INDIRECT("1:"&amp;LEN(AA1041)))))-1)</f>
        <v>NB_2023_016 - 20230425 - 1</v>
      </c>
      <c r="AC1041" s="6" t="s">
        <v>1326</v>
      </c>
      <c r="AD1041" s="15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3" t="s">
        <v>1364</v>
      </c>
      <c r="B1042" s="34"/>
      <c r="C1042" s="4" t="s">
        <v>1365</v>
      </c>
      <c r="D1042" s="6" t="s">
        <v>19</v>
      </c>
      <c r="E1042" s="6" t="s">
        <v>1319</v>
      </c>
      <c r="F1042" s="7" t="s">
        <v>1320</v>
      </c>
      <c r="G1042" s="6" t="s">
        <v>1319</v>
      </c>
      <c r="H1042" s="16" t="s">
        <v>67</v>
      </c>
      <c r="I1042" s="6" t="str">
        <f aca="false">CONCATENATE(E1042, "_",H1042)</f>
        <v>NLA_2023_018_Blank_3</v>
      </c>
      <c r="J1042" s="6" t="s">
        <v>52</v>
      </c>
      <c r="K1042" s="18" t="s">
        <v>67</v>
      </c>
      <c r="L1042" s="7" t="s">
        <v>46</v>
      </c>
      <c r="M1042" s="17" t="s">
        <v>46</v>
      </c>
      <c r="N1042" s="6" t="s">
        <v>65</v>
      </c>
      <c r="O1042" s="6" t="s">
        <v>46</v>
      </c>
      <c r="P1042" s="6" t="s">
        <v>46</v>
      </c>
      <c r="Q1042" s="6" t="s">
        <v>46</v>
      </c>
      <c r="R1042" s="6" t="s">
        <v>46</v>
      </c>
      <c r="S1042" s="6" t="s">
        <v>46</v>
      </c>
      <c r="T1042" s="6" t="s">
        <v>46</v>
      </c>
      <c r="U1042" s="6" t="s">
        <v>46</v>
      </c>
      <c r="V1042" s="1" t="n">
        <v>3</v>
      </c>
      <c r="W1042" s="4"/>
      <c r="X1042" s="6" t="s">
        <v>46</v>
      </c>
      <c r="Y1042" s="14" t="n">
        <v>5500</v>
      </c>
      <c r="Z1042" s="6" t="s">
        <v>1324</v>
      </c>
      <c r="AA1042" s="6" t="s">
        <v>1325</v>
      </c>
      <c r="AB1042" s="15" t="str">
        <f aca="true" t="array" ref="AB1042:AB1042">LEFT(AA1042,LOOKUP(2^15,FIND(".",AA1042,ROW(INDIRECT("1:"&amp;LEN(AA1042)))))-1)</f>
        <v>NB_2023_016 - 20230425 - 1</v>
      </c>
      <c r="AC1042" s="6" t="s">
        <v>1326</v>
      </c>
      <c r="AD1042" s="15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3" t="s">
        <v>1364</v>
      </c>
      <c r="B1043" s="34"/>
      <c r="C1043" s="4" t="s">
        <v>1365</v>
      </c>
      <c r="D1043" s="6" t="s">
        <v>19</v>
      </c>
      <c r="E1043" s="6" t="s">
        <v>1319</v>
      </c>
      <c r="F1043" s="7" t="s">
        <v>1320</v>
      </c>
      <c r="G1043" s="6" t="s">
        <v>1319</v>
      </c>
      <c r="H1043" s="16" t="s">
        <v>221</v>
      </c>
      <c r="I1043" s="6" t="str">
        <f aca="false">CONCATENATE(E1043, "_",H1043)</f>
        <v>NLA_2023_018_Blank_4</v>
      </c>
      <c r="J1043" s="6" t="s">
        <v>52</v>
      </c>
      <c r="K1043" s="18" t="s">
        <v>221</v>
      </c>
      <c r="L1043" s="7" t="s">
        <v>46</v>
      </c>
      <c r="M1043" s="17" t="s">
        <v>46</v>
      </c>
      <c r="N1043" s="6" t="s">
        <v>65</v>
      </c>
      <c r="O1043" s="6" t="s">
        <v>46</v>
      </c>
      <c r="P1043" s="6" t="s">
        <v>46</v>
      </c>
      <c r="Q1043" s="6" t="s">
        <v>46</v>
      </c>
      <c r="R1043" s="6" t="s">
        <v>46</v>
      </c>
      <c r="S1043" s="6" t="s">
        <v>46</v>
      </c>
      <c r="T1043" s="6" t="s">
        <v>46</v>
      </c>
      <c r="U1043" s="6" t="s">
        <v>46</v>
      </c>
      <c r="V1043" s="1" t="n">
        <v>4</v>
      </c>
      <c r="W1043" s="4"/>
      <c r="X1043" s="6" t="s">
        <v>46</v>
      </c>
      <c r="Y1043" s="14" t="n">
        <v>5500</v>
      </c>
      <c r="Z1043" s="6" t="s">
        <v>1324</v>
      </c>
      <c r="AA1043" s="6" t="s">
        <v>1325</v>
      </c>
      <c r="AB1043" s="15" t="str">
        <f aca="true" t="array" ref="AB1043:AB1043">LEFT(AA1043,LOOKUP(2^15,FIND(".",AA1043,ROW(INDIRECT("1:"&amp;LEN(AA1043)))))-1)</f>
        <v>NB_2023_016 - 20230425 - 1</v>
      </c>
      <c r="AC1043" s="6" t="s">
        <v>1326</v>
      </c>
      <c r="AD1043" s="15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3" t="s">
        <v>1364</v>
      </c>
      <c r="B1044" s="34"/>
      <c r="C1044" s="4" t="s">
        <v>1365</v>
      </c>
      <c r="D1044" s="6" t="s">
        <v>19</v>
      </c>
      <c r="E1044" s="6" t="s">
        <v>1319</v>
      </c>
      <c r="F1044" s="7" t="s">
        <v>1320</v>
      </c>
      <c r="G1044" s="6" t="s">
        <v>1319</v>
      </c>
      <c r="H1044" s="16" t="s">
        <v>68</v>
      </c>
      <c r="I1044" s="6" t="str">
        <f aca="false">CONCATENATE(E1044, "_",H1044)</f>
        <v>NLA_2023_018_QC_C_1</v>
      </c>
      <c r="J1044" s="6" t="s">
        <v>52</v>
      </c>
      <c r="K1044" s="18" t="s">
        <v>68</v>
      </c>
      <c r="L1044" s="9" t="s">
        <v>69</v>
      </c>
      <c r="M1044" s="3" t="s">
        <v>46</v>
      </c>
      <c r="N1044" s="6" t="s">
        <v>70</v>
      </c>
      <c r="O1044" s="6" t="s">
        <v>46</v>
      </c>
      <c r="P1044" s="6" t="s">
        <v>71</v>
      </c>
      <c r="Q1044" s="6" t="s">
        <v>71</v>
      </c>
      <c r="R1044" s="6" t="s">
        <v>72</v>
      </c>
      <c r="S1044" s="6" t="s">
        <v>73</v>
      </c>
      <c r="T1044" s="6" t="s">
        <v>46</v>
      </c>
      <c r="U1044" s="6" t="n">
        <v>1000</v>
      </c>
      <c r="V1044" s="1" t="n">
        <v>1</v>
      </c>
      <c r="W1044" s="4"/>
      <c r="X1044" s="6" t="s">
        <v>74</v>
      </c>
      <c r="Y1044" s="14" t="n">
        <v>5500</v>
      </c>
      <c r="Z1044" s="6" t="s">
        <v>1324</v>
      </c>
      <c r="AA1044" s="6" t="s">
        <v>1325</v>
      </c>
      <c r="AB1044" s="15" t="str">
        <f aca="true" t="array" ref="AB1044:AB1044">LEFT(AA1044,LOOKUP(2^15,FIND(".",AA1044,ROW(INDIRECT("1:"&amp;LEN(AA1044)))))-1)</f>
        <v>NB_2023_016 - 20230425 - 1</v>
      </c>
      <c r="AC1044" s="6" t="s">
        <v>1326</v>
      </c>
      <c r="AD1044" s="15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3" t="s">
        <v>1364</v>
      </c>
      <c r="B1045" s="34"/>
      <c r="C1045" s="4" t="s">
        <v>1365</v>
      </c>
      <c r="D1045" s="6" t="s">
        <v>19</v>
      </c>
      <c r="E1045" s="6" t="s">
        <v>1319</v>
      </c>
      <c r="F1045" s="7" t="s">
        <v>1320</v>
      </c>
      <c r="G1045" s="6" t="s">
        <v>1319</v>
      </c>
      <c r="H1045" s="16" t="s">
        <v>75</v>
      </c>
      <c r="I1045" s="6" t="str">
        <f aca="false">CONCATENATE(E1045, "_",H1045)</f>
        <v>NLA_2023_018_QC_C_2</v>
      </c>
      <c r="J1045" s="6" t="s">
        <v>52</v>
      </c>
      <c r="K1045" s="18" t="s">
        <v>75</v>
      </c>
      <c r="L1045" s="9" t="s">
        <v>69</v>
      </c>
      <c r="M1045" s="3" t="s">
        <v>46</v>
      </c>
      <c r="N1045" s="6" t="s">
        <v>70</v>
      </c>
      <c r="O1045" s="6" t="s">
        <v>46</v>
      </c>
      <c r="P1045" s="6" t="s">
        <v>71</v>
      </c>
      <c r="Q1045" s="6" t="s">
        <v>71</v>
      </c>
      <c r="R1045" s="6" t="s">
        <v>72</v>
      </c>
      <c r="S1045" s="6" t="s">
        <v>73</v>
      </c>
      <c r="T1045" s="6" t="s">
        <v>46</v>
      </c>
      <c r="U1045" s="6" t="n">
        <v>1000</v>
      </c>
      <c r="V1045" s="1" t="n">
        <v>2</v>
      </c>
      <c r="W1045" s="4"/>
      <c r="X1045" s="6" t="s">
        <v>74</v>
      </c>
      <c r="Y1045" s="14" t="n">
        <v>5500</v>
      </c>
      <c r="Z1045" s="6" t="s">
        <v>1324</v>
      </c>
      <c r="AA1045" s="6" t="s">
        <v>1325</v>
      </c>
      <c r="AB1045" s="15" t="str">
        <f aca="true" t="array" ref="AB1045:AB1045">LEFT(AA1045,LOOKUP(2^15,FIND(".",AA1045,ROW(INDIRECT("1:"&amp;LEN(AA1045)))))-1)</f>
        <v>NB_2023_016 - 20230425 - 1</v>
      </c>
      <c r="AC1045" s="6" t="s">
        <v>1326</v>
      </c>
      <c r="AD1045" s="15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3" t="s">
        <v>1364</v>
      </c>
      <c r="B1046" s="34"/>
      <c r="C1046" s="4" t="s">
        <v>1365</v>
      </c>
      <c r="D1046" s="6" t="s">
        <v>19</v>
      </c>
      <c r="E1046" s="6" t="s">
        <v>1319</v>
      </c>
      <c r="F1046" s="7" t="s">
        <v>1320</v>
      </c>
      <c r="G1046" s="6" t="s">
        <v>1319</v>
      </c>
      <c r="H1046" s="16" t="s">
        <v>76</v>
      </c>
      <c r="I1046" s="6" t="str">
        <f aca="false">CONCATENATE(E1046, "_",H1046)</f>
        <v>NLA_2023_018_QC_C_3</v>
      </c>
      <c r="J1046" s="6" t="s">
        <v>52</v>
      </c>
      <c r="K1046" s="18" t="s">
        <v>76</v>
      </c>
      <c r="L1046" s="9" t="s">
        <v>69</v>
      </c>
      <c r="M1046" s="3" t="s">
        <v>46</v>
      </c>
      <c r="N1046" s="6" t="s">
        <v>70</v>
      </c>
      <c r="O1046" s="6" t="s">
        <v>46</v>
      </c>
      <c r="P1046" s="6" t="s">
        <v>71</v>
      </c>
      <c r="Q1046" s="6" t="s">
        <v>71</v>
      </c>
      <c r="R1046" s="6" t="s">
        <v>72</v>
      </c>
      <c r="S1046" s="6" t="s">
        <v>73</v>
      </c>
      <c r="T1046" s="6" t="s">
        <v>46</v>
      </c>
      <c r="U1046" s="6" t="n">
        <v>1000</v>
      </c>
      <c r="V1046" s="1" t="n">
        <v>3</v>
      </c>
      <c r="W1046" s="4"/>
      <c r="X1046" s="6" t="s">
        <v>74</v>
      </c>
      <c r="Y1046" s="14" t="n">
        <v>5500</v>
      </c>
      <c r="Z1046" s="6" t="s">
        <v>1324</v>
      </c>
      <c r="AA1046" s="6" t="s">
        <v>1325</v>
      </c>
      <c r="AB1046" s="15" t="str">
        <f aca="true" t="array" ref="AB1046:AB1046">LEFT(AA1046,LOOKUP(2^15,FIND(".",AA1046,ROW(INDIRECT("1:"&amp;LEN(AA1046)))))-1)</f>
        <v>NB_2023_016 - 20230425 - 1</v>
      </c>
      <c r="AC1046" s="6" t="s">
        <v>1326</v>
      </c>
      <c r="AD1046" s="15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3" t="s">
        <v>1364</v>
      </c>
      <c r="B1047" s="34"/>
      <c r="C1047" s="4" t="s">
        <v>1365</v>
      </c>
      <c r="D1047" s="6" t="s">
        <v>19</v>
      </c>
      <c r="E1047" s="6" t="s">
        <v>1319</v>
      </c>
      <c r="F1047" s="7" t="s">
        <v>1320</v>
      </c>
      <c r="G1047" s="6" t="s">
        <v>1319</v>
      </c>
      <c r="H1047" s="16" t="s">
        <v>222</v>
      </c>
      <c r="I1047" s="6" t="str">
        <f aca="false">CONCATENATE(E1047, "_",H1047)</f>
        <v>NLA_2023_018_QC_C_4</v>
      </c>
      <c r="J1047" s="6" t="s">
        <v>52</v>
      </c>
      <c r="K1047" s="18" t="s">
        <v>222</v>
      </c>
      <c r="L1047" s="9" t="s">
        <v>69</v>
      </c>
      <c r="M1047" s="3" t="s">
        <v>46</v>
      </c>
      <c r="N1047" s="6" t="s">
        <v>70</v>
      </c>
      <c r="O1047" s="6" t="s">
        <v>46</v>
      </c>
      <c r="P1047" s="6" t="s">
        <v>71</v>
      </c>
      <c r="Q1047" s="6" t="s">
        <v>71</v>
      </c>
      <c r="R1047" s="6" t="s">
        <v>72</v>
      </c>
      <c r="S1047" s="6" t="s">
        <v>73</v>
      </c>
      <c r="T1047" s="6" t="s">
        <v>46</v>
      </c>
      <c r="U1047" s="6" t="n">
        <v>1000</v>
      </c>
      <c r="V1047" s="1" t="n">
        <v>4</v>
      </c>
      <c r="W1047" s="4"/>
      <c r="X1047" s="6" t="s">
        <v>74</v>
      </c>
      <c r="Y1047" s="14" t="n">
        <v>5500</v>
      </c>
      <c r="Z1047" s="6" t="s">
        <v>1324</v>
      </c>
      <c r="AA1047" s="6" t="s">
        <v>1325</v>
      </c>
      <c r="AB1047" s="15" t="str">
        <f aca="true" t="array" ref="AB1047:AB1047">LEFT(AA1047,LOOKUP(2^15,FIND(".",AA1047,ROW(INDIRECT("1:"&amp;LEN(AA1047)))))-1)</f>
        <v>NB_2023_016 - 20230425 - 1</v>
      </c>
      <c r="AC1047" s="6" t="s">
        <v>1326</v>
      </c>
      <c r="AD1047" s="15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3" t="s">
        <v>1364</v>
      </c>
      <c r="B1048" s="34"/>
      <c r="C1048" s="4" t="s">
        <v>1365</v>
      </c>
      <c r="D1048" s="6" t="s">
        <v>19</v>
      </c>
      <c r="E1048" s="6" t="s">
        <v>1319</v>
      </c>
      <c r="F1048" s="7" t="s">
        <v>1320</v>
      </c>
      <c r="G1048" s="6" t="s">
        <v>1319</v>
      </c>
      <c r="H1048" s="16" t="s">
        <v>77</v>
      </c>
      <c r="I1048" s="6" t="str">
        <f aca="false">CONCATENATE(E1048, "_",H1048)</f>
        <v>NLA_2023_018_QC_P_1</v>
      </c>
      <c r="J1048" s="6" t="s">
        <v>52</v>
      </c>
      <c r="K1048" s="18" t="s">
        <v>77</v>
      </c>
      <c r="L1048" s="7" t="s">
        <v>69</v>
      </c>
      <c r="M1048" s="3" t="s">
        <v>46</v>
      </c>
      <c r="N1048" s="6" t="s">
        <v>78</v>
      </c>
      <c r="O1048" s="6" t="s">
        <v>46</v>
      </c>
      <c r="P1048" s="6" t="s">
        <v>79</v>
      </c>
      <c r="Q1048" s="6" t="s">
        <v>80</v>
      </c>
      <c r="R1048" s="6" t="s">
        <v>81</v>
      </c>
      <c r="S1048" s="6" t="s">
        <v>46</v>
      </c>
      <c r="T1048" s="6" t="s">
        <v>46</v>
      </c>
      <c r="U1048" s="6" t="s">
        <v>82</v>
      </c>
      <c r="V1048" s="1" t="n">
        <v>1</v>
      </c>
      <c r="W1048" s="4"/>
      <c r="X1048" s="6" t="s">
        <v>83</v>
      </c>
      <c r="Y1048" s="14" t="n">
        <v>5500</v>
      </c>
      <c r="Z1048" s="6" t="s">
        <v>1324</v>
      </c>
      <c r="AA1048" s="6" t="s">
        <v>1325</v>
      </c>
      <c r="AB1048" s="15" t="str">
        <f aca="true" t="array" ref="AB1048:AB1048">LEFT(AA1048,LOOKUP(2^15,FIND(".",AA1048,ROW(INDIRECT("1:"&amp;LEN(AA1048)))))-1)</f>
        <v>NB_2023_016 - 20230425 - 1</v>
      </c>
      <c r="AC1048" s="6" t="s">
        <v>1326</v>
      </c>
      <c r="AD1048" s="15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3" t="s">
        <v>1364</v>
      </c>
      <c r="B1049" s="34"/>
      <c r="C1049" s="4" t="s">
        <v>1365</v>
      </c>
      <c r="D1049" s="6" t="s">
        <v>19</v>
      </c>
      <c r="E1049" s="6" t="s">
        <v>1319</v>
      </c>
      <c r="F1049" s="7" t="s">
        <v>1320</v>
      </c>
      <c r="G1049" s="6" t="s">
        <v>1319</v>
      </c>
      <c r="H1049" s="16" t="s">
        <v>84</v>
      </c>
      <c r="I1049" s="6" t="str">
        <f aca="false">CONCATENATE(E1049, "_",H1049)</f>
        <v>NLA_2023_018_QC_P_2</v>
      </c>
      <c r="J1049" s="6" t="s">
        <v>52</v>
      </c>
      <c r="K1049" s="18" t="s">
        <v>84</v>
      </c>
      <c r="L1049" s="7" t="s">
        <v>69</v>
      </c>
      <c r="M1049" s="3" t="s">
        <v>46</v>
      </c>
      <c r="N1049" s="6" t="s">
        <v>78</v>
      </c>
      <c r="O1049" s="6" t="s">
        <v>46</v>
      </c>
      <c r="P1049" s="6" t="s">
        <v>79</v>
      </c>
      <c r="Q1049" s="6" t="s">
        <v>80</v>
      </c>
      <c r="R1049" s="6" t="s">
        <v>81</v>
      </c>
      <c r="S1049" s="6" t="s">
        <v>46</v>
      </c>
      <c r="T1049" s="6" t="s">
        <v>46</v>
      </c>
      <c r="U1049" s="6" t="s">
        <v>82</v>
      </c>
      <c r="V1049" s="1" t="n">
        <v>2</v>
      </c>
      <c r="W1049" s="4"/>
      <c r="X1049" s="6" t="s">
        <v>83</v>
      </c>
      <c r="Y1049" s="14" t="n">
        <v>5500</v>
      </c>
      <c r="Z1049" s="6" t="s">
        <v>1324</v>
      </c>
      <c r="AA1049" s="6" t="s">
        <v>1325</v>
      </c>
      <c r="AB1049" s="15" t="str">
        <f aca="true" t="array" ref="AB1049:AB1049">LEFT(AA1049,LOOKUP(2^15,FIND(".",AA1049,ROW(INDIRECT("1:"&amp;LEN(AA1049)))))-1)</f>
        <v>NB_2023_016 - 20230425 - 1</v>
      </c>
      <c r="AC1049" s="6" t="s">
        <v>1326</v>
      </c>
      <c r="AD1049" s="15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3" t="s">
        <v>1364</v>
      </c>
      <c r="B1050" s="34"/>
      <c r="C1050" s="4" t="s">
        <v>1365</v>
      </c>
      <c r="D1050" s="6" t="s">
        <v>19</v>
      </c>
      <c r="E1050" s="6" t="s">
        <v>1319</v>
      </c>
      <c r="F1050" s="7" t="s">
        <v>1320</v>
      </c>
      <c r="G1050" s="6" t="s">
        <v>1319</v>
      </c>
      <c r="H1050" s="16" t="s">
        <v>85</v>
      </c>
      <c r="I1050" s="6" t="str">
        <f aca="false">CONCATENATE(E1050, "_",H1050)</f>
        <v>NLA_2023_018_QC_P_3</v>
      </c>
      <c r="J1050" s="4" t="s">
        <v>52</v>
      </c>
      <c r="K1050" s="18" t="s">
        <v>85</v>
      </c>
      <c r="L1050" s="7" t="s">
        <v>69</v>
      </c>
      <c r="M1050" s="3" t="s">
        <v>46</v>
      </c>
      <c r="N1050" s="6" t="s">
        <v>78</v>
      </c>
      <c r="O1050" s="6" t="s">
        <v>46</v>
      </c>
      <c r="P1050" s="6" t="s">
        <v>79</v>
      </c>
      <c r="Q1050" s="6" t="s">
        <v>80</v>
      </c>
      <c r="R1050" s="6" t="s">
        <v>81</v>
      </c>
      <c r="S1050" s="6" t="s">
        <v>46</v>
      </c>
      <c r="T1050" s="6" t="s">
        <v>46</v>
      </c>
      <c r="U1050" s="6" t="s">
        <v>82</v>
      </c>
      <c r="V1050" s="1" t="n">
        <v>3</v>
      </c>
      <c r="W1050" s="4"/>
      <c r="X1050" s="6" t="s">
        <v>83</v>
      </c>
      <c r="Y1050" s="14" t="n">
        <v>5500</v>
      </c>
      <c r="Z1050" s="6" t="s">
        <v>1324</v>
      </c>
      <c r="AA1050" s="6" t="s">
        <v>1325</v>
      </c>
      <c r="AB1050" s="15" t="str">
        <f aca="true" t="array" ref="AB1050:AB1050">LEFT(AA1050,LOOKUP(2^15,FIND(".",AA1050,ROW(INDIRECT("1:"&amp;LEN(AA1050)))))-1)</f>
        <v>NB_2023_016 - 20230425 - 1</v>
      </c>
      <c r="AC1050" s="6" t="s">
        <v>1326</v>
      </c>
      <c r="AD1050" s="15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3" t="s">
        <v>1364</v>
      </c>
      <c r="B1051" s="34"/>
      <c r="C1051" s="4" t="s">
        <v>1365</v>
      </c>
      <c r="D1051" s="6" t="s">
        <v>19</v>
      </c>
      <c r="E1051" s="6" t="s">
        <v>1319</v>
      </c>
      <c r="F1051" s="7" t="s">
        <v>1320</v>
      </c>
      <c r="G1051" s="6" t="s">
        <v>1319</v>
      </c>
      <c r="H1051" s="16" t="s">
        <v>224</v>
      </c>
      <c r="I1051" s="6" t="str">
        <f aca="false">CONCATENATE(E1051, "_",H1051)</f>
        <v>NLA_2023_018_QC_P_4</v>
      </c>
      <c r="J1051" s="4" t="s">
        <v>52</v>
      </c>
      <c r="K1051" s="18" t="s">
        <v>224</v>
      </c>
      <c r="L1051" s="7" t="s">
        <v>69</v>
      </c>
      <c r="M1051" s="3" t="s">
        <v>46</v>
      </c>
      <c r="N1051" s="6" t="s">
        <v>78</v>
      </c>
      <c r="O1051" s="6" t="s">
        <v>46</v>
      </c>
      <c r="P1051" s="6" t="s">
        <v>79</v>
      </c>
      <c r="Q1051" s="6" t="s">
        <v>80</v>
      </c>
      <c r="R1051" s="6" t="s">
        <v>81</v>
      </c>
      <c r="S1051" s="6" t="s">
        <v>46</v>
      </c>
      <c r="T1051" s="6" t="s">
        <v>46</v>
      </c>
      <c r="U1051" s="6" t="s">
        <v>82</v>
      </c>
      <c r="V1051" s="1" t="n">
        <v>4</v>
      </c>
      <c r="W1051" s="4"/>
      <c r="X1051" s="6" t="s">
        <v>83</v>
      </c>
      <c r="Y1051" s="14" t="n">
        <v>5500</v>
      </c>
      <c r="Z1051" s="6" t="s">
        <v>1324</v>
      </c>
      <c r="AA1051" s="6" t="s">
        <v>1325</v>
      </c>
      <c r="AB1051" s="15" t="str">
        <f aca="true" t="array" ref="AB1051:AB1051">LEFT(AA1051,LOOKUP(2^15,FIND(".",AA1051,ROW(INDIRECT("1:"&amp;LEN(AA1051)))))-1)</f>
        <v>NB_2023_016 - 20230425 - 1</v>
      </c>
      <c r="AC1051" s="6" t="s">
        <v>1326</v>
      </c>
      <c r="AD1051" s="15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3" t="s">
        <v>1373</v>
      </c>
      <c r="B1052" s="34"/>
      <c r="C1052" s="4" t="s">
        <v>1374</v>
      </c>
      <c r="D1052" s="6" t="s">
        <v>14</v>
      </c>
      <c r="E1052" s="6" t="s">
        <v>186</v>
      </c>
      <c r="F1052" s="7" t="s">
        <v>187</v>
      </c>
      <c r="G1052" s="6" t="s">
        <v>1208</v>
      </c>
      <c r="H1052" s="27" t="s">
        <v>1209</v>
      </c>
      <c r="I1052" s="6" t="str">
        <f aca="false">CONCATENATE(E1052, "_",H1052)</f>
        <v>NLA_2022_001_006-1</v>
      </c>
      <c r="J1052" s="6" t="s">
        <v>38</v>
      </c>
      <c r="K1052" s="6" t="s">
        <v>1210</v>
      </c>
      <c r="L1052" s="9" t="s">
        <v>69</v>
      </c>
      <c r="M1052" s="13" t="s">
        <v>1211</v>
      </c>
      <c r="N1052" s="6" t="s">
        <v>246</v>
      </c>
      <c r="O1052" s="35" t="s">
        <v>1212</v>
      </c>
      <c r="P1052" s="6" t="s">
        <v>1213</v>
      </c>
      <c r="Q1052" s="6" t="s">
        <v>1214</v>
      </c>
      <c r="R1052" s="6" t="s">
        <v>72</v>
      </c>
      <c r="S1052" s="6" t="s">
        <v>73</v>
      </c>
      <c r="U1052" s="6" t="n">
        <v>1500</v>
      </c>
      <c r="V1052" s="1" t="n">
        <v>1</v>
      </c>
      <c r="W1052" s="6"/>
      <c r="X1052" s="9" t="s">
        <v>1215</v>
      </c>
      <c r="Y1052" s="1" t="n">
        <v>5500</v>
      </c>
      <c r="Z1052" s="6" t="s">
        <v>194</v>
      </c>
      <c r="AA1052" s="6" t="s">
        <v>195</v>
      </c>
      <c r="AB1052" s="15" t="str">
        <f aca="true" t="array" ref="AB1052:AB1052">LEFT(AA1052,LOOKUP(2^15,FIND(".",AA1052,ROW(INDIRECT("1:"&amp;LEN(AA1052)))))-1)</f>
        <v>NB_2022_006+007+010 - 25022022 - 1</v>
      </c>
      <c r="AC1052" s="6" t="s">
        <v>196</v>
      </c>
      <c r="AD1052" s="15" t="str">
        <f aca="true" t="array" ref="AD1052:AD1052">LEFT(AC1052,LOOKUP(2^15,FIND(".",AC1052,ROW(INDIRECT("1:"&amp;LEN(AC1052)))))-1)</f>
        <v>NB_2022_006+007+010 - 25022022 - 2</v>
      </c>
      <c r="AE1052" s="6" t="str">
        <f aca="false">CONCATENATE(AB1052, "-",H1052, ".mzML")</f>
        <v>NB_2022_006+007+010 - 25022022 - 1-006-1.mzML</v>
      </c>
      <c r="AF1052" s="6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3" t="s">
        <v>1373</v>
      </c>
      <c r="B1053" s="34"/>
      <c r="C1053" s="4" t="s">
        <v>1374</v>
      </c>
      <c r="D1053" s="6" t="s">
        <v>14</v>
      </c>
      <c r="E1053" s="6" t="s">
        <v>186</v>
      </c>
      <c r="F1053" s="7" t="s">
        <v>187</v>
      </c>
      <c r="G1053" s="6" t="s">
        <v>1208</v>
      </c>
      <c r="H1053" s="27" t="s">
        <v>1216</v>
      </c>
      <c r="I1053" s="6" t="str">
        <f aca="false">CONCATENATE(E1053, "_",H1053)</f>
        <v>NLA_2022_001_006-2</v>
      </c>
      <c r="J1053" s="6" t="s">
        <v>38</v>
      </c>
      <c r="K1053" s="6" t="s">
        <v>1210</v>
      </c>
      <c r="L1053" s="9" t="s">
        <v>69</v>
      </c>
      <c r="M1053" s="13" t="s">
        <v>1211</v>
      </c>
      <c r="N1053" s="6" t="s">
        <v>246</v>
      </c>
      <c r="O1053" s="35" t="s">
        <v>1212</v>
      </c>
      <c r="P1053" s="6" t="s">
        <v>1213</v>
      </c>
      <c r="Q1053" s="6" t="s">
        <v>1214</v>
      </c>
      <c r="R1053" s="6" t="s">
        <v>72</v>
      </c>
      <c r="S1053" s="6" t="s">
        <v>73</v>
      </c>
      <c r="U1053" s="6" t="n">
        <v>1500</v>
      </c>
      <c r="V1053" s="1" t="n">
        <v>2</v>
      </c>
      <c r="W1053" s="6"/>
      <c r="X1053" s="9" t="s">
        <v>1215</v>
      </c>
      <c r="Y1053" s="1" t="n">
        <v>5500</v>
      </c>
      <c r="Z1053" s="6" t="s">
        <v>194</v>
      </c>
      <c r="AA1053" s="6" t="s">
        <v>195</v>
      </c>
      <c r="AB1053" s="15" t="str">
        <f aca="true" t="array" ref="AB1053:AB1053">LEFT(AA1053,LOOKUP(2^15,FIND(".",AA1053,ROW(INDIRECT("1:"&amp;LEN(AA1053)))))-1)</f>
        <v>NB_2022_006+007+010 - 25022022 - 1</v>
      </c>
      <c r="AC1053" s="6" t="s">
        <v>196</v>
      </c>
      <c r="AD1053" s="15" t="str">
        <f aca="true" t="array" ref="AD1053:AD1053">LEFT(AC1053,LOOKUP(2^15,FIND(".",AC1053,ROW(INDIRECT("1:"&amp;LEN(AC1053)))))-1)</f>
        <v>NB_2022_006+007+010 - 25022022 - 2</v>
      </c>
      <c r="AE1053" s="6" t="str">
        <f aca="false">CONCATENATE(AB1053, "-",H1053, ".mzML")</f>
        <v>NB_2022_006+007+010 - 25022022 - 1-006-2.mzML</v>
      </c>
      <c r="AF1053" s="6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3" t="s">
        <v>1373</v>
      </c>
      <c r="B1054" s="34"/>
      <c r="C1054" s="4" t="s">
        <v>1374</v>
      </c>
      <c r="D1054" s="6" t="s">
        <v>14</v>
      </c>
      <c r="E1054" s="6" t="s">
        <v>186</v>
      </c>
      <c r="F1054" s="7" t="s">
        <v>187</v>
      </c>
      <c r="G1054" s="6" t="s">
        <v>1208</v>
      </c>
      <c r="H1054" s="27" t="s">
        <v>1217</v>
      </c>
      <c r="I1054" s="6" t="str">
        <f aca="false">CONCATENATE(E1054, "_",H1054)</f>
        <v>NLA_2022_001_006-3</v>
      </c>
      <c r="J1054" s="6" t="s">
        <v>38</v>
      </c>
      <c r="K1054" s="6" t="s">
        <v>1210</v>
      </c>
      <c r="L1054" s="9" t="s">
        <v>69</v>
      </c>
      <c r="M1054" s="13" t="s">
        <v>1211</v>
      </c>
      <c r="N1054" s="6" t="s">
        <v>246</v>
      </c>
      <c r="O1054" s="35" t="s">
        <v>1212</v>
      </c>
      <c r="P1054" s="6" t="s">
        <v>1213</v>
      </c>
      <c r="Q1054" s="6" t="s">
        <v>1214</v>
      </c>
      <c r="R1054" s="6" t="s">
        <v>72</v>
      </c>
      <c r="S1054" s="6" t="s">
        <v>73</v>
      </c>
      <c r="U1054" s="6" t="n">
        <v>1500</v>
      </c>
      <c r="V1054" s="1" t="n">
        <v>3</v>
      </c>
      <c r="W1054" s="6"/>
      <c r="X1054" s="9" t="s">
        <v>1215</v>
      </c>
      <c r="Y1054" s="1" t="n">
        <v>5500</v>
      </c>
      <c r="Z1054" s="6" t="s">
        <v>194</v>
      </c>
      <c r="AA1054" s="6" t="s">
        <v>195</v>
      </c>
      <c r="AB1054" s="15" t="str">
        <f aca="true" t="array" ref="AB1054:AB1054">LEFT(AA1054,LOOKUP(2^15,FIND(".",AA1054,ROW(INDIRECT("1:"&amp;LEN(AA1054)))))-1)</f>
        <v>NB_2022_006+007+010 - 25022022 - 1</v>
      </c>
      <c r="AC1054" s="6" t="s">
        <v>196</v>
      </c>
      <c r="AD1054" s="15" t="str">
        <f aca="true" t="array" ref="AD1054:AD1054">LEFT(AC1054,LOOKUP(2^15,FIND(".",AC1054,ROW(INDIRECT("1:"&amp;LEN(AC1054)))))-1)</f>
        <v>NB_2022_006+007+010 - 25022022 - 2</v>
      </c>
      <c r="AE1054" s="6" t="str">
        <f aca="false">CONCATENATE(AB1054, "-",H1054, ".mzML")</f>
        <v>NB_2022_006+007+010 - 25022022 - 1-006-3.mzML</v>
      </c>
      <c r="AF1054" s="6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3" t="s">
        <v>1373</v>
      </c>
      <c r="B1055" s="34"/>
      <c r="C1055" s="4" t="s">
        <v>1374</v>
      </c>
      <c r="D1055" s="6" t="s">
        <v>14</v>
      </c>
      <c r="E1055" s="6" t="s">
        <v>186</v>
      </c>
      <c r="F1055" s="7" t="s">
        <v>187</v>
      </c>
      <c r="G1055" s="6" t="s">
        <v>1208</v>
      </c>
      <c r="H1055" s="27" t="s">
        <v>1218</v>
      </c>
      <c r="I1055" s="6" t="str">
        <f aca="false">CONCATENATE(E1055, "_",H1055)</f>
        <v>NLA_2022_001_006-4</v>
      </c>
      <c r="J1055" s="6" t="s">
        <v>52</v>
      </c>
      <c r="K1055" s="6" t="s">
        <v>1219</v>
      </c>
      <c r="L1055" s="9" t="s">
        <v>69</v>
      </c>
      <c r="M1055" s="13" t="s">
        <v>1211</v>
      </c>
      <c r="N1055" s="6" t="s">
        <v>246</v>
      </c>
      <c r="O1055" s="35" t="s">
        <v>1220</v>
      </c>
      <c r="P1055" s="6" t="s">
        <v>1213</v>
      </c>
      <c r="Q1055" s="6" t="s">
        <v>1213</v>
      </c>
      <c r="R1055" s="6" t="s">
        <v>72</v>
      </c>
      <c r="S1055" s="6" t="s">
        <v>73</v>
      </c>
      <c r="U1055" s="6" t="n">
        <v>1500</v>
      </c>
      <c r="V1055" s="1" t="n">
        <v>1</v>
      </c>
      <c r="W1055" s="6"/>
      <c r="X1055" s="9" t="s">
        <v>1215</v>
      </c>
      <c r="Y1055" s="1" t="n">
        <v>5500</v>
      </c>
      <c r="Z1055" s="6" t="s">
        <v>194</v>
      </c>
      <c r="AA1055" s="6" t="s">
        <v>195</v>
      </c>
      <c r="AB1055" s="15" t="str">
        <f aca="true" t="array" ref="AB1055:AB1055">LEFT(AA1055,LOOKUP(2^15,FIND(".",AA1055,ROW(INDIRECT("1:"&amp;LEN(AA1055)))))-1)</f>
        <v>NB_2022_006+007+010 - 25022022 - 1</v>
      </c>
      <c r="AC1055" s="6" t="s">
        <v>196</v>
      </c>
      <c r="AD1055" s="15" t="str">
        <f aca="true" t="array" ref="AD1055:AD1055">LEFT(AC1055,LOOKUP(2^15,FIND(".",AC1055,ROW(INDIRECT("1:"&amp;LEN(AC1055)))))-1)</f>
        <v>NB_2022_006+007+010 - 25022022 - 2</v>
      </c>
      <c r="AE1055" s="6" t="str">
        <f aca="false">CONCATENATE(AB1055, "-",H1055, ".mzML")</f>
        <v>NB_2022_006+007+010 - 25022022 - 1-006-4.mzML</v>
      </c>
      <c r="AF1055" s="6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3" t="s">
        <v>1373</v>
      </c>
      <c r="B1056" s="34"/>
      <c r="C1056" s="4" t="s">
        <v>1374</v>
      </c>
      <c r="D1056" s="6" t="s">
        <v>14</v>
      </c>
      <c r="E1056" s="6" t="s">
        <v>186</v>
      </c>
      <c r="F1056" s="7" t="s">
        <v>187</v>
      </c>
      <c r="G1056" s="6" t="s">
        <v>1208</v>
      </c>
      <c r="H1056" s="27" t="s">
        <v>1221</v>
      </c>
      <c r="I1056" s="6" t="str">
        <f aca="false">CONCATENATE(E1056, "_",H1056)</f>
        <v>NLA_2022_001_006-5</v>
      </c>
      <c r="J1056" s="6" t="s">
        <v>52</v>
      </c>
      <c r="K1056" s="6" t="s">
        <v>1219</v>
      </c>
      <c r="L1056" s="9" t="s">
        <v>69</v>
      </c>
      <c r="M1056" s="13" t="s">
        <v>1211</v>
      </c>
      <c r="N1056" s="6" t="s">
        <v>246</v>
      </c>
      <c r="O1056" s="35" t="s">
        <v>1220</v>
      </c>
      <c r="P1056" s="6" t="s">
        <v>1213</v>
      </c>
      <c r="Q1056" s="6" t="s">
        <v>1213</v>
      </c>
      <c r="R1056" s="6" t="s">
        <v>72</v>
      </c>
      <c r="S1056" s="6" t="s">
        <v>73</v>
      </c>
      <c r="U1056" s="6" t="n">
        <v>1500</v>
      </c>
      <c r="V1056" s="1" t="n">
        <v>2</v>
      </c>
      <c r="W1056" s="6"/>
      <c r="X1056" s="9" t="s">
        <v>1215</v>
      </c>
      <c r="Y1056" s="1" t="n">
        <v>5500</v>
      </c>
      <c r="Z1056" s="6" t="s">
        <v>194</v>
      </c>
      <c r="AA1056" s="6" t="s">
        <v>195</v>
      </c>
      <c r="AB1056" s="15" t="str">
        <f aca="true" t="array" ref="AB1056:AB1056">LEFT(AA1056,LOOKUP(2^15,FIND(".",AA1056,ROW(INDIRECT("1:"&amp;LEN(AA1056)))))-1)</f>
        <v>NB_2022_006+007+010 - 25022022 - 1</v>
      </c>
      <c r="AC1056" s="6" t="s">
        <v>196</v>
      </c>
      <c r="AD1056" s="15" t="str">
        <f aca="true" t="array" ref="AD1056:AD1056">LEFT(AC1056,LOOKUP(2^15,FIND(".",AC1056,ROW(INDIRECT("1:"&amp;LEN(AC1056)))))-1)</f>
        <v>NB_2022_006+007+010 - 25022022 - 2</v>
      </c>
      <c r="AE1056" s="6" t="str">
        <f aca="false">CONCATENATE(AB1056, "-",H1056, ".mzML")</f>
        <v>NB_2022_006+007+010 - 25022022 - 1-006-5.mzML</v>
      </c>
      <c r="AF1056" s="6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3" t="s">
        <v>1373</v>
      </c>
      <c r="B1057" s="34"/>
      <c r="C1057" s="4" t="s">
        <v>1374</v>
      </c>
      <c r="D1057" s="6" t="s">
        <v>14</v>
      </c>
      <c r="E1057" s="6" t="s">
        <v>186</v>
      </c>
      <c r="F1057" s="7" t="s">
        <v>187</v>
      </c>
      <c r="G1057" s="6" t="s">
        <v>1208</v>
      </c>
      <c r="H1057" s="27" t="s">
        <v>1222</v>
      </c>
      <c r="I1057" s="6" t="str">
        <f aca="false">CONCATENATE(E1057, "_",H1057)</f>
        <v>NLA_2022_001_006-6</v>
      </c>
      <c r="J1057" s="6" t="s">
        <v>52</v>
      </c>
      <c r="K1057" s="6" t="s">
        <v>1219</v>
      </c>
      <c r="L1057" s="9" t="s">
        <v>69</v>
      </c>
      <c r="M1057" s="13" t="s">
        <v>1211</v>
      </c>
      <c r="N1057" s="6" t="s">
        <v>246</v>
      </c>
      <c r="O1057" s="35" t="s">
        <v>1220</v>
      </c>
      <c r="P1057" s="6" t="s">
        <v>1213</v>
      </c>
      <c r="Q1057" s="6" t="s">
        <v>1213</v>
      </c>
      <c r="R1057" s="6" t="s">
        <v>72</v>
      </c>
      <c r="S1057" s="6" t="s">
        <v>73</v>
      </c>
      <c r="U1057" s="6" t="n">
        <v>1500</v>
      </c>
      <c r="V1057" s="1" t="n">
        <v>3</v>
      </c>
      <c r="W1057" s="6"/>
      <c r="X1057" s="9" t="s">
        <v>1215</v>
      </c>
      <c r="Y1057" s="1" t="n">
        <v>5500</v>
      </c>
      <c r="Z1057" s="6" t="s">
        <v>194</v>
      </c>
      <c r="AA1057" s="6" t="s">
        <v>195</v>
      </c>
      <c r="AB1057" s="15" t="str">
        <f aca="true" t="array" ref="AB1057:AB1057">LEFT(AA1057,LOOKUP(2^15,FIND(".",AA1057,ROW(INDIRECT("1:"&amp;LEN(AA1057)))))-1)</f>
        <v>NB_2022_006+007+010 - 25022022 - 1</v>
      </c>
      <c r="AC1057" s="6" t="s">
        <v>196</v>
      </c>
      <c r="AD1057" s="15" t="str">
        <f aca="true" t="array" ref="AD1057:AD1057">LEFT(AC1057,LOOKUP(2^15,FIND(".",AC1057,ROW(INDIRECT("1:"&amp;LEN(AC1057)))))-1)</f>
        <v>NB_2022_006+007+010 - 25022022 - 2</v>
      </c>
      <c r="AE1057" s="6" t="str">
        <f aca="false">CONCATENATE(AB1057, "-",H1057, ".mzML")</f>
        <v>NB_2022_006+007+010 - 25022022 - 1-006-6.mzML</v>
      </c>
      <c r="AF1057" s="6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3" t="s">
        <v>1373</v>
      </c>
      <c r="B1058" s="34"/>
      <c r="C1058" s="4" t="s">
        <v>1374</v>
      </c>
      <c r="D1058" s="6" t="s">
        <v>14</v>
      </c>
      <c r="E1058" s="6" t="s">
        <v>186</v>
      </c>
      <c r="F1058" s="7" t="s">
        <v>187</v>
      </c>
      <c r="G1058" s="6" t="s">
        <v>203</v>
      </c>
      <c r="H1058" s="22" t="s">
        <v>64</v>
      </c>
      <c r="I1058" s="6" t="str">
        <f aca="false">CONCATENATE(E1058, "_",H1058)</f>
        <v>NLA_2022_001_Blank_1</v>
      </c>
      <c r="J1058" s="6" t="s">
        <v>52</v>
      </c>
      <c r="K1058" s="6" t="s">
        <v>64</v>
      </c>
      <c r="L1058" s="9" t="s">
        <v>46</v>
      </c>
      <c r="M1058" s="13" t="s">
        <v>46</v>
      </c>
      <c r="N1058" s="6" t="s">
        <v>65</v>
      </c>
      <c r="O1058" s="6" t="s">
        <v>46</v>
      </c>
      <c r="P1058" s="6" t="s">
        <v>46</v>
      </c>
      <c r="Q1058" s="6" t="s">
        <v>46</v>
      </c>
      <c r="R1058" s="6" t="s">
        <v>46</v>
      </c>
      <c r="S1058" s="6" t="s">
        <v>46</v>
      </c>
      <c r="T1058" s="6" t="s">
        <v>46</v>
      </c>
      <c r="U1058" s="6" t="s">
        <v>46</v>
      </c>
      <c r="V1058" s="1" t="n">
        <v>1</v>
      </c>
      <c r="W1058" s="6"/>
      <c r="X1058" s="6" t="s">
        <v>46</v>
      </c>
      <c r="Y1058" s="6" t="n">
        <v>5500</v>
      </c>
      <c r="Z1058" s="6" t="s">
        <v>194</v>
      </c>
      <c r="AA1058" s="6" t="s">
        <v>195</v>
      </c>
      <c r="AB1058" s="15" t="str">
        <f aca="true" t="array" ref="AB1058:AB1058">LEFT(AA1058,LOOKUP(2^15,FIND(".",AA1058,ROW(INDIRECT("1:"&amp;LEN(AA1058)))))-1)</f>
        <v>NB_2022_006+007+010 - 25022022 - 1</v>
      </c>
      <c r="AC1058" s="6" t="s">
        <v>196</v>
      </c>
      <c r="AD1058" s="15" t="str">
        <f aca="true" t="array" ref="AD1058:AD1058">LEFT(AC1058,LOOKUP(2^15,FIND(".",AC1058,ROW(INDIRECT("1:"&amp;LEN(AC1058)))))-1)</f>
        <v>NB_2022_006+007+010 - 25022022 - 2</v>
      </c>
      <c r="AE1058" s="6" t="str">
        <f aca="false">CONCATENATE(AB1058, "-",H1058, ".mzML")</f>
        <v>NB_2022_006+007+010 - 25022022 - 1-Blank_1.mzML</v>
      </c>
      <c r="AF1058" s="6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3" t="s">
        <v>1373</v>
      </c>
      <c r="B1059" s="34"/>
      <c r="C1059" s="4" t="s">
        <v>1374</v>
      </c>
      <c r="D1059" s="6" t="s">
        <v>14</v>
      </c>
      <c r="E1059" s="6" t="s">
        <v>186</v>
      </c>
      <c r="F1059" s="7" t="s">
        <v>187</v>
      </c>
      <c r="G1059" s="6" t="s">
        <v>203</v>
      </c>
      <c r="H1059" s="22" t="s">
        <v>66</v>
      </c>
      <c r="I1059" s="6" t="str">
        <f aca="false">CONCATENATE(E1059, "_",H1059)</f>
        <v>NLA_2022_001_Blank_2</v>
      </c>
      <c r="J1059" s="6" t="s">
        <v>52</v>
      </c>
      <c r="K1059" s="6" t="s">
        <v>66</v>
      </c>
      <c r="L1059" s="9" t="s">
        <v>46</v>
      </c>
      <c r="M1059" s="13" t="s">
        <v>46</v>
      </c>
      <c r="N1059" s="6" t="s">
        <v>65</v>
      </c>
      <c r="O1059" s="6" t="s">
        <v>46</v>
      </c>
      <c r="P1059" s="6" t="s">
        <v>46</v>
      </c>
      <c r="Q1059" s="6" t="s">
        <v>46</v>
      </c>
      <c r="R1059" s="6" t="s">
        <v>46</v>
      </c>
      <c r="S1059" s="6" t="s">
        <v>46</v>
      </c>
      <c r="T1059" s="6" t="s">
        <v>46</v>
      </c>
      <c r="U1059" s="6" t="s">
        <v>46</v>
      </c>
      <c r="V1059" s="1" t="n">
        <v>2</v>
      </c>
      <c r="W1059" s="6"/>
      <c r="X1059" s="6" t="s">
        <v>46</v>
      </c>
      <c r="Y1059" s="6" t="n">
        <v>5500</v>
      </c>
      <c r="Z1059" s="6" t="s">
        <v>194</v>
      </c>
      <c r="AA1059" s="6" t="s">
        <v>195</v>
      </c>
      <c r="AB1059" s="15" t="str">
        <f aca="true" t="array" ref="AB1059:AB1059">LEFT(AA1059,LOOKUP(2^15,FIND(".",AA1059,ROW(INDIRECT("1:"&amp;LEN(AA1059)))))-1)</f>
        <v>NB_2022_006+007+010 - 25022022 - 1</v>
      </c>
      <c r="AC1059" s="6" t="s">
        <v>196</v>
      </c>
      <c r="AD1059" s="15" t="str">
        <f aca="true" t="array" ref="AD1059:AD1059">LEFT(AC1059,LOOKUP(2^15,FIND(".",AC1059,ROW(INDIRECT("1:"&amp;LEN(AC1059)))))-1)</f>
        <v>NB_2022_006+007+010 - 25022022 - 2</v>
      </c>
      <c r="AE1059" s="6" t="str">
        <f aca="false">CONCATENATE(AB1059, "-",H1059, ".mzML")</f>
        <v>NB_2022_006+007+010 - 25022022 - 1-Blank_2.mzML</v>
      </c>
      <c r="AF1059" s="6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3" t="s">
        <v>1373</v>
      </c>
      <c r="B1060" s="34"/>
      <c r="C1060" s="4" t="s">
        <v>1374</v>
      </c>
      <c r="D1060" s="6" t="s">
        <v>14</v>
      </c>
      <c r="E1060" s="6" t="s">
        <v>186</v>
      </c>
      <c r="F1060" s="7" t="s">
        <v>187</v>
      </c>
      <c r="G1060" s="6" t="s">
        <v>203</v>
      </c>
      <c r="H1060" s="22" t="s">
        <v>67</v>
      </c>
      <c r="I1060" s="6" t="str">
        <f aca="false">CONCATENATE(E1060, "_",H1060)</f>
        <v>NLA_2022_001_Blank_3</v>
      </c>
      <c r="J1060" s="6" t="s">
        <v>52</v>
      </c>
      <c r="K1060" s="6" t="s">
        <v>67</v>
      </c>
      <c r="L1060" s="9" t="s">
        <v>46</v>
      </c>
      <c r="M1060" s="13" t="s">
        <v>46</v>
      </c>
      <c r="N1060" s="6" t="s">
        <v>65</v>
      </c>
      <c r="O1060" s="6" t="s">
        <v>46</v>
      </c>
      <c r="P1060" s="6" t="s">
        <v>46</v>
      </c>
      <c r="Q1060" s="6" t="s">
        <v>46</v>
      </c>
      <c r="R1060" s="6" t="s">
        <v>46</v>
      </c>
      <c r="S1060" s="6" t="s">
        <v>46</v>
      </c>
      <c r="T1060" s="6" t="s">
        <v>46</v>
      </c>
      <c r="U1060" s="6" t="s">
        <v>46</v>
      </c>
      <c r="V1060" s="1" t="n">
        <v>3</v>
      </c>
      <c r="W1060" s="6"/>
      <c r="X1060" s="6" t="s">
        <v>46</v>
      </c>
      <c r="Y1060" s="6" t="n">
        <v>5500</v>
      </c>
      <c r="Z1060" s="6" t="s">
        <v>194</v>
      </c>
      <c r="AA1060" s="6" t="s">
        <v>195</v>
      </c>
      <c r="AB1060" s="15" t="str">
        <f aca="true" t="array" ref="AB1060:AB1060">LEFT(AA1060,LOOKUP(2^15,FIND(".",AA1060,ROW(INDIRECT("1:"&amp;LEN(AA1060)))))-1)</f>
        <v>NB_2022_006+007+010 - 25022022 - 1</v>
      </c>
      <c r="AC1060" s="6" t="s">
        <v>196</v>
      </c>
      <c r="AD1060" s="15" t="str">
        <f aca="true" t="array" ref="AD1060:AD1060">LEFT(AC1060,LOOKUP(2^15,FIND(".",AC1060,ROW(INDIRECT("1:"&amp;LEN(AC1060)))))-1)</f>
        <v>NB_2022_006+007+010 - 25022022 - 2</v>
      </c>
      <c r="AE1060" s="6" t="str">
        <f aca="false">CONCATENATE(AB1060, "-",H1060, ".mzML")</f>
        <v>NB_2022_006+007+010 - 25022022 - 1-Blank_3.mzML</v>
      </c>
      <c r="AF1060" s="6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3" t="s">
        <v>1373</v>
      </c>
      <c r="B1061" s="34"/>
      <c r="C1061" s="4" t="s">
        <v>1374</v>
      </c>
      <c r="D1061" s="6" t="s">
        <v>14</v>
      </c>
      <c r="E1061" s="6" t="s">
        <v>186</v>
      </c>
      <c r="F1061" s="7" t="s">
        <v>187</v>
      </c>
      <c r="G1061" s="6" t="s">
        <v>203</v>
      </c>
      <c r="H1061" s="22" t="s">
        <v>68</v>
      </c>
      <c r="I1061" s="6" t="str">
        <f aca="false">CONCATENATE(E1061, "_",H1061)</f>
        <v>NLA_2022_001_QC_C_1</v>
      </c>
      <c r="J1061" s="6" t="s">
        <v>52</v>
      </c>
      <c r="K1061" s="6" t="s">
        <v>68</v>
      </c>
      <c r="L1061" s="9" t="s">
        <v>69</v>
      </c>
      <c r="M1061" s="3" t="s">
        <v>46</v>
      </c>
      <c r="N1061" s="6" t="s">
        <v>70</v>
      </c>
      <c r="O1061" s="6" t="s">
        <v>46</v>
      </c>
      <c r="P1061" s="6" t="s">
        <v>71</v>
      </c>
      <c r="Q1061" s="6" t="s">
        <v>71</v>
      </c>
      <c r="R1061" s="6" t="s">
        <v>72</v>
      </c>
      <c r="S1061" s="6" t="s">
        <v>73</v>
      </c>
      <c r="T1061" s="6" t="s">
        <v>46</v>
      </c>
      <c r="U1061" s="6" t="n">
        <v>1000</v>
      </c>
      <c r="V1061" s="1" t="n">
        <v>1</v>
      </c>
      <c r="W1061" s="6"/>
      <c r="X1061" s="6" t="s">
        <v>74</v>
      </c>
      <c r="Y1061" s="1" t="n">
        <v>5500</v>
      </c>
      <c r="Z1061" s="6" t="s">
        <v>194</v>
      </c>
      <c r="AA1061" s="6" t="s">
        <v>195</v>
      </c>
      <c r="AB1061" s="15" t="str">
        <f aca="true" t="array" ref="AB1061:AB1061">LEFT(AA1061,LOOKUP(2^15,FIND(".",AA1061,ROW(INDIRECT("1:"&amp;LEN(AA1061)))))-1)</f>
        <v>NB_2022_006+007+010 - 25022022 - 1</v>
      </c>
      <c r="AC1061" s="6" t="s">
        <v>196</v>
      </c>
      <c r="AD1061" s="15" t="str">
        <f aca="true" t="array" ref="AD1061:AD1061">LEFT(AC1061,LOOKUP(2^15,FIND(".",AC1061,ROW(INDIRECT("1:"&amp;LEN(AC1061)))))-1)</f>
        <v>NB_2022_006+007+010 - 25022022 - 2</v>
      </c>
      <c r="AE1061" s="6" t="str">
        <f aca="false">CONCATENATE(AB1061, "-",H1061, ".mzML")</f>
        <v>NB_2022_006+007+010 - 25022022 - 1-QC_C_1.mzML</v>
      </c>
      <c r="AF1061" s="6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3" t="s">
        <v>1373</v>
      </c>
      <c r="B1062" s="34"/>
      <c r="C1062" s="4" t="s">
        <v>1374</v>
      </c>
      <c r="D1062" s="6" t="s">
        <v>14</v>
      </c>
      <c r="E1062" s="6" t="s">
        <v>186</v>
      </c>
      <c r="F1062" s="7" t="s">
        <v>187</v>
      </c>
      <c r="G1062" s="6" t="s">
        <v>203</v>
      </c>
      <c r="H1062" s="22" t="s">
        <v>75</v>
      </c>
      <c r="I1062" s="6" t="str">
        <f aca="false">CONCATENATE(E1062, "_",H1062)</f>
        <v>NLA_2022_001_QC_C_2</v>
      </c>
      <c r="J1062" s="6" t="s">
        <v>52</v>
      </c>
      <c r="K1062" s="6" t="s">
        <v>75</v>
      </c>
      <c r="L1062" s="9" t="s">
        <v>69</v>
      </c>
      <c r="M1062" s="3" t="s">
        <v>46</v>
      </c>
      <c r="N1062" s="6" t="s">
        <v>70</v>
      </c>
      <c r="O1062" s="6" t="s">
        <v>46</v>
      </c>
      <c r="P1062" s="6" t="s">
        <v>71</v>
      </c>
      <c r="Q1062" s="6" t="s">
        <v>71</v>
      </c>
      <c r="R1062" s="6" t="s">
        <v>72</v>
      </c>
      <c r="S1062" s="6" t="s">
        <v>73</v>
      </c>
      <c r="T1062" s="6" t="s">
        <v>46</v>
      </c>
      <c r="U1062" s="6" t="n">
        <v>1000</v>
      </c>
      <c r="V1062" s="1" t="n">
        <v>2</v>
      </c>
      <c r="W1062" s="6"/>
      <c r="X1062" s="6" t="s">
        <v>74</v>
      </c>
      <c r="Y1062" s="1" t="n">
        <v>5500</v>
      </c>
      <c r="Z1062" s="6" t="s">
        <v>194</v>
      </c>
      <c r="AA1062" s="6" t="s">
        <v>195</v>
      </c>
      <c r="AB1062" s="15" t="str">
        <f aca="true" t="array" ref="AB1062:AB1062">LEFT(AA1062,LOOKUP(2^15,FIND(".",AA1062,ROW(INDIRECT("1:"&amp;LEN(AA1062)))))-1)</f>
        <v>NB_2022_006+007+010 - 25022022 - 1</v>
      </c>
      <c r="AC1062" s="6" t="s">
        <v>196</v>
      </c>
      <c r="AD1062" s="15" t="str">
        <f aca="true" t="array" ref="AD1062:AD1062">LEFT(AC1062,LOOKUP(2^15,FIND(".",AC1062,ROW(INDIRECT("1:"&amp;LEN(AC1062)))))-1)</f>
        <v>NB_2022_006+007+010 - 25022022 - 2</v>
      </c>
      <c r="AE1062" s="6" t="str">
        <f aca="false">CONCATENATE(AB1062, "-",H1062, ".mzML")</f>
        <v>NB_2022_006+007+010 - 25022022 - 1-QC_C_2.mzML</v>
      </c>
      <c r="AF1062" s="6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3" t="s">
        <v>1373</v>
      </c>
      <c r="B1063" s="34"/>
      <c r="C1063" s="4" t="s">
        <v>1374</v>
      </c>
      <c r="D1063" s="6" t="s">
        <v>14</v>
      </c>
      <c r="E1063" s="6" t="s">
        <v>186</v>
      </c>
      <c r="F1063" s="7" t="s">
        <v>187</v>
      </c>
      <c r="G1063" s="6" t="s">
        <v>203</v>
      </c>
      <c r="H1063" s="22" t="s">
        <v>76</v>
      </c>
      <c r="I1063" s="6" t="str">
        <f aca="false">CONCATENATE(E1063, "_",H1063)</f>
        <v>NLA_2022_001_QC_C_3</v>
      </c>
      <c r="J1063" s="6" t="s">
        <v>52</v>
      </c>
      <c r="K1063" s="6" t="s">
        <v>76</v>
      </c>
      <c r="L1063" s="9" t="s">
        <v>69</v>
      </c>
      <c r="M1063" s="3" t="s">
        <v>46</v>
      </c>
      <c r="N1063" s="6" t="s">
        <v>70</v>
      </c>
      <c r="O1063" s="6" t="s">
        <v>46</v>
      </c>
      <c r="P1063" s="6" t="s">
        <v>71</v>
      </c>
      <c r="Q1063" s="6" t="s">
        <v>71</v>
      </c>
      <c r="R1063" s="6" t="s">
        <v>72</v>
      </c>
      <c r="S1063" s="6" t="s">
        <v>73</v>
      </c>
      <c r="T1063" s="6" t="s">
        <v>46</v>
      </c>
      <c r="U1063" s="6" t="n">
        <v>1000</v>
      </c>
      <c r="V1063" s="1" t="n">
        <v>3</v>
      </c>
      <c r="W1063" s="6"/>
      <c r="X1063" s="6" t="s">
        <v>74</v>
      </c>
      <c r="Y1063" s="1" t="n">
        <v>5500</v>
      </c>
      <c r="Z1063" s="6" t="s">
        <v>194</v>
      </c>
      <c r="AA1063" s="6" t="s">
        <v>195</v>
      </c>
      <c r="AB1063" s="15" t="str">
        <f aca="true" t="array" ref="AB1063:AB1063">LEFT(AA1063,LOOKUP(2^15,FIND(".",AA1063,ROW(INDIRECT("1:"&amp;LEN(AA1063)))))-1)</f>
        <v>NB_2022_006+007+010 - 25022022 - 1</v>
      </c>
      <c r="AC1063" s="6" t="s">
        <v>196</v>
      </c>
      <c r="AD1063" s="15" t="str">
        <f aca="true" t="array" ref="AD1063:AD1063">LEFT(AC1063,LOOKUP(2^15,FIND(".",AC1063,ROW(INDIRECT("1:"&amp;LEN(AC1063)))))-1)</f>
        <v>NB_2022_006+007+010 - 25022022 - 2</v>
      </c>
      <c r="AE1063" s="6" t="str">
        <f aca="false">CONCATENATE(AB1063, "-",H1063, ".mzML")</f>
        <v>NB_2022_006+007+010 - 25022022 - 1-QC_C_3.mzML</v>
      </c>
      <c r="AF1063" s="6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3" t="s">
        <v>1373</v>
      </c>
      <c r="B1064" s="34"/>
      <c r="C1064" s="4" t="s">
        <v>1374</v>
      </c>
      <c r="D1064" s="6" t="s">
        <v>14</v>
      </c>
      <c r="E1064" s="6" t="s">
        <v>186</v>
      </c>
      <c r="F1064" s="7" t="s">
        <v>187</v>
      </c>
      <c r="G1064" s="6" t="s">
        <v>203</v>
      </c>
      <c r="H1064" s="22" t="s">
        <v>77</v>
      </c>
      <c r="I1064" s="6" t="str">
        <f aca="false">CONCATENATE(E1064, "_",H1064)</f>
        <v>NLA_2022_001_QC_P_1</v>
      </c>
      <c r="J1064" s="6" t="s">
        <v>52</v>
      </c>
      <c r="K1064" s="6" t="s">
        <v>77</v>
      </c>
      <c r="L1064" s="9" t="s">
        <v>69</v>
      </c>
      <c r="M1064" s="13" t="s">
        <v>46</v>
      </c>
      <c r="N1064" s="6" t="s">
        <v>78</v>
      </c>
      <c r="O1064" s="6" t="s">
        <v>46</v>
      </c>
      <c r="P1064" s="6" t="s">
        <v>79</v>
      </c>
      <c r="Q1064" s="6" t="s">
        <v>80</v>
      </c>
      <c r="R1064" s="6" t="s">
        <v>81</v>
      </c>
      <c r="S1064" s="6" t="s">
        <v>46</v>
      </c>
      <c r="T1064" s="6" t="s">
        <v>46</v>
      </c>
      <c r="U1064" s="6" t="s">
        <v>82</v>
      </c>
      <c r="V1064" s="1" t="n">
        <v>1</v>
      </c>
      <c r="W1064" s="6"/>
      <c r="X1064" s="6" t="s">
        <v>83</v>
      </c>
      <c r="Y1064" s="6" t="n">
        <v>5500</v>
      </c>
      <c r="Z1064" s="6" t="s">
        <v>194</v>
      </c>
      <c r="AA1064" s="6" t="s">
        <v>195</v>
      </c>
      <c r="AB1064" s="15" t="str">
        <f aca="true" t="array" ref="AB1064:AB1064">LEFT(AA1064,LOOKUP(2^15,FIND(".",AA1064,ROW(INDIRECT("1:"&amp;LEN(AA1064)))))-1)</f>
        <v>NB_2022_006+007+010 - 25022022 - 1</v>
      </c>
      <c r="AC1064" s="6" t="s">
        <v>196</v>
      </c>
      <c r="AD1064" s="15" t="str">
        <f aca="true" t="array" ref="AD1064:AD1064">LEFT(AC1064,LOOKUP(2^15,FIND(".",AC1064,ROW(INDIRECT("1:"&amp;LEN(AC1064)))))-1)</f>
        <v>NB_2022_006+007+010 - 25022022 - 2</v>
      </c>
      <c r="AE1064" s="6" t="str">
        <f aca="false">CONCATENATE(AB1064, "-",H1064, ".mzML")</f>
        <v>NB_2022_006+007+010 - 25022022 - 1-QC_P_1.mzML</v>
      </c>
      <c r="AF1064" s="6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3" t="s">
        <v>1373</v>
      </c>
      <c r="B1065" s="34"/>
      <c r="C1065" s="4" t="s">
        <v>1374</v>
      </c>
      <c r="D1065" s="6" t="s">
        <v>14</v>
      </c>
      <c r="E1065" s="6" t="s">
        <v>186</v>
      </c>
      <c r="F1065" s="7" t="s">
        <v>187</v>
      </c>
      <c r="G1065" s="6" t="s">
        <v>203</v>
      </c>
      <c r="H1065" s="22" t="s">
        <v>84</v>
      </c>
      <c r="I1065" s="6" t="str">
        <f aca="false">CONCATENATE(E1065, "_",H1065)</f>
        <v>NLA_2022_001_QC_P_2</v>
      </c>
      <c r="J1065" s="6" t="s">
        <v>52</v>
      </c>
      <c r="K1065" s="6" t="s">
        <v>84</v>
      </c>
      <c r="L1065" s="9" t="s">
        <v>69</v>
      </c>
      <c r="M1065" s="13" t="s">
        <v>46</v>
      </c>
      <c r="N1065" s="6" t="s">
        <v>78</v>
      </c>
      <c r="O1065" s="6" t="s">
        <v>46</v>
      </c>
      <c r="P1065" s="6" t="s">
        <v>79</v>
      </c>
      <c r="Q1065" s="6" t="s">
        <v>80</v>
      </c>
      <c r="R1065" s="6" t="s">
        <v>81</v>
      </c>
      <c r="S1065" s="6" t="s">
        <v>46</v>
      </c>
      <c r="T1065" s="6" t="s">
        <v>46</v>
      </c>
      <c r="U1065" s="6" t="s">
        <v>82</v>
      </c>
      <c r="V1065" s="1" t="n">
        <v>2</v>
      </c>
      <c r="W1065" s="6"/>
      <c r="X1065" s="6" t="s">
        <v>83</v>
      </c>
      <c r="Y1065" s="6" t="n">
        <v>5500</v>
      </c>
      <c r="Z1065" s="6" t="s">
        <v>194</v>
      </c>
      <c r="AA1065" s="6" t="s">
        <v>195</v>
      </c>
      <c r="AB1065" s="15" t="str">
        <f aca="true" t="array" ref="AB1065:AB1065">LEFT(AA1065,LOOKUP(2^15,FIND(".",AA1065,ROW(INDIRECT("1:"&amp;LEN(AA1065)))))-1)</f>
        <v>NB_2022_006+007+010 - 25022022 - 1</v>
      </c>
      <c r="AC1065" s="6" t="s">
        <v>196</v>
      </c>
      <c r="AD1065" s="15" t="str">
        <f aca="true" t="array" ref="AD1065:AD1065">LEFT(AC1065,LOOKUP(2^15,FIND(".",AC1065,ROW(INDIRECT("1:"&amp;LEN(AC1065)))))-1)</f>
        <v>NB_2022_006+007+010 - 25022022 - 2</v>
      </c>
      <c r="AE1065" s="6" t="str">
        <f aca="false">CONCATENATE(AB1065, "-",H1065, ".mzML")</f>
        <v>NB_2022_006+007+010 - 25022022 - 1-QC_P_2.mzML</v>
      </c>
      <c r="AF1065" s="6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3" t="s">
        <v>1373</v>
      </c>
      <c r="B1066" s="34"/>
      <c r="C1066" s="4" t="s">
        <v>1374</v>
      </c>
      <c r="D1066" s="6" t="s">
        <v>14</v>
      </c>
      <c r="E1066" s="6" t="s">
        <v>186</v>
      </c>
      <c r="F1066" s="7" t="s">
        <v>187</v>
      </c>
      <c r="G1066" s="6" t="s">
        <v>203</v>
      </c>
      <c r="H1066" s="22" t="s">
        <v>85</v>
      </c>
      <c r="I1066" s="6" t="str">
        <f aca="false">CONCATENATE(E1066, "_",H1066)</f>
        <v>NLA_2022_001_QC_P_3</v>
      </c>
      <c r="J1066" s="6" t="s">
        <v>52</v>
      </c>
      <c r="K1066" s="6" t="s">
        <v>85</v>
      </c>
      <c r="L1066" s="9" t="s">
        <v>69</v>
      </c>
      <c r="M1066" s="13" t="s">
        <v>46</v>
      </c>
      <c r="N1066" s="6" t="s">
        <v>78</v>
      </c>
      <c r="O1066" s="6" t="s">
        <v>46</v>
      </c>
      <c r="P1066" s="6" t="s">
        <v>79</v>
      </c>
      <c r="Q1066" s="6" t="s">
        <v>80</v>
      </c>
      <c r="R1066" s="6" t="s">
        <v>81</v>
      </c>
      <c r="S1066" s="6" t="s">
        <v>46</v>
      </c>
      <c r="T1066" s="6" t="s">
        <v>46</v>
      </c>
      <c r="U1066" s="6" t="s">
        <v>82</v>
      </c>
      <c r="V1066" s="1" t="n">
        <v>3</v>
      </c>
      <c r="W1066" s="6"/>
      <c r="X1066" s="6" t="s">
        <v>83</v>
      </c>
      <c r="Y1066" s="6" t="n">
        <v>5500</v>
      </c>
      <c r="Z1066" s="6" t="s">
        <v>194</v>
      </c>
      <c r="AA1066" s="6" t="s">
        <v>195</v>
      </c>
      <c r="AB1066" s="15" t="str">
        <f aca="true" t="array" ref="AB1066:AB1066">LEFT(AA1066,LOOKUP(2^15,FIND(".",AA1066,ROW(INDIRECT("1:"&amp;LEN(AA1066)))))-1)</f>
        <v>NB_2022_006+007+010 - 25022022 - 1</v>
      </c>
      <c r="AC1066" s="6" t="s">
        <v>196</v>
      </c>
      <c r="AD1066" s="15" t="str">
        <f aca="true" t="array" ref="AD1066:AD1066">LEFT(AC1066,LOOKUP(2^15,FIND(".",AC1066,ROW(INDIRECT("1:"&amp;LEN(AC1066)))))-1)</f>
        <v>NB_2022_006+007+010 - 25022022 - 2</v>
      </c>
      <c r="AE1066" s="6" t="str">
        <f aca="false">CONCATENATE(AB1066, "-",H1066, ".mzML")</f>
        <v>NB_2022_006+007+010 - 25022022 - 1-QC_P_3.mzML</v>
      </c>
      <c r="AF1066" s="6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3" t="s">
        <v>1373</v>
      </c>
      <c r="B1067" s="34"/>
      <c r="C1067" s="4" t="s">
        <v>1374</v>
      </c>
      <c r="D1067" s="6" t="s">
        <v>14</v>
      </c>
      <c r="E1067" s="6" t="s">
        <v>1225</v>
      </c>
      <c r="F1067" s="7" t="s">
        <v>1226</v>
      </c>
      <c r="G1067" s="6" t="s">
        <v>1227</v>
      </c>
      <c r="H1067" s="27" t="s">
        <v>227</v>
      </c>
      <c r="I1067" s="6" t="str">
        <f aca="false">CONCATENATE(E1067, "_",H1067)</f>
        <v>NLA_2022_006_019</v>
      </c>
      <c r="J1067" s="6" t="s">
        <v>38</v>
      </c>
      <c r="K1067" s="6" t="s">
        <v>1228</v>
      </c>
      <c r="L1067" s="9" t="s">
        <v>69</v>
      </c>
      <c r="M1067" s="13" t="s">
        <v>1229</v>
      </c>
      <c r="N1067" s="6" t="s">
        <v>246</v>
      </c>
      <c r="O1067" s="35" t="s">
        <v>1212</v>
      </c>
      <c r="P1067" s="36" t="s">
        <v>1213</v>
      </c>
      <c r="Q1067" s="36" t="s">
        <v>1214</v>
      </c>
      <c r="R1067" s="6" t="s">
        <v>72</v>
      </c>
      <c r="S1067" s="6"/>
      <c r="T1067" s="6"/>
      <c r="U1067" s="1" t="n">
        <v>1500</v>
      </c>
      <c r="V1067" s="1" t="n">
        <v>1</v>
      </c>
      <c r="W1067" s="6"/>
      <c r="X1067" s="9" t="s">
        <v>1215</v>
      </c>
      <c r="Y1067" s="1" t="n">
        <v>5500</v>
      </c>
      <c r="Z1067" s="6" t="s">
        <v>1230</v>
      </c>
      <c r="AA1067" s="6" t="s">
        <v>1231</v>
      </c>
      <c r="AB1067" s="15" t="str">
        <f aca="true" t="array" ref="AB1067:AB1067">LEFT(AA1067,LOOKUP(2^15,FIND(".",AA1067,ROW(INDIRECT("1:"&amp;LEN(AA1067)))))-1)</f>
        <v>NB_2022_025 - 13072022 - 1</v>
      </c>
      <c r="AC1067" s="6" t="s">
        <v>1232</v>
      </c>
      <c r="AD1067" s="15" t="str">
        <f aca="true" t="array" ref="AD1067:AD1067">LEFT(AC1067,LOOKUP(2^15,FIND(".",AC1067,ROW(INDIRECT("1:"&amp;LEN(AC1067)))))-1)</f>
        <v>NB_2022_025 - 13072022 - 2</v>
      </c>
      <c r="AE1067" s="6" t="str">
        <f aca="false">CONCATENATE(AB1067, "-",H1067, ".mzML")</f>
        <v>NB_2022_025 - 13072022 - 1-019.mzML</v>
      </c>
      <c r="AF1067" s="6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3" t="s">
        <v>1373</v>
      </c>
      <c r="B1068" s="34"/>
      <c r="C1068" s="4" t="s">
        <v>1374</v>
      </c>
      <c r="D1068" s="6" t="s">
        <v>14</v>
      </c>
      <c r="E1068" s="6" t="s">
        <v>1225</v>
      </c>
      <c r="F1068" s="7" t="s">
        <v>1226</v>
      </c>
      <c r="G1068" s="6" t="s">
        <v>1227</v>
      </c>
      <c r="H1068" s="27" t="s">
        <v>230</v>
      </c>
      <c r="I1068" s="6" t="str">
        <f aca="false">CONCATENATE(E1068, "_",H1068)</f>
        <v>NLA_2022_006_020</v>
      </c>
      <c r="J1068" s="6" t="s">
        <v>38</v>
      </c>
      <c r="K1068" s="6" t="s">
        <v>1228</v>
      </c>
      <c r="L1068" s="9" t="s">
        <v>69</v>
      </c>
      <c r="M1068" s="13" t="s">
        <v>1229</v>
      </c>
      <c r="N1068" s="6" t="s">
        <v>246</v>
      </c>
      <c r="O1068" s="35" t="s">
        <v>1212</v>
      </c>
      <c r="P1068" s="36" t="s">
        <v>1213</v>
      </c>
      <c r="Q1068" s="36" t="s">
        <v>1214</v>
      </c>
      <c r="R1068" s="6" t="s">
        <v>72</v>
      </c>
      <c r="S1068" s="6"/>
      <c r="T1068" s="6"/>
      <c r="U1068" s="1" t="n">
        <v>1500</v>
      </c>
      <c r="V1068" s="1" t="n">
        <v>2</v>
      </c>
      <c r="W1068" s="6"/>
      <c r="X1068" s="9" t="s">
        <v>1215</v>
      </c>
      <c r="Y1068" s="1" t="n">
        <v>5500</v>
      </c>
      <c r="Z1068" s="6" t="s">
        <v>1230</v>
      </c>
      <c r="AA1068" s="6" t="s">
        <v>1231</v>
      </c>
      <c r="AB1068" s="15" t="str">
        <f aca="true" t="array" ref="AB1068:AB1068">LEFT(AA1068,LOOKUP(2^15,FIND(".",AA1068,ROW(INDIRECT("1:"&amp;LEN(AA1068)))))-1)</f>
        <v>NB_2022_025 - 13072022 - 1</v>
      </c>
      <c r="AC1068" s="6" t="s">
        <v>1232</v>
      </c>
      <c r="AD1068" s="15" t="str">
        <f aca="true" t="array" ref="AD1068:AD1068">LEFT(AC1068,LOOKUP(2^15,FIND(".",AC1068,ROW(INDIRECT("1:"&amp;LEN(AC1068)))))-1)</f>
        <v>NB_2022_025 - 13072022 - 2</v>
      </c>
      <c r="AE1068" s="6" t="str">
        <f aca="false">CONCATENATE(AB1068, "-",H1068, ".mzML")</f>
        <v>NB_2022_025 - 13072022 - 1-020.mzML</v>
      </c>
      <c r="AF1068" s="6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3" t="s">
        <v>1373</v>
      </c>
      <c r="B1069" s="34"/>
      <c r="C1069" s="4" t="s">
        <v>1374</v>
      </c>
      <c r="D1069" s="6" t="s">
        <v>14</v>
      </c>
      <c r="E1069" s="6" t="s">
        <v>1225</v>
      </c>
      <c r="F1069" s="7" t="s">
        <v>1226</v>
      </c>
      <c r="G1069" s="6" t="s">
        <v>1227</v>
      </c>
      <c r="H1069" s="27" t="s">
        <v>62</v>
      </c>
      <c r="I1069" s="6" t="str">
        <f aca="false">CONCATENATE(E1069, "_",H1069)</f>
        <v>NLA_2022_006_021</v>
      </c>
      <c r="J1069" s="6" t="s">
        <v>38</v>
      </c>
      <c r="K1069" s="6" t="s">
        <v>1228</v>
      </c>
      <c r="L1069" s="9" t="s">
        <v>69</v>
      </c>
      <c r="M1069" s="13" t="s">
        <v>1229</v>
      </c>
      <c r="N1069" s="6" t="s">
        <v>246</v>
      </c>
      <c r="O1069" s="35" t="s">
        <v>1212</v>
      </c>
      <c r="P1069" s="36" t="s">
        <v>1213</v>
      </c>
      <c r="Q1069" s="36" t="s">
        <v>1214</v>
      </c>
      <c r="R1069" s="6" t="s">
        <v>72</v>
      </c>
      <c r="S1069" s="6"/>
      <c r="T1069" s="6"/>
      <c r="U1069" s="1" t="n">
        <v>1500</v>
      </c>
      <c r="V1069" s="1" t="n">
        <v>3</v>
      </c>
      <c r="W1069" s="6"/>
      <c r="X1069" s="9" t="s">
        <v>1215</v>
      </c>
      <c r="Y1069" s="1" t="n">
        <v>5500</v>
      </c>
      <c r="Z1069" s="6" t="s">
        <v>1230</v>
      </c>
      <c r="AA1069" s="6" t="s">
        <v>1231</v>
      </c>
      <c r="AB1069" s="15" t="str">
        <f aca="true" t="array" ref="AB1069:AB1069">LEFT(AA1069,LOOKUP(2^15,FIND(".",AA1069,ROW(INDIRECT("1:"&amp;LEN(AA1069)))))-1)</f>
        <v>NB_2022_025 - 13072022 - 1</v>
      </c>
      <c r="AC1069" s="6" t="s">
        <v>1232</v>
      </c>
      <c r="AD1069" s="15" t="str">
        <f aca="true" t="array" ref="AD1069:AD1069">LEFT(AC1069,LOOKUP(2^15,FIND(".",AC1069,ROW(INDIRECT("1:"&amp;LEN(AC1069)))))-1)</f>
        <v>NB_2022_025 - 13072022 - 2</v>
      </c>
      <c r="AE1069" s="6" t="str">
        <f aca="false">CONCATENATE(AB1069, "-",H1069, ".mzML")</f>
        <v>NB_2022_025 - 13072022 - 1-021.mzML</v>
      </c>
      <c r="AF1069" s="6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3" t="s">
        <v>1373</v>
      </c>
      <c r="B1070" s="34"/>
      <c r="C1070" s="4" t="s">
        <v>1374</v>
      </c>
      <c r="D1070" s="6" t="s">
        <v>14</v>
      </c>
      <c r="E1070" s="6" t="s">
        <v>1225</v>
      </c>
      <c r="F1070" s="7" t="s">
        <v>1226</v>
      </c>
      <c r="G1070" s="6" t="s">
        <v>1227</v>
      </c>
      <c r="H1070" s="27" t="s">
        <v>288</v>
      </c>
      <c r="I1070" s="6" t="str">
        <f aca="false">CONCATENATE(E1070, "_",H1070)</f>
        <v>NLA_2022_006_022</v>
      </c>
      <c r="J1070" s="6" t="s">
        <v>52</v>
      </c>
      <c r="K1070" s="6" t="s">
        <v>1233</v>
      </c>
      <c r="L1070" s="9" t="s">
        <v>69</v>
      </c>
      <c r="M1070" s="13" t="s">
        <v>1229</v>
      </c>
      <c r="N1070" s="6" t="s">
        <v>246</v>
      </c>
      <c r="O1070" s="35" t="s">
        <v>1220</v>
      </c>
      <c r="P1070" s="36" t="s">
        <v>1213</v>
      </c>
      <c r="Q1070" s="36" t="s">
        <v>1213</v>
      </c>
      <c r="R1070" s="6" t="s">
        <v>72</v>
      </c>
      <c r="S1070" s="6"/>
      <c r="T1070" s="6"/>
      <c r="U1070" s="1" t="n">
        <v>1500</v>
      </c>
      <c r="V1070" s="1" t="n">
        <v>1</v>
      </c>
      <c r="W1070" s="6"/>
      <c r="X1070" s="9" t="s">
        <v>1215</v>
      </c>
      <c r="Y1070" s="1" t="n">
        <v>5500</v>
      </c>
      <c r="Z1070" s="6" t="s">
        <v>1230</v>
      </c>
      <c r="AA1070" s="6" t="s">
        <v>1231</v>
      </c>
      <c r="AB1070" s="15" t="str">
        <f aca="true" t="array" ref="AB1070:AB1070">LEFT(AA1070,LOOKUP(2^15,FIND(".",AA1070,ROW(INDIRECT("1:"&amp;LEN(AA1070)))))-1)</f>
        <v>NB_2022_025 - 13072022 - 1</v>
      </c>
      <c r="AC1070" s="6" t="s">
        <v>1232</v>
      </c>
      <c r="AD1070" s="15" t="str">
        <f aca="true" t="array" ref="AD1070:AD1070">LEFT(AC1070,LOOKUP(2^15,FIND(".",AC1070,ROW(INDIRECT("1:"&amp;LEN(AC1070)))))-1)</f>
        <v>NB_2022_025 - 13072022 - 2</v>
      </c>
      <c r="AE1070" s="6" t="str">
        <f aca="false">CONCATENATE(AB1070, "-",H1070, ".mzML")</f>
        <v>NB_2022_025 - 13072022 - 1-022.mzML</v>
      </c>
      <c r="AF1070" s="6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3" t="s">
        <v>1373</v>
      </c>
      <c r="B1071" s="34"/>
      <c r="C1071" s="4" t="s">
        <v>1374</v>
      </c>
      <c r="D1071" s="6" t="s">
        <v>14</v>
      </c>
      <c r="E1071" s="6" t="s">
        <v>1225</v>
      </c>
      <c r="F1071" s="7" t="s">
        <v>1226</v>
      </c>
      <c r="G1071" s="6" t="s">
        <v>1227</v>
      </c>
      <c r="H1071" s="27" t="s">
        <v>235</v>
      </c>
      <c r="I1071" s="6" t="str">
        <f aca="false">CONCATENATE(E1071, "_",H1071)</f>
        <v>NLA_2022_006_023</v>
      </c>
      <c r="J1071" s="6" t="s">
        <v>52</v>
      </c>
      <c r="K1071" s="6" t="s">
        <v>1233</v>
      </c>
      <c r="L1071" s="9" t="s">
        <v>69</v>
      </c>
      <c r="M1071" s="13" t="s">
        <v>1229</v>
      </c>
      <c r="N1071" s="6" t="s">
        <v>246</v>
      </c>
      <c r="O1071" s="35" t="s">
        <v>1220</v>
      </c>
      <c r="P1071" s="36" t="s">
        <v>1213</v>
      </c>
      <c r="Q1071" s="36" t="s">
        <v>1213</v>
      </c>
      <c r="R1071" s="6" t="s">
        <v>72</v>
      </c>
      <c r="S1071" s="6"/>
      <c r="T1071" s="6"/>
      <c r="U1071" s="1" t="n">
        <v>1500</v>
      </c>
      <c r="V1071" s="1" t="n">
        <v>2</v>
      </c>
      <c r="W1071" s="6"/>
      <c r="X1071" s="9" t="s">
        <v>1215</v>
      </c>
      <c r="Y1071" s="1" t="n">
        <v>5500</v>
      </c>
      <c r="Z1071" s="6" t="s">
        <v>1230</v>
      </c>
      <c r="AA1071" s="6" t="s">
        <v>1231</v>
      </c>
      <c r="AB1071" s="15" t="str">
        <f aca="true" t="array" ref="AB1071:AB1071">LEFT(AA1071,LOOKUP(2^15,FIND(".",AA1071,ROW(INDIRECT("1:"&amp;LEN(AA1071)))))-1)</f>
        <v>NB_2022_025 - 13072022 - 1</v>
      </c>
      <c r="AC1071" s="6" t="s">
        <v>1232</v>
      </c>
      <c r="AD1071" s="15" t="str">
        <f aca="true" t="array" ref="AD1071:AD1071">LEFT(AC1071,LOOKUP(2^15,FIND(".",AC1071,ROW(INDIRECT("1:"&amp;LEN(AC1071)))))-1)</f>
        <v>NB_2022_025 - 13072022 - 2</v>
      </c>
      <c r="AE1071" s="6" t="str">
        <f aca="false">CONCATENATE(AB1071, "-",H1071, ".mzML")</f>
        <v>NB_2022_025 - 13072022 - 1-023.mzML</v>
      </c>
      <c r="AF1071" s="6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3" t="s">
        <v>1373</v>
      </c>
      <c r="B1072" s="34"/>
      <c r="C1072" s="4" t="s">
        <v>1374</v>
      </c>
      <c r="D1072" s="6" t="s">
        <v>14</v>
      </c>
      <c r="E1072" s="6" t="s">
        <v>1225</v>
      </c>
      <c r="F1072" s="7" t="s">
        <v>1226</v>
      </c>
      <c r="G1072" s="6" t="s">
        <v>1227</v>
      </c>
      <c r="H1072" s="27" t="s">
        <v>237</v>
      </c>
      <c r="I1072" s="6" t="str">
        <f aca="false">CONCATENATE(E1072, "_",H1072)</f>
        <v>NLA_2022_006_024</v>
      </c>
      <c r="J1072" s="6" t="s">
        <v>52</v>
      </c>
      <c r="K1072" s="6" t="s">
        <v>1233</v>
      </c>
      <c r="L1072" s="9" t="s">
        <v>69</v>
      </c>
      <c r="M1072" s="13" t="s">
        <v>1229</v>
      </c>
      <c r="N1072" s="6" t="s">
        <v>246</v>
      </c>
      <c r="O1072" s="35" t="s">
        <v>1220</v>
      </c>
      <c r="P1072" s="36" t="s">
        <v>1213</v>
      </c>
      <c r="Q1072" s="36" t="s">
        <v>1213</v>
      </c>
      <c r="R1072" s="6" t="s">
        <v>72</v>
      </c>
      <c r="S1072" s="6"/>
      <c r="T1072" s="6"/>
      <c r="U1072" s="1" t="n">
        <v>1500</v>
      </c>
      <c r="V1072" s="1" t="n">
        <v>3</v>
      </c>
      <c r="W1072" s="6"/>
      <c r="X1072" s="9" t="s">
        <v>1215</v>
      </c>
      <c r="Y1072" s="1" t="n">
        <v>5500</v>
      </c>
      <c r="Z1072" s="6" t="s">
        <v>1230</v>
      </c>
      <c r="AA1072" s="6" t="s">
        <v>1231</v>
      </c>
      <c r="AB1072" s="15" t="str">
        <f aca="true" t="array" ref="AB1072:AB1072">LEFT(AA1072,LOOKUP(2^15,FIND(".",AA1072,ROW(INDIRECT("1:"&amp;LEN(AA1072)))))-1)</f>
        <v>NB_2022_025 - 13072022 - 1</v>
      </c>
      <c r="AC1072" s="6" t="s">
        <v>1232</v>
      </c>
      <c r="AD1072" s="15" t="str">
        <f aca="true" t="array" ref="AD1072:AD1072">LEFT(AC1072,LOOKUP(2^15,FIND(".",AC1072,ROW(INDIRECT("1:"&amp;LEN(AC1072)))))-1)</f>
        <v>NB_2022_025 - 13072022 - 2</v>
      </c>
      <c r="AE1072" s="6" t="str">
        <f aca="false">CONCATENATE(AB1072, "-",H1072, ".mzML")</f>
        <v>NB_2022_025 - 13072022 - 1-024.mzML</v>
      </c>
      <c r="AF1072" s="6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3" t="s">
        <v>1373</v>
      </c>
      <c r="B1073" s="34"/>
      <c r="C1073" s="4" t="s">
        <v>1374</v>
      </c>
      <c r="D1073" s="6" t="s">
        <v>14</v>
      </c>
      <c r="E1073" s="6" t="s">
        <v>1225</v>
      </c>
      <c r="F1073" s="7" t="s">
        <v>1226</v>
      </c>
      <c r="G1073" s="6" t="s">
        <v>1225</v>
      </c>
      <c r="H1073" s="27" t="s">
        <v>64</v>
      </c>
      <c r="I1073" s="6" t="str">
        <f aca="false">CONCATENATE(E1073, "_",H1073)</f>
        <v>NLA_2022_006_Blank_1</v>
      </c>
      <c r="J1073" s="6" t="s">
        <v>52</v>
      </c>
      <c r="K1073" s="6" t="s">
        <v>280</v>
      </c>
      <c r="L1073" s="9" t="s">
        <v>46</v>
      </c>
      <c r="M1073" s="13" t="s">
        <v>46</v>
      </c>
      <c r="N1073" s="6" t="s">
        <v>65</v>
      </c>
      <c r="O1073" s="6" t="s">
        <v>46</v>
      </c>
      <c r="P1073" s="6" t="s">
        <v>46</v>
      </c>
      <c r="Q1073" s="6" t="s">
        <v>46</v>
      </c>
      <c r="R1073" s="6" t="s">
        <v>46</v>
      </c>
      <c r="S1073" s="6" t="s">
        <v>46</v>
      </c>
      <c r="T1073" s="6" t="s">
        <v>46</v>
      </c>
      <c r="U1073" s="6" t="s">
        <v>46</v>
      </c>
      <c r="V1073" s="1" t="n">
        <v>1</v>
      </c>
      <c r="W1073" s="6"/>
      <c r="X1073" s="6" t="s">
        <v>46</v>
      </c>
      <c r="Y1073" s="1" t="n">
        <v>5500</v>
      </c>
      <c r="Z1073" s="6" t="s">
        <v>1230</v>
      </c>
      <c r="AA1073" s="6" t="s">
        <v>1231</v>
      </c>
      <c r="AB1073" s="15" t="str">
        <f aca="true" t="array" ref="AB1073:AB1073">LEFT(AA1073,LOOKUP(2^15,FIND(".",AA1073,ROW(INDIRECT("1:"&amp;LEN(AA1073)))))-1)</f>
        <v>NB_2022_025 - 13072022 - 1</v>
      </c>
      <c r="AC1073" s="6" t="s">
        <v>1232</v>
      </c>
      <c r="AD1073" s="15" t="str">
        <f aca="true" t="array" ref="AD1073:AD1073">LEFT(AC1073,LOOKUP(2^15,FIND(".",AC1073,ROW(INDIRECT("1:"&amp;LEN(AC1073)))))-1)</f>
        <v>NB_2022_025 - 13072022 - 2</v>
      </c>
      <c r="AE1073" s="6" t="str">
        <f aca="false">CONCATENATE(AB1073, "-",H1073, ".mzML")</f>
        <v>NB_2022_025 - 13072022 - 1-Blank_1.mzML</v>
      </c>
      <c r="AF1073" s="6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3" t="s">
        <v>1373</v>
      </c>
      <c r="B1074" s="34"/>
      <c r="C1074" s="4" t="s">
        <v>1374</v>
      </c>
      <c r="D1074" s="6" t="s">
        <v>14</v>
      </c>
      <c r="E1074" s="6" t="s">
        <v>1225</v>
      </c>
      <c r="F1074" s="7" t="s">
        <v>1226</v>
      </c>
      <c r="G1074" s="6" t="s">
        <v>1225</v>
      </c>
      <c r="H1074" s="27" t="s">
        <v>66</v>
      </c>
      <c r="I1074" s="6" t="str">
        <f aca="false">CONCATENATE(E1074, "_",H1074)</f>
        <v>NLA_2022_006_Blank_2</v>
      </c>
      <c r="J1074" s="6" t="s">
        <v>52</v>
      </c>
      <c r="K1074" s="6" t="s">
        <v>280</v>
      </c>
      <c r="L1074" s="9" t="s">
        <v>46</v>
      </c>
      <c r="M1074" s="13" t="s">
        <v>46</v>
      </c>
      <c r="N1074" s="6" t="s">
        <v>65</v>
      </c>
      <c r="O1074" s="6" t="s">
        <v>46</v>
      </c>
      <c r="P1074" s="6" t="s">
        <v>46</v>
      </c>
      <c r="Q1074" s="6" t="s">
        <v>46</v>
      </c>
      <c r="R1074" s="6" t="s">
        <v>46</v>
      </c>
      <c r="S1074" s="6" t="s">
        <v>46</v>
      </c>
      <c r="T1074" s="6" t="s">
        <v>46</v>
      </c>
      <c r="U1074" s="6" t="s">
        <v>46</v>
      </c>
      <c r="V1074" s="1" t="n">
        <v>2</v>
      </c>
      <c r="W1074" s="6"/>
      <c r="X1074" s="6" t="s">
        <v>46</v>
      </c>
      <c r="Y1074" s="1" t="n">
        <v>5500</v>
      </c>
      <c r="Z1074" s="6" t="s">
        <v>1230</v>
      </c>
      <c r="AA1074" s="6" t="s">
        <v>1231</v>
      </c>
      <c r="AB1074" s="15" t="str">
        <f aca="true" t="array" ref="AB1074:AB1074">LEFT(AA1074,LOOKUP(2^15,FIND(".",AA1074,ROW(INDIRECT("1:"&amp;LEN(AA1074)))))-1)</f>
        <v>NB_2022_025 - 13072022 - 1</v>
      </c>
      <c r="AC1074" s="6" t="s">
        <v>1232</v>
      </c>
      <c r="AD1074" s="15" t="str">
        <f aca="true" t="array" ref="AD1074:AD1074">LEFT(AC1074,LOOKUP(2^15,FIND(".",AC1074,ROW(INDIRECT("1:"&amp;LEN(AC1074)))))-1)</f>
        <v>NB_2022_025 - 13072022 - 2</v>
      </c>
      <c r="AE1074" s="6" t="str">
        <f aca="false">CONCATENATE(AB1074, "-",H1074, ".mzML")</f>
        <v>NB_2022_025 - 13072022 - 1-Blank_2.mzML</v>
      </c>
      <c r="AF1074" s="6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3" t="s">
        <v>1373</v>
      </c>
      <c r="B1075" s="34"/>
      <c r="C1075" s="4" t="s">
        <v>1374</v>
      </c>
      <c r="D1075" s="6" t="s">
        <v>14</v>
      </c>
      <c r="E1075" s="6" t="s">
        <v>1225</v>
      </c>
      <c r="F1075" s="7" t="s">
        <v>1226</v>
      </c>
      <c r="G1075" s="6" t="s">
        <v>1225</v>
      </c>
      <c r="H1075" s="27" t="s">
        <v>67</v>
      </c>
      <c r="I1075" s="6" t="str">
        <f aca="false">CONCATENATE(E1075, "_",H1075)</f>
        <v>NLA_2022_006_Blank_3</v>
      </c>
      <c r="J1075" s="6" t="s">
        <v>52</v>
      </c>
      <c r="K1075" s="6" t="s">
        <v>280</v>
      </c>
      <c r="L1075" s="9" t="s">
        <v>46</v>
      </c>
      <c r="M1075" s="13" t="s">
        <v>46</v>
      </c>
      <c r="N1075" s="6" t="s">
        <v>65</v>
      </c>
      <c r="O1075" s="6" t="s">
        <v>46</v>
      </c>
      <c r="P1075" s="6" t="s">
        <v>46</v>
      </c>
      <c r="Q1075" s="6" t="s">
        <v>46</v>
      </c>
      <c r="R1075" s="6" t="s">
        <v>46</v>
      </c>
      <c r="S1075" s="6" t="s">
        <v>46</v>
      </c>
      <c r="T1075" s="6" t="s">
        <v>46</v>
      </c>
      <c r="U1075" s="6" t="s">
        <v>46</v>
      </c>
      <c r="V1075" s="1" t="n">
        <v>3</v>
      </c>
      <c r="W1075" s="6"/>
      <c r="X1075" s="6" t="s">
        <v>46</v>
      </c>
      <c r="Y1075" s="1" t="n">
        <v>5500</v>
      </c>
      <c r="Z1075" s="6" t="s">
        <v>1230</v>
      </c>
      <c r="AA1075" s="6" t="s">
        <v>1231</v>
      </c>
      <c r="AB1075" s="15" t="str">
        <f aca="true" t="array" ref="AB1075:AB1075">LEFT(AA1075,LOOKUP(2^15,FIND(".",AA1075,ROW(INDIRECT("1:"&amp;LEN(AA1075)))))-1)</f>
        <v>NB_2022_025 - 13072022 - 1</v>
      </c>
      <c r="AC1075" s="6" t="s">
        <v>1232</v>
      </c>
      <c r="AD1075" s="15" t="str">
        <f aca="true" t="array" ref="AD1075:AD1075">LEFT(AC1075,LOOKUP(2^15,FIND(".",AC1075,ROW(INDIRECT("1:"&amp;LEN(AC1075)))))-1)</f>
        <v>NB_2022_025 - 13072022 - 2</v>
      </c>
      <c r="AE1075" s="6" t="str">
        <f aca="false">CONCATENATE(AB1075, "-",H1075, ".mzML")</f>
        <v>NB_2022_025 - 13072022 - 1-Blank_3.mzML</v>
      </c>
      <c r="AF1075" s="6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3" t="s">
        <v>1373</v>
      </c>
      <c r="B1076" s="34"/>
      <c r="C1076" s="4" t="s">
        <v>1374</v>
      </c>
      <c r="D1076" s="6" t="s">
        <v>14</v>
      </c>
      <c r="E1076" s="6" t="s">
        <v>1225</v>
      </c>
      <c r="F1076" s="7" t="s">
        <v>1226</v>
      </c>
      <c r="G1076" s="6" t="s">
        <v>1225</v>
      </c>
      <c r="H1076" s="27" t="s">
        <v>221</v>
      </c>
      <c r="I1076" s="6" t="str">
        <f aca="false">CONCATENATE(E1076, "_",H1076)</f>
        <v>NLA_2022_006_Blank_4</v>
      </c>
      <c r="J1076" s="6" t="s">
        <v>52</v>
      </c>
      <c r="K1076" s="6" t="s">
        <v>280</v>
      </c>
      <c r="L1076" s="9" t="s">
        <v>46</v>
      </c>
      <c r="M1076" s="13" t="s">
        <v>46</v>
      </c>
      <c r="N1076" s="6" t="s">
        <v>65</v>
      </c>
      <c r="O1076" s="6" t="s">
        <v>46</v>
      </c>
      <c r="P1076" s="6" t="s">
        <v>46</v>
      </c>
      <c r="Q1076" s="6" t="s">
        <v>46</v>
      </c>
      <c r="R1076" s="6" t="s">
        <v>46</v>
      </c>
      <c r="S1076" s="6" t="s">
        <v>46</v>
      </c>
      <c r="T1076" s="6" t="s">
        <v>46</v>
      </c>
      <c r="U1076" s="6" t="s">
        <v>46</v>
      </c>
      <c r="V1076" s="1" t="n">
        <v>4</v>
      </c>
      <c r="W1076" s="6"/>
      <c r="X1076" s="6" t="s">
        <v>46</v>
      </c>
      <c r="Y1076" s="6" t="n">
        <v>5500</v>
      </c>
      <c r="Z1076" s="6" t="s">
        <v>1230</v>
      </c>
      <c r="AA1076" s="6" t="s">
        <v>1231</v>
      </c>
      <c r="AB1076" s="15" t="str">
        <f aca="true" t="array" ref="AB1076:AB1076">LEFT(AA1076,LOOKUP(2^15,FIND(".",AA1076,ROW(INDIRECT("1:"&amp;LEN(AA1076)))))-1)</f>
        <v>NB_2022_025 - 13072022 - 1</v>
      </c>
      <c r="AC1076" s="6" t="s">
        <v>1232</v>
      </c>
      <c r="AD1076" s="15" t="str">
        <f aca="true" t="array" ref="AD1076:AD1076">LEFT(AC1076,LOOKUP(2^15,FIND(".",AC1076,ROW(INDIRECT("1:"&amp;LEN(AC1076)))))-1)</f>
        <v>NB_2022_025 - 13072022 - 2</v>
      </c>
      <c r="AE1076" s="6" t="str">
        <f aca="false">CONCATENATE(AB1076, "-",H1076, ".mzML")</f>
        <v>NB_2022_025 - 13072022 - 1-Blank_4.mzML</v>
      </c>
      <c r="AF1076" s="6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3" t="s">
        <v>1373</v>
      </c>
      <c r="B1077" s="34"/>
      <c r="C1077" s="4" t="s">
        <v>1374</v>
      </c>
      <c r="D1077" s="6" t="s">
        <v>14</v>
      </c>
      <c r="E1077" s="6" t="s">
        <v>1225</v>
      </c>
      <c r="F1077" s="7" t="s">
        <v>1226</v>
      </c>
      <c r="G1077" s="6" t="s">
        <v>1225</v>
      </c>
      <c r="H1077" s="27" t="s">
        <v>68</v>
      </c>
      <c r="I1077" s="6" t="str">
        <f aca="false">CONCATENATE(E1077, "_",H1077)</f>
        <v>NLA_2022_006_QC_C_1</v>
      </c>
      <c r="J1077" s="6" t="s">
        <v>52</v>
      </c>
      <c r="K1077" s="6" t="s">
        <v>1234</v>
      </c>
      <c r="L1077" s="9" t="s">
        <v>69</v>
      </c>
      <c r="M1077" s="3" t="s">
        <v>46</v>
      </c>
      <c r="N1077" s="6" t="s">
        <v>70</v>
      </c>
      <c r="O1077" s="6" t="s">
        <v>46</v>
      </c>
      <c r="P1077" s="6" t="s">
        <v>71</v>
      </c>
      <c r="Q1077" s="6" t="s">
        <v>71</v>
      </c>
      <c r="R1077" s="6" t="s">
        <v>72</v>
      </c>
      <c r="S1077" s="6" t="s">
        <v>73</v>
      </c>
      <c r="T1077" s="6" t="s">
        <v>46</v>
      </c>
      <c r="U1077" s="6" t="n">
        <v>1000</v>
      </c>
      <c r="V1077" s="1" t="n">
        <v>1</v>
      </c>
      <c r="W1077" s="6"/>
      <c r="X1077" s="6" t="s">
        <v>74</v>
      </c>
      <c r="Y1077" s="6" t="n">
        <v>5500</v>
      </c>
      <c r="Z1077" s="6" t="s">
        <v>1230</v>
      </c>
      <c r="AA1077" s="6" t="s">
        <v>1231</v>
      </c>
      <c r="AB1077" s="15" t="str">
        <f aca="true" t="array" ref="AB1077:AB1077">LEFT(AA1077,LOOKUP(2^15,FIND(".",AA1077,ROW(INDIRECT("1:"&amp;LEN(AA1077)))))-1)</f>
        <v>NB_2022_025 - 13072022 - 1</v>
      </c>
      <c r="AC1077" s="6" t="s">
        <v>1232</v>
      </c>
      <c r="AD1077" s="15" t="str">
        <f aca="true" t="array" ref="AD1077:AD1077">LEFT(AC1077,LOOKUP(2^15,FIND(".",AC1077,ROW(INDIRECT("1:"&amp;LEN(AC1077)))))-1)</f>
        <v>NB_2022_025 - 13072022 - 2</v>
      </c>
      <c r="AE1077" s="6" t="str">
        <f aca="false">CONCATENATE(AB1077, "-",H1077, ".mzML")</f>
        <v>NB_2022_025 - 13072022 - 1-QC_C_1.mzML</v>
      </c>
      <c r="AF1077" s="6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3" t="s">
        <v>1373</v>
      </c>
      <c r="B1078" s="34"/>
      <c r="C1078" s="4" t="s">
        <v>1374</v>
      </c>
      <c r="D1078" s="6" t="s">
        <v>14</v>
      </c>
      <c r="E1078" s="6" t="s">
        <v>1225</v>
      </c>
      <c r="F1078" s="7" t="s">
        <v>1226</v>
      </c>
      <c r="G1078" s="6" t="s">
        <v>1225</v>
      </c>
      <c r="H1078" s="27" t="s">
        <v>75</v>
      </c>
      <c r="I1078" s="6" t="str">
        <f aca="false">CONCATENATE(E1078, "_",H1078)</f>
        <v>NLA_2022_006_QC_C_2</v>
      </c>
      <c r="J1078" s="6" t="s">
        <v>52</v>
      </c>
      <c r="K1078" s="6" t="s">
        <v>1234</v>
      </c>
      <c r="L1078" s="9" t="s">
        <v>69</v>
      </c>
      <c r="M1078" s="3" t="s">
        <v>46</v>
      </c>
      <c r="N1078" s="6" t="s">
        <v>70</v>
      </c>
      <c r="O1078" s="6" t="s">
        <v>46</v>
      </c>
      <c r="P1078" s="6" t="s">
        <v>71</v>
      </c>
      <c r="Q1078" s="6" t="s">
        <v>71</v>
      </c>
      <c r="R1078" s="6" t="s">
        <v>72</v>
      </c>
      <c r="S1078" s="6" t="s">
        <v>73</v>
      </c>
      <c r="T1078" s="6" t="s">
        <v>46</v>
      </c>
      <c r="U1078" s="6" t="n">
        <v>1000</v>
      </c>
      <c r="V1078" s="1" t="n">
        <v>2</v>
      </c>
      <c r="W1078" s="6"/>
      <c r="X1078" s="6" t="s">
        <v>74</v>
      </c>
      <c r="Y1078" s="6" t="n">
        <v>5500</v>
      </c>
      <c r="Z1078" s="6" t="s">
        <v>1230</v>
      </c>
      <c r="AA1078" s="6" t="s">
        <v>1231</v>
      </c>
      <c r="AB1078" s="15" t="str">
        <f aca="true" t="array" ref="AB1078:AB1078">LEFT(AA1078,LOOKUP(2^15,FIND(".",AA1078,ROW(INDIRECT("1:"&amp;LEN(AA1078)))))-1)</f>
        <v>NB_2022_025 - 13072022 - 1</v>
      </c>
      <c r="AC1078" s="6" t="s">
        <v>1232</v>
      </c>
      <c r="AD1078" s="15" t="str">
        <f aca="true" t="array" ref="AD1078:AD1078">LEFT(AC1078,LOOKUP(2^15,FIND(".",AC1078,ROW(INDIRECT("1:"&amp;LEN(AC1078)))))-1)</f>
        <v>NB_2022_025 - 13072022 - 2</v>
      </c>
      <c r="AE1078" s="6" t="str">
        <f aca="false">CONCATENATE(AB1078, "-",H1078, ".mzML")</f>
        <v>NB_2022_025 - 13072022 - 1-QC_C_2.mzML</v>
      </c>
      <c r="AF1078" s="6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3" t="s">
        <v>1373</v>
      </c>
      <c r="B1079" s="34"/>
      <c r="C1079" s="4" t="s">
        <v>1374</v>
      </c>
      <c r="D1079" s="6" t="s">
        <v>14</v>
      </c>
      <c r="E1079" s="6" t="s">
        <v>1225</v>
      </c>
      <c r="F1079" s="7" t="s">
        <v>1226</v>
      </c>
      <c r="G1079" s="6" t="s">
        <v>1225</v>
      </c>
      <c r="H1079" s="27" t="s">
        <v>76</v>
      </c>
      <c r="I1079" s="6" t="str">
        <f aca="false">CONCATENATE(E1079, "_",H1079)</f>
        <v>NLA_2022_006_QC_C_3</v>
      </c>
      <c r="J1079" s="6" t="s">
        <v>52</v>
      </c>
      <c r="K1079" s="6" t="s">
        <v>1234</v>
      </c>
      <c r="L1079" s="9" t="s">
        <v>69</v>
      </c>
      <c r="M1079" s="3" t="s">
        <v>46</v>
      </c>
      <c r="N1079" s="6" t="s">
        <v>70</v>
      </c>
      <c r="O1079" s="6" t="s">
        <v>46</v>
      </c>
      <c r="P1079" s="6" t="s">
        <v>71</v>
      </c>
      <c r="Q1079" s="6" t="s">
        <v>71</v>
      </c>
      <c r="R1079" s="6" t="s">
        <v>72</v>
      </c>
      <c r="S1079" s="6" t="s">
        <v>73</v>
      </c>
      <c r="T1079" s="6" t="s">
        <v>46</v>
      </c>
      <c r="U1079" s="6" t="n">
        <v>1000</v>
      </c>
      <c r="V1079" s="1" t="n">
        <v>3</v>
      </c>
      <c r="W1079" s="6"/>
      <c r="X1079" s="6" t="s">
        <v>74</v>
      </c>
      <c r="Y1079" s="6" t="n">
        <v>5500</v>
      </c>
      <c r="Z1079" s="6" t="s">
        <v>1230</v>
      </c>
      <c r="AA1079" s="6" t="s">
        <v>1231</v>
      </c>
      <c r="AB1079" s="15" t="str">
        <f aca="true" t="array" ref="AB1079:AB1079">LEFT(AA1079,LOOKUP(2^15,FIND(".",AA1079,ROW(INDIRECT("1:"&amp;LEN(AA1079)))))-1)</f>
        <v>NB_2022_025 - 13072022 - 1</v>
      </c>
      <c r="AC1079" s="6" t="s">
        <v>1232</v>
      </c>
      <c r="AD1079" s="15" t="str">
        <f aca="true" t="array" ref="AD1079:AD1079">LEFT(AC1079,LOOKUP(2^15,FIND(".",AC1079,ROW(INDIRECT("1:"&amp;LEN(AC1079)))))-1)</f>
        <v>NB_2022_025 - 13072022 - 2</v>
      </c>
      <c r="AE1079" s="6" t="str">
        <f aca="false">CONCATENATE(AB1079, "-",H1079, ".mzML")</f>
        <v>NB_2022_025 - 13072022 - 1-QC_C_3.mzML</v>
      </c>
      <c r="AF1079" s="6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3" t="s">
        <v>1373</v>
      </c>
      <c r="B1080" s="34"/>
      <c r="C1080" s="4" t="s">
        <v>1374</v>
      </c>
      <c r="D1080" s="6" t="s">
        <v>14</v>
      </c>
      <c r="E1080" s="6" t="s">
        <v>1225</v>
      </c>
      <c r="F1080" s="7" t="s">
        <v>1226</v>
      </c>
      <c r="G1080" s="6" t="s">
        <v>1225</v>
      </c>
      <c r="H1080" s="27" t="s">
        <v>222</v>
      </c>
      <c r="I1080" s="6" t="str">
        <f aca="false">CONCATENATE(E1080, "_",H1080)</f>
        <v>NLA_2022_006_QC_C_4</v>
      </c>
      <c r="J1080" s="6" t="s">
        <v>52</v>
      </c>
      <c r="K1080" s="6" t="s">
        <v>1234</v>
      </c>
      <c r="L1080" s="9" t="s">
        <v>69</v>
      </c>
      <c r="M1080" s="3" t="s">
        <v>46</v>
      </c>
      <c r="N1080" s="6" t="s">
        <v>70</v>
      </c>
      <c r="O1080" s="6" t="s">
        <v>46</v>
      </c>
      <c r="P1080" s="6" t="s">
        <v>71</v>
      </c>
      <c r="Q1080" s="6" t="s">
        <v>71</v>
      </c>
      <c r="R1080" s="6" t="s">
        <v>72</v>
      </c>
      <c r="S1080" s="6" t="s">
        <v>73</v>
      </c>
      <c r="T1080" s="6" t="s">
        <v>46</v>
      </c>
      <c r="U1080" s="6" t="n">
        <v>1000</v>
      </c>
      <c r="V1080" s="1" t="n">
        <v>4</v>
      </c>
      <c r="W1080" s="6"/>
      <c r="X1080" s="6" t="s">
        <v>74</v>
      </c>
      <c r="Y1080" s="6" t="n">
        <v>5500</v>
      </c>
      <c r="Z1080" s="6" t="s">
        <v>1230</v>
      </c>
      <c r="AA1080" s="6" t="s">
        <v>1231</v>
      </c>
      <c r="AB1080" s="15" t="str">
        <f aca="true" t="array" ref="AB1080:AB1080">LEFT(AA1080,LOOKUP(2^15,FIND(".",AA1080,ROW(INDIRECT("1:"&amp;LEN(AA1080)))))-1)</f>
        <v>NB_2022_025 - 13072022 - 1</v>
      </c>
      <c r="AC1080" s="6" t="s">
        <v>1232</v>
      </c>
      <c r="AD1080" s="15" t="str">
        <f aca="true" t="array" ref="AD1080:AD1080">LEFT(AC1080,LOOKUP(2^15,FIND(".",AC1080,ROW(INDIRECT("1:"&amp;LEN(AC1080)))))-1)</f>
        <v>NB_2022_025 - 13072022 - 2</v>
      </c>
      <c r="AE1080" s="6" t="str">
        <f aca="false">CONCATENATE(AB1080, "-",H1080, ".mzML")</f>
        <v>NB_2022_025 - 13072022 - 1-QC_C_4.mzML</v>
      </c>
      <c r="AF1080" s="6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3" t="s">
        <v>1373</v>
      </c>
      <c r="B1081" s="34"/>
      <c r="C1081" s="4" t="s">
        <v>1374</v>
      </c>
      <c r="D1081" s="6" t="s">
        <v>14</v>
      </c>
      <c r="E1081" s="6" t="s">
        <v>1225</v>
      </c>
      <c r="F1081" s="7" t="s">
        <v>1226</v>
      </c>
      <c r="G1081" s="6" t="s">
        <v>1225</v>
      </c>
      <c r="H1081" s="27" t="s">
        <v>77</v>
      </c>
      <c r="I1081" s="6" t="str">
        <f aca="false">CONCATENATE(E1081, "_",H1081)</f>
        <v>NLA_2022_006_QC_P_1</v>
      </c>
      <c r="J1081" s="6" t="s">
        <v>52</v>
      </c>
      <c r="K1081" s="6" t="s">
        <v>281</v>
      </c>
      <c r="L1081" s="9" t="s">
        <v>69</v>
      </c>
      <c r="M1081" s="13" t="s">
        <v>46</v>
      </c>
      <c r="N1081" s="6" t="s">
        <v>78</v>
      </c>
      <c r="O1081" s="6" t="s">
        <v>46</v>
      </c>
      <c r="P1081" s="6" t="s">
        <v>79</v>
      </c>
      <c r="Q1081" s="6" t="s">
        <v>80</v>
      </c>
      <c r="R1081" s="6" t="s">
        <v>81</v>
      </c>
      <c r="S1081" s="6" t="s">
        <v>46</v>
      </c>
      <c r="T1081" s="6" t="s">
        <v>46</v>
      </c>
      <c r="U1081" s="6" t="s">
        <v>82</v>
      </c>
      <c r="V1081" s="1" t="n">
        <v>1</v>
      </c>
      <c r="W1081" s="6"/>
      <c r="X1081" s="6" t="s">
        <v>83</v>
      </c>
      <c r="Y1081" s="6" t="n">
        <v>5500</v>
      </c>
      <c r="Z1081" s="6" t="s">
        <v>1230</v>
      </c>
      <c r="AA1081" s="6" t="s">
        <v>1231</v>
      </c>
      <c r="AB1081" s="15" t="str">
        <f aca="true" t="array" ref="AB1081:AB1081">LEFT(AA1081,LOOKUP(2^15,FIND(".",AA1081,ROW(INDIRECT("1:"&amp;LEN(AA1081)))))-1)</f>
        <v>NB_2022_025 - 13072022 - 1</v>
      </c>
      <c r="AC1081" s="6" t="s">
        <v>1232</v>
      </c>
      <c r="AD1081" s="15" t="str">
        <f aca="true" t="array" ref="AD1081:AD1081">LEFT(AC1081,LOOKUP(2^15,FIND(".",AC1081,ROW(INDIRECT("1:"&amp;LEN(AC1081)))))-1)</f>
        <v>NB_2022_025 - 13072022 - 2</v>
      </c>
      <c r="AE1081" s="6" t="str">
        <f aca="false">CONCATENATE(AB1081, "-",H1081, ".mzML")</f>
        <v>NB_2022_025 - 13072022 - 1-QC_P_1.mzML</v>
      </c>
      <c r="AF1081" s="6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3" t="s">
        <v>1373</v>
      </c>
      <c r="B1082" s="34"/>
      <c r="C1082" s="4" t="s">
        <v>1374</v>
      </c>
      <c r="D1082" s="6" t="s">
        <v>14</v>
      </c>
      <c r="E1082" s="6" t="s">
        <v>1225</v>
      </c>
      <c r="F1082" s="7" t="s">
        <v>1226</v>
      </c>
      <c r="G1082" s="6" t="s">
        <v>1225</v>
      </c>
      <c r="H1082" s="27" t="s">
        <v>84</v>
      </c>
      <c r="I1082" s="6" t="str">
        <f aca="false">CONCATENATE(E1082, "_",H1082)</f>
        <v>NLA_2022_006_QC_P_2</v>
      </c>
      <c r="J1082" s="6" t="s">
        <v>52</v>
      </c>
      <c r="K1082" s="6" t="s">
        <v>281</v>
      </c>
      <c r="L1082" s="9" t="s">
        <v>69</v>
      </c>
      <c r="M1082" s="13" t="s">
        <v>46</v>
      </c>
      <c r="N1082" s="6" t="s">
        <v>78</v>
      </c>
      <c r="O1082" s="6" t="s">
        <v>46</v>
      </c>
      <c r="P1082" s="6" t="s">
        <v>79</v>
      </c>
      <c r="Q1082" s="6" t="s">
        <v>80</v>
      </c>
      <c r="R1082" s="6" t="s">
        <v>81</v>
      </c>
      <c r="S1082" s="6" t="s">
        <v>46</v>
      </c>
      <c r="T1082" s="6" t="s">
        <v>46</v>
      </c>
      <c r="U1082" s="6" t="s">
        <v>82</v>
      </c>
      <c r="V1082" s="1" t="n">
        <v>2</v>
      </c>
      <c r="W1082" s="6"/>
      <c r="X1082" s="6" t="s">
        <v>83</v>
      </c>
      <c r="Y1082" s="6" t="n">
        <v>5500</v>
      </c>
      <c r="Z1082" s="6" t="s">
        <v>1230</v>
      </c>
      <c r="AA1082" s="6" t="s">
        <v>1231</v>
      </c>
      <c r="AB1082" s="15" t="str">
        <f aca="true" t="array" ref="AB1082:AB1082">LEFT(AA1082,LOOKUP(2^15,FIND(".",AA1082,ROW(INDIRECT("1:"&amp;LEN(AA1082)))))-1)</f>
        <v>NB_2022_025 - 13072022 - 1</v>
      </c>
      <c r="AC1082" s="6" t="s">
        <v>1232</v>
      </c>
      <c r="AD1082" s="15" t="str">
        <f aca="true" t="array" ref="AD1082:AD1082">LEFT(AC1082,LOOKUP(2^15,FIND(".",AC1082,ROW(INDIRECT("1:"&amp;LEN(AC1082)))))-1)</f>
        <v>NB_2022_025 - 13072022 - 2</v>
      </c>
      <c r="AE1082" s="6" t="str">
        <f aca="false">CONCATENATE(AB1082, "-",H1082, ".mzML")</f>
        <v>NB_2022_025 - 13072022 - 1-QC_P_2.mzML</v>
      </c>
      <c r="AF1082" s="6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3" t="s">
        <v>1373</v>
      </c>
      <c r="B1083" s="34"/>
      <c r="C1083" s="4" t="s">
        <v>1374</v>
      </c>
      <c r="D1083" s="6" t="s">
        <v>14</v>
      </c>
      <c r="E1083" s="6" t="s">
        <v>1225</v>
      </c>
      <c r="F1083" s="7" t="s">
        <v>1226</v>
      </c>
      <c r="G1083" s="6" t="s">
        <v>1225</v>
      </c>
      <c r="H1083" s="27" t="s">
        <v>85</v>
      </c>
      <c r="I1083" s="6" t="str">
        <f aca="false">CONCATENATE(E1083, "_",H1083)</f>
        <v>NLA_2022_006_QC_P_3</v>
      </c>
      <c r="J1083" s="6" t="s">
        <v>52</v>
      </c>
      <c r="K1083" s="6" t="s">
        <v>281</v>
      </c>
      <c r="L1083" s="9" t="s">
        <v>69</v>
      </c>
      <c r="M1083" s="13" t="s">
        <v>46</v>
      </c>
      <c r="N1083" s="6" t="s">
        <v>78</v>
      </c>
      <c r="O1083" s="6" t="s">
        <v>46</v>
      </c>
      <c r="P1083" s="6" t="s">
        <v>79</v>
      </c>
      <c r="Q1083" s="6" t="s">
        <v>80</v>
      </c>
      <c r="R1083" s="6" t="s">
        <v>81</v>
      </c>
      <c r="S1083" s="6" t="s">
        <v>46</v>
      </c>
      <c r="T1083" s="6" t="s">
        <v>46</v>
      </c>
      <c r="U1083" s="6" t="s">
        <v>82</v>
      </c>
      <c r="V1083" s="1" t="n">
        <v>3</v>
      </c>
      <c r="W1083" s="6"/>
      <c r="X1083" s="6" t="s">
        <v>83</v>
      </c>
      <c r="Y1083" s="6" t="n">
        <v>5500</v>
      </c>
      <c r="Z1083" s="6" t="s">
        <v>1230</v>
      </c>
      <c r="AA1083" s="6" t="s">
        <v>1231</v>
      </c>
      <c r="AB1083" s="15" t="str">
        <f aca="true" t="array" ref="AB1083:AB1083">LEFT(AA1083,LOOKUP(2^15,FIND(".",AA1083,ROW(INDIRECT("1:"&amp;LEN(AA1083)))))-1)</f>
        <v>NB_2022_025 - 13072022 - 1</v>
      </c>
      <c r="AC1083" s="6" t="s">
        <v>1232</v>
      </c>
      <c r="AD1083" s="15" t="str">
        <f aca="true" t="array" ref="AD1083:AD1083">LEFT(AC1083,LOOKUP(2^15,FIND(".",AC1083,ROW(INDIRECT("1:"&amp;LEN(AC1083)))))-1)</f>
        <v>NB_2022_025 - 13072022 - 2</v>
      </c>
      <c r="AE1083" s="6" t="str">
        <f aca="false">CONCATENATE(AB1083, "-",H1083, ".mzML")</f>
        <v>NB_2022_025 - 13072022 - 1-QC_P_3.mzML</v>
      </c>
      <c r="AF1083" s="6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3" t="s">
        <v>1373</v>
      </c>
      <c r="B1084" s="34"/>
      <c r="C1084" s="4" t="s">
        <v>1374</v>
      </c>
      <c r="D1084" s="6" t="s">
        <v>14</v>
      </c>
      <c r="E1084" s="6" t="s">
        <v>1225</v>
      </c>
      <c r="F1084" s="7" t="s">
        <v>1226</v>
      </c>
      <c r="G1084" s="6" t="s">
        <v>1225</v>
      </c>
      <c r="H1084" s="27" t="s">
        <v>224</v>
      </c>
      <c r="I1084" s="6" t="str">
        <f aca="false">CONCATENATE(E1084, "_",H1084)</f>
        <v>NLA_2022_006_QC_P_4</v>
      </c>
      <c r="J1084" s="6" t="s">
        <v>52</v>
      </c>
      <c r="K1084" s="6" t="s">
        <v>281</v>
      </c>
      <c r="L1084" s="9" t="s">
        <v>69</v>
      </c>
      <c r="M1084" s="13" t="s">
        <v>46</v>
      </c>
      <c r="N1084" s="6" t="s">
        <v>78</v>
      </c>
      <c r="O1084" s="6" t="s">
        <v>46</v>
      </c>
      <c r="P1084" s="6" t="s">
        <v>79</v>
      </c>
      <c r="Q1084" s="6" t="s">
        <v>80</v>
      </c>
      <c r="R1084" s="6" t="s">
        <v>81</v>
      </c>
      <c r="S1084" s="6" t="s">
        <v>46</v>
      </c>
      <c r="T1084" s="6" t="s">
        <v>46</v>
      </c>
      <c r="U1084" s="6" t="s">
        <v>82</v>
      </c>
      <c r="V1084" s="1" t="n">
        <v>4</v>
      </c>
      <c r="W1084" s="6"/>
      <c r="X1084" s="6" t="s">
        <v>83</v>
      </c>
      <c r="Y1084" s="6" t="n">
        <v>5500</v>
      </c>
      <c r="Z1084" s="6" t="s">
        <v>1230</v>
      </c>
      <c r="AA1084" s="6" t="s">
        <v>1231</v>
      </c>
      <c r="AB1084" s="15" t="str">
        <f aca="true" t="array" ref="AB1084:AB1084">LEFT(AA1084,LOOKUP(2^15,FIND(".",AA1084,ROW(INDIRECT("1:"&amp;LEN(AA1084)))))-1)</f>
        <v>NB_2022_025 - 13072022 - 1</v>
      </c>
      <c r="AC1084" s="6" t="s">
        <v>1232</v>
      </c>
      <c r="AD1084" s="15" t="str">
        <f aca="true" t="array" ref="AD1084:AD1084">LEFT(AC1084,LOOKUP(2^15,FIND(".",AC1084,ROW(INDIRECT("1:"&amp;LEN(AC1084)))))-1)</f>
        <v>NB_2022_025 - 13072022 - 2</v>
      </c>
      <c r="AE1084" s="6" t="str">
        <f aca="false">CONCATENATE(AB1084, "-",H1084, ".mzML")</f>
        <v>NB_2022_025 - 13072022 - 1-QC_P_4.mzML</v>
      </c>
      <c r="AF1084" s="6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3" t="s">
        <v>1373</v>
      </c>
      <c r="B1085" s="34"/>
      <c r="C1085" s="4" t="s">
        <v>1374</v>
      </c>
      <c r="D1085" s="6" t="s">
        <v>14</v>
      </c>
      <c r="E1085" s="6" t="s">
        <v>1247</v>
      </c>
      <c r="F1085" s="7" t="s">
        <v>110</v>
      </c>
      <c r="G1085" s="6" t="s">
        <v>1248</v>
      </c>
      <c r="H1085" s="16" t="s">
        <v>37</v>
      </c>
      <c r="I1085" s="6" t="str">
        <f aca="false">CONCATENATE(E1085, "_",H1085)</f>
        <v>NLA_2023_017_009</v>
      </c>
      <c r="J1085" s="14" t="s">
        <v>52</v>
      </c>
      <c r="K1085" s="14" t="s">
        <v>1249</v>
      </c>
      <c r="L1085" s="9" t="s">
        <v>69</v>
      </c>
      <c r="M1085" s="13" t="s">
        <v>1250</v>
      </c>
      <c r="N1085" s="6" t="s">
        <v>246</v>
      </c>
      <c r="O1085" s="35" t="s">
        <v>1220</v>
      </c>
      <c r="P1085" s="6" t="s">
        <v>1213</v>
      </c>
      <c r="Q1085" s="6" t="s">
        <v>1213</v>
      </c>
      <c r="R1085" s="6" t="s">
        <v>72</v>
      </c>
      <c r="S1085" s="14"/>
      <c r="U1085" s="1" t="n">
        <v>1500</v>
      </c>
      <c r="V1085" s="14" t="n">
        <v>1</v>
      </c>
      <c r="W1085" s="4" t="s">
        <v>1251</v>
      </c>
      <c r="X1085" s="9" t="s">
        <v>1215</v>
      </c>
      <c r="Y1085" s="14" t="n">
        <v>5500</v>
      </c>
      <c r="Z1085" s="6" t="s">
        <v>1252</v>
      </c>
      <c r="AA1085" s="6" t="s">
        <v>1253</v>
      </c>
      <c r="AB1085" s="15" t="str">
        <f aca="true" t="array" ref="AB1085:AB1085">LEFT(AA1085,LOOKUP(2^15,FIND(".",AA1085,ROW(INDIRECT("1:"&amp;LEN(AA1085)))))-1)</f>
        <v>NB_2023_041 - 20230920 - 1</v>
      </c>
      <c r="AC1085" s="6" t="s">
        <v>1254</v>
      </c>
      <c r="AD1085" s="15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3" t="s">
        <v>1373</v>
      </c>
      <c r="B1086" s="34"/>
      <c r="C1086" s="4" t="s">
        <v>1374</v>
      </c>
      <c r="D1086" s="6" t="s">
        <v>14</v>
      </c>
      <c r="E1086" s="6" t="s">
        <v>1247</v>
      </c>
      <c r="F1086" s="7" t="s">
        <v>110</v>
      </c>
      <c r="G1086" s="6" t="s">
        <v>1248</v>
      </c>
      <c r="H1086" s="16" t="s">
        <v>129</v>
      </c>
      <c r="I1086" s="6" t="str">
        <f aca="false">CONCATENATE(E1086, "_",H1086)</f>
        <v>NLA_2023_017_010</v>
      </c>
      <c r="J1086" s="14" t="s">
        <v>52</v>
      </c>
      <c r="K1086" s="14" t="s">
        <v>1249</v>
      </c>
      <c r="L1086" s="9" t="s">
        <v>69</v>
      </c>
      <c r="M1086" s="13" t="s">
        <v>1250</v>
      </c>
      <c r="N1086" s="6" t="s">
        <v>246</v>
      </c>
      <c r="O1086" s="35" t="s">
        <v>1220</v>
      </c>
      <c r="P1086" s="6" t="s">
        <v>1213</v>
      </c>
      <c r="Q1086" s="6" t="s">
        <v>1213</v>
      </c>
      <c r="R1086" s="6" t="s">
        <v>72</v>
      </c>
      <c r="S1086" s="14"/>
      <c r="U1086" s="1" t="n">
        <v>1500</v>
      </c>
      <c r="V1086" s="14" t="n">
        <v>2</v>
      </c>
      <c r="W1086" s="4" t="s">
        <v>1251</v>
      </c>
      <c r="X1086" s="9" t="s">
        <v>1215</v>
      </c>
      <c r="Y1086" s="14" t="n">
        <v>5500</v>
      </c>
      <c r="Z1086" s="6" t="s">
        <v>1252</v>
      </c>
      <c r="AA1086" s="6" t="s">
        <v>1253</v>
      </c>
      <c r="AB1086" s="15" t="str">
        <f aca="true" t="array" ref="AB1086:AB1086">LEFT(AA1086,LOOKUP(2^15,FIND(".",AA1086,ROW(INDIRECT("1:"&amp;LEN(AA1086)))))-1)</f>
        <v>NB_2023_041 - 20230920 - 1</v>
      </c>
      <c r="AC1086" s="6" t="s">
        <v>1254</v>
      </c>
      <c r="AD1086" s="15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3" t="s">
        <v>1373</v>
      </c>
      <c r="B1087" s="34"/>
      <c r="C1087" s="4" t="s">
        <v>1374</v>
      </c>
      <c r="D1087" s="6" t="s">
        <v>14</v>
      </c>
      <c r="E1087" s="6" t="s">
        <v>1247</v>
      </c>
      <c r="F1087" s="7" t="s">
        <v>110</v>
      </c>
      <c r="G1087" s="6" t="s">
        <v>1248</v>
      </c>
      <c r="H1087" s="16" t="s">
        <v>132</v>
      </c>
      <c r="I1087" s="6" t="str">
        <f aca="false">CONCATENATE(E1087, "_",H1087)</f>
        <v>NLA_2023_017_011</v>
      </c>
      <c r="J1087" s="14" t="s">
        <v>52</v>
      </c>
      <c r="K1087" s="14" t="s">
        <v>1249</v>
      </c>
      <c r="L1087" s="9" t="s">
        <v>69</v>
      </c>
      <c r="M1087" s="13" t="s">
        <v>1250</v>
      </c>
      <c r="N1087" s="6" t="s">
        <v>246</v>
      </c>
      <c r="O1087" s="35" t="s">
        <v>1220</v>
      </c>
      <c r="P1087" s="6" t="s">
        <v>1213</v>
      </c>
      <c r="Q1087" s="6" t="s">
        <v>1213</v>
      </c>
      <c r="R1087" s="6" t="s">
        <v>72</v>
      </c>
      <c r="S1087" s="14"/>
      <c r="U1087" s="1" t="n">
        <v>1500</v>
      </c>
      <c r="V1087" s="14" t="n">
        <v>3</v>
      </c>
      <c r="W1087" s="4" t="s">
        <v>1251</v>
      </c>
      <c r="X1087" s="9" t="s">
        <v>1215</v>
      </c>
      <c r="Y1087" s="14" t="n">
        <v>5500</v>
      </c>
      <c r="Z1087" s="6" t="s">
        <v>1252</v>
      </c>
      <c r="AA1087" s="6" t="s">
        <v>1253</v>
      </c>
      <c r="AB1087" s="15" t="str">
        <f aca="true" t="array" ref="AB1087:AB1087">LEFT(AA1087,LOOKUP(2^15,FIND(".",AA1087,ROW(INDIRECT("1:"&amp;LEN(AA1087)))))-1)</f>
        <v>NB_2023_041 - 20230920 - 1</v>
      </c>
      <c r="AC1087" s="6" t="s">
        <v>1254</v>
      </c>
      <c r="AD1087" s="15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3" t="s">
        <v>1373</v>
      </c>
      <c r="B1088" s="34"/>
      <c r="C1088" s="4" t="s">
        <v>1374</v>
      </c>
      <c r="D1088" s="6" t="s">
        <v>14</v>
      </c>
      <c r="E1088" s="6" t="s">
        <v>1247</v>
      </c>
      <c r="F1088" s="7" t="s">
        <v>110</v>
      </c>
      <c r="G1088" s="6" t="s">
        <v>1248</v>
      </c>
      <c r="H1088" s="16" t="s">
        <v>51</v>
      </c>
      <c r="I1088" s="6" t="str">
        <f aca="false">CONCATENATE(E1088, "_",H1088)</f>
        <v>NLA_2023_017_012</v>
      </c>
      <c r="J1088" s="14" t="s">
        <v>38</v>
      </c>
      <c r="K1088" s="6" t="s">
        <v>1255</v>
      </c>
      <c r="L1088" s="9" t="s">
        <v>69</v>
      </c>
      <c r="M1088" s="13" t="s">
        <v>1250</v>
      </c>
      <c r="N1088" s="6" t="s">
        <v>246</v>
      </c>
      <c r="O1088" s="35" t="s">
        <v>1212</v>
      </c>
      <c r="P1088" s="6" t="s">
        <v>1213</v>
      </c>
      <c r="Q1088" s="6" t="s">
        <v>1214</v>
      </c>
      <c r="R1088" s="6" t="s">
        <v>72</v>
      </c>
      <c r="S1088" s="6"/>
      <c r="U1088" s="1" t="n">
        <v>1500</v>
      </c>
      <c r="V1088" s="1" t="n">
        <v>1</v>
      </c>
      <c r="W1088" s="4" t="s">
        <v>1251</v>
      </c>
      <c r="X1088" s="9" t="s">
        <v>1215</v>
      </c>
      <c r="Y1088" s="14" t="n">
        <v>5500</v>
      </c>
      <c r="Z1088" s="6" t="s">
        <v>1252</v>
      </c>
      <c r="AA1088" s="6" t="s">
        <v>1253</v>
      </c>
      <c r="AB1088" s="15" t="str">
        <f aca="true" t="array" ref="AB1088:AB1088">LEFT(AA1088,LOOKUP(2^15,FIND(".",AA1088,ROW(INDIRECT("1:"&amp;LEN(AA1088)))))-1)</f>
        <v>NB_2023_041 - 20230920 - 1</v>
      </c>
      <c r="AC1088" s="6" t="s">
        <v>1254</v>
      </c>
      <c r="AD1088" s="15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3" t="s">
        <v>1373</v>
      </c>
      <c r="B1089" s="34"/>
      <c r="C1089" s="4" t="s">
        <v>1374</v>
      </c>
      <c r="D1089" s="6" t="s">
        <v>14</v>
      </c>
      <c r="E1089" s="6" t="s">
        <v>1247</v>
      </c>
      <c r="F1089" s="7" t="s">
        <v>110</v>
      </c>
      <c r="G1089" s="6" t="s">
        <v>1248</v>
      </c>
      <c r="H1089" s="16" t="s">
        <v>56</v>
      </c>
      <c r="I1089" s="6" t="str">
        <f aca="false">CONCATENATE(E1089, "_",H1089)</f>
        <v>NLA_2023_017_013</v>
      </c>
      <c r="J1089" s="14" t="s">
        <v>38</v>
      </c>
      <c r="K1089" s="6" t="s">
        <v>1255</v>
      </c>
      <c r="L1089" s="9" t="s">
        <v>69</v>
      </c>
      <c r="M1089" s="13" t="s">
        <v>1250</v>
      </c>
      <c r="N1089" s="6" t="s">
        <v>246</v>
      </c>
      <c r="O1089" s="35" t="s">
        <v>1212</v>
      </c>
      <c r="P1089" s="6" t="s">
        <v>1213</v>
      </c>
      <c r="Q1089" s="6" t="s">
        <v>1214</v>
      </c>
      <c r="R1089" s="6" t="s">
        <v>72</v>
      </c>
      <c r="S1089" s="6"/>
      <c r="U1089" s="1" t="n">
        <v>1500</v>
      </c>
      <c r="V1089" s="1" t="n">
        <v>2</v>
      </c>
      <c r="W1089" s="4" t="s">
        <v>1251</v>
      </c>
      <c r="X1089" s="9" t="s">
        <v>1215</v>
      </c>
      <c r="Y1089" s="14" t="n">
        <v>5500</v>
      </c>
      <c r="Z1089" s="6" t="s">
        <v>1252</v>
      </c>
      <c r="AA1089" s="6" t="s">
        <v>1253</v>
      </c>
      <c r="AB1089" s="15" t="str">
        <f aca="true" t="array" ref="AB1089:AB1089">LEFT(AA1089,LOOKUP(2^15,FIND(".",AA1089,ROW(INDIRECT("1:"&amp;LEN(AA1089)))))-1)</f>
        <v>NB_2023_041 - 20230920 - 1</v>
      </c>
      <c r="AC1089" s="6" t="s">
        <v>1254</v>
      </c>
      <c r="AD1089" s="15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3" t="s">
        <v>1373</v>
      </c>
      <c r="B1090" s="34"/>
      <c r="C1090" s="4" t="s">
        <v>1374</v>
      </c>
      <c r="D1090" s="6" t="s">
        <v>14</v>
      </c>
      <c r="E1090" s="6" t="s">
        <v>1247</v>
      </c>
      <c r="F1090" s="7" t="s">
        <v>110</v>
      </c>
      <c r="G1090" s="6" t="s">
        <v>1247</v>
      </c>
      <c r="H1090" s="16" t="s">
        <v>64</v>
      </c>
      <c r="I1090" s="6" t="str">
        <f aca="false">CONCATENATE(E1090, "_",H1090)</f>
        <v>NLA_2023_017_Blank_1</v>
      </c>
      <c r="J1090" s="6" t="s">
        <v>52</v>
      </c>
      <c r="K1090" s="6" t="s">
        <v>157</v>
      </c>
      <c r="L1090" s="7" t="s">
        <v>46</v>
      </c>
      <c r="M1090" s="17" t="s">
        <v>46</v>
      </c>
      <c r="N1090" s="6" t="s">
        <v>65</v>
      </c>
      <c r="O1090" s="6" t="s">
        <v>46</v>
      </c>
      <c r="P1090" s="6" t="s">
        <v>46</v>
      </c>
      <c r="Q1090" s="6" t="s">
        <v>46</v>
      </c>
      <c r="R1090" s="6" t="s">
        <v>46</v>
      </c>
      <c r="S1090" s="6" t="s">
        <v>46</v>
      </c>
      <c r="T1090" s="6" t="s">
        <v>46</v>
      </c>
      <c r="U1090" s="6" t="s">
        <v>46</v>
      </c>
      <c r="V1090" s="1" t="n">
        <v>1</v>
      </c>
      <c r="W1090" s="4" t="s">
        <v>1251</v>
      </c>
      <c r="X1090" s="6" t="s">
        <v>46</v>
      </c>
      <c r="Y1090" s="14" t="n">
        <v>5500</v>
      </c>
      <c r="Z1090" s="6" t="s">
        <v>1252</v>
      </c>
      <c r="AA1090" s="6" t="s">
        <v>1253</v>
      </c>
      <c r="AB1090" s="15" t="str">
        <f aca="true" t="array" ref="AB1090:AB1090">LEFT(AA1090,LOOKUP(2^15,FIND(".",AA1090,ROW(INDIRECT("1:"&amp;LEN(AA1090)))))-1)</f>
        <v>NB_2023_041 - 20230920 - 1</v>
      </c>
      <c r="AC1090" s="6" t="s">
        <v>1254</v>
      </c>
      <c r="AD1090" s="15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3" t="s">
        <v>1373</v>
      </c>
      <c r="B1091" s="34"/>
      <c r="C1091" s="4" t="s">
        <v>1374</v>
      </c>
      <c r="D1091" s="6" t="s">
        <v>14</v>
      </c>
      <c r="E1091" s="6" t="s">
        <v>1247</v>
      </c>
      <c r="F1091" s="7" t="s">
        <v>110</v>
      </c>
      <c r="G1091" s="6" t="s">
        <v>1247</v>
      </c>
      <c r="H1091" s="16" t="s">
        <v>66</v>
      </c>
      <c r="I1091" s="6" t="str">
        <f aca="false">CONCATENATE(E1091, "_",H1091)</f>
        <v>NLA_2023_017_Blank_2</v>
      </c>
      <c r="J1091" s="6" t="s">
        <v>52</v>
      </c>
      <c r="K1091" s="6" t="s">
        <v>165</v>
      </c>
      <c r="L1091" s="7" t="s">
        <v>46</v>
      </c>
      <c r="M1091" s="17" t="s">
        <v>46</v>
      </c>
      <c r="N1091" s="6" t="s">
        <v>65</v>
      </c>
      <c r="O1091" s="6" t="s">
        <v>46</v>
      </c>
      <c r="P1091" s="6" t="s">
        <v>46</v>
      </c>
      <c r="Q1091" s="6" t="s">
        <v>46</v>
      </c>
      <c r="R1091" s="6" t="s">
        <v>46</v>
      </c>
      <c r="S1091" s="6" t="s">
        <v>46</v>
      </c>
      <c r="T1091" s="6" t="s">
        <v>46</v>
      </c>
      <c r="U1091" s="6" t="s">
        <v>46</v>
      </c>
      <c r="V1091" s="1" t="n">
        <v>2</v>
      </c>
      <c r="W1091" s="4" t="s">
        <v>1251</v>
      </c>
      <c r="X1091" s="6" t="s">
        <v>46</v>
      </c>
      <c r="Y1091" s="14" t="n">
        <v>5500</v>
      </c>
      <c r="Z1091" s="6" t="s">
        <v>1252</v>
      </c>
      <c r="AA1091" s="6" t="s">
        <v>1253</v>
      </c>
      <c r="AB1091" s="15" t="str">
        <f aca="true" t="array" ref="AB1091:AB1091">LEFT(AA1091,LOOKUP(2^15,FIND(".",AA1091,ROW(INDIRECT("1:"&amp;LEN(AA1091)))))-1)</f>
        <v>NB_2023_041 - 20230920 - 1</v>
      </c>
      <c r="AC1091" s="6" t="s">
        <v>1254</v>
      </c>
      <c r="AD1091" s="15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3" t="s">
        <v>1373</v>
      </c>
      <c r="B1092" s="34"/>
      <c r="C1092" s="4" t="s">
        <v>1374</v>
      </c>
      <c r="D1092" s="6" t="s">
        <v>14</v>
      </c>
      <c r="E1092" s="6" t="s">
        <v>1247</v>
      </c>
      <c r="F1092" s="7" t="s">
        <v>110</v>
      </c>
      <c r="G1092" s="6" t="s">
        <v>1247</v>
      </c>
      <c r="H1092" s="16" t="s">
        <v>67</v>
      </c>
      <c r="I1092" s="6" t="str">
        <f aca="false">CONCATENATE(E1092, "_",H1092)</f>
        <v>NLA_2023_017_Blank_3</v>
      </c>
      <c r="J1092" s="6" t="s">
        <v>52</v>
      </c>
      <c r="K1092" s="6" t="s">
        <v>171</v>
      </c>
      <c r="L1092" s="7" t="s">
        <v>46</v>
      </c>
      <c r="M1092" s="17" t="s">
        <v>46</v>
      </c>
      <c r="N1092" s="6" t="s">
        <v>65</v>
      </c>
      <c r="O1092" s="6" t="s">
        <v>46</v>
      </c>
      <c r="P1092" s="6" t="s">
        <v>46</v>
      </c>
      <c r="Q1092" s="6" t="s">
        <v>46</v>
      </c>
      <c r="R1092" s="6" t="s">
        <v>46</v>
      </c>
      <c r="S1092" s="6" t="s">
        <v>46</v>
      </c>
      <c r="T1092" s="6" t="s">
        <v>46</v>
      </c>
      <c r="U1092" s="6" t="s">
        <v>46</v>
      </c>
      <c r="V1092" s="1" t="n">
        <v>3</v>
      </c>
      <c r="W1092" s="4" t="s">
        <v>1251</v>
      </c>
      <c r="X1092" s="6" t="s">
        <v>46</v>
      </c>
      <c r="Y1092" s="14" t="n">
        <v>5500</v>
      </c>
      <c r="Z1092" s="6" t="s">
        <v>1252</v>
      </c>
      <c r="AA1092" s="6" t="s">
        <v>1253</v>
      </c>
      <c r="AB1092" s="15" t="str">
        <f aca="true" t="array" ref="AB1092:AB1092">LEFT(AA1092,LOOKUP(2^15,FIND(".",AA1092,ROW(INDIRECT("1:"&amp;LEN(AA1092)))))-1)</f>
        <v>NB_2023_041 - 20230920 - 1</v>
      </c>
      <c r="AC1092" s="6" t="s">
        <v>1254</v>
      </c>
      <c r="AD1092" s="15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3" t="s">
        <v>1373</v>
      </c>
      <c r="B1093" s="34"/>
      <c r="C1093" s="4" t="s">
        <v>1374</v>
      </c>
      <c r="D1093" s="6" t="s">
        <v>14</v>
      </c>
      <c r="E1093" s="6" t="s">
        <v>1247</v>
      </c>
      <c r="F1093" s="7" t="s">
        <v>110</v>
      </c>
      <c r="G1093" s="6" t="s">
        <v>1247</v>
      </c>
      <c r="H1093" s="16" t="s">
        <v>221</v>
      </c>
      <c r="I1093" s="6" t="str">
        <f aca="false">CONCATENATE(E1093, "_",H1093)</f>
        <v>NLA_2023_017_Blank_4</v>
      </c>
      <c r="J1093" s="6" t="s">
        <v>52</v>
      </c>
      <c r="K1093" s="6" t="s">
        <v>1256</v>
      </c>
      <c r="L1093" s="7" t="s">
        <v>46</v>
      </c>
      <c r="M1093" s="17" t="s">
        <v>46</v>
      </c>
      <c r="N1093" s="6" t="s">
        <v>65</v>
      </c>
      <c r="O1093" s="6" t="s">
        <v>46</v>
      </c>
      <c r="P1093" s="6" t="s">
        <v>46</v>
      </c>
      <c r="Q1093" s="6" t="s">
        <v>46</v>
      </c>
      <c r="R1093" s="6" t="s">
        <v>46</v>
      </c>
      <c r="S1093" s="6" t="s">
        <v>46</v>
      </c>
      <c r="T1093" s="6" t="s">
        <v>46</v>
      </c>
      <c r="U1093" s="6" t="s">
        <v>46</v>
      </c>
      <c r="V1093" s="1" t="n">
        <v>4</v>
      </c>
      <c r="W1093" s="4" t="s">
        <v>1251</v>
      </c>
      <c r="X1093" s="6" t="s">
        <v>46</v>
      </c>
      <c r="Y1093" s="14" t="n">
        <v>5500</v>
      </c>
      <c r="Z1093" s="6" t="s">
        <v>1252</v>
      </c>
      <c r="AA1093" s="6" t="s">
        <v>1253</v>
      </c>
      <c r="AB1093" s="15" t="str">
        <f aca="true" t="array" ref="AB1093:AB1093">LEFT(AA1093,LOOKUP(2^15,FIND(".",AA1093,ROW(INDIRECT("1:"&amp;LEN(AA1093)))))-1)</f>
        <v>NB_2023_041 - 20230920 - 1</v>
      </c>
      <c r="AC1093" s="6" t="s">
        <v>1254</v>
      </c>
      <c r="AD1093" s="15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3" t="s">
        <v>1373</v>
      </c>
      <c r="B1094" s="34"/>
      <c r="C1094" s="4" t="s">
        <v>1374</v>
      </c>
      <c r="D1094" s="6" t="s">
        <v>14</v>
      </c>
      <c r="E1094" s="6" t="s">
        <v>1247</v>
      </c>
      <c r="F1094" s="7" t="s">
        <v>110</v>
      </c>
      <c r="G1094" s="6" t="s">
        <v>1247</v>
      </c>
      <c r="H1094" s="16" t="s">
        <v>68</v>
      </c>
      <c r="I1094" s="6" t="str">
        <f aca="false">CONCATENATE(E1094, "_",H1094)</f>
        <v>NLA_2023_017_QC_C_1</v>
      </c>
      <c r="J1094" s="6" t="s">
        <v>52</v>
      </c>
      <c r="K1094" s="6" t="s">
        <v>152</v>
      </c>
      <c r="L1094" s="9" t="s">
        <v>69</v>
      </c>
      <c r="M1094" s="3" t="s">
        <v>46</v>
      </c>
      <c r="N1094" s="6" t="s">
        <v>70</v>
      </c>
      <c r="O1094" s="6" t="s">
        <v>46</v>
      </c>
      <c r="P1094" s="6" t="s">
        <v>71</v>
      </c>
      <c r="Q1094" s="6" t="s">
        <v>71</v>
      </c>
      <c r="R1094" s="6" t="s">
        <v>72</v>
      </c>
      <c r="S1094" s="6" t="s">
        <v>73</v>
      </c>
      <c r="T1094" s="6" t="s">
        <v>46</v>
      </c>
      <c r="U1094" s="6" t="n">
        <v>1000</v>
      </c>
      <c r="V1094" s="1" t="n">
        <v>1</v>
      </c>
      <c r="W1094" s="4" t="s">
        <v>1251</v>
      </c>
      <c r="X1094" s="6" t="s">
        <v>74</v>
      </c>
      <c r="Y1094" s="14" t="n">
        <v>5500</v>
      </c>
      <c r="Z1094" s="6" t="s">
        <v>1252</v>
      </c>
      <c r="AA1094" s="6" t="s">
        <v>1253</v>
      </c>
      <c r="AB1094" s="15" t="str">
        <f aca="true" t="array" ref="AB1094:AB1094">LEFT(AA1094,LOOKUP(2^15,FIND(".",AA1094,ROW(INDIRECT("1:"&amp;LEN(AA1094)))))-1)</f>
        <v>NB_2023_041 - 20230920 - 1</v>
      </c>
      <c r="AC1094" s="6" t="s">
        <v>1254</v>
      </c>
      <c r="AD1094" s="15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3" t="s">
        <v>1373</v>
      </c>
      <c r="B1095" s="34"/>
      <c r="C1095" s="4" t="s">
        <v>1374</v>
      </c>
      <c r="D1095" s="6" t="s">
        <v>14</v>
      </c>
      <c r="E1095" s="6" t="s">
        <v>1247</v>
      </c>
      <c r="F1095" s="7" t="s">
        <v>110</v>
      </c>
      <c r="G1095" s="6" t="s">
        <v>1247</v>
      </c>
      <c r="H1095" s="16" t="s">
        <v>75</v>
      </c>
      <c r="I1095" s="6" t="str">
        <f aca="false">CONCATENATE(E1095, "_",H1095)</f>
        <v>NLA_2023_017_QC_C_2</v>
      </c>
      <c r="J1095" s="6" t="s">
        <v>52</v>
      </c>
      <c r="K1095" s="6" t="s">
        <v>164</v>
      </c>
      <c r="L1095" s="9" t="s">
        <v>69</v>
      </c>
      <c r="M1095" s="3" t="s">
        <v>46</v>
      </c>
      <c r="N1095" s="6" t="s">
        <v>70</v>
      </c>
      <c r="O1095" s="6" t="s">
        <v>46</v>
      </c>
      <c r="P1095" s="6" t="s">
        <v>71</v>
      </c>
      <c r="Q1095" s="6" t="s">
        <v>71</v>
      </c>
      <c r="R1095" s="6" t="s">
        <v>72</v>
      </c>
      <c r="S1095" s="6" t="s">
        <v>73</v>
      </c>
      <c r="T1095" s="6" t="s">
        <v>46</v>
      </c>
      <c r="U1095" s="6" t="n">
        <v>1000</v>
      </c>
      <c r="V1095" s="1" t="n">
        <v>2</v>
      </c>
      <c r="W1095" s="4" t="s">
        <v>1251</v>
      </c>
      <c r="X1095" s="6" t="s">
        <v>74</v>
      </c>
      <c r="Y1095" s="14" t="n">
        <v>5500</v>
      </c>
      <c r="Z1095" s="6" t="s">
        <v>1252</v>
      </c>
      <c r="AA1095" s="6" t="s">
        <v>1253</v>
      </c>
      <c r="AB1095" s="15" t="str">
        <f aca="true" t="array" ref="AB1095:AB1095">LEFT(AA1095,LOOKUP(2^15,FIND(".",AA1095,ROW(INDIRECT("1:"&amp;LEN(AA1095)))))-1)</f>
        <v>NB_2023_041 - 20230920 - 1</v>
      </c>
      <c r="AC1095" s="6" t="s">
        <v>1254</v>
      </c>
      <c r="AD1095" s="15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3" t="s">
        <v>1373</v>
      </c>
      <c r="B1096" s="34"/>
      <c r="C1096" s="4" t="s">
        <v>1374</v>
      </c>
      <c r="D1096" s="6" t="s">
        <v>14</v>
      </c>
      <c r="E1096" s="6" t="s">
        <v>1247</v>
      </c>
      <c r="F1096" s="7" t="s">
        <v>110</v>
      </c>
      <c r="G1096" s="6" t="s">
        <v>1247</v>
      </c>
      <c r="H1096" s="16" t="s">
        <v>76</v>
      </c>
      <c r="I1096" s="6" t="str">
        <f aca="false">CONCATENATE(E1096, "_",H1096)</f>
        <v>NLA_2023_017_QC_C_3</v>
      </c>
      <c r="J1096" s="6" t="s">
        <v>52</v>
      </c>
      <c r="K1096" s="6" t="s">
        <v>170</v>
      </c>
      <c r="L1096" s="9" t="s">
        <v>69</v>
      </c>
      <c r="M1096" s="3" t="s">
        <v>46</v>
      </c>
      <c r="N1096" s="6" t="s">
        <v>70</v>
      </c>
      <c r="O1096" s="6" t="s">
        <v>46</v>
      </c>
      <c r="P1096" s="6" t="s">
        <v>71</v>
      </c>
      <c r="Q1096" s="6" t="s">
        <v>71</v>
      </c>
      <c r="R1096" s="6" t="s">
        <v>72</v>
      </c>
      <c r="S1096" s="6" t="s">
        <v>73</v>
      </c>
      <c r="T1096" s="6" t="s">
        <v>46</v>
      </c>
      <c r="U1096" s="6" t="n">
        <v>1000</v>
      </c>
      <c r="V1096" s="1" t="n">
        <v>3</v>
      </c>
      <c r="W1096" s="4" t="s">
        <v>1251</v>
      </c>
      <c r="X1096" s="6" t="s">
        <v>74</v>
      </c>
      <c r="Y1096" s="14" t="n">
        <v>5500</v>
      </c>
      <c r="Z1096" s="6" t="s">
        <v>1252</v>
      </c>
      <c r="AA1096" s="6" t="s">
        <v>1253</v>
      </c>
      <c r="AB1096" s="15" t="str">
        <f aca="true" t="array" ref="AB1096:AB1096">LEFT(AA1096,LOOKUP(2^15,FIND(".",AA1096,ROW(INDIRECT("1:"&amp;LEN(AA1096)))))-1)</f>
        <v>NB_2023_041 - 20230920 - 1</v>
      </c>
      <c r="AC1096" s="6" t="s">
        <v>1254</v>
      </c>
      <c r="AD1096" s="15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3" t="s">
        <v>1373</v>
      </c>
      <c r="B1097" s="34"/>
      <c r="C1097" s="4" t="s">
        <v>1374</v>
      </c>
      <c r="D1097" s="6" t="s">
        <v>14</v>
      </c>
      <c r="E1097" s="6" t="s">
        <v>1247</v>
      </c>
      <c r="F1097" s="7" t="s">
        <v>110</v>
      </c>
      <c r="G1097" s="6" t="s">
        <v>1247</v>
      </c>
      <c r="H1097" s="16" t="s">
        <v>222</v>
      </c>
      <c r="I1097" s="6" t="str">
        <f aca="false">CONCATENATE(E1097, "_",H1097)</f>
        <v>NLA_2023_017_QC_C_4</v>
      </c>
      <c r="J1097" s="6" t="s">
        <v>52</v>
      </c>
      <c r="K1097" s="6" t="s">
        <v>1257</v>
      </c>
      <c r="L1097" s="9" t="s">
        <v>69</v>
      </c>
      <c r="M1097" s="3" t="s">
        <v>46</v>
      </c>
      <c r="N1097" s="6" t="s">
        <v>70</v>
      </c>
      <c r="O1097" s="6" t="s">
        <v>46</v>
      </c>
      <c r="P1097" s="6" t="s">
        <v>71</v>
      </c>
      <c r="Q1097" s="6" t="s">
        <v>71</v>
      </c>
      <c r="R1097" s="6" t="s">
        <v>72</v>
      </c>
      <c r="S1097" s="6" t="s">
        <v>73</v>
      </c>
      <c r="T1097" s="6" t="s">
        <v>46</v>
      </c>
      <c r="U1097" s="6" t="n">
        <v>1000</v>
      </c>
      <c r="V1097" s="1" t="n">
        <v>4</v>
      </c>
      <c r="W1097" s="4" t="s">
        <v>1251</v>
      </c>
      <c r="X1097" s="6" t="s">
        <v>74</v>
      </c>
      <c r="Y1097" s="14" t="n">
        <v>5500</v>
      </c>
      <c r="Z1097" s="6" t="s">
        <v>1252</v>
      </c>
      <c r="AA1097" s="6" t="s">
        <v>1253</v>
      </c>
      <c r="AB1097" s="15" t="str">
        <f aca="true" t="array" ref="AB1097:AB1097">LEFT(AA1097,LOOKUP(2^15,FIND(".",AA1097,ROW(INDIRECT("1:"&amp;LEN(AA1097)))))-1)</f>
        <v>NB_2023_041 - 20230920 - 1</v>
      </c>
      <c r="AC1097" s="6" t="s">
        <v>1254</v>
      </c>
      <c r="AD1097" s="15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3" t="s">
        <v>1373</v>
      </c>
      <c r="B1098" s="34"/>
      <c r="C1098" s="4" t="s">
        <v>1374</v>
      </c>
      <c r="D1098" s="6" t="s">
        <v>14</v>
      </c>
      <c r="E1098" s="6" t="s">
        <v>1247</v>
      </c>
      <c r="F1098" s="7" t="s">
        <v>110</v>
      </c>
      <c r="G1098" s="6" t="s">
        <v>1247</v>
      </c>
      <c r="H1098" s="16" t="s">
        <v>77</v>
      </c>
      <c r="I1098" s="6" t="str">
        <f aca="false">CONCATENATE(E1098, "_",H1098)</f>
        <v>NLA_2023_017_QC_P_1</v>
      </c>
      <c r="J1098" s="4" t="s">
        <v>52</v>
      </c>
      <c r="K1098" s="18" t="s">
        <v>77</v>
      </c>
      <c r="L1098" s="7" t="s">
        <v>69</v>
      </c>
      <c r="M1098" s="3" t="s">
        <v>46</v>
      </c>
      <c r="N1098" s="6" t="s">
        <v>78</v>
      </c>
      <c r="O1098" s="6" t="s">
        <v>46</v>
      </c>
      <c r="P1098" s="6" t="s">
        <v>79</v>
      </c>
      <c r="Q1098" s="6" t="s">
        <v>80</v>
      </c>
      <c r="R1098" s="6" t="s">
        <v>81</v>
      </c>
      <c r="S1098" s="6" t="s">
        <v>46</v>
      </c>
      <c r="T1098" s="6" t="s">
        <v>46</v>
      </c>
      <c r="U1098" s="6" t="s">
        <v>82</v>
      </c>
      <c r="V1098" s="1" t="n">
        <v>1</v>
      </c>
      <c r="W1098" s="4" t="s">
        <v>1251</v>
      </c>
      <c r="X1098" s="6" t="s">
        <v>83</v>
      </c>
      <c r="Y1098" s="14" t="n">
        <v>5500</v>
      </c>
      <c r="Z1098" s="6" t="s">
        <v>1252</v>
      </c>
      <c r="AA1098" s="6" t="s">
        <v>1253</v>
      </c>
      <c r="AB1098" s="15" t="str">
        <f aca="true" t="array" ref="AB1098:AB1098">LEFT(AA1098,LOOKUP(2^15,FIND(".",AA1098,ROW(INDIRECT("1:"&amp;LEN(AA1098)))))-1)</f>
        <v>NB_2023_041 - 20230920 - 1</v>
      </c>
      <c r="AC1098" s="6" t="s">
        <v>1254</v>
      </c>
      <c r="AD1098" s="15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3" t="s">
        <v>1373</v>
      </c>
      <c r="B1099" s="34"/>
      <c r="C1099" s="4" t="s">
        <v>1374</v>
      </c>
      <c r="D1099" s="6" t="s">
        <v>14</v>
      </c>
      <c r="E1099" s="6" t="s">
        <v>1247</v>
      </c>
      <c r="F1099" s="7" t="s">
        <v>110</v>
      </c>
      <c r="G1099" s="6" t="s">
        <v>1247</v>
      </c>
      <c r="H1099" s="16" t="s">
        <v>84</v>
      </c>
      <c r="I1099" s="6" t="str">
        <f aca="false">CONCATENATE(E1099, "_",H1099)</f>
        <v>NLA_2023_017_QC_P_2</v>
      </c>
      <c r="J1099" s="4" t="s">
        <v>52</v>
      </c>
      <c r="K1099" s="18" t="s">
        <v>84</v>
      </c>
      <c r="L1099" s="7" t="s">
        <v>69</v>
      </c>
      <c r="M1099" s="3" t="s">
        <v>46</v>
      </c>
      <c r="N1099" s="6" t="s">
        <v>78</v>
      </c>
      <c r="O1099" s="6" t="s">
        <v>46</v>
      </c>
      <c r="P1099" s="6" t="s">
        <v>79</v>
      </c>
      <c r="Q1099" s="6" t="s">
        <v>80</v>
      </c>
      <c r="R1099" s="6" t="s">
        <v>81</v>
      </c>
      <c r="S1099" s="6" t="s">
        <v>46</v>
      </c>
      <c r="T1099" s="6" t="s">
        <v>46</v>
      </c>
      <c r="U1099" s="6" t="s">
        <v>82</v>
      </c>
      <c r="V1099" s="1" t="n">
        <v>2</v>
      </c>
      <c r="W1099" s="4" t="s">
        <v>1251</v>
      </c>
      <c r="X1099" s="6" t="s">
        <v>83</v>
      </c>
      <c r="Y1099" s="14" t="n">
        <v>5500</v>
      </c>
      <c r="Z1099" s="6" t="s">
        <v>1252</v>
      </c>
      <c r="AA1099" s="6" t="s">
        <v>1253</v>
      </c>
      <c r="AB1099" s="15" t="str">
        <f aca="true" t="array" ref="AB1099:AB1099">LEFT(AA1099,LOOKUP(2^15,FIND(".",AA1099,ROW(INDIRECT("1:"&amp;LEN(AA1099)))))-1)</f>
        <v>NB_2023_041 - 20230920 - 1</v>
      </c>
      <c r="AC1099" s="6" t="s">
        <v>1254</v>
      </c>
      <c r="AD1099" s="15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3" t="s">
        <v>1375</v>
      </c>
      <c r="B1100" s="34"/>
      <c r="C1100" s="4" t="s">
        <v>1376</v>
      </c>
      <c r="D1100" s="6" t="s">
        <v>19</v>
      </c>
      <c r="E1100" s="6" t="s">
        <v>1225</v>
      </c>
      <c r="F1100" s="7" t="s">
        <v>1226</v>
      </c>
      <c r="G1100" s="6" t="s">
        <v>1237</v>
      </c>
      <c r="H1100" s="27" t="s">
        <v>445</v>
      </c>
      <c r="I1100" s="6" t="str">
        <f aca="false">CONCATENATE(E1100, "_",H1100)</f>
        <v>NLA_2022_006_031</v>
      </c>
      <c r="J1100" s="6" t="s">
        <v>38</v>
      </c>
      <c r="K1100" s="6" t="s">
        <v>1238</v>
      </c>
      <c r="L1100" s="9" t="s">
        <v>69</v>
      </c>
      <c r="M1100" s="13" t="s">
        <v>1239</v>
      </c>
      <c r="N1100" s="6" t="s">
        <v>246</v>
      </c>
      <c r="O1100" s="35" t="s">
        <v>1212</v>
      </c>
      <c r="P1100" s="36" t="s">
        <v>1213</v>
      </c>
      <c r="Q1100" s="36" t="s">
        <v>1214</v>
      </c>
      <c r="R1100" s="6" t="s">
        <v>72</v>
      </c>
      <c r="S1100" s="6"/>
      <c r="T1100" s="6" t="s">
        <v>1240</v>
      </c>
      <c r="U1100" s="1" t="n">
        <v>1500</v>
      </c>
      <c r="V1100" s="1" t="n">
        <v>1</v>
      </c>
      <c r="W1100" s="6"/>
      <c r="X1100" s="9" t="s">
        <v>1215</v>
      </c>
      <c r="Y1100" s="1" t="n">
        <v>5500</v>
      </c>
      <c r="Z1100" s="6" t="s">
        <v>1230</v>
      </c>
      <c r="AA1100" s="6" t="s">
        <v>1231</v>
      </c>
      <c r="AB1100" s="15" t="str">
        <f aca="true" t="array" ref="AB1100:AB1100">LEFT(AA1100,LOOKUP(2^15,FIND(".",AA1100,ROW(INDIRECT("1:"&amp;LEN(AA1100)))))-1)</f>
        <v>NB_2022_025 - 13072022 - 1</v>
      </c>
      <c r="AC1100" s="6" t="s">
        <v>1232</v>
      </c>
      <c r="AD1100" s="15" t="str">
        <f aca="true" t="array" ref="AD1100:AD1100">LEFT(AC1100,LOOKUP(2^15,FIND(".",AC1100,ROW(INDIRECT("1:"&amp;LEN(AC1100)))))-1)</f>
        <v>NB_2022_025 - 13072022 - 2</v>
      </c>
      <c r="AE1100" s="6" t="str">
        <f aca="false">CONCATENATE(AB1100, "-",H1100, ".mzML")</f>
        <v>NB_2022_025 - 13072022 - 1-031.mzML</v>
      </c>
      <c r="AF1100" s="6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3" t="s">
        <v>1375</v>
      </c>
      <c r="B1101" s="34"/>
      <c r="C1101" s="4" t="s">
        <v>1376</v>
      </c>
      <c r="D1101" s="6" t="s">
        <v>19</v>
      </c>
      <c r="E1101" s="6" t="s">
        <v>1225</v>
      </c>
      <c r="F1101" s="7" t="s">
        <v>1226</v>
      </c>
      <c r="G1101" s="6" t="s">
        <v>1237</v>
      </c>
      <c r="H1101" s="27" t="s">
        <v>1241</v>
      </c>
      <c r="I1101" s="6" t="str">
        <f aca="false">CONCATENATE(E1101, "_",H1101)</f>
        <v>NLA_2022_006_032</v>
      </c>
      <c r="J1101" s="6" t="s">
        <v>38</v>
      </c>
      <c r="K1101" s="6" t="s">
        <v>1238</v>
      </c>
      <c r="L1101" s="9" t="s">
        <v>69</v>
      </c>
      <c r="M1101" s="13" t="s">
        <v>1239</v>
      </c>
      <c r="N1101" s="6" t="s">
        <v>246</v>
      </c>
      <c r="O1101" s="35" t="s">
        <v>1212</v>
      </c>
      <c r="P1101" s="36" t="s">
        <v>1213</v>
      </c>
      <c r="Q1101" s="36" t="s">
        <v>1214</v>
      </c>
      <c r="R1101" s="6" t="s">
        <v>72</v>
      </c>
      <c r="S1101" s="6"/>
      <c r="T1101" s="6" t="s">
        <v>1240</v>
      </c>
      <c r="U1101" s="1" t="n">
        <v>1500</v>
      </c>
      <c r="V1101" s="1" t="n">
        <v>2</v>
      </c>
      <c r="W1101" s="6"/>
      <c r="X1101" s="9" t="s">
        <v>1215</v>
      </c>
      <c r="Y1101" s="1" t="n">
        <v>5500</v>
      </c>
      <c r="Z1101" s="6" t="s">
        <v>1230</v>
      </c>
      <c r="AA1101" s="6" t="s">
        <v>1231</v>
      </c>
      <c r="AB1101" s="15" t="str">
        <f aca="true" t="array" ref="AB1101:AB1101">LEFT(AA1101,LOOKUP(2^15,FIND(".",AA1101,ROW(INDIRECT("1:"&amp;LEN(AA1101)))))-1)</f>
        <v>NB_2022_025 - 13072022 - 1</v>
      </c>
      <c r="AC1101" s="6" t="s">
        <v>1232</v>
      </c>
      <c r="AD1101" s="15" t="str">
        <f aca="true" t="array" ref="AD1101:AD1101">LEFT(AC1101,LOOKUP(2^15,FIND(".",AC1101,ROW(INDIRECT("1:"&amp;LEN(AC1101)))))-1)</f>
        <v>NB_2022_025 - 13072022 - 2</v>
      </c>
      <c r="AE1101" s="6" t="str">
        <f aca="false">CONCATENATE(AB1101, "-",H1101, ".mzML")</f>
        <v>NB_2022_025 - 13072022 - 1-032.mzML</v>
      </c>
      <c r="AF1101" s="6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3" t="s">
        <v>1375</v>
      </c>
      <c r="B1102" s="34"/>
      <c r="C1102" s="4" t="s">
        <v>1376</v>
      </c>
      <c r="D1102" s="6" t="s">
        <v>19</v>
      </c>
      <c r="E1102" s="6" t="s">
        <v>1225</v>
      </c>
      <c r="F1102" s="7" t="s">
        <v>1226</v>
      </c>
      <c r="G1102" s="6" t="s">
        <v>1237</v>
      </c>
      <c r="H1102" s="27" t="s">
        <v>1063</v>
      </c>
      <c r="I1102" s="6" t="str">
        <f aca="false">CONCATENATE(E1102, "_",H1102)</f>
        <v>NLA_2022_006_033</v>
      </c>
      <c r="J1102" s="6" t="s">
        <v>38</v>
      </c>
      <c r="K1102" s="6" t="s">
        <v>1238</v>
      </c>
      <c r="L1102" s="9" t="s">
        <v>69</v>
      </c>
      <c r="M1102" s="13" t="s">
        <v>1239</v>
      </c>
      <c r="N1102" s="6" t="s">
        <v>246</v>
      </c>
      <c r="O1102" s="35" t="s">
        <v>1212</v>
      </c>
      <c r="P1102" s="36" t="s">
        <v>1213</v>
      </c>
      <c r="Q1102" s="36" t="s">
        <v>1214</v>
      </c>
      <c r="R1102" s="6" t="s">
        <v>72</v>
      </c>
      <c r="S1102" s="6"/>
      <c r="T1102" s="6" t="s">
        <v>1240</v>
      </c>
      <c r="U1102" s="1" t="n">
        <v>1500</v>
      </c>
      <c r="V1102" s="1" t="n">
        <v>3</v>
      </c>
      <c r="W1102" s="6"/>
      <c r="X1102" s="9" t="s">
        <v>1215</v>
      </c>
      <c r="Y1102" s="1" t="n">
        <v>5500</v>
      </c>
      <c r="Z1102" s="6" t="s">
        <v>1230</v>
      </c>
      <c r="AA1102" s="6" t="s">
        <v>1231</v>
      </c>
      <c r="AB1102" s="15" t="str">
        <f aca="true" t="array" ref="AB1102:AB1102">LEFT(AA1102,LOOKUP(2^15,FIND(".",AA1102,ROW(INDIRECT("1:"&amp;LEN(AA1102)))))-1)</f>
        <v>NB_2022_025 - 13072022 - 1</v>
      </c>
      <c r="AC1102" s="6" t="s">
        <v>1232</v>
      </c>
      <c r="AD1102" s="15" t="str">
        <f aca="true" t="array" ref="AD1102:AD1102">LEFT(AC1102,LOOKUP(2^15,FIND(".",AC1102,ROW(INDIRECT("1:"&amp;LEN(AC1102)))))-1)</f>
        <v>NB_2022_025 - 13072022 - 2</v>
      </c>
      <c r="AE1102" s="6" t="str">
        <f aca="false">CONCATENATE(AB1102, "-",H1102, ".mzML")</f>
        <v>NB_2022_025 - 13072022 - 1-033.mzML</v>
      </c>
      <c r="AF1102" s="6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3" t="s">
        <v>1375</v>
      </c>
      <c r="B1103" s="34"/>
      <c r="C1103" s="4" t="s">
        <v>1376</v>
      </c>
      <c r="D1103" s="6" t="s">
        <v>19</v>
      </c>
      <c r="E1103" s="6" t="s">
        <v>1225</v>
      </c>
      <c r="F1103" s="7" t="s">
        <v>1226</v>
      </c>
      <c r="G1103" s="6" t="s">
        <v>1237</v>
      </c>
      <c r="H1103" s="27" t="s">
        <v>920</v>
      </c>
      <c r="I1103" s="6" t="str">
        <f aca="false">CONCATENATE(E1103, "_",H1103)</f>
        <v>NLA_2022_006_034</v>
      </c>
      <c r="J1103" s="6" t="s">
        <v>52</v>
      </c>
      <c r="K1103" s="6" t="s">
        <v>1242</v>
      </c>
      <c r="L1103" s="9" t="s">
        <v>69</v>
      </c>
      <c r="M1103" s="13" t="s">
        <v>1239</v>
      </c>
      <c r="N1103" s="6" t="s">
        <v>246</v>
      </c>
      <c r="O1103" s="35" t="s">
        <v>1212</v>
      </c>
      <c r="P1103" s="36" t="s">
        <v>1213</v>
      </c>
      <c r="Q1103" s="36" t="s">
        <v>1214</v>
      </c>
      <c r="R1103" s="6" t="s">
        <v>72</v>
      </c>
      <c r="S1103" s="6"/>
      <c r="T1103" s="6" t="s">
        <v>1243</v>
      </c>
      <c r="U1103" s="1" t="n">
        <v>1500</v>
      </c>
      <c r="V1103" s="1" t="n">
        <v>1</v>
      </c>
      <c r="W1103" s="6"/>
      <c r="X1103" s="9" t="s">
        <v>1215</v>
      </c>
      <c r="Y1103" s="1" t="n">
        <v>5500</v>
      </c>
      <c r="Z1103" s="6" t="s">
        <v>1230</v>
      </c>
      <c r="AA1103" s="6" t="s">
        <v>1231</v>
      </c>
      <c r="AB1103" s="15" t="str">
        <f aca="true" t="array" ref="AB1103:AB1103">LEFT(AA1103,LOOKUP(2^15,FIND(".",AA1103,ROW(INDIRECT("1:"&amp;LEN(AA1103)))))-1)</f>
        <v>NB_2022_025 - 13072022 - 1</v>
      </c>
      <c r="AC1103" s="6" t="s">
        <v>1232</v>
      </c>
      <c r="AD1103" s="15" t="str">
        <f aca="true" t="array" ref="AD1103:AD1103">LEFT(AC1103,LOOKUP(2^15,FIND(".",AC1103,ROW(INDIRECT("1:"&amp;LEN(AC1103)))))-1)</f>
        <v>NB_2022_025 - 13072022 - 2</v>
      </c>
      <c r="AE1103" s="6" t="str">
        <f aca="false">CONCATENATE(AB1103, "-",H1103, ".mzML")</f>
        <v>NB_2022_025 - 13072022 - 1-034.mzML</v>
      </c>
      <c r="AF1103" s="6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3" t="s">
        <v>1375</v>
      </c>
      <c r="B1104" s="34"/>
      <c r="C1104" s="4" t="s">
        <v>1376</v>
      </c>
      <c r="D1104" s="6" t="s">
        <v>19</v>
      </c>
      <c r="E1104" s="6" t="s">
        <v>1225</v>
      </c>
      <c r="F1104" s="7" t="s">
        <v>1226</v>
      </c>
      <c r="G1104" s="6" t="s">
        <v>1237</v>
      </c>
      <c r="H1104" s="27" t="s">
        <v>1244</v>
      </c>
      <c r="I1104" s="6" t="str">
        <f aca="false">CONCATENATE(E1104, "_",H1104)</f>
        <v>NLA_2022_006_035</v>
      </c>
      <c r="J1104" s="6" t="s">
        <v>52</v>
      </c>
      <c r="K1104" s="6" t="s">
        <v>1242</v>
      </c>
      <c r="L1104" s="9" t="s">
        <v>69</v>
      </c>
      <c r="M1104" s="13" t="s">
        <v>1239</v>
      </c>
      <c r="N1104" s="6" t="s">
        <v>246</v>
      </c>
      <c r="O1104" s="35" t="s">
        <v>1212</v>
      </c>
      <c r="P1104" s="36" t="s">
        <v>1213</v>
      </c>
      <c r="Q1104" s="36" t="s">
        <v>1214</v>
      </c>
      <c r="R1104" s="6" t="s">
        <v>72</v>
      </c>
      <c r="S1104" s="6"/>
      <c r="T1104" s="6" t="s">
        <v>1243</v>
      </c>
      <c r="U1104" s="1" t="n">
        <v>1500</v>
      </c>
      <c r="V1104" s="1" t="n">
        <v>2</v>
      </c>
      <c r="W1104" s="6"/>
      <c r="X1104" s="9" t="s">
        <v>1215</v>
      </c>
      <c r="Y1104" s="1" t="n">
        <v>5500</v>
      </c>
      <c r="Z1104" s="6" t="s">
        <v>1230</v>
      </c>
      <c r="AA1104" s="6" t="s">
        <v>1231</v>
      </c>
      <c r="AB1104" s="15" t="str">
        <f aca="true" t="array" ref="AB1104:AB1104">LEFT(AA1104,LOOKUP(2^15,FIND(".",AA1104,ROW(INDIRECT("1:"&amp;LEN(AA1104)))))-1)</f>
        <v>NB_2022_025 - 13072022 - 1</v>
      </c>
      <c r="AC1104" s="6" t="s">
        <v>1232</v>
      </c>
      <c r="AD1104" s="15" t="str">
        <f aca="true" t="array" ref="AD1104:AD1104">LEFT(AC1104,LOOKUP(2^15,FIND(".",AC1104,ROW(INDIRECT("1:"&amp;LEN(AC1104)))))-1)</f>
        <v>NB_2022_025 - 13072022 - 2</v>
      </c>
      <c r="AE1104" s="6" t="str">
        <f aca="false">CONCATENATE(AB1104, "-",H1104, ".mzML")</f>
        <v>NB_2022_025 - 13072022 - 1-035.mzML</v>
      </c>
      <c r="AF1104" s="6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3" t="s">
        <v>1375</v>
      </c>
      <c r="B1105" s="34"/>
      <c r="C1105" s="4" t="s">
        <v>1376</v>
      </c>
      <c r="D1105" s="6" t="s">
        <v>19</v>
      </c>
      <c r="E1105" s="6" t="s">
        <v>1225</v>
      </c>
      <c r="F1105" s="7" t="s">
        <v>1226</v>
      </c>
      <c r="G1105" s="6" t="s">
        <v>1237</v>
      </c>
      <c r="H1105" s="27" t="s">
        <v>925</v>
      </c>
      <c r="I1105" s="6" t="str">
        <f aca="false">CONCATENATE(E1105, "_",H1105)</f>
        <v>NLA_2022_006_036</v>
      </c>
      <c r="J1105" s="6" t="s">
        <v>52</v>
      </c>
      <c r="K1105" s="6" t="s">
        <v>1242</v>
      </c>
      <c r="L1105" s="9" t="s">
        <v>69</v>
      </c>
      <c r="M1105" s="13" t="s">
        <v>1239</v>
      </c>
      <c r="N1105" s="6" t="s">
        <v>246</v>
      </c>
      <c r="O1105" s="35" t="s">
        <v>1212</v>
      </c>
      <c r="P1105" s="36" t="s">
        <v>1213</v>
      </c>
      <c r="Q1105" s="36" t="s">
        <v>1214</v>
      </c>
      <c r="R1105" s="6" t="s">
        <v>72</v>
      </c>
      <c r="S1105" s="6"/>
      <c r="T1105" s="6" t="s">
        <v>1243</v>
      </c>
      <c r="U1105" s="1" t="n">
        <v>1500</v>
      </c>
      <c r="V1105" s="1" t="n">
        <v>3</v>
      </c>
      <c r="W1105" s="6"/>
      <c r="X1105" s="9" t="s">
        <v>1215</v>
      </c>
      <c r="Y1105" s="1" t="n">
        <v>5500</v>
      </c>
      <c r="Z1105" s="6" t="s">
        <v>1230</v>
      </c>
      <c r="AA1105" s="6" t="s">
        <v>1231</v>
      </c>
      <c r="AB1105" s="15" t="str">
        <f aca="true" t="array" ref="AB1105:AB1105">LEFT(AA1105,LOOKUP(2^15,FIND(".",AA1105,ROW(INDIRECT("1:"&amp;LEN(AA1105)))))-1)</f>
        <v>NB_2022_025 - 13072022 - 1</v>
      </c>
      <c r="AC1105" s="6" t="s">
        <v>1232</v>
      </c>
      <c r="AD1105" s="15" t="str">
        <f aca="true" t="array" ref="AD1105:AD1105">LEFT(AC1105,LOOKUP(2^15,FIND(".",AC1105,ROW(INDIRECT("1:"&amp;LEN(AC1105)))))-1)</f>
        <v>NB_2022_025 - 13072022 - 2</v>
      </c>
      <c r="AE1105" s="6" t="str">
        <f aca="false">CONCATENATE(AB1105, "-",H1105, ".mzML")</f>
        <v>NB_2022_025 - 13072022 - 1-036.mzML</v>
      </c>
      <c r="AF1105" s="6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3" t="s">
        <v>1375</v>
      </c>
      <c r="B1106" s="34"/>
      <c r="C1106" s="4" t="s">
        <v>1376</v>
      </c>
      <c r="D1106" s="6" t="s">
        <v>19</v>
      </c>
      <c r="E1106" s="6" t="s">
        <v>1225</v>
      </c>
      <c r="F1106" s="7" t="s">
        <v>1226</v>
      </c>
      <c r="G1106" s="6" t="s">
        <v>1225</v>
      </c>
      <c r="H1106" s="27" t="s">
        <v>64</v>
      </c>
      <c r="I1106" s="6" t="str">
        <f aca="false">CONCATENATE(E1106, "_",H1106)</f>
        <v>NLA_2022_006_Blank_1</v>
      </c>
      <c r="J1106" s="6" t="s">
        <v>52</v>
      </c>
      <c r="K1106" s="6" t="s">
        <v>280</v>
      </c>
      <c r="L1106" s="9" t="s">
        <v>46</v>
      </c>
      <c r="M1106" s="13" t="s">
        <v>46</v>
      </c>
      <c r="N1106" s="6" t="s">
        <v>65</v>
      </c>
      <c r="O1106" s="6" t="s">
        <v>46</v>
      </c>
      <c r="P1106" s="6" t="s">
        <v>46</v>
      </c>
      <c r="Q1106" s="6" t="s">
        <v>46</v>
      </c>
      <c r="R1106" s="6" t="s">
        <v>46</v>
      </c>
      <c r="S1106" s="6" t="s">
        <v>46</v>
      </c>
      <c r="T1106" s="6" t="s">
        <v>46</v>
      </c>
      <c r="U1106" s="6" t="s">
        <v>46</v>
      </c>
      <c r="V1106" s="1" t="n">
        <v>1</v>
      </c>
      <c r="W1106" s="6"/>
      <c r="X1106" s="6" t="s">
        <v>46</v>
      </c>
      <c r="Y1106" s="6" t="n">
        <v>5500</v>
      </c>
      <c r="Z1106" s="6" t="s">
        <v>1230</v>
      </c>
      <c r="AA1106" s="6" t="s">
        <v>1231</v>
      </c>
      <c r="AB1106" s="15" t="str">
        <f aca="true" t="array" ref="AB1106:AB1106">LEFT(AA1106,LOOKUP(2^15,FIND(".",AA1106,ROW(INDIRECT("1:"&amp;LEN(AA1106)))))-1)</f>
        <v>NB_2022_025 - 13072022 - 1</v>
      </c>
      <c r="AC1106" s="6" t="s">
        <v>1232</v>
      </c>
      <c r="AD1106" s="15" t="str">
        <f aca="true" t="array" ref="AD1106:AD1106">LEFT(AC1106,LOOKUP(2^15,FIND(".",AC1106,ROW(INDIRECT("1:"&amp;LEN(AC1106)))))-1)</f>
        <v>NB_2022_025 - 13072022 - 2</v>
      </c>
      <c r="AE1106" s="6" t="str">
        <f aca="false">CONCATENATE(AB1106, "-",H1106, ".mzML")</f>
        <v>NB_2022_025 - 13072022 - 1-Blank_1.mzML</v>
      </c>
      <c r="AF1106" s="6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3" t="s">
        <v>1375</v>
      </c>
      <c r="B1107" s="34"/>
      <c r="C1107" s="4" t="s">
        <v>1376</v>
      </c>
      <c r="D1107" s="6" t="s">
        <v>19</v>
      </c>
      <c r="E1107" s="6" t="s">
        <v>1225</v>
      </c>
      <c r="F1107" s="7" t="s">
        <v>1226</v>
      </c>
      <c r="G1107" s="6" t="s">
        <v>1225</v>
      </c>
      <c r="H1107" s="27" t="s">
        <v>66</v>
      </c>
      <c r="I1107" s="6" t="str">
        <f aca="false">CONCATENATE(E1107, "_",H1107)</f>
        <v>NLA_2022_006_Blank_2</v>
      </c>
      <c r="J1107" s="6" t="s">
        <v>52</v>
      </c>
      <c r="K1107" s="6" t="s">
        <v>280</v>
      </c>
      <c r="L1107" s="9" t="s">
        <v>46</v>
      </c>
      <c r="M1107" s="13" t="s">
        <v>46</v>
      </c>
      <c r="N1107" s="6" t="s">
        <v>65</v>
      </c>
      <c r="O1107" s="6" t="s">
        <v>46</v>
      </c>
      <c r="P1107" s="6" t="s">
        <v>46</v>
      </c>
      <c r="Q1107" s="6" t="s">
        <v>46</v>
      </c>
      <c r="R1107" s="6" t="s">
        <v>46</v>
      </c>
      <c r="S1107" s="6" t="s">
        <v>46</v>
      </c>
      <c r="T1107" s="6" t="s">
        <v>46</v>
      </c>
      <c r="U1107" s="6" t="s">
        <v>46</v>
      </c>
      <c r="V1107" s="1" t="n">
        <v>2</v>
      </c>
      <c r="W1107" s="6"/>
      <c r="X1107" s="6" t="s">
        <v>46</v>
      </c>
      <c r="Y1107" s="1" t="n">
        <v>5500</v>
      </c>
      <c r="Z1107" s="6" t="s">
        <v>1230</v>
      </c>
      <c r="AA1107" s="6" t="s">
        <v>1231</v>
      </c>
      <c r="AB1107" s="15" t="str">
        <f aca="true" t="array" ref="AB1107:AB1107">LEFT(AA1107,LOOKUP(2^15,FIND(".",AA1107,ROW(INDIRECT("1:"&amp;LEN(AA1107)))))-1)</f>
        <v>NB_2022_025 - 13072022 - 1</v>
      </c>
      <c r="AC1107" s="6" t="s">
        <v>1232</v>
      </c>
      <c r="AD1107" s="15" t="str">
        <f aca="true" t="array" ref="AD1107:AD1107">LEFT(AC1107,LOOKUP(2^15,FIND(".",AC1107,ROW(INDIRECT("1:"&amp;LEN(AC1107)))))-1)</f>
        <v>NB_2022_025 - 13072022 - 2</v>
      </c>
      <c r="AE1107" s="6" t="str">
        <f aca="false">CONCATENATE(AB1107, "-",H1107, ".mzML")</f>
        <v>NB_2022_025 - 13072022 - 1-Blank_2.mzML</v>
      </c>
      <c r="AF1107" s="6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3" t="s">
        <v>1375</v>
      </c>
      <c r="B1108" s="34"/>
      <c r="C1108" s="4" t="s">
        <v>1376</v>
      </c>
      <c r="D1108" s="6" t="s">
        <v>19</v>
      </c>
      <c r="E1108" s="6" t="s">
        <v>1225</v>
      </c>
      <c r="F1108" s="7" t="s">
        <v>1226</v>
      </c>
      <c r="G1108" s="6" t="s">
        <v>1225</v>
      </c>
      <c r="H1108" s="27" t="s">
        <v>67</v>
      </c>
      <c r="I1108" s="6" t="str">
        <f aca="false">CONCATENATE(E1108, "_",H1108)</f>
        <v>NLA_2022_006_Blank_3</v>
      </c>
      <c r="J1108" s="6" t="s">
        <v>52</v>
      </c>
      <c r="K1108" s="6" t="s">
        <v>280</v>
      </c>
      <c r="L1108" s="9" t="s">
        <v>46</v>
      </c>
      <c r="M1108" s="13" t="s">
        <v>46</v>
      </c>
      <c r="N1108" s="6" t="s">
        <v>65</v>
      </c>
      <c r="O1108" s="6" t="s">
        <v>46</v>
      </c>
      <c r="P1108" s="6" t="s">
        <v>46</v>
      </c>
      <c r="Q1108" s="6" t="s">
        <v>46</v>
      </c>
      <c r="R1108" s="6" t="s">
        <v>46</v>
      </c>
      <c r="S1108" s="6" t="s">
        <v>46</v>
      </c>
      <c r="T1108" s="6" t="s">
        <v>46</v>
      </c>
      <c r="U1108" s="6" t="s">
        <v>46</v>
      </c>
      <c r="V1108" s="1" t="n">
        <v>3</v>
      </c>
      <c r="W1108" s="6"/>
      <c r="X1108" s="6" t="s">
        <v>46</v>
      </c>
      <c r="Y1108" s="1" t="n">
        <v>5500</v>
      </c>
      <c r="Z1108" s="6" t="s">
        <v>1230</v>
      </c>
      <c r="AA1108" s="6" t="s">
        <v>1231</v>
      </c>
      <c r="AB1108" s="15" t="str">
        <f aca="true" t="array" ref="AB1108:AB1108">LEFT(AA1108,LOOKUP(2^15,FIND(".",AA1108,ROW(INDIRECT("1:"&amp;LEN(AA1108)))))-1)</f>
        <v>NB_2022_025 - 13072022 - 1</v>
      </c>
      <c r="AC1108" s="6" t="s">
        <v>1232</v>
      </c>
      <c r="AD1108" s="15" t="str">
        <f aca="true" t="array" ref="AD1108:AD1108">LEFT(AC1108,LOOKUP(2^15,FIND(".",AC1108,ROW(INDIRECT("1:"&amp;LEN(AC1108)))))-1)</f>
        <v>NB_2022_025 - 13072022 - 2</v>
      </c>
      <c r="AE1108" s="6" t="str">
        <f aca="false">CONCATENATE(AB1108, "-",H1108, ".mzML")</f>
        <v>NB_2022_025 - 13072022 - 1-Blank_3.mzML</v>
      </c>
      <c r="AF1108" s="6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3" t="s">
        <v>1375</v>
      </c>
      <c r="B1109" s="34"/>
      <c r="C1109" s="4" t="s">
        <v>1376</v>
      </c>
      <c r="D1109" s="6" t="s">
        <v>19</v>
      </c>
      <c r="E1109" s="6" t="s">
        <v>1225</v>
      </c>
      <c r="F1109" s="7" t="s">
        <v>1226</v>
      </c>
      <c r="G1109" s="6" t="s">
        <v>1225</v>
      </c>
      <c r="H1109" s="27" t="s">
        <v>221</v>
      </c>
      <c r="I1109" s="6" t="str">
        <f aca="false">CONCATENATE(E1109, "_",H1109)</f>
        <v>NLA_2022_006_Blank_4</v>
      </c>
      <c r="J1109" s="6" t="s">
        <v>52</v>
      </c>
      <c r="K1109" s="6" t="s">
        <v>280</v>
      </c>
      <c r="L1109" s="9" t="s">
        <v>46</v>
      </c>
      <c r="M1109" s="13" t="s">
        <v>46</v>
      </c>
      <c r="N1109" s="6" t="s">
        <v>65</v>
      </c>
      <c r="O1109" s="6" t="s">
        <v>46</v>
      </c>
      <c r="P1109" s="6" t="s">
        <v>46</v>
      </c>
      <c r="Q1109" s="6" t="s">
        <v>46</v>
      </c>
      <c r="R1109" s="6" t="s">
        <v>46</v>
      </c>
      <c r="S1109" s="6" t="s">
        <v>46</v>
      </c>
      <c r="T1109" s="6" t="s">
        <v>46</v>
      </c>
      <c r="U1109" s="6" t="s">
        <v>46</v>
      </c>
      <c r="V1109" s="1" t="n">
        <v>4</v>
      </c>
      <c r="W1109" s="6"/>
      <c r="X1109" s="6" t="s">
        <v>46</v>
      </c>
      <c r="Y1109" s="1" t="n">
        <v>5500</v>
      </c>
      <c r="Z1109" s="6" t="s">
        <v>1230</v>
      </c>
      <c r="AA1109" s="6" t="s">
        <v>1231</v>
      </c>
      <c r="AB1109" s="15" t="str">
        <f aca="true" t="array" ref="AB1109:AB1109">LEFT(AA1109,LOOKUP(2^15,FIND(".",AA1109,ROW(INDIRECT("1:"&amp;LEN(AA1109)))))-1)</f>
        <v>NB_2022_025 - 13072022 - 1</v>
      </c>
      <c r="AC1109" s="6" t="s">
        <v>1232</v>
      </c>
      <c r="AD1109" s="15" t="str">
        <f aca="true" t="array" ref="AD1109:AD1109">LEFT(AC1109,LOOKUP(2^15,FIND(".",AC1109,ROW(INDIRECT("1:"&amp;LEN(AC1109)))))-1)</f>
        <v>NB_2022_025 - 13072022 - 2</v>
      </c>
      <c r="AE1109" s="6" t="str">
        <f aca="false">CONCATENATE(AB1109, "-",H1109, ".mzML")</f>
        <v>NB_2022_025 - 13072022 - 1-Blank_4.mzML</v>
      </c>
      <c r="AF1109" s="6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3" t="s">
        <v>1375</v>
      </c>
      <c r="B1110" s="34"/>
      <c r="C1110" s="4" t="s">
        <v>1376</v>
      </c>
      <c r="D1110" s="6" t="s">
        <v>19</v>
      </c>
      <c r="E1110" s="6" t="s">
        <v>1225</v>
      </c>
      <c r="F1110" s="7" t="s">
        <v>1226</v>
      </c>
      <c r="G1110" s="6" t="s">
        <v>1225</v>
      </c>
      <c r="H1110" s="27" t="s">
        <v>68</v>
      </c>
      <c r="I1110" s="6" t="str">
        <f aca="false">CONCATENATE(E1110, "_",H1110)</f>
        <v>NLA_2022_006_QC_C_1</v>
      </c>
      <c r="J1110" s="6" t="s">
        <v>52</v>
      </c>
      <c r="K1110" s="6" t="s">
        <v>1234</v>
      </c>
      <c r="L1110" s="9" t="s">
        <v>69</v>
      </c>
      <c r="M1110" s="3" t="s">
        <v>46</v>
      </c>
      <c r="N1110" s="6" t="s">
        <v>70</v>
      </c>
      <c r="O1110" s="6" t="s">
        <v>46</v>
      </c>
      <c r="P1110" s="6" t="s">
        <v>71</v>
      </c>
      <c r="Q1110" s="6" t="s">
        <v>71</v>
      </c>
      <c r="R1110" s="6" t="s">
        <v>72</v>
      </c>
      <c r="S1110" s="6" t="s">
        <v>73</v>
      </c>
      <c r="T1110" s="6" t="s">
        <v>46</v>
      </c>
      <c r="U1110" s="6" t="n">
        <v>1000</v>
      </c>
      <c r="V1110" s="1" t="n">
        <v>1</v>
      </c>
      <c r="W1110" s="6"/>
      <c r="X1110" s="6" t="s">
        <v>74</v>
      </c>
      <c r="Y1110" s="6" t="n">
        <v>5500</v>
      </c>
      <c r="Z1110" s="6" t="s">
        <v>1230</v>
      </c>
      <c r="AA1110" s="6" t="s">
        <v>1231</v>
      </c>
      <c r="AB1110" s="15" t="str">
        <f aca="true" t="array" ref="AB1110:AB1110">LEFT(AA1110,LOOKUP(2^15,FIND(".",AA1110,ROW(INDIRECT("1:"&amp;LEN(AA1110)))))-1)</f>
        <v>NB_2022_025 - 13072022 - 1</v>
      </c>
      <c r="AC1110" s="6" t="s">
        <v>1232</v>
      </c>
      <c r="AD1110" s="15" t="str">
        <f aca="true" t="array" ref="AD1110:AD1110">LEFT(AC1110,LOOKUP(2^15,FIND(".",AC1110,ROW(INDIRECT("1:"&amp;LEN(AC1110)))))-1)</f>
        <v>NB_2022_025 - 13072022 - 2</v>
      </c>
      <c r="AE1110" s="6" t="str">
        <f aca="false">CONCATENATE(AB1110, "-",H1110, ".mzML")</f>
        <v>NB_2022_025 - 13072022 - 1-QC_C_1.mzML</v>
      </c>
      <c r="AF1110" s="6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3" t="s">
        <v>1375</v>
      </c>
      <c r="B1111" s="34"/>
      <c r="C1111" s="4" t="s">
        <v>1376</v>
      </c>
      <c r="D1111" s="6" t="s">
        <v>19</v>
      </c>
      <c r="E1111" s="6" t="s">
        <v>1225</v>
      </c>
      <c r="F1111" s="7" t="s">
        <v>1226</v>
      </c>
      <c r="G1111" s="6" t="s">
        <v>1225</v>
      </c>
      <c r="H1111" s="27" t="s">
        <v>75</v>
      </c>
      <c r="I1111" s="6" t="str">
        <f aca="false">CONCATENATE(E1111, "_",H1111)</f>
        <v>NLA_2022_006_QC_C_2</v>
      </c>
      <c r="J1111" s="6" t="s">
        <v>52</v>
      </c>
      <c r="K1111" s="6" t="s">
        <v>1234</v>
      </c>
      <c r="L1111" s="9" t="s">
        <v>69</v>
      </c>
      <c r="M1111" s="3" t="s">
        <v>46</v>
      </c>
      <c r="N1111" s="6" t="s">
        <v>70</v>
      </c>
      <c r="O1111" s="6" t="s">
        <v>46</v>
      </c>
      <c r="P1111" s="6" t="s">
        <v>71</v>
      </c>
      <c r="Q1111" s="6" t="s">
        <v>71</v>
      </c>
      <c r="R1111" s="6" t="s">
        <v>72</v>
      </c>
      <c r="S1111" s="6" t="s">
        <v>73</v>
      </c>
      <c r="T1111" s="6" t="s">
        <v>46</v>
      </c>
      <c r="U1111" s="6" t="n">
        <v>1000</v>
      </c>
      <c r="V1111" s="1" t="n">
        <v>2</v>
      </c>
      <c r="W1111" s="6"/>
      <c r="X1111" s="6" t="s">
        <v>74</v>
      </c>
      <c r="Y1111" s="6" t="n">
        <v>5500</v>
      </c>
      <c r="Z1111" s="6" t="s">
        <v>1230</v>
      </c>
      <c r="AA1111" s="6" t="s">
        <v>1231</v>
      </c>
      <c r="AB1111" s="15" t="str">
        <f aca="true" t="array" ref="AB1111:AB1111">LEFT(AA1111,LOOKUP(2^15,FIND(".",AA1111,ROW(INDIRECT("1:"&amp;LEN(AA1111)))))-1)</f>
        <v>NB_2022_025 - 13072022 - 1</v>
      </c>
      <c r="AC1111" s="6" t="s">
        <v>1232</v>
      </c>
      <c r="AD1111" s="15" t="str">
        <f aca="true" t="array" ref="AD1111:AD1111">LEFT(AC1111,LOOKUP(2^15,FIND(".",AC1111,ROW(INDIRECT("1:"&amp;LEN(AC1111)))))-1)</f>
        <v>NB_2022_025 - 13072022 - 2</v>
      </c>
      <c r="AE1111" s="6" t="str">
        <f aca="false">CONCATENATE(AB1111, "-",H1111, ".mzML")</f>
        <v>NB_2022_025 - 13072022 - 1-QC_C_2.mzML</v>
      </c>
      <c r="AF1111" s="6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3" t="s">
        <v>1375</v>
      </c>
      <c r="B1112" s="34"/>
      <c r="C1112" s="4" t="s">
        <v>1376</v>
      </c>
      <c r="D1112" s="6" t="s">
        <v>19</v>
      </c>
      <c r="E1112" s="6" t="s">
        <v>1225</v>
      </c>
      <c r="F1112" s="7" t="s">
        <v>1226</v>
      </c>
      <c r="G1112" s="6" t="s">
        <v>1225</v>
      </c>
      <c r="H1112" s="27" t="s">
        <v>76</v>
      </c>
      <c r="I1112" s="6" t="str">
        <f aca="false">CONCATENATE(E1112, "_",H1112)</f>
        <v>NLA_2022_006_QC_C_3</v>
      </c>
      <c r="J1112" s="6" t="s">
        <v>52</v>
      </c>
      <c r="K1112" s="6" t="s">
        <v>1234</v>
      </c>
      <c r="L1112" s="9" t="s">
        <v>69</v>
      </c>
      <c r="M1112" s="3" t="s">
        <v>46</v>
      </c>
      <c r="N1112" s="6" t="s">
        <v>70</v>
      </c>
      <c r="O1112" s="6" t="s">
        <v>46</v>
      </c>
      <c r="P1112" s="6" t="s">
        <v>71</v>
      </c>
      <c r="Q1112" s="6" t="s">
        <v>71</v>
      </c>
      <c r="R1112" s="6" t="s">
        <v>72</v>
      </c>
      <c r="S1112" s="6" t="s">
        <v>73</v>
      </c>
      <c r="T1112" s="6" t="s">
        <v>46</v>
      </c>
      <c r="U1112" s="6" t="n">
        <v>1000</v>
      </c>
      <c r="V1112" s="1" t="n">
        <v>3</v>
      </c>
      <c r="W1112" s="6"/>
      <c r="X1112" s="6" t="s">
        <v>74</v>
      </c>
      <c r="Y1112" s="6" t="n">
        <v>5500</v>
      </c>
      <c r="Z1112" s="6" t="s">
        <v>1230</v>
      </c>
      <c r="AA1112" s="6" t="s">
        <v>1231</v>
      </c>
      <c r="AB1112" s="15" t="str">
        <f aca="true" t="array" ref="AB1112:AB1112">LEFT(AA1112,LOOKUP(2^15,FIND(".",AA1112,ROW(INDIRECT("1:"&amp;LEN(AA1112)))))-1)</f>
        <v>NB_2022_025 - 13072022 - 1</v>
      </c>
      <c r="AC1112" s="6" t="s">
        <v>1232</v>
      </c>
      <c r="AD1112" s="15" t="str">
        <f aca="true" t="array" ref="AD1112:AD1112">LEFT(AC1112,LOOKUP(2^15,FIND(".",AC1112,ROW(INDIRECT("1:"&amp;LEN(AC1112)))))-1)</f>
        <v>NB_2022_025 - 13072022 - 2</v>
      </c>
      <c r="AE1112" s="6" t="str">
        <f aca="false">CONCATENATE(AB1112, "-",H1112, ".mzML")</f>
        <v>NB_2022_025 - 13072022 - 1-QC_C_3.mzML</v>
      </c>
      <c r="AF1112" s="6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3" t="s">
        <v>1375</v>
      </c>
      <c r="B1113" s="34"/>
      <c r="C1113" s="4" t="s">
        <v>1376</v>
      </c>
      <c r="D1113" s="6" t="s">
        <v>19</v>
      </c>
      <c r="E1113" s="6" t="s">
        <v>1225</v>
      </c>
      <c r="F1113" s="7" t="s">
        <v>1226</v>
      </c>
      <c r="G1113" s="6" t="s">
        <v>1225</v>
      </c>
      <c r="H1113" s="27" t="s">
        <v>222</v>
      </c>
      <c r="I1113" s="6" t="str">
        <f aca="false">CONCATENATE(E1113, "_",H1113)</f>
        <v>NLA_2022_006_QC_C_4</v>
      </c>
      <c r="J1113" s="6" t="s">
        <v>52</v>
      </c>
      <c r="K1113" s="6" t="s">
        <v>1234</v>
      </c>
      <c r="L1113" s="9" t="s">
        <v>69</v>
      </c>
      <c r="M1113" s="3" t="s">
        <v>46</v>
      </c>
      <c r="N1113" s="6" t="s">
        <v>70</v>
      </c>
      <c r="O1113" s="6" t="s">
        <v>46</v>
      </c>
      <c r="P1113" s="6" t="s">
        <v>71</v>
      </c>
      <c r="Q1113" s="6" t="s">
        <v>71</v>
      </c>
      <c r="R1113" s="6" t="s">
        <v>72</v>
      </c>
      <c r="S1113" s="6" t="s">
        <v>73</v>
      </c>
      <c r="T1113" s="6" t="s">
        <v>46</v>
      </c>
      <c r="U1113" s="6" t="n">
        <v>1000</v>
      </c>
      <c r="V1113" s="1" t="n">
        <v>4</v>
      </c>
      <c r="W1113" s="6"/>
      <c r="X1113" s="6" t="s">
        <v>74</v>
      </c>
      <c r="Y1113" s="6" t="n">
        <v>5500</v>
      </c>
      <c r="Z1113" s="6" t="s">
        <v>1230</v>
      </c>
      <c r="AA1113" s="6" t="s">
        <v>1231</v>
      </c>
      <c r="AB1113" s="15" t="str">
        <f aca="true" t="array" ref="AB1113:AB1113">LEFT(AA1113,LOOKUP(2^15,FIND(".",AA1113,ROW(INDIRECT("1:"&amp;LEN(AA1113)))))-1)</f>
        <v>NB_2022_025 - 13072022 - 1</v>
      </c>
      <c r="AC1113" s="6" t="s">
        <v>1232</v>
      </c>
      <c r="AD1113" s="15" t="str">
        <f aca="true" t="array" ref="AD1113:AD1113">LEFT(AC1113,LOOKUP(2^15,FIND(".",AC1113,ROW(INDIRECT("1:"&amp;LEN(AC1113)))))-1)</f>
        <v>NB_2022_025 - 13072022 - 2</v>
      </c>
      <c r="AE1113" s="6" t="str">
        <f aca="false">CONCATENATE(AB1113, "-",H1113, ".mzML")</f>
        <v>NB_2022_025 - 13072022 - 1-QC_C_4.mzML</v>
      </c>
      <c r="AF1113" s="6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3" t="s">
        <v>1375</v>
      </c>
      <c r="B1114" s="34"/>
      <c r="C1114" s="4" t="s">
        <v>1376</v>
      </c>
      <c r="D1114" s="6" t="s">
        <v>19</v>
      </c>
      <c r="E1114" s="6" t="s">
        <v>1225</v>
      </c>
      <c r="F1114" s="7" t="s">
        <v>1226</v>
      </c>
      <c r="G1114" s="6" t="s">
        <v>1225</v>
      </c>
      <c r="H1114" s="27" t="s">
        <v>77</v>
      </c>
      <c r="I1114" s="6" t="str">
        <f aca="false">CONCATENATE(E1114, "_",H1114)</f>
        <v>NLA_2022_006_QC_P_1</v>
      </c>
      <c r="J1114" s="6" t="s">
        <v>52</v>
      </c>
      <c r="K1114" s="6" t="s">
        <v>281</v>
      </c>
      <c r="L1114" s="9" t="s">
        <v>69</v>
      </c>
      <c r="M1114" s="13" t="s">
        <v>46</v>
      </c>
      <c r="N1114" s="6" t="s">
        <v>78</v>
      </c>
      <c r="O1114" s="6" t="s">
        <v>46</v>
      </c>
      <c r="P1114" s="6" t="s">
        <v>79</v>
      </c>
      <c r="Q1114" s="6" t="s">
        <v>80</v>
      </c>
      <c r="R1114" s="6" t="s">
        <v>81</v>
      </c>
      <c r="S1114" s="6" t="s">
        <v>46</v>
      </c>
      <c r="T1114" s="6" t="s">
        <v>46</v>
      </c>
      <c r="U1114" s="6" t="s">
        <v>82</v>
      </c>
      <c r="V1114" s="1" t="n">
        <v>1</v>
      </c>
      <c r="W1114" s="6"/>
      <c r="X1114" s="6" t="s">
        <v>83</v>
      </c>
      <c r="Y1114" s="6" t="n">
        <v>5500</v>
      </c>
      <c r="Z1114" s="6" t="s">
        <v>1230</v>
      </c>
      <c r="AA1114" s="6" t="s">
        <v>1231</v>
      </c>
      <c r="AB1114" s="15" t="str">
        <f aca="true" t="array" ref="AB1114:AB1114">LEFT(AA1114,LOOKUP(2^15,FIND(".",AA1114,ROW(INDIRECT("1:"&amp;LEN(AA1114)))))-1)</f>
        <v>NB_2022_025 - 13072022 - 1</v>
      </c>
      <c r="AC1114" s="6" t="s">
        <v>1232</v>
      </c>
      <c r="AD1114" s="15" t="str">
        <f aca="true" t="array" ref="AD1114:AD1114">LEFT(AC1114,LOOKUP(2^15,FIND(".",AC1114,ROW(INDIRECT("1:"&amp;LEN(AC1114)))))-1)</f>
        <v>NB_2022_025 - 13072022 - 2</v>
      </c>
      <c r="AE1114" s="6" t="str">
        <f aca="false">CONCATENATE(AB1114, "-",H1114, ".mzML")</f>
        <v>NB_2022_025 - 13072022 - 1-QC_P_1.mzML</v>
      </c>
      <c r="AF1114" s="6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3" t="s">
        <v>1375</v>
      </c>
      <c r="B1115" s="34"/>
      <c r="C1115" s="4" t="s">
        <v>1376</v>
      </c>
      <c r="D1115" s="6" t="s">
        <v>19</v>
      </c>
      <c r="E1115" s="6" t="s">
        <v>1225</v>
      </c>
      <c r="F1115" s="7" t="s">
        <v>1226</v>
      </c>
      <c r="G1115" s="6" t="s">
        <v>1225</v>
      </c>
      <c r="H1115" s="27" t="s">
        <v>84</v>
      </c>
      <c r="I1115" s="6" t="str">
        <f aca="false">CONCATENATE(E1115, "_",H1115)</f>
        <v>NLA_2022_006_QC_P_2</v>
      </c>
      <c r="J1115" s="6" t="s">
        <v>52</v>
      </c>
      <c r="K1115" s="6" t="s">
        <v>281</v>
      </c>
      <c r="L1115" s="9" t="s">
        <v>69</v>
      </c>
      <c r="M1115" s="13" t="s">
        <v>46</v>
      </c>
      <c r="N1115" s="6" t="s">
        <v>78</v>
      </c>
      <c r="O1115" s="6" t="s">
        <v>46</v>
      </c>
      <c r="P1115" s="6" t="s">
        <v>79</v>
      </c>
      <c r="Q1115" s="6" t="s">
        <v>80</v>
      </c>
      <c r="R1115" s="6" t="s">
        <v>81</v>
      </c>
      <c r="S1115" s="6" t="s">
        <v>46</v>
      </c>
      <c r="T1115" s="6" t="s">
        <v>46</v>
      </c>
      <c r="U1115" s="6" t="s">
        <v>82</v>
      </c>
      <c r="V1115" s="1" t="n">
        <v>2</v>
      </c>
      <c r="W1115" s="6"/>
      <c r="X1115" s="6" t="s">
        <v>83</v>
      </c>
      <c r="Y1115" s="6" t="n">
        <v>5500</v>
      </c>
      <c r="Z1115" s="6" t="s">
        <v>1230</v>
      </c>
      <c r="AA1115" s="6" t="s">
        <v>1231</v>
      </c>
      <c r="AB1115" s="15" t="str">
        <f aca="true" t="array" ref="AB1115:AB1115">LEFT(AA1115,LOOKUP(2^15,FIND(".",AA1115,ROW(INDIRECT("1:"&amp;LEN(AA1115)))))-1)</f>
        <v>NB_2022_025 - 13072022 - 1</v>
      </c>
      <c r="AC1115" s="6" t="s">
        <v>1232</v>
      </c>
      <c r="AD1115" s="15" t="str">
        <f aca="true" t="array" ref="AD1115:AD1115">LEFT(AC1115,LOOKUP(2^15,FIND(".",AC1115,ROW(INDIRECT("1:"&amp;LEN(AC1115)))))-1)</f>
        <v>NB_2022_025 - 13072022 - 2</v>
      </c>
      <c r="AE1115" s="6" t="str">
        <f aca="false">CONCATENATE(AB1115, "-",H1115, ".mzML")</f>
        <v>NB_2022_025 - 13072022 - 1-QC_P_2.mzML</v>
      </c>
      <c r="AF1115" s="6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3" t="s">
        <v>1375</v>
      </c>
      <c r="B1116" s="34"/>
      <c r="C1116" s="4" t="s">
        <v>1376</v>
      </c>
      <c r="D1116" s="6" t="s">
        <v>19</v>
      </c>
      <c r="E1116" s="6" t="s">
        <v>1225</v>
      </c>
      <c r="F1116" s="7" t="s">
        <v>1226</v>
      </c>
      <c r="G1116" s="6" t="s">
        <v>1225</v>
      </c>
      <c r="H1116" s="27" t="s">
        <v>85</v>
      </c>
      <c r="I1116" s="6" t="str">
        <f aca="false">CONCATENATE(E1116, "_",H1116)</f>
        <v>NLA_2022_006_QC_P_3</v>
      </c>
      <c r="J1116" s="6" t="s">
        <v>52</v>
      </c>
      <c r="K1116" s="6" t="s">
        <v>281</v>
      </c>
      <c r="L1116" s="9" t="s">
        <v>69</v>
      </c>
      <c r="M1116" s="13" t="s">
        <v>46</v>
      </c>
      <c r="N1116" s="6" t="s">
        <v>78</v>
      </c>
      <c r="O1116" s="6" t="s">
        <v>46</v>
      </c>
      <c r="P1116" s="6" t="s">
        <v>79</v>
      </c>
      <c r="Q1116" s="6" t="s">
        <v>80</v>
      </c>
      <c r="R1116" s="6" t="s">
        <v>81</v>
      </c>
      <c r="S1116" s="6" t="s">
        <v>46</v>
      </c>
      <c r="T1116" s="6" t="s">
        <v>46</v>
      </c>
      <c r="U1116" s="6" t="s">
        <v>82</v>
      </c>
      <c r="V1116" s="1" t="n">
        <v>3</v>
      </c>
      <c r="W1116" s="6"/>
      <c r="X1116" s="6" t="s">
        <v>83</v>
      </c>
      <c r="Y1116" s="6" t="n">
        <v>5500</v>
      </c>
      <c r="Z1116" s="6" t="s">
        <v>1230</v>
      </c>
      <c r="AA1116" s="6" t="s">
        <v>1231</v>
      </c>
      <c r="AB1116" s="15" t="str">
        <f aca="true" t="array" ref="AB1116:AB1116">LEFT(AA1116,LOOKUP(2^15,FIND(".",AA1116,ROW(INDIRECT("1:"&amp;LEN(AA1116)))))-1)</f>
        <v>NB_2022_025 - 13072022 - 1</v>
      </c>
      <c r="AC1116" s="6" t="s">
        <v>1232</v>
      </c>
      <c r="AD1116" s="15" t="str">
        <f aca="true" t="array" ref="AD1116:AD1116">LEFT(AC1116,LOOKUP(2^15,FIND(".",AC1116,ROW(INDIRECT("1:"&amp;LEN(AC1116)))))-1)</f>
        <v>NB_2022_025 - 13072022 - 2</v>
      </c>
      <c r="AE1116" s="6" t="str">
        <f aca="false">CONCATENATE(AB1116, "-",H1116, ".mzML")</f>
        <v>NB_2022_025 - 13072022 - 1-QC_P_3.mzML</v>
      </c>
      <c r="AF1116" s="6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3" t="s">
        <v>1375</v>
      </c>
      <c r="B1117" s="34"/>
      <c r="C1117" s="4" t="s">
        <v>1376</v>
      </c>
      <c r="D1117" s="6" t="s">
        <v>19</v>
      </c>
      <c r="E1117" s="6" t="s">
        <v>1225</v>
      </c>
      <c r="F1117" s="7" t="s">
        <v>1226</v>
      </c>
      <c r="G1117" s="6" t="s">
        <v>1225</v>
      </c>
      <c r="H1117" s="27" t="s">
        <v>224</v>
      </c>
      <c r="I1117" s="6" t="str">
        <f aca="false">CONCATENATE(E1117, "_",H1117)</f>
        <v>NLA_2022_006_QC_P_4</v>
      </c>
      <c r="J1117" s="6" t="s">
        <v>52</v>
      </c>
      <c r="K1117" s="6" t="s">
        <v>281</v>
      </c>
      <c r="L1117" s="9" t="s">
        <v>69</v>
      </c>
      <c r="M1117" s="13" t="s">
        <v>46</v>
      </c>
      <c r="N1117" s="6" t="s">
        <v>78</v>
      </c>
      <c r="O1117" s="6" t="s">
        <v>46</v>
      </c>
      <c r="P1117" s="6" t="s">
        <v>79</v>
      </c>
      <c r="Q1117" s="6" t="s">
        <v>80</v>
      </c>
      <c r="R1117" s="6" t="s">
        <v>81</v>
      </c>
      <c r="S1117" s="6" t="s">
        <v>46</v>
      </c>
      <c r="T1117" s="6" t="s">
        <v>46</v>
      </c>
      <c r="U1117" s="6" t="s">
        <v>82</v>
      </c>
      <c r="V1117" s="1" t="n">
        <v>4</v>
      </c>
      <c r="W1117" s="6"/>
      <c r="X1117" s="6" t="s">
        <v>83</v>
      </c>
      <c r="Y1117" s="6" t="n">
        <v>5500</v>
      </c>
      <c r="Z1117" s="6" t="s">
        <v>1230</v>
      </c>
      <c r="AA1117" s="6" t="s">
        <v>1231</v>
      </c>
      <c r="AB1117" s="15" t="str">
        <f aca="true" t="array" ref="AB1117:AB1117">LEFT(AA1117,LOOKUP(2^15,FIND(".",AA1117,ROW(INDIRECT("1:"&amp;LEN(AA1117)))))-1)</f>
        <v>NB_2022_025 - 13072022 - 1</v>
      </c>
      <c r="AC1117" s="6" t="s">
        <v>1232</v>
      </c>
      <c r="AD1117" s="15" t="str">
        <f aca="true" t="array" ref="AD1117:AD1117">LEFT(AC1117,LOOKUP(2^15,FIND(".",AC1117,ROW(INDIRECT("1:"&amp;LEN(AC1117)))))-1)</f>
        <v>NB_2022_025 - 13072022 - 2</v>
      </c>
      <c r="AE1117" s="6" t="str">
        <f aca="false">CONCATENATE(AB1117, "-",H1117, ".mzML")</f>
        <v>NB_2022_025 - 13072022 - 1-QC_P_4.mzML</v>
      </c>
      <c r="AF1117" s="6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3" t="s">
        <v>1375</v>
      </c>
      <c r="B1118" s="34"/>
      <c r="C1118" s="4" t="s">
        <v>1376</v>
      </c>
      <c r="D1118" s="6" t="s">
        <v>19</v>
      </c>
      <c r="E1118" s="6" t="s">
        <v>1277</v>
      </c>
      <c r="F1118" s="7" t="s">
        <v>1278</v>
      </c>
      <c r="G1118" s="6" t="s">
        <v>1279</v>
      </c>
      <c r="H1118" s="27" t="s">
        <v>108</v>
      </c>
      <c r="I1118" s="6" t="str">
        <f aca="false">CONCATENATE(E1118, "_",H1118)</f>
        <v>NLA_2022_013_001</v>
      </c>
      <c r="J1118" s="6" t="s">
        <v>38</v>
      </c>
      <c r="K1118" s="6" t="s">
        <v>1280</v>
      </c>
      <c r="L1118" s="9" t="s">
        <v>69</v>
      </c>
      <c r="M1118" s="13" t="s">
        <v>1281</v>
      </c>
      <c r="N1118" s="6" t="s">
        <v>246</v>
      </c>
      <c r="O1118" s="35" t="s">
        <v>1212</v>
      </c>
      <c r="P1118" s="6" t="s">
        <v>1282</v>
      </c>
      <c r="Q1118" s="6" t="s">
        <v>1282</v>
      </c>
      <c r="R1118" s="6" t="s">
        <v>44</v>
      </c>
      <c r="S1118" s="6"/>
      <c r="T1118" s="6" t="s">
        <v>1240</v>
      </c>
      <c r="U1118" s="1" t="n">
        <v>1500</v>
      </c>
      <c r="V1118" s="1" t="n">
        <v>1</v>
      </c>
      <c r="W1118" s="6"/>
      <c r="X1118" s="9" t="s">
        <v>1215</v>
      </c>
      <c r="Y1118" s="1" t="n">
        <v>5500</v>
      </c>
      <c r="Z1118" s="6" t="s">
        <v>1283</v>
      </c>
      <c r="AA1118" s="6" t="s">
        <v>1284</v>
      </c>
      <c r="AB1118" s="15" t="str">
        <f aca="true" t="array" ref="AB1118:AB1118">LEFT(AA1118,LOOKUP(2^15,FIND(".",AA1118,ROW(INDIRECT("1:"&amp;LEN(AA1118)))))-1)</f>
        <v>NB_2022_061 - 22122022 - 1</v>
      </c>
      <c r="AC1118" s="6" t="s">
        <v>1285</v>
      </c>
      <c r="AD1118" s="15" t="str">
        <f aca="true" t="array" ref="AD1118:AD1118">LEFT(AC1118,LOOKUP(2^15,FIND(".",AC1118,ROW(INDIRECT("1:"&amp;LEN(AC1118)))))-1)</f>
        <v>NB_2022_061 - 22122022 - 2</v>
      </c>
      <c r="AE1118" s="6" t="str">
        <f aca="false">CONCATENATE(AB1118, "-",H1118, ".mzML")</f>
        <v>NB_2022_061 - 22122022 - 1-001.mzML</v>
      </c>
      <c r="AF1118" s="6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3" t="s">
        <v>1375</v>
      </c>
      <c r="B1119" s="34"/>
      <c r="C1119" s="4" t="s">
        <v>1376</v>
      </c>
      <c r="D1119" s="6" t="s">
        <v>19</v>
      </c>
      <c r="E1119" s="6" t="s">
        <v>1277</v>
      </c>
      <c r="F1119" s="7" t="s">
        <v>1278</v>
      </c>
      <c r="G1119" s="6" t="s">
        <v>1279</v>
      </c>
      <c r="H1119" s="27" t="s">
        <v>88</v>
      </c>
      <c r="I1119" s="6" t="str">
        <f aca="false">CONCATENATE(E1119, "_",H1119)</f>
        <v>NLA_2022_013_002</v>
      </c>
      <c r="J1119" s="6" t="s">
        <v>38</v>
      </c>
      <c r="K1119" s="6" t="s">
        <v>1286</v>
      </c>
      <c r="L1119" s="9" t="s">
        <v>69</v>
      </c>
      <c r="M1119" s="13" t="s">
        <v>1281</v>
      </c>
      <c r="N1119" s="6" t="s">
        <v>246</v>
      </c>
      <c r="O1119" s="35" t="s">
        <v>1212</v>
      </c>
      <c r="P1119" s="6" t="s">
        <v>1282</v>
      </c>
      <c r="Q1119" s="6" t="s">
        <v>1282</v>
      </c>
      <c r="R1119" s="6" t="s">
        <v>44</v>
      </c>
      <c r="S1119" s="6"/>
      <c r="T1119" s="6" t="s">
        <v>1240</v>
      </c>
      <c r="U1119" s="1" t="n">
        <v>1500</v>
      </c>
      <c r="V1119" s="1" t="n">
        <v>2</v>
      </c>
      <c r="W1119" s="6"/>
      <c r="X1119" s="9" t="s">
        <v>1215</v>
      </c>
      <c r="Y1119" s="1" t="n">
        <v>5500</v>
      </c>
      <c r="Z1119" s="6" t="s">
        <v>1283</v>
      </c>
      <c r="AA1119" s="6" t="s">
        <v>1284</v>
      </c>
      <c r="AB1119" s="15" t="str">
        <f aca="true" t="array" ref="AB1119:AB1119">LEFT(AA1119,LOOKUP(2^15,FIND(".",AA1119,ROW(INDIRECT("1:"&amp;LEN(AA1119)))))-1)</f>
        <v>NB_2022_061 - 22122022 - 1</v>
      </c>
      <c r="AC1119" s="6" t="s">
        <v>1285</v>
      </c>
      <c r="AD1119" s="15" t="str">
        <f aca="true" t="array" ref="AD1119:AD1119">LEFT(AC1119,LOOKUP(2^15,FIND(".",AC1119,ROW(INDIRECT("1:"&amp;LEN(AC1119)))))-1)</f>
        <v>NB_2022_061 - 22122022 - 2</v>
      </c>
      <c r="AE1119" s="6" t="str">
        <f aca="false">CONCATENATE(AB1119, "-",H1119, ".mzML")</f>
        <v>NB_2022_061 - 22122022 - 1-002.mzML</v>
      </c>
      <c r="AF1119" s="6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3" t="s">
        <v>1375</v>
      </c>
      <c r="B1120" s="34"/>
      <c r="C1120" s="4" t="s">
        <v>1376</v>
      </c>
      <c r="D1120" s="6" t="s">
        <v>19</v>
      </c>
      <c r="E1120" s="6" t="s">
        <v>1277</v>
      </c>
      <c r="F1120" s="7" t="s">
        <v>1278</v>
      </c>
      <c r="G1120" s="6" t="s">
        <v>1279</v>
      </c>
      <c r="H1120" s="27" t="s">
        <v>97</v>
      </c>
      <c r="I1120" s="6" t="str">
        <f aca="false">CONCATENATE(E1120, "_",H1120)</f>
        <v>NLA_2022_013_003</v>
      </c>
      <c r="J1120" s="6" t="s">
        <v>38</v>
      </c>
      <c r="K1120" s="6" t="s">
        <v>1287</v>
      </c>
      <c r="L1120" s="9" t="s">
        <v>69</v>
      </c>
      <c r="M1120" s="13" t="s">
        <v>1281</v>
      </c>
      <c r="N1120" s="6" t="s">
        <v>246</v>
      </c>
      <c r="O1120" s="35" t="s">
        <v>1212</v>
      </c>
      <c r="P1120" s="6" t="s">
        <v>1282</v>
      </c>
      <c r="Q1120" s="6" t="s">
        <v>1282</v>
      </c>
      <c r="R1120" s="6" t="s">
        <v>44</v>
      </c>
      <c r="S1120" s="6"/>
      <c r="T1120" s="6" t="s">
        <v>1240</v>
      </c>
      <c r="U1120" s="1" t="n">
        <v>1500</v>
      </c>
      <c r="V1120" s="1" t="n">
        <v>3</v>
      </c>
      <c r="W1120" s="6"/>
      <c r="X1120" s="9" t="s">
        <v>1215</v>
      </c>
      <c r="Y1120" s="1" t="n">
        <v>5500</v>
      </c>
      <c r="Z1120" s="6" t="s">
        <v>1283</v>
      </c>
      <c r="AA1120" s="6" t="s">
        <v>1284</v>
      </c>
      <c r="AB1120" s="15" t="str">
        <f aca="true" t="array" ref="AB1120:AB1120">LEFT(AA1120,LOOKUP(2^15,FIND(".",AA1120,ROW(INDIRECT("1:"&amp;LEN(AA1120)))))-1)</f>
        <v>NB_2022_061 - 22122022 - 1</v>
      </c>
      <c r="AC1120" s="6" t="s">
        <v>1285</v>
      </c>
      <c r="AD1120" s="15" t="str">
        <f aca="true" t="array" ref="AD1120:AD1120">LEFT(AC1120,LOOKUP(2^15,FIND(".",AC1120,ROW(INDIRECT("1:"&amp;LEN(AC1120)))))-1)</f>
        <v>NB_2022_061 - 22122022 - 2</v>
      </c>
      <c r="AE1120" s="6" t="str">
        <f aca="false">CONCATENATE(AB1120, "-",H1120, ".mzML")</f>
        <v>NB_2022_061 - 22122022 - 1-003.mzML</v>
      </c>
      <c r="AF1120" s="6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3" t="s">
        <v>1375</v>
      </c>
      <c r="B1121" s="34"/>
      <c r="C1121" s="4" t="s">
        <v>1376</v>
      </c>
      <c r="D1121" s="6" t="s">
        <v>19</v>
      </c>
      <c r="E1121" s="6" t="s">
        <v>1277</v>
      </c>
      <c r="F1121" s="7" t="s">
        <v>1278</v>
      </c>
      <c r="G1121" s="6" t="s">
        <v>1279</v>
      </c>
      <c r="H1121" s="27" t="s">
        <v>99</v>
      </c>
      <c r="I1121" s="6" t="str">
        <f aca="false">CONCATENATE(E1121, "_",H1121)</f>
        <v>NLA_2022_013_004</v>
      </c>
      <c r="J1121" s="38" t="s">
        <v>52</v>
      </c>
      <c r="K1121" s="6" t="s">
        <v>1288</v>
      </c>
      <c r="L1121" s="9" t="s">
        <v>69</v>
      </c>
      <c r="M1121" s="13" t="s">
        <v>1281</v>
      </c>
      <c r="N1121" s="6" t="s">
        <v>246</v>
      </c>
      <c r="O1121" s="35" t="s">
        <v>1212</v>
      </c>
      <c r="P1121" s="6" t="s">
        <v>1282</v>
      </c>
      <c r="Q1121" s="6" t="s">
        <v>1282</v>
      </c>
      <c r="R1121" s="6" t="s">
        <v>44</v>
      </c>
      <c r="S1121" s="6"/>
      <c r="T1121" s="6" t="s">
        <v>1243</v>
      </c>
      <c r="U1121" s="1" t="n">
        <v>1500</v>
      </c>
      <c r="V1121" s="1" t="n">
        <v>1</v>
      </c>
      <c r="W1121" s="6"/>
      <c r="X1121" s="9" t="s">
        <v>1215</v>
      </c>
      <c r="Y1121" s="1" t="n">
        <v>5500</v>
      </c>
      <c r="Z1121" s="6" t="s">
        <v>1283</v>
      </c>
      <c r="AA1121" s="6" t="s">
        <v>1284</v>
      </c>
      <c r="AB1121" s="15" t="str">
        <f aca="true" t="array" ref="AB1121:AB1121">LEFT(AA1121,LOOKUP(2^15,FIND(".",AA1121,ROW(INDIRECT("1:"&amp;LEN(AA1121)))))-1)</f>
        <v>NB_2022_061 - 22122022 - 1</v>
      </c>
      <c r="AC1121" s="6" t="s">
        <v>1285</v>
      </c>
      <c r="AD1121" s="15" t="str">
        <f aca="true" t="array" ref="AD1121:AD1121">LEFT(AC1121,LOOKUP(2^15,FIND(".",AC1121,ROW(INDIRECT("1:"&amp;LEN(AC1121)))))-1)</f>
        <v>NB_2022_061 - 22122022 - 2</v>
      </c>
      <c r="AE1121" s="6" t="str">
        <f aca="false">CONCATENATE(AB1121, "-",H1121, ".mzML")</f>
        <v>NB_2022_061 - 22122022 - 1-004.mzML</v>
      </c>
      <c r="AF1121" s="6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3" t="s">
        <v>1375</v>
      </c>
      <c r="B1122" s="34"/>
      <c r="C1122" s="4" t="s">
        <v>1376</v>
      </c>
      <c r="D1122" s="6" t="s">
        <v>19</v>
      </c>
      <c r="E1122" s="6" t="s">
        <v>1277</v>
      </c>
      <c r="F1122" s="7" t="s">
        <v>1278</v>
      </c>
      <c r="G1122" s="6" t="s">
        <v>1279</v>
      </c>
      <c r="H1122" s="27" t="s">
        <v>91</v>
      </c>
      <c r="I1122" s="6" t="str">
        <f aca="false">CONCATENATE(E1122, "_",H1122)</f>
        <v>NLA_2022_013_005</v>
      </c>
      <c r="J1122" s="38" t="s">
        <v>52</v>
      </c>
      <c r="K1122" s="6" t="s">
        <v>1289</v>
      </c>
      <c r="L1122" s="9" t="s">
        <v>69</v>
      </c>
      <c r="M1122" s="13" t="s">
        <v>1281</v>
      </c>
      <c r="N1122" s="6" t="s">
        <v>246</v>
      </c>
      <c r="O1122" s="35" t="s">
        <v>1212</v>
      </c>
      <c r="P1122" s="6" t="s">
        <v>1282</v>
      </c>
      <c r="Q1122" s="6" t="s">
        <v>1282</v>
      </c>
      <c r="R1122" s="6" t="s">
        <v>44</v>
      </c>
      <c r="S1122" s="6"/>
      <c r="T1122" s="6" t="s">
        <v>1243</v>
      </c>
      <c r="U1122" s="1" t="n">
        <v>1500</v>
      </c>
      <c r="V1122" s="1" t="n">
        <v>2</v>
      </c>
      <c r="W1122" s="6"/>
      <c r="X1122" s="9" t="s">
        <v>1215</v>
      </c>
      <c r="Y1122" s="1" t="n">
        <v>5500</v>
      </c>
      <c r="Z1122" s="6" t="s">
        <v>1283</v>
      </c>
      <c r="AA1122" s="6" t="s">
        <v>1284</v>
      </c>
      <c r="AB1122" s="15" t="str">
        <f aca="true" t="array" ref="AB1122:AB1122">LEFT(AA1122,LOOKUP(2^15,FIND(".",AA1122,ROW(INDIRECT("1:"&amp;LEN(AA1122)))))-1)</f>
        <v>NB_2022_061 - 22122022 - 1</v>
      </c>
      <c r="AC1122" s="6" t="s">
        <v>1285</v>
      </c>
      <c r="AD1122" s="15" t="str">
        <f aca="true" t="array" ref="AD1122:AD1122">LEFT(AC1122,LOOKUP(2^15,FIND(".",AC1122,ROW(INDIRECT("1:"&amp;LEN(AC1122)))))-1)</f>
        <v>NB_2022_061 - 22122022 - 2</v>
      </c>
      <c r="AE1122" s="6" t="str">
        <f aca="false">CONCATENATE(AB1122, "-",H1122, ".mzML")</f>
        <v>NB_2022_061 - 22122022 - 1-005.mzML</v>
      </c>
      <c r="AF1122" s="6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3" t="s">
        <v>1375</v>
      </c>
      <c r="B1123" s="34"/>
      <c r="C1123" s="4" t="s">
        <v>1376</v>
      </c>
      <c r="D1123" s="6" t="s">
        <v>19</v>
      </c>
      <c r="E1123" s="6" t="s">
        <v>1277</v>
      </c>
      <c r="F1123" s="7" t="s">
        <v>1278</v>
      </c>
      <c r="G1123" s="6" t="s">
        <v>1279</v>
      </c>
      <c r="H1123" s="27" t="s">
        <v>101</v>
      </c>
      <c r="I1123" s="6" t="str">
        <f aca="false">CONCATENATE(E1123, "_",H1123)</f>
        <v>NLA_2022_013_006</v>
      </c>
      <c r="J1123" s="38" t="s">
        <v>52</v>
      </c>
      <c r="K1123" s="6" t="s">
        <v>1290</v>
      </c>
      <c r="L1123" s="9" t="s">
        <v>69</v>
      </c>
      <c r="M1123" s="13" t="s">
        <v>1281</v>
      </c>
      <c r="N1123" s="6" t="s">
        <v>246</v>
      </c>
      <c r="O1123" s="35" t="s">
        <v>1212</v>
      </c>
      <c r="P1123" s="6" t="s">
        <v>1282</v>
      </c>
      <c r="Q1123" s="6" t="s">
        <v>1282</v>
      </c>
      <c r="R1123" s="6" t="s">
        <v>44</v>
      </c>
      <c r="S1123" s="6"/>
      <c r="T1123" s="6" t="s">
        <v>1243</v>
      </c>
      <c r="U1123" s="1" t="n">
        <v>1500</v>
      </c>
      <c r="V1123" s="1" t="n">
        <v>3</v>
      </c>
      <c r="W1123" s="6"/>
      <c r="X1123" s="9" t="s">
        <v>1215</v>
      </c>
      <c r="Y1123" s="1" t="n">
        <v>5500</v>
      </c>
      <c r="Z1123" s="6" t="s">
        <v>1283</v>
      </c>
      <c r="AA1123" s="6" t="s">
        <v>1284</v>
      </c>
      <c r="AB1123" s="15" t="str">
        <f aca="true" t="array" ref="AB1123:AB1123">LEFT(AA1123,LOOKUP(2^15,FIND(".",AA1123,ROW(INDIRECT("1:"&amp;LEN(AA1123)))))-1)</f>
        <v>NB_2022_061 - 22122022 - 1</v>
      </c>
      <c r="AC1123" s="6" t="s">
        <v>1285</v>
      </c>
      <c r="AD1123" s="15" t="str">
        <f aca="true" t="array" ref="AD1123:AD1123">LEFT(AC1123,LOOKUP(2^15,FIND(".",AC1123,ROW(INDIRECT("1:"&amp;LEN(AC1123)))))-1)</f>
        <v>NB_2022_061 - 22122022 - 2</v>
      </c>
      <c r="AE1123" s="6" t="str">
        <f aca="false">CONCATENATE(AB1123, "-",H1123, ".mzML")</f>
        <v>NB_2022_061 - 22122022 - 1-006.mzML</v>
      </c>
      <c r="AF1123" s="6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3" t="s">
        <v>1375</v>
      </c>
      <c r="B1124" s="34"/>
      <c r="C1124" s="4" t="s">
        <v>1376</v>
      </c>
      <c r="D1124" s="6" t="s">
        <v>19</v>
      </c>
      <c r="E1124" s="6" t="s">
        <v>1277</v>
      </c>
      <c r="F1124" s="7" t="s">
        <v>1278</v>
      </c>
      <c r="G1124" s="6" t="s">
        <v>1293</v>
      </c>
      <c r="H1124" s="27" t="s">
        <v>227</v>
      </c>
      <c r="I1124" s="6" t="str">
        <f aca="false">CONCATENATE(E1124, "_",H1124)</f>
        <v>NLA_2022_013_019</v>
      </c>
      <c r="J1124" s="38" t="s">
        <v>38</v>
      </c>
      <c r="K1124" s="6" t="s">
        <v>1294</v>
      </c>
      <c r="L1124" s="9" t="s">
        <v>69</v>
      </c>
      <c r="M1124" s="13" t="s">
        <v>1295</v>
      </c>
      <c r="N1124" s="6" t="s">
        <v>246</v>
      </c>
      <c r="O1124" s="35" t="s">
        <v>1212</v>
      </c>
      <c r="P1124" s="6" t="s">
        <v>1213</v>
      </c>
      <c r="Q1124" s="6" t="s">
        <v>1214</v>
      </c>
      <c r="R1124" s="6" t="s">
        <v>72</v>
      </c>
      <c r="S1124" s="6"/>
      <c r="T1124" s="6" t="s">
        <v>1240</v>
      </c>
      <c r="U1124" s="1" t="n">
        <v>1500</v>
      </c>
      <c r="V1124" s="1" t="n">
        <v>1</v>
      </c>
      <c r="W1124" s="6"/>
      <c r="X1124" s="9" t="s">
        <v>1215</v>
      </c>
      <c r="Y1124" s="1" t="n">
        <v>5500</v>
      </c>
      <c r="Z1124" s="6" t="s">
        <v>1283</v>
      </c>
      <c r="AA1124" s="6" t="s">
        <v>1284</v>
      </c>
      <c r="AB1124" s="15" t="str">
        <f aca="true" t="array" ref="AB1124:AB1124">LEFT(AA1124,LOOKUP(2^15,FIND(".",AA1124,ROW(INDIRECT("1:"&amp;LEN(AA1124)))))-1)</f>
        <v>NB_2022_061 - 22122022 - 1</v>
      </c>
      <c r="AC1124" s="6" t="s">
        <v>1285</v>
      </c>
      <c r="AD1124" s="15" t="str">
        <f aca="true" t="array" ref="AD1124:AD1124">LEFT(AC1124,LOOKUP(2^15,FIND(".",AC1124,ROW(INDIRECT("1:"&amp;LEN(AC1124)))))-1)</f>
        <v>NB_2022_061 - 22122022 - 2</v>
      </c>
      <c r="AE1124" s="6" t="str">
        <f aca="false">CONCATENATE(AB1124, "-",H1124, ".mzML")</f>
        <v>NB_2022_061 - 22122022 - 1-019.mzML</v>
      </c>
      <c r="AF1124" s="6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3" t="s">
        <v>1375</v>
      </c>
      <c r="B1125" s="34"/>
      <c r="C1125" s="4" t="s">
        <v>1376</v>
      </c>
      <c r="D1125" s="6" t="s">
        <v>19</v>
      </c>
      <c r="E1125" s="6" t="s">
        <v>1277</v>
      </c>
      <c r="F1125" s="7" t="s">
        <v>1278</v>
      </c>
      <c r="G1125" s="6" t="s">
        <v>1293</v>
      </c>
      <c r="H1125" s="27" t="s">
        <v>230</v>
      </c>
      <c r="I1125" s="6" t="str">
        <f aca="false">CONCATENATE(E1125, "_",H1125)</f>
        <v>NLA_2022_013_020</v>
      </c>
      <c r="J1125" s="38" t="s">
        <v>38</v>
      </c>
      <c r="K1125" s="6" t="s">
        <v>1296</v>
      </c>
      <c r="L1125" s="9" t="s">
        <v>69</v>
      </c>
      <c r="M1125" s="13" t="s">
        <v>1295</v>
      </c>
      <c r="N1125" s="6" t="s">
        <v>246</v>
      </c>
      <c r="O1125" s="35" t="s">
        <v>1212</v>
      </c>
      <c r="P1125" s="6" t="s">
        <v>1213</v>
      </c>
      <c r="Q1125" s="6" t="s">
        <v>1214</v>
      </c>
      <c r="R1125" s="6" t="s">
        <v>72</v>
      </c>
      <c r="S1125" s="6"/>
      <c r="T1125" s="6" t="s">
        <v>1240</v>
      </c>
      <c r="U1125" s="1" t="n">
        <v>1500</v>
      </c>
      <c r="V1125" s="1" t="n">
        <v>2</v>
      </c>
      <c r="W1125" s="6"/>
      <c r="X1125" s="9" t="s">
        <v>1215</v>
      </c>
      <c r="Y1125" s="1" t="n">
        <v>5500</v>
      </c>
      <c r="Z1125" s="6" t="s">
        <v>1283</v>
      </c>
      <c r="AA1125" s="6" t="s">
        <v>1284</v>
      </c>
      <c r="AB1125" s="15" t="str">
        <f aca="true" t="array" ref="AB1125:AB1125">LEFT(AA1125,LOOKUP(2^15,FIND(".",AA1125,ROW(INDIRECT("1:"&amp;LEN(AA1125)))))-1)</f>
        <v>NB_2022_061 - 22122022 - 1</v>
      </c>
      <c r="AC1125" s="6" t="s">
        <v>1285</v>
      </c>
      <c r="AD1125" s="15" t="str">
        <f aca="true" t="array" ref="AD1125:AD1125">LEFT(AC1125,LOOKUP(2^15,FIND(".",AC1125,ROW(INDIRECT("1:"&amp;LEN(AC1125)))))-1)</f>
        <v>NB_2022_061 - 22122022 - 2</v>
      </c>
      <c r="AE1125" s="6" t="str">
        <f aca="false">CONCATENATE(AB1125, "-",H1125, ".mzML")</f>
        <v>NB_2022_061 - 22122022 - 1-020.mzML</v>
      </c>
      <c r="AF1125" s="6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3" t="s">
        <v>1375</v>
      </c>
      <c r="B1126" s="34"/>
      <c r="C1126" s="4" t="s">
        <v>1376</v>
      </c>
      <c r="D1126" s="6" t="s">
        <v>19</v>
      </c>
      <c r="E1126" s="6" t="s">
        <v>1277</v>
      </c>
      <c r="F1126" s="7" t="s">
        <v>1278</v>
      </c>
      <c r="G1126" s="6" t="s">
        <v>1293</v>
      </c>
      <c r="H1126" s="27" t="s">
        <v>62</v>
      </c>
      <c r="I1126" s="6" t="str">
        <f aca="false">CONCATENATE(E1126, "_",H1126)</f>
        <v>NLA_2022_013_021</v>
      </c>
      <c r="J1126" s="38" t="s">
        <v>52</v>
      </c>
      <c r="K1126" s="6" t="s">
        <v>1297</v>
      </c>
      <c r="L1126" s="9" t="s">
        <v>69</v>
      </c>
      <c r="M1126" s="13" t="s">
        <v>1295</v>
      </c>
      <c r="N1126" s="6" t="s">
        <v>246</v>
      </c>
      <c r="O1126" s="35" t="s">
        <v>1212</v>
      </c>
      <c r="P1126" s="6" t="s">
        <v>1213</v>
      </c>
      <c r="Q1126" s="6" t="s">
        <v>1214</v>
      </c>
      <c r="R1126" s="6" t="s">
        <v>72</v>
      </c>
      <c r="S1126" s="6"/>
      <c r="T1126" s="6" t="s">
        <v>1243</v>
      </c>
      <c r="U1126" s="1" t="n">
        <v>1500</v>
      </c>
      <c r="V1126" s="1" t="n">
        <v>1</v>
      </c>
      <c r="W1126" s="6"/>
      <c r="X1126" s="9" t="s">
        <v>1215</v>
      </c>
      <c r="Y1126" s="1" t="n">
        <v>5500</v>
      </c>
      <c r="Z1126" s="6" t="s">
        <v>1283</v>
      </c>
      <c r="AA1126" s="6" t="s">
        <v>1284</v>
      </c>
      <c r="AB1126" s="15" t="str">
        <f aca="true" t="array" ref="AB1126:AB1126">LEFT(AA1126,LOOKUP(2^15,FIND(".",AA1126,ROW(INDIRECT("1:"&amp;LEN(AA1126)))))-1)</f>
        <v>NB_2022_061 - 22122022 - 1</v>
      </c>
      <c r="AC1126" s="6" t="s">
        <v>1285</v>
      </c>
      <c r="AD1126" s="15" t="str">
        <f aca="true" t="array" ref="AD1126:AD1126">LEFT(AC1126,LOOKUP(2^15,FIND(".",AC1126,ROW(INDIRECT("1:"&amp;LEN(AC1126)))))-1)</f>
        <v>NB_2022_061 - 22122022 - 2</v>
      </c>
      <c r="AE1126" s="6" t="str">
        <f aca="false">CONCATENATE(AB1126, "-",H1126, ".mzML")</f>
        <v>NB_2022_061 - 22122022 - 1-021.mzML</v>
      </c>
      <c r="AF1126" s="6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3" t="s">
        <v>1375</v>
      </c>
      <c r="B1127" s="34"/>
      <c r="C1127" s="4" t="s">
        <v>1376</v>
      </c>
      <c r="D1127" s="6" t="s">
        <v>19</v>
      </c>
      <c r="E1127" s="6" t="s">
        <v>1277</v>
      </c>
      <c r="F1127" s="7" t="s">
        <v>1278</v>
      </c>
      <c r="G1127" s="6" t="s">
        <v>1293</v>
      </c>
      <c r="H1127" s="27" t="s">
        <v>288</v>
      </c>
      <c r="I1127" s="6" t="str">
        <f aca="false">CONCATENATE(E1127, "_",H1127)</f>
        <v>NLA_2022_013_022</v>
      </c>
      <c r="J1127" s="38" t="s">
        <v>52</v>
      </c>
      <c r="K1127" s="6" t="s">
        <v>1298</v>
      </c>
      <c r="L1127" s="9" t="s">
        <v>69</v>
      </c>
      <c r="M1127" s="13" t="s">
        <v>1295</v>
      </c>
      <c r="N1127" s="6" t="s">
        <v>246</v>
      </c>
      <c r="O1127" s="35" t="s">
        <v>1212</v>
      </c>
      <c r="P1127" s="6" t="s">
        <v>1213</v>
      </c>
      <c r="Q1127" s="6" t="s">
        <v>1214</v>
      </c>
      <c r="R1127" s="6" t="s">
        <v>72</v>
      </c>
      <c r="S1127" s="6"/>
      <c r="T1127" s="6" t="s">
        <v>1243</v>
      </c>
      <c r="U1127" s="1" t="n">
        <v>1500</v>
      </c>
      <c r="V1127" s="1" t="n">
        <v>2</v>
      </c>
      <c r="W1127" s="6"/>
      <c r="X1127" s="9" t="s">
        <v>1215</v>
      </c>
      <c r="Y1127" s="1" t="n">
        <v>5500</v>
      </c>
      <c r="Z1127" s="6" t="s">
        <v>1283</v>
      </c>
      <c r="AA1127" s="6" t="s">
        <v>1284</v>
      </c>
      <c r="AB1127" s="15" t="str">
        <f aca="true" t="array" ref="AB1127:AB1127">LEFT(AA1127,LOOKUP(2^15,FIND(".",AA1127,ROW(INDIRECT("1:"&amp;LEN(AA1127)))))-1)</f>
        <v>NB_2022_061 - 22122022 - 1</v>
      </c>
      <c r="AC1127" s="6" t="s">
        <v>1285</v>
      </c>
      <c r="AD1127" s="15" t="str">
        <f aca="true" t="array" ref="AD1127:AD1127">LEFT(AC1127,LOOKUP(2^15,FIND(".",AC1127,ROW(INDIRECT("1:"&amp;LEN(AC1127)))))-1)</f>
        <v>NB_2022_061 - 22122022 - 2</v>
      </c>
      <c r="AE1127" s="6" t="str">
        <f aca="false">CONCATENATE(AB1127, "-",H1127, ".mzML")</f>
        <v>NB_2022_061 - 22122022 - 1-022.mzML</v>
      </c>
      <c r="AF1127" s="6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3" t="s">
        <v>1375</v>
      </c>
      <c r="B1128" s="34"/>
      <c r="C1128" s="4" t="s">
        <v>1376</v>
      </c>
      <c r="D1128" s="6" t="s">
        <v>19</v>
      </c>
      <c r="E1128" s="6" t="s">
        <v>1277</v>
      </c>
      <c r="F1128" s="7" t="s">
        <v>1278</v>
      </c>
      <c r="G1128" s="6" t="s">
        <v>1277</v>
      </c>
      <c r="H1128" s="27" t="s">
        <v>64</v>
      </c>
      <c r="I1128" s="6" t="str">
        <f aca="false">CONCATENATE(E1128, "_",H1128)</f>
        <v>NLA_2022_013_Blank_1</v>
      </c>
      <c r="J1128" s="38" t="s">
        <v>52</v>
      </c>
      <c r="K1128" s="6" t="n">
        <v>1</v>
      </c>
      <c r="L1128" s="9" t="s">
        <v>46</v>
      </c>
      <c r="M1128" s="13" t="s">
        <v>46</v>
      </c>
      <c r="N1128" s="6" t="s">
        <v>65</v>
      </c>
      <c r="O1128" s="6" t="s">
        <v>46</v>
      </c>
      <c r="P1128" s="6" t="s">
        <v>46</v>
      </c>
      <c r="Q1128" s="6" t="s">
        <v>46</v>
      </c>
      <c r="R1128" s="6" t="s">
        <v>46</v>
      </c>
      <c r="S1128" s="6" t="s">
        <v>46</v>
      </c>
      <c r="T1128" s="6" t="s">
        <v>46</v>
      </c>
      <c r="U1128" s="6" t="s">
        <v>46</v>
      </c>
      <c r="V1128" s="1" t="n">
        <v>1</v>
      </c>
      <c r="W1128" s="6"/>
      <c r="X1128" s="6" t="s">
        <v>46</v>
      </c>
      <c r="Y1128" s="6" t="n">
        <v>5500</v>
      </c>
      <c r="Z1128" s="6" t="s">
        <v>1283</v>
      </c>
      <c r="AA1128" s="6" t="s">
        <v>1284</v>
      </c>
      <c r="AB1128" s="15" t="str">
        <f aca="true" t="array" ref="AB1128:AB1128">LEFT(AA1128,LOOKUP(2^15,FIND(".",AA1128,ROW(INDIRECT("1:"&amp;LEN(AA1128)))))-1)</f>
        <v>NB_2022_061 - 22122022 - 1</v>
      </c>
      <c r="AC1128" s="6" t="s">
        <v>1285</v>
      </c>
      <c r="AD1128" s="15" t="str">
        <f aca="true" t="array" ref="AD1128:AD1128">LEFT(AC1128,LOOKUP(2^15,FIND(".",AC1128,ROW(INDIRECT("1:"&amp;LEN(AC1128)))))-1)</f>
        <v>NB_2022_061 - 22122022 - 2</v>
      </c>
      <c r="AE1128" s="6" t="str">
        <f aca="false">CONCATENATE(AB1128, "-",H1128, ".mzML")</f>
        <v>NB_2022_061 - 22122022 - 1-Blank_1.mzML</v>
      </c>
      <c r="AF1128" s="6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3" t="s">
        <v>1375</v>
      </c>
      <c r="B1129" s="34"/>
      <c r="C1129" s="4" t="s">
        <v>1376</v>
      </c>
      <c r="D1129" s="6" t="s">
        <v>19</v>
      </c>
      <c r="E1129" s="6" t="s">
        <v>1277</v>
      </c>
      <c r="F1129" s="7" t="s">
        <v>1278</v>
      </c>
      <c r="G1129" s="6" t="s">
        <v>1277</v>
      </c>
      <c r="H1129" s="27" t="s">
        <v>66</v>
      </c>
      <c r="I1129" s="6" t="str">
        <f aca="false">CONCATENATE(E1129, "_",H1129)</f>
        <v>NLA_2022_013_Blank_2</v>
      </c>
      <c r="J1129" s="38" t="s">
        <v>52</v>
      </c>
      <c r="K1129" s="6" t="n">
        <v>2</v>
      </c>
      <c r="L1129" s="9" t="s">
        <v>46</v>
      </c>
      <c r="M1129" s="13" t="s">
        <v>46</v>
      </c>
      <c r="N1129" s="6" t="s">
        <v>65</v>
      </c>
      <c r="O1129" s="6" t="s">
        <v>46</v>
      </c>
      <c r="P1129" s="6" t="s">
        <v>46</v>
      </c>
      <c r="Q1129" s="6" t="s">
        <v>46</v>
      </c>
      <c r="R1129" s="6" t="s">
        <v>46</v>
      </c>
      <c r="S1129" s="6" t="s">
        <v>46</v>
      </c>
      <c r="T1129" s="6" t="s">
        <v>46</v>
      </c>
      <c r="U1129" s="6" t="s">
        <v>46</v>
      </c>
      <c r="V1129" s="1" t="n">
        <v>2</v>
      </c>
      <c r="W1129" s="6"/>
      <c r="X1129" s="6" t="s">
        <v>46</v>
      </c>
      <c r="Y1129" s="1" t="n">
        <v>5500</v>
      </c>
      <c r="Z1129" s="6" t="s">
        <v>1283</v>
      </c>
      <c r="AA1129" s="6" t="s">
        <v>1284</v>
      </c>
      <c r="AB1129" s="15" t="str">
        <f aca="true" t="array" ref="AB1129:AB1129">LEFT(AA1129,LOOKUP(2^15,FIND(".",AA1129,ROW(INDIRECT("1:"&amp;LEN(AA1129)))))-1)</f>
        <v>NB_2022_061 - 22122022 - 1</v>
      </c>
      <c r="AC1129" s="6" t="s">
        <v>1285</v>
      </c>
      <c r="AD1129" s="15" t="str">
        <f aca="true" t="array" ref="AD1129:AD1129">LEFT(AC1129,LOOKUP(2^15,FIND(".",AC1129,ROW(INDIRECT("1:"&amp;LEN(AC1129)))))-1)</f>
        <v>NB_2022_061 - 22122022 - 2</v>
      </c>
      <c r="AE1129" s="6" t="str">
        <f aca="false">CONCATENATE(AB1129, "-",H1129, ".mzML")</f>
        <v>NB_2022_061 - 22122022 - 1-Blank_2.mzML</v>
      </c>
      <c r="AF1129" s="6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3" t="s">
        <v>1375</v>
      </c>
      <c r="B1130" s="34"/>
      <c r="C1130" s="4" t="s">
        <v>1376</v>
      </c>
      <c r="D1130" s="6" t="s">
        <v>19</v>
      </c>
      <c r="E1130" s="6" t="s">
        <v>1277</v>
      </c>
      <c r="F1130" s="7" t="s">
        <v>1278</v>
      </c>
      <c r="G1130" s="6" t="s">
        <v>1277</v>
      </c>
      <c r="H1130" s="27" t="s">
        <v>67</v>
      </c>
      <c r="I1130" s="6" t="str">
        <f aca="false">CONCATENATE(E1130, "_",H1130)</f>
        <v>NLA_2022_013_Blank_3</v>
      </c>
      <c r="J1130" s="38" t="s">
        <v>52</v>
      </c>
      <c r="K1130" s="6" t="n">
        <v>3</v>
      </c>
      <c r="L1130" s="9" t="s">
        <v>46</v>
      </c>
      <c r="M1130" s="13" t="s">
        <v>46</v>
      </c>
      <c r="N1130" s="6" t="s">
        <v>65</v>
      </c>
      <c r="O1130" s="6" t="s">
        <v>46</v>
      </c>
      <c r="P1130" s="6" t="s">
        <v>46</v>
      </c>
      <c r="Q1130" s="6" t="s">
        <v>46</v>
      </c>
      <c r="R1130" s="6" t="s">
        <v>46</v>
      </c>
      <c r="S1130" s="6" t="s">
        <v>46</v>
      </c>
      <c r="T1130" s="6" t="s">
        <v>46</v>
      </c>
      <c r="U1130" s="6" t="s">
        <v>46</v>
      </c>
      <c r="V1130" s="1" t="n">
        <v>3</v>
      </c>
      <c r="W1130" s="6"/>
      <c r="X1130" s="6" t="s">
        <v>46</v>
      </c>
      <c r="Y1130" s="1" t="n">
        <v>5500</v>
      </c>
      <c r="Z1130" s="6" t="s">
        <v>1283</v>
      </c>
      <c r="AA1130" s="6" t="s">
        <v>1284</v>
      </c>
      <c r="AB1130" s="15" t="str">
        <f aca="true" t="array" ref="AB1130:AB1130">LEFT(AA1130,LOOKUP(2^15,FIND(".",AA1130,ROW(INDIRECT("1:"&amp;LEN(AA1130)))))-1)</f>
        <v>NB_2022_061 - 22122022 - 1</v>
      </c>
      <c r="AC1130" s="6" t="s">
        <v>1285</v>
      </c>
      <c r="AD1130" s="15" t="str">
        <f aca="true" t="array" ref="AD1130:AD1130">LEFT(AC1130,LOOKUP(2^15,FIND(".",AC1130,ROW(INDIRECT("1:"&amp;LEN(AC1130)))))-1)</f>
        <v>NB_2022_061 - 22122022 - 2</v>
      </c>
      <c r="AE1130" s="6" t="str">
        <f aca="false">CONCATENATE(AB1130, "-",H1130, ".mzML")</f>
        <v>NB_2022_061 - 22122022 - 1-Blank_3.mzML</v>
      </c>
      <c r="AF1130" s="6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3" t="s">
        <v>1375</v>
      </c>
      <c r="B1131" s="34"/>
      <c r="C1131" s="4" t="s">
        <v>1376</v>
      </c>
      <c r="D1131" s="6" t="s">
        <v>19</v>
      </c>
      <c r="E1131" s="6" t="s">
        <v>1277</v>
      </c>
      <c r="F1131" s="7" t="s">
        <v>1278</v>
      </c>
      <c r="G1131" s="6" t="s">
        <v>1277</v>
      </c>
      <c r="H1131" s="27" t="s">
        <v>68</v>
      </c>
      <c r="I1131" s="6" t="str">
        <f aca="false">CONCATENATE(E1131, "_",H1131)</f>
        <v>NLA_2022_013_QC_C_1</v>
      </c>
      <c r="J1131" s="38" t="s">
        <v>52</v>
      </c>
      <c r="K1131" s="6" t="n">
        <v>1</v>
      </c>
      <c r="L1131" s="9" t="s">
        <v>69</v>
      </c>
      <c r="M1131" s="3" t="s">
        <v>46</v>
      </c>
      <c r="N1131" s="6" t="s">
        <v>70</v>
      </c>
      <c r="O1131" s="6" t="s">
        <v>46</v>
      </c>
      <c r="P1131" s="6" t="s">
        <v>71</v>
      </c>
      <c r="Q1131" s="6" t="s">
        <v>71</v>
      </c>
      <c r="R1131" s="6" t="s">
        <v>72</v>
      </c>
      <c r="S1131" s="6" t="s">
        <v>73</v>
      </c>
      <c r="T1131" s="6" t="s">
        <v>46</v>
      </c>
      <c r="U1131" s="6" t="n">
        <v>1000</v>
      </c>
      <c r="V1131" s="1" t="n">
        <v>1</v>
      </c>
      <c r="W1131" s="6"/>
      <c r="X1131" s="6" t="s">
        <v>74</v>
      </c>
      <c r="Y1131" s="6" t="n">
        <v>5500</v>
      </c>
      <c r="Z1131" s="6" t="s">
        <v>1283</v>
      </c>
      <c r="AA1131" s="6" t="s">
        <v>1284</v>
      </c>
      <c r="AB1131" s="15" t="str">
        <f aca="true" t="array" ref="AB1131:AB1131">LEFT(AA1131,LOOKUP(2^15,FIND(".",AA1131,ROW(INDIRECT("1:"&amp;LEN(AA1131)))))-1)</f>
        <v>NB_2022_061 - 22122022 - 1</v>
      </c>
      <c r="AC1131" s="6" t="s">
        <v>1285</v>
      </c>
      <c r="AD1131" s="15" t="str">
        <f aca="true" t="array" ref="AD1131:AD1131">LEFT(AC1131,LOOKUP(2^15,FIND(".",AC1131,ROW(INDIRECT("1:"&amp;LEN(AC1131)))))-1)</f>
        <v>NB_2022_061 - 22122022 - 2</v>
      </c>
      <c r="AE1131" s="6" t="str">
        <f aca="false">CONCATENATE(AB1131, "-",H1131, ".mzML")</f>
        <v>NB_2022_061 - 22122022 - 1-QC_C_1.mzML</v>
      </c>
      <c r="AF1131" s="6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3" t="s">
        <v>1375</v>
      </c>
      <c r="B1132" s="34"/>
      <c r="C1132" s="4" t="s">
        <v>1376</v>
      </c>
      <c r="D1132" s="6" t="s">
        <v>19</v>
      </c>
      <c r="E1132" s="6" t="s">
        <v>1277</v>
      </c>
      <c r="F1132" s="7" t="s">
        <v>1278</v>
      </c>
      <c r="G1132" s="6" t="s">
        <v>1277</v>
      </c>
      <c r="H1132" s="27" t="s">
        <v>75</v>
      </c>
      <c r="I1132" s="6" t="str">
        <f aca="false">CONCATENATE(E1132, "_",H1132)</f>
        <v>NLA_2022_013_QC_C_2</v>
      </c>
      <c r="J1132" s="38" t="s">
        <v>52</v>
      </c>
      <c r="K1132" s="6" t="n">
        <v>2</v>
      </c>
      <c r="L1132" s="9" t="s">
        <v>69</v>
      </c>
      <c r="M1132" s="3" t="s">
        <v>46</v>
      </c>
      <c r="N1132" s="6" t="s">
        <v>70</v>
      </c>
      <c r="O1132" s="6" t="s">
        <v>46</v>
      </c>
      <c r="P1132" s="6" t="s">
        <v>71</v>
      </c>
      <c r="Q1132" s="6" t="s">
        <v>71</v>
      </c>
      <c r="R1132" s="6" t="s">
        <v>72</v>
      </c>
      <c r="S1132" s="6" t="s">
        <v>73</v>
      </c>
      <c r="T1132" s="6" t="s">
        <v>46</v>
      </c>
      <c r="U1132" s="6" t="n">
        <v>1000</v>
      </c>
      <c r="V1132" s="1" t="n">
        <v>2</v>
      </c>
      <c r="W1132" s="6"/>
      <c r="X1132" s="6" t="s">
        <v>74</v>
      </c>
      <c r="Y1132" s="6" t="n">
        <v>5500</v>
      </c>
      <c r="Z1132" s="6" t="s">
        <v>1283</v>
      </c>
      <c r="AA1132" s="6" t="s">
        <v>1284</v>
      </c>
      <c r="AB1132" s="15" t="str">
        <f aca="true" t="array" ref="AB1132:AB1132">LEFT(AA1132,LOOKUP(2^15,FIND(".",AA1132,ROW(INDIRECT("1:"&amp;LEN(AA1132)))))-1)</f>
        <v>NB_2022_061 - 22122022 - 1</v>
      </c>
      <c r="AC1132" s="6" t="s">
        <v>1285</v>
      </c>
      <c r="AD1132" s="15" t="str">
        <f aca="true" t="array" ref="AD1132:AD1132">LEFT(AC1132,LOOKUP(2^15,FIND(".",AC1132,ROW(INDIRECT("1:"&amp;LEN(AC1132)))))-1)</f>
        <v>NB_2022_061 - 22122022 - 2</v>
      </c>
      <c r="AE1132" s="6" t="str">
        <f aca="false">CONCATENATE(AB1132, "-",H1132, ".mzML")</f>
        <v>NB_2022_061 - 22122022 - 1-QC_C_2.mzML</v>
      </c>
      <c r="AF1132" s="6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3" t="s">
        <v>1375</v>
      </c>
      <c r="B1133" s="34"/>
      <c r="C1133" s="4" t="s">
        <v>1376</v>
      </c>
      <c r="D1133" s="6" t="s">
        <v>19</v>
      </c>
      <c r="E1133" s="6" t="s">
        <v>1277</v>
      </c>
      <c r="F1133" s="7" t="s">
        <v>1278</v>
      </c>
      <c r="G1133" s="6" t="s">
        <v>1277</v>
      </c>
      <c r="H1133" s="27" t="s">
        <v>76</v>
      </c>
      <c r="I1133" s="6" t="str">
        <f aca="false">CONCATENATE(E1133, "_",H1133)</f>
        <v>NLA_2022_013_QC_C_3</v>
      </c>
      <c r="J1133" s="38" t="s">
        <v>52</v>
      </c>
      <c r="K1133" s="6" t="n">
        <v>3</v>
      </c>
      <c r="L1133" s="9" t="s">
        <v>69</v>
      </c>
      <c r="M1133" s="3" t="s">
        <v>46</v>
      </c>
      <c r="N1133" s="6" t="s">
        <v>70</v>
      </c>
      <c r="O1133" s="6" t="s">
        <v>46</v>
      </c>
      <c r="P1133" s="6" t="s">
        <v>71</v>
      </c>
      <c r="Q1133" s="6" t="s">
        <v>71</v>
      </c>
      <c r="R1133" s="6" t="s">
        <v>72</v>
      </c>
      <c r="S1133" s="6" t="s">
        <v>73</v>
      </c>
      <c r="T1133" s="6" t="s">
        <v>46</v>
      </c>
      <c r="U1133" s="6" t="n">
        <v>1000</v>
      </c>
      <c r="V1133" s="1" t="n">
        <v>3</v>
      </c>
      <c r="W1133" s="6"/>
      <c r="X1133" s="6" t="s">
        <v>74</v>
      </c>
      <c r="Y1133" s="6" t="n">
        <v>5500</v>
      </c>
      <c r="Z1133" s="6" t="s">
        <v>1283</v>
      </c>
      <c r="AA1133" s="6" t="s">
        <v>1284</v>
      </c>
      <c r="AB1133" s="15" t="str">
        <f aca="true" t="array" ref="AB1133:AB1133">LEFT(AA1133,LOOKUP(2^15,FIND(".",AA1133,ROW(INDIRECT("1:"&amp;LEN(AA1133)))))-1)</f>
        <v>NB_2022_061 - 22122022 - 1</v>
      </c>
      <c r="AC1133" s="6" t="s">
        <v>1285</v>
      </c>
      <c r="AD1133" s="15" t="str">
        <f aca="true" t="array" ref="AD1133:AD1133">LEFT(AC1133,LOOKUP(2^15,FIND(".",AC1133,ROW(INDIRECT("1:"&amp;LEN(AC1133)))))-1)</f>
        <v>NB_2022_061 - 22122022 - 2</v>
      </c>
      <c r="AE1133" s="6" t="str">
        <f aca="false">CONCATENATE(AB1133, "-",H1133, ".mzML")</f>
        <v>NB_2022_061 - 22122022 - 1-QC_C_3.mzML</v>
      </c>
      <c r="AF1133" s="6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3" t="s">
        <v>1375</v>
      </c>
      <c r="B1134" s="34"/>
      <c r="C1134" s="4" t="s">
        <v>1376</v>
      </c>
      <c r="D1134" s="6" t="s">
        <v>19</v>
      </c>
      <c r="E1134" s="6" t="s">
        <v>1277</v>
      </c>
      <c r="F1134" s="7" t="s">
        <v>1278</v>
      </c>
      <c r="G1134" s="6" t="s">
        <v>1277</v>
      </c>
      <c r="H1134" s="27" t="s">
        <v>77</v>
      </c>
      <c r="I1134" s="6" t="str">
        <f aca="false">CONCATENATE(E1134, "_",H1134)</f>
        <v>NLA_2022_013_QC_P_1</v>
      </c>
      <c r="J1134" s="38" t="s">
        <v>52</v>
      </c>
      <c r="K1134" s="6" t="n">
        <v>1</v>
      </c>
      <c r="L1134" s="9" t="s">
        <v>69</v>
      </c>
      <c r="M1134" s="13" t="s">
        <v>46</v>
      </c>
      <c r="N1134" s="6" t="s">
        <v>78</v>
      </c>
      <c r="O1134" s="6" t="s">
        <v>46</v>
      </c>
      <c r="P1134" s="6" t="s">
        <v>79</v>
      </c>
      <c r="Q1134" s="6" t="s">
        <v>80</v>
      </c>
      <c r="R1134" s="6" t="s">
        <v>81</v>
      </c>
      <c r="S1134" s="6" t="s">
        <v>46</v>
      </c>
      <c r="T1134" s="6" t="s">
        <v>46</v>
      </c>
      <c r="U1134" s="6" t="s">
        <v>82</v>
      </c>
      <c r="V1134" s="1" t="n">
        <v>1</v>
      </c>
      <c r="W1134" s="6"/>
      <c r="X1134" s="6" t="s">
        <v>83</v>
      </c>
      <c r="Y1134" s="6" t="n">
        <v>5500</v>
      </c>
      <c r="Z1134" s="6" t="s">
        <v>1283</v>
      </c>
      <c r="AA1134" s="6" t="s">
        <v>1284</v>
      </c>
      <c r="AB1134" s="15" t="str">
        <f aca="true" t="array" ref="AB1134:AB1134">LEFT(AA1134,LOOKUP(2^15,FIND(".",AA1134,ROW(INDIRECT("1:"&amp;LEN(AA1134)))))-1)</f>
        <v>NB_2022_061 - 22122022 - 1</v>
      </c>
      <c r="AC1134" s="6" t="s">
        <v>1285</v>
      </c>
      <c r="AD1134" s="15" t="str">
        <f aca="true" t="array" ref="AD1134:AD1134">LEFT(AC1134,LOOKUP(2^15,FIND(".",AC1134,ROW(INDIRECT("1:"&amp;LEN(AC1134)))))-1)</f>
        <v>NB_2022_061 - 22122022 - 2</v>
      </c>
      <c r="AE1134" s="6" t="str">
        <f aca="false">CONCATENATE(AB1134, "-",H1134, ".mzML")</f>
        <v>NB_2022_061 - 22122022 - 1-QC_P_1.mzML</v>
      </c>
      <c r="AF1134" s="6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3" t="s">
        <v>1375</v>
      </c>
      <c r="B1135" s="34"/>
      <c r="C1135" s="4" t="s">
        <v>1376</v>
      </c>
      <c r="D1135" s="6" t="s">
        <v>19</v>
      </c>
      <c r="E1135" s="6" t="s">
        <v>1277</v>
      </c>
      <c r="F1135" s="7" t="s">
        <v>1278</v>
      </c>
      <c r="G1135" s="6" t="s">
        <v>1277</v>
      </c>
      <c r="H1135" s="27" t="s">
        <v>84</v>
      </c>
      <c r="I1135" s="6" t="str">
        <f aca="false">CONCATENATE(E1135, "_",H1135)</f>
        <v>NLA_2022_013_QC_P_2</v>
      </c>
      <c r="J1135" s="38" t="s">
        <v>52</v>
      </c>
      <c r="K1135" s="6" t="n">
        <v>2</v>
      </c>
      <c r="L1135" s="9" t="s">
        <v>69</v>
      </c>
      <c r="M1135" s="13" t="s">
        <v>46</v>
      </c>
      <c r="N1135" s="6" t="s">
        <v>78</v>
      </c>
      <c r="O1135" s="6" t="s">
        <v>46</v>
      </c>
      <c r="P1135" s="6" t="s">
        <v>79</v>
      </c>
      <c r="Q1135" s="6" t="s">
        <v>80</v>
      </c>
      <c r="R1135" s="6" t="s">
        <v>81</v>
      </c>
      <c r="S1135" s="6" t="s">
        <v>46</v>
      </c>
      <c r="T1135" s="6" t="s">
        <v>46</v>
      </c>
      <c r="U1135" s="6" t="s">
        <v>82</v>
      </c>
      <c r="V1135" s="1" t="n">
        <v>2</v>
      </c>
      <c r="W1135" s="6"/>
      <c r="X1135" s="6" t="s">
        <v>83</v>
      </c>
      <c r="Y1135" s="6" t="n">
        <v>5500</v>
      </c>
      <c r="Z1135" s="6" t="s">
        <v>1283</v>
      </c>
      <c r="AA1135" s="6" t="s">
        <v>1284</v>
      </c>
      <c r="AB1135" s="15" t="str">
        <f aca="true" t="array" ref="AB1135:AB1135">LEFT(AA1135,LOOKUP(2^15,FIND(".",AA1135,ROW(INDIRECT("1:"&amp;LEN(AA1135)))))-1)</f>
        <v>NB_2022_061 - 22122022 - 1</v>
      </c>
      <c r="AC1135" s="6" t="s">
        <v>1285</v>
      </c>
      <c r="AD1135" s="15" t="str">
        <f aca="true" t="array" ref="AD1135:AD1135">LEFT(AC1135,LOOKUP(2^15,FIND(".",AC1135,ROW(INDIRECT("1:"&amp;LEN(AC1135)))))-1)</f>
        <v>NB_2022_061 - 22122022 - 2</v>
      </c>
      <c r="AE1135" s="6" t="str">
        <f aca="false">CONCATENATE(AB1135, "-",H1135, ".mzML")</f>
        <v>NB_2022_061 - 22122022 - 1-QC_P_2.mzML</v>
      </c>
      <c r="AF1135" s="6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3" t="s">
        <v>1375</v>
      </c>
      <c r="B1136" s="34"/>
      <c r="C1136" s="4" t="s">
        <v>1376</v>
      </c>
      <c r="D1136" s="6" t="s">
        <v>19</v>
      </c>
      <c r="E1136" s="6" t="s">
        <v>1277</v>
      </c>
      <c r="F1136" s="7" t="s">
        <v>1278</v>
      </c>
      <c r="G1136" s="6" t="s">
        <v>1277</v>
      </c>
      <c r="H1136" s="27" t="s">
        <v>85</v>
      </c>
      <c r="I1136" s="6" t="str">
        <f aca="false">CONCATENATE(E1136, "_",H1136)</f>
        <v>NLA_2022_013_QC_P_3</v>
      </c>
      <c r="J1136" s="38" t="s">
        <v>52</v>
      </c>
      <c r="K1136" s="6" t="n">
        <v>3</v>
      </c>
      <c r="L1136" s="9" t="s">
        <v>69</v>
      </c>
      <c r="M1136" s="13" t="s">
        <v>46</v>
      </c>
      <c r="N1136" s="6" t="s">
        <v>78</v>
      </c>
      <c r="O1136" s="6" t="s">
        <v>46</v>
      </c>
      <c r="P1136" s="6" t="s">
        <v>79</v>
      </c>
      <c r="Q1136" s="6" t="s">
        <v>80</v>
      </c>
      <c r="R1136" s="6" t="s">
        <v>81</v>
      </c>
      <c r="S1136" s="6" t="s">
        <v>46</v>
      </c>
      <c r="T1136" s="6" t="s">
        <v>46</v>
      </c>
      <c r="U1136" s="6" t="s">
        <v>82</v>
      </c>
      <c r="V1136" s="1" t="n">
        <v>3</v>
      </c>
      <c r="W1136" s="6"/>
      <c r="X1136" s="6" t="s">
        <v>83</v>
      </c>
      <c r="Y1136" s="6" t="n">
        <v>5500</v>
      </c>
      <c r="Z1136" s="6" t="s">
        <v>1283</v>
      </c>
      <c r="AA1136" s="6" t="s">
        <v>1284</v>
      </c>
      <c r="AB1136" s="15" t="str">
        <f aca="true" t="array" ref="AB1136:AB1136">LEFT(AA1136,LOOKUP(2^15,FIND(".",AA1136,ROW(INDIRECT("1:"&amp;LEN(AA1136)))))-1)</f>
        <v>NB_2022_061 - 22122022 - 1</v>
      </c>
      <c r="AC1136" s="6" t="s">
        <v>1285</v>
      </c>
      <c r="AD1136" s="15" t="str">
        <f aca="true" t="array" ref="AD1136:AD1136">LEFT(AC1136,LOOKUP(2^15,FIND(".",AC1136,ROW(INDIRECT("1:"&amp;LEN(AC1136)))))-1)</f>
        <v>NB_2022_061 - 22122022 - 2</v>
      </c>
      <c r="AE1136" s="6" t="str">
        <f aca="false">CONCATENATE(AB1136, "-",H1136, ".mzML")</f>
        <v>NB_2022_061 - 22122022 - 1-QC_P_3.mzML</v>
      </c>
      <c r="AF1136" s="6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3" t="s">
        <v>1377</v>
      </c>
      <c r="B1137" s="34"/>
      <c r="C1137" s="4" t="s">
        <v>1378</v>
      </c>
      <c r="D1137" s="6" t="s">
        <v>19</v>
      </c>
      <c r="E1137" s="6" t="s">
        <v>1277</v>
      </c>
      <c r="F1137" s="7" t="s">
        <v>1278</v>
      </c>
      <c r="G1137" s="6" t="s">
        <v>1301</v>
      </c>
      <c r="H1137" s="27" t="s">
        <v>139</v>
      </c>
      <c r="I1137" s="6" t="str">
        <f aca="false">CONCATENATE(E1137, "_",H1137)</f>
        <v>NLA_2022_013_007</v>
      </c>
      <c r="J1137" s="38" t="s">
        <v>38</v>
      </c>
      <c r="K1137" s="6" t="s">
        <v>1302</v>
      </c>
      <c r="L1137" s="9" t="s">
        <v>69</v>
      </c>
      <c r="M1137" s="13" t="s">
        <v>1303</v>
      </c>
      <c r="N1137" s="6" t="s">
        <v>246</v>
      </c>
      <c r="O1137" s="35" t="s">
        <v>1220</v>
      </c>
      <c r="P1137" s="6" t="s">
        <v>1213</v>
      </c>
      <c r="Q1137" s="6" t="s">
        <v>1213</v>
      </c>
      <c r="R1137" s="6" t="s">
        <v>72</v>
      </c>
      <c r="S1137" s="6"/>
      <c r="T1137" s="6" t="s">
        <v>1263</v>
      </c>
      <c r="U1137" s="1" t="n">
        <v>1500</v>
      </c>
      <c r="V1137" s="1" t="n">
        <v>1</v>
      </c>
      <c r="W1137" s="6"/>
      <c r="X1137" s="9" t="s">
        <v>1215</v>
      </c>
      <c r="Y1137" s="1" t="n">
        <v>5500</v>
      </c>
      <c r="Z1137" s="6" t="s">
        <v>1283</v>
      </c>
      <c r="AA1137" s="6" t="s">
        <v>1284</v>
      </c>
      <c r="AB1137" s="15" t="str">
        <f aca="true" t="array" ref="AB1137:AB1137">LEFT(AA1137,LOOKUP(2^15,FIND(".",AA1137,ROW(INDIRECT("1:"&amp;LEN(AA1137)))))-1)</f>
        <v>NB_2022_061 - 22122022 - 1</v>
      </c>
      <c r="AC1137" s="6" t="s">
        <v>1285</v>
      </c>
      <c r="AD1137" s="15" t="str">
        <f aca="true" t="array" ref="AD1137:AD1137">LEFT(AC1137,LOOKUP(2^15,FIND(".",AC1137,ROW(INDIRECT("1:"&amp;LEN(AC1137)))))-1)</f>
        <v>NB_2022_061 - 22122022 - 2</v>
      </c>
      <c r="AE1137" s="6" t="str">
        <f aca="false">CONCATENATE(AB1137, "-",H1137, ".mzML")</f>
        <v>NB_2022_061 - 22122022 - 1-007.mzML</v>
      </c>
      <c r="AF1137" s="6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3" t="s">
        <v>1377</v>
      </c>
      <c r="B1138" s="34"/>
      <c r="C1138" s="4" t="s">
        <v>1378</v>
      </c>
      <c r="D1138" s="6" t="s">
        <v>19</v>
      </c>
      <c r="E1138" s="6" t="s">
        <v>1277</v>
      </c>
      <c r="F1138" s="7" t="s">
        <v>1278</v>
      </c>
      <c r="G1138" s="6" t="s">
        <v>1301</v>
      </c>
      <c r="H1138" s="27" t="s">
        <v>142</v>
      </c>
      <c r="I1138" s="6" t="str">
        <f aca="false">CONCATENATE(E1138, "_",H1138)</f>
        <v>NLA_2022_013_008</v>
      </c>
      <c r="J1138" s="38" t="s">
        <v>38</v>
      </c>
      <c r="K1138" s="6" t="s">
        <v>1304</v>
      </c>
      <c r="L1138" s="9" t="s">
        <v>69</v>
      </c>
      <c r="M1138" s="13" t="s">
        <v>1303</v>
      </c>
      <c r="N1138" s="6" t="s">
        <v>246</v>
      </c>
      <c r="O1138" s="35" t="s">
        <v>1220</v>
      </c>
      <c r="P1138" s="6" t="s">
        <v>1213</v>
      </c>
      <c r="Q1138" s="6" t="s">
        <v>1213</v>
      </c>
      <c r="R1138" s="6" t="s">
        <v>72</v>
      </c>
      <c r="S1138" s="6"/>
      <c r="T1138" s="6" t="s">
        <v>1263</v>
      </c>
      <c r="U1138" s="1" t="n">
        <v>1500</v>
      </c>
      <c r="V1138" s="1" t="n">
        <v>2</v>
      </c>
      <c r="W1138" s="6"/>
      <c r="X1138" s="9" t="s">
        <v>1215</v>
      </c>
      <c r="Y1138" s="1" t="n">
        <v>5500</v>
      </c>
      <c r="Z1138" s="6" t="s">
        <v>1283</v>
      </c>
      <c r="AA1138" s="6" t="s">
        <v>1284</v>
      </c>
      <c r="AB1138" s="15" t="str">
        <f aca="true" t="array" ref="AB1138:AB1138">LEFT(AA1138,LOOKUP(2^15,FIND(".",AA1138,ROW(INDIRECT("1:"&amp;LEN(AA1138)))))-1)</f>
        <v>NB_2022_061 - 22122022 - 1</v>
      </c>
      <c r="AC1138" s="6" t="s">
        <v>1285</v>
      </c>
      <c r="AD1138" s="15" t="str">
        <f aca="true" t="array" ref="AD1138:AD1138">LEFT(AC1138,LOOKUP(2^15,FIND(".",AC1138,ROW(INDIRECT("1:"&amp;LEN(AC1138)))))-1)</f>
        <v>NB_2022_061 - 22122022 - 2</v>
      </c>
      <c r="AE1138" s="6" t="str">
        <f aca="false">CONCATENATE(AB1138, "-",H1138, ".mzML")</f>
        <v>NB_2022_061 - 22122022 - 1-008.mzML</v>
      </c>
      <c r="AF1138" s="6" t="str">
        <f aca="false">CONCATENATE(AD1138, "-",H1138, ".mzML")</f>
        <v>NB_2022_061 - 22122022 - 2-008.mzML</v>
      </c>
    </row>
    <row r="1139" customFormat="false" ht="18.55" hidden="false" customHeight="false" outlineLevel="0" collapsed="false">
      <c r="A1139" s="33" t="s">
        <v>1377</v>
      </c>
      <c r="B1139" s="34"/>
      <c r="C1139" s="4" t="s">
        <v>1378</v>
      </c>
      <c r="D1139" s="6" t="s">
        <v>19</v>
      </c>
      <c r="E1139" s="6" t="s">
        <v>1277</v>
      </c>
      <c r="F1139" s="7" t="s">
        <v>1278</v>
      </c>
      <c r="G1139" s="6" t="s">
        <v>1301</v>
      </c>
      <c r="H1139" s="27" t="s">
        <v>37</v>
      </c>
      <c r="I1139" s="6" t="str">
        <f aca="false">CONCATENATE(E1139, "_",H1139)</f>
        <v>NLA_2022_013_009</v>
      </c>
      <c r="J1139" s="38" t="s">
        <v>38</v>
      </c>
      <c r="K1139" s="6" t="s">
        <v>1305</v>
      </c>
      <c r="L1139" s="9" t="s">
        <v>69</v>
      </c>
      <c r="M1139" s="13" t="s">
        <v>1303</v>
      </c>
      <c r="N1139" s="6" t="s">
        <v>246</v>
      </c>
      <c r="O1139" s="35" t="s">
        <v>1220</v>
      </c>
      <c r="P1139" s="6" t="s">
        <v>1213</v>
      </c>
      <c r="Q1139" s="6" t="s">
        <v>1213</v>
      </c>
      <c r="R1139" s="6" t="s">
        <v>72</v>
      </c>
      <c r="S1139" s="6"/>
      <c r="T1139" s="6" t="s">
        <v>1263</v>
      </c>
      <c r="U1139" s="1" t="n">
        <v>1500</v>
      </c>
      <c r="V1139" s="1" t="n">
        <v>3</v>
      </c>
      <c r="W1139" s="6"/>
      <c r="X1139" s="9" t="s">
        <v>1215</v>
      </c>
      <c r="Y1139" s="1" t="n">
        <v>5500</v>
      </c>
      <c r="Z1139" s="6" t="s">
        <v>1283</v>
      </c>
      <c r="AA1139" s="6" t="s">
        <v>1284</v>
      </c>
      <c r="AB1139" s="15" t="str">
        <f aca="true" t="array" ref="AB1139:AB1139">LEFT(AA1139,LOOKUP(2^15,FIND(".",AA1139,ROW(INDIRECT("1:"&amp;LEN(AA1139)))))-1)</f>
        <v>NB_2022_061 - 22122022 - 1</v>
      </c>
      <c r="AC1139" s="6" t="s">
        <v>1285</v>
      </c>
      <c r="AD1139" s="15" t="str">
        <f aca="true" t="array" ref="AD1139:AD1139">LEFT(AC1139,LOOKUP(2^15,FIND(".",AC1139,ROW(INDIRECT("1:"&amp;LEN(AC1139)))))-1)</f>
        <v>NB_2022_061 - 22122022 - 2</v>
      </c>
      <c r="AE1139" s="6" t="str">
        <f aca="false">CONCATENATE(AB1139, "-",H1139, ".mzML")</f>
        <v>NB_2022_061 - 22122022 - 1-009.mzML</v>
      </c>
      <c r="AF1139" s="6" t="str">
        <f aca="false">CONCATENATE(AD1139, "-",H1139, ".mzML")</f>
        <v>NB_2022_061 - 22122022 - 2-009.mzML</v>
      </c>
    </row>
    <row r="1140" customFormat="false" ht="18.55" hidden="false" customHeight="false" outlineLevel="0" collapsed="false">
      <c r="A1140" s="33" t="s">
        <v>1377</v>
      </c>
      <c r="B1140" s="34"/>
      <c r="C1140" s="4" t="s">
        <v>1378</v>
      </c>
      <c r="D1140" s="6" t="s">
        <v>19</v>
      </c>
      <c r="E1140" s="6" t="s">
        <v>1277</v>
      </c>
      <c r="F1140" s="7" t="s">
        <v>1278</v>
      </c>
      <c r="G1140" s="6" t="s">
        <v>1301</v>
      </c>
      <c r="H1140" s="27" t="s">
        <v>129</v>
      </c>
      <c r="I1140" s="6" t="str">
        <f aca="false">CONCATENATE(E1140, "_",H1140)</f>
        <v>NLA_2022_013_010</v>
      </c>
      <c r="J1140" s="38" t="s">
        <v>52</v>
      </c>
      <c r="K1140" s="6" t="s">
        <v>1306</v>
      </c>
      <c r="L1140" s="9" t="s">
        <v>69</v>
      </c>
      <c r="M1140" s="13" t="s">
        <v>1303</v>
      </c>
      <c r="N1140" s="6" t="s">
        <v>246</v>
      </c>
      <c r="O1140" s="35" t="s">
        <v>1220</v>
      </c>
      <c r="P1140" s="6" t="s">
        <v>1213</v>
      </c>
      <c r="Q1140" s="6" t="s">
        <v>1213</v>
      </c>
      <c r="R1140" s="6" t="s">
        <v>72</v>
      </c>
      <c r="S1140" s="6"/>
      <c r="T1140" s="6" t="s">
        <v>1265</v>
      </c>
      <c r="U1140" s="1" t="n">
        <v>1500</v>
      </c>
      <c r="V1140" s="1" t="n">
        <v>1</v>
      </c>
      <c r="W1140" s="6"/>
      <c r="X1140" s="9" t="s">
        <v>1215</v>
      </c>
      <c r="Y1140" s="1" t="n">
        <v>5500</v>
      </c>
      <c r="Z1140" s="6" t="s">
        <v>1283</v>
      </c>
      <c r="AA1140" s="6" t="s">
        <v>1284</v>
      </c>
      <c r="AB1140" s="15" t="str">
        <f aca="true" t="array" ref="AB1140:AB1140">LEFT(AA1140,LOOKUP(2^15,FIND(".",AA1140,ROW(INDIRECT("1:"&amp;LEN(AA1140)))))-1)</f>
        <v>NB_2022_061 - 22122022 - 1</v>
      </c>
      <c r="AC1140" s="6" t="s">
        <v>1285</v>
      </c>
      <c r="AD1140" s="15" t="str">
        <f aca="true" t="array" ref="AD1140:AD1140">LEFT(AC1140,LOOKUP(2^15,FIND(".",AC1140,ROW(INDIRECT("1:"&amp;LEN(AC1140)))))-1)</f>
        <v>NB_2022_061 - 22122022 - 2</v>
      </c>
      <c r="AE1140" s="6" t="str">
        <f aca="false">CONCATENATE(AB1140, "-",H1140, ".mzML")</f>
        <v>NB_2022_061 - 22122022 - 1-010.mzML</v>
      </c>
      <c r="AF1140" s="6" t="str">
        <f aca="false">CONCATENATE(AD1140, "-",H1140, ".mzML")</f>
        <v>NB_2022_061 - 22122022 - 2-010.mzML</v>
      </c>
    </row>
    <row r="1141" customFormat="false" ht="18.55" hidden="false" customHeight="false" outlineLevel="0" collapsed="false">
      <c r="A1141" s="33" t="s">
        <v>1377</v>
      </c>
      <c r="B1141" s="34"/>
      <c r="C1141" s="4" t="s">
        <v>1378</v>
      </c>
      <c r="D1141" s="6" t="s">
        <v>19</v>
      </c>
      <c r="E1141" s="6" t="s">
        <v>1277</v>
      </c>
      <c r="F1141" s="7" t="s">
        <v>1278</v>
      </c>
      <c r="G1141" s="6" t="s">
        <v>1301</v>
      </c>
      <c r="H1141" s="27" t="s">
        <v>132</v>
      </c>
      <c r="I1141" s="6" t="str">
        <f aca="false">CONCATENATE(E1141, "_",H1141)</f>
        <v>NLA_2022_013_011</v>
      </c>
      <c r="J1141" s="38" t="s">
        <v>52</v>
      </c>
      <c r="K1141" s="6" t="s">
        <v>1307</v>
      </c>
      <c r="L1141" s="9" t="s">
        <v>69</v>
      </c>
      <c r="M1141" s="13" t="s">
        <v>1303</v>
      </c>
      <c r="N1141" s="6" t="s">
        <v>246</v>
      </c>
      <c r="O1141" s="35" t="s">
        <v>1220</v>
      </c>
      <c r="P1141" s="6" t="s">
        <v>1213</v>
      </c>
      <c r="Q1141" s="6" t="s">
        <v>1213</v>
      </c>
      <c r="R1141" s="6" t="s">
        <v>72</v>
      </c>
      <c r="S1141" s="6"/>
      <c r="T1141" s="6" t="s">
        <v>1265</v>
      </c>
      <c r="U1141" s="1" t="n">
        <v>1500</v>
      </c>
      <c r="V1141" s="1" t="n">
        <v>2</v>
      </c>
      <c r="W1141" s="6"/>
      <c r="X1141" s="9" t="s">
        <v>1215</v>
      </c>
      <c r="Y1141" s="1" t="n">
        <v>5500</v>
      </c>
      <c r="Z1141" s="6" t="s">
        <v>1283</v>
      </c>
      <c r="AA1141" s="6" t="s">
        <v>1284</v>
      </c>
      <c r="AB1141" s="15" t="str">
        <f aca="true" t="array" ref="AB1141:AB1141">LEFT(AA1141,LOOKUP(2^15,FIND(".",AA1141,ROW(INDIRECT("1:"&amp;LEN(AA1141)))))-1)</f>
        <v>NB_2022_061 - 22122022 - 1</v>
      </c>
      <c r="AC1141" s="6" t="s">
        <v>1285</v>
      </c>
      <c r="AD1141" s="15" t="str">
        <f aca="true" t="array" ref="AD1141:AD1141">LEFT(AC1141,LOOKUP(2^15,FIND(".",AC1141,ROW(INDIRECT("1:"&amp;LEN(AC1141)))))-1)</f>
        <v>NB_2022_061 - 22122022 - 2</v>
      </c>
      <c r="AE1141" s="6" t="str">
        <f aca="false">CONCATENATE(AB1141, "-",H1141, ".mzML")</f>
        <v>NB_2022_061 - 22122022 - 1-011.mzML</v>
      </c>
      <c r="AF1141" s="6" t="str">
        <f aca="false">CONCATENATE(AD1141, "-",H1141, ".mzML")</f>
        <v>NB_2022_061 - 22122022 - 2-011.mzML</v>
      </c>
    </row>
    <row r="1142" customFormat="false" ht="18.55" hidden="false" customHeight="false" outlineLevel="0" collapsed="false">
      <c r="A1142" s="33" t="s">
        <v>1377</v>
      </c>
      <c r="B1142" s="34"/>
      <c r="C1142" s="4" t="s">
        <v>1378</v>
      </c>
      <c r="D1142" s="6" t="s">
        <v>19</v>
      </c>
      <c r="E1142" s="6" t="s">
        <v>1277</v>
      </c>
      <c r="F1142" s="7" t="s">
        <v>1278</v>
      </c>
      <c r="G1142" s="6" t="s">
        <v>1301</v>
      </c>
      <c r="H1142" s="27" t="s">
        <v>51</v>
      </c>
      <c r="I1142" s="6" t="str">
        <f aca="false">CONCATENATE(E1142, "_",H1142)</f>
        <v>NLA_2022_013_012</v>
      </c>
      <c r="J1142" s="38" t="s">
        <v>52</v>
      </c>
      <c r="K1142" s="6" t="s">
        <v>1308</v>
      </c>
      <c r="L1142" s="9" t="s">
        <v>69</v>
      </c>
      <c r="M1142" s="13" t="s">
        <v>1303</v>
      </c>
      <c r="N1142" s="6" t="s">
        <v>246</v>
      </c>
      <c r="O1142" s="35" t="s">
        <v>1220</v>
      </c>
      <c r="P1142" s="6" t="s">
        <v>1213</v>
      </c>
      <c r="Q1142" s="6" t="s">
        <v>1213</v>
      </c>
      <c r="R1142" s="6" t="s">
        <v>72</v>
      </c>
      <c r="S1142" s="6"/>
      <c r="T1142" s="6" t="s">
        <v>1265</v>
      </c>
      <c r="U1142" s="1" t="n">
        <v>1500</v>
      </c>
      <c r="V1142" s="1" t="n">
        <v>3</v>
      </c>
      <c r="W1142" s="6"/>
      <c r="X1142" s="9" t="s">
        <v>1215</v>
      </c>
      <c r="Y1142" s="1" t="n">
        <v>5500</v>
      </c>
      <c r="Z1142" s="6" t="s">
        <v>1283</v>
      </c>
      <c r="AA1142" s="6" t="s">
        <v>1284</v>
      </c>
      <c r="AB1142" s="15" t="str">
        <f aca="true" t="array" ref="AB1142:AB1142">LEFT(AA1142,LOOKUP(2^15,FIND(".",AA1142,ROW(INDIRECT("1:"&amp;LEN(AA1142)))))-1)</f>
        <v>NB_2022_061 - 22122022 - 1</v>
      </c>
      <c r="AC1142" s="6" t="s">
        <v>1285</v>
      </c>
      <c r="AD1142" s="15" t="str">
        <f aca="true" t="array" ref="AD1142:AD1142">LEFT(AC1142,LOOKUP(2^15,FIND(".",AC1142,ROW(INDIRECT("1:"&amp;LEN(AC1142)))))-1)</f>
        <v>NB_2022_061 - 22122022 - 2</v>
      </c>
      <c r="AE1142" s="6" t="str">
        <f aca="false">CONCATENATE(AB1142, "-",H1142, ".mzML")</f>
        <v>NB_2022_061 - 22122022 - 1-012.mzML</v>
      </c>
      <c r="AF1142" s="6" t="str">
        <f aca="false">CONCATENATE(AD1142, "-",H1142, ".mzML")</f>
        <v>NB_2022_061 - 22122022 - 2-012.mzML</v>
      </c>
    </row>
    <row r="1143" customFormat="false" ht="18.55" hidden="false" customHeight="false" outlineLevel="0" collapsed="false">
      <c r="A1143" s="33" t="s">
        <v>1377</v>
      </c>
      <c r="B1143" s="34"/>
      <c r="C1143" s="4" t="s">
        <v>1378</v>
      </c>
      <c r="D1143" s="6" t="s">
        <v>19</v>
      </c>
      <c r="E1143" s="6" t="s">
        <v>1277</v>
      </c>
      <c r="F1143" s="7" t="s">
        <v>1278</v>
      </c>
      <c r="G1143" s="6" t="s">
        <v>1293</v>
      </c>
      <c r="H1143" s="27" t="s">
        <v>56</v>
      </c>
      <c r="I1143" s="6" t="str">
        <f aca="false">CONCATENATE(E1143, "_",H1143)</f>
        <v>NLA_2022_013_013</v>
      </c>
      <c r="J1143" s="38" t="s">
        <v>38</v>
      </c>
      <c r="K1143" s="6" t="s">
        <v>1311</v>
      </c>
      <c r="L1143" s="9" t="s">
        <v>69</v>
      </c>
      <c r="M1143" s="13" t="s">
        <v>1295</v>
      </c>
      <c r="N1143" s="6" t="s">
        <v>246</v>
      </c>
      <c r="O1143" s="35" t="s">
        <v>1220</v>
      </c>
      <c r="P1143" s="6" t="s">
        <v>1213</v>
      </c>
      <c r="Q1143" s="6" t="s">
        <v>1213</v>
      </c>
      <c r="R1143" s="6" t="s">
        <v>72</v>
      </c>
      <c r="S1143" s="6"/>
      <c r="T1143" s="6" t="s">
        <v>1263</v>
      </c>
      <c r="U1143" s="1" t="n">
        <v>1500</v>
      </c>
      <c r="V1143" s="1" t="n">
        <v>1</v>
      </c>
      <c r="W1143" s="6"/>
      <c r="X1143" s="9" t="s">
        <v>1215</v>
      </c>
      <c r="Y1143" s="1" t="n">
        <v>5500</v>
      </c>
      <c r="Z1143" s="6" t="s">
        <v>1283</v>
      </c>
      <c r="AA1143" s="6" t="s">
        <v>1284</v>
      </c>
      <c r="AB1143" s="15" t="str">
        <f aca="true" t="array" ref="AB1143:AB1143">LEFT(AA1143,LOOKUP(2^15,FIND(".",AA1143,ROW(INDIRECT("1:"&amp;LEN(AA1143)))))-1)</f>
        <v>NB_2022_061 - 22122022 - 1</v>
      </c>
      <c r="AC1143" s="6" t="s">
        <v>1285</v>
      </c>
      <c r="AD1143" s="15" t="str">
        <f aca="true" t="array" ref="AD1143:AD1143">LEFT(AC1143,LOOKUP(2^15,FIND(".",AC1143,ROW(INDIRECT("1:"&amp;LEN(AC1143)))))-1)</f>
        <v>NB_2022_061 - 22122022 - 2</v>
      </c>
      <c r="AE1143" s="6" t="str">
        <f aca="false">CONCATENATE(AB1143, "-",H1143, ".mzML")</f>
        <v>NB_2022_061 - 22122022 - 1-013.mzML</v>
      </c>
      <c r="AF1143" s="6" t="str">
        <f aca="false">CONCATENATE(AD1143, "-",H1143, ".mzML")</f>
        <v>NB_2022_061 - 22122022 - 2-013.mzML</v>
      </c>
    </row>
    <row r="1144" customFormat="false" ht="18.55" hidden="false" customHeight="false" outlineLevel="0" collapsed="false">
      <c r="A1144" s="33" t="s">
        <v>1377</v>
      </c>
      <c r="B1144" s="34"/>
      <c r="C1144" s="4" t="s">
        <v>1378</v>
      </c>
      <c r="D1144" s="6" t="s">
        <v>19</v>
      </c>
      <c r="E1144" s="6" t="s">
        <v>1277</v>
      </c>
      <c r="F1144" s="7" t="s">
        <v>1278</v>
      </c>
      <c r="G1144" s="6" t="s">
        <v>1293</v>
      </c>
      <c r="H1144" s="27" t="s">
        <v>58</v>
      </c>
      <c r="I1144" s="6" t="str">
        <f aca="false">CONCATENATE(E1144, "_",H1144)</f>
        <v>NLA_2022_013_014</v>
      </c>
      <c r="J1144" s="38" t="s">
        <v>38</v>
      </c>
      <c r="K1144" s="6" t="s">
        <v>1312</v>
      </c>
      <c r="L1144" s="9" t="s">
        <v>69</v>
      </c>
      <c r="M1144" s="13" t="s">
        <v>1295</v>
      </c>
      <c r="N1144" s="6" t="s">
        <v>246</v>
      </c>
      <c r="O1144" s="35" t="s">
        <v>1220</v>
      </c>
      <c r="P1144" s="6" t="s">
        <v>1213</v>
      </c>
      <c r="Q1144" s="6" t="s">
        <v>1213</v>
      </c>
      <c r="R1144" s="6" t="s">
        <v>72</v>
      </c>
      <c r="S1144" s="6"/>
      <c r="T1144" s="6" t="s">
        <v>1263</v>
      </c>
      <c r="U1144" s="1" t="n">
        <v>1500</v>
      </c>
      <c r="V1144" s="1" t="n">
        <v>2</v>
      </c>
      <c r="W1144" s="6"/>
      <c r="X1144" s="9" t="s">
        <v>1215</v>
      </c>
      <c r="Y1144" s="1" t="n">
        <v>5500</v>
      </c>
      <c r="Z1144" s="6" t="s">
        <v>1283</v>
      </c>
      <c r="AA1144" s="6" t="s">
        <v>1284</v>
      </c>
      <c r="AB1144" s="15" t="str">
        <f aca="true" t="array" ref="AB1144:AB1144">LEFT(AA1144,LOOKUP(2^15,FIND(".",AA1144,ROW(INDIRECT("1:"&amp;LEN(AA1144)))))-1)</f>
        <v>NB_2022_061 - 22122022 - 1</v>
      </c>
      <c r="AC1144" s="6" t="s">
        <v>1285</v>
      </c>
      <c r="AD1144" s="15" t="str">
        <f aca="true" t="array" ref="AD1144:AD1144">LEFT(AC1144,LOOKUP(2^15,FIND(".",AC1144,ROW(INDIRECT("1:"&amp;LEN(AC1144)))))-1)</f>
        <v>NB_2022_061 - 22122022 - 2</v>
      </c>
      <c r="AE1144" s="6" t="str">
        <f aca="false">CONCATENATE(AB1144, "-",H1144, ".mzML")</f>
        <v>NB_2022_061 - 22122022 - 1-014.mzML</v>
      </c>
      <c r="AF1144" s="6" t="str">
        <f aca="false">CONCATENATE(AD1144, "-",H1144, ".mzML")</f>
        <v>NB_2022_061 - 22122022 - 2-014.mzML</v>
      </c>
    </row>
    <row r="1145" customFormat="false" ht="18.55" hidden="false" customHeight="false" outlineLevel="0" collapsed="false">
      <c r="A1145" s="33" t="s">
        <v>1377</v>
      </c>
      <c r="B1145" s="34"/>
      <c r="C1145" s="4" t="s">
        <v>1378</v>
      </c>
      <c r="D1145" s="6" t="s">
        <v>19</v>
      </c>
      <c r="E1145" s="6" t="s">
        <v>1277</v>
      </c>
      <c r="F1145" s="7" t="s">
        <v>1278</v>
      </c>
      <c r="G1145" s="6" t="s">
        <v>1293</v>
      </c>
      <c r="H1145" s="27" t="s">
        <v>172</v>
      </c>
      <c r="I1145" s="6" t="str">
        <f aca="false">CONCATENATE(E1145, "_",H1145)</f>
        <v>NLA_2022_013_015</v>
      </c>
      <c r="J1145" s="38" t="s">
        <v>38</v>
      </c>
      <c r="K1145" s="6" t="s">
        <v>1313</v>
      </c>
      <c r="L1145" s="9" t="s">
        <v>69</v>
      </c>
      <c r="M1145" s="13" t="s">
        <v>1295</v>
      </c>
      <c r="N1145" s="6" t="s">
        <v>246</v>
      </c>
      <c r="O1145" s="35" t="s">
        <v>1220</v>
      </c>
      <c r="P1145" s="6" t="s">
        <v>1213</v>
      </c>
      <c r="Q1145" s="6" t="s">
        <v>1213</v>
      </c>
      <c r="R1145" s="6" t="s">
        <v>72</v>
      </c>
      <c r="S1145" s="6"/>
      <c r="T1145" s="6" t="s">
        <v>1263</v>
      </c>
      <c r="U1145" s="1" t="n">
        <v>1500</v>
      </c>
      <c r="V1145" s="1" t="n">
        <v>3</v>
      </c>
      <c r="W1145" s="6"/>
      <c r="X1145" s="9" t="s">
        <v>1215</v>
      </c>
      <c r="Y1145" s="1" t="n">
        <v>5500</v>
      </c>
      <c r="Z1145" s="6" t="s">
        <v>1283</v>
      </c>
      <c r="AA1145" s="6" t="s">
        <v>1284</v>
      </c>
      <c r="AB1145" s="15" t="str">
        <f aca="true" t="array" ref="AB1145:AB1145">LEFT(AA1145,LOOKUP(2^15,FIND(".",AA1145,ROW(INDIRECT("1:"&amp;LEN(AA1145)))))-1)</f>
        <v>NB_2022_061 - 22122022 - 1</v>
      </c>
      <c r="AC1145" s="6" t="s">
        <v>1285</v>
      </c>
      <c r="AD1145" s="15" t="str">
        <f aca="true" t="array" ref="AD1145:AD1145">LEFT(AC1145,LOOKUP(2^15,FIND(".",AC1145,ROW(INDIRECT("1:"&amp;LEN(AC1145)))))-1)</f>
        <v>NB_2022_061 - 22122022 - 2</v>
      </c>
      <c r="AE1145" s="6" t="str">
        <f aca="false">CONCATENATE(AB1145, "-",H1145, ".mzML")</f>
        <v>NB_2022_061 - 22122022 - 1-015.mzML</v>
      </c>
      <c r="AF1145" s="6" t="str">
        <f aca="false">CONCATENATE(AD1145, "-",H1145, ".mzML")</f>
        <v>NB_2022_061 - 22122022 - 2-015.mzML</v>
      </c>
    </row>
    <row r="1146" customFormat="false" ht="18.55" hidden="false" customHeight="false" outlineLevel="0" collapsed="false">
      <c r="A1146" s="33" t="s">
        <v>1377</v>
      </c>
      <c r="B1146" s="34"/>
      <c r="C1146" s="4" t="s">
        <v>1378</v>
      </c>
      <c r="D1146" s="6" t="s">
        <v>19</v>
      </c>
      <c r="E1146" s="6" t="s">
        <v>1277</v>
      </c>
      <c r="F1146" s="7" t="s">
        <v>1278</v>
      </c>
      <c r="G1146" s="6" t="s">
        <v>1293</v>
      </c>
      <c r="H1146" s="27" t="s">
        <v>60</v>
      </c>
      <c r="I1146" s="6" t="str">
        <f aca="false">CONCATENATE(E1146, "_",H1146)</f>
        <v>NLA_2022_013_016</v>
      </c>
      <c r="J1146" s="38" t="s">
        <v>52</v>
      </c>
      <c r="K1146" s="6" t="s">
        <v>1314</v>
      </c>
      <c r="L1146" s="9" t="s">
        <v>69</v>
      </c>
      <c r="M1146" s="13" t="s">
        <v>1295</v>
      </c>
      <c r="N1146" s="6" t="s">
        <v>246</v>
      </c>
      <c r="O1146" s="35" t="s">
        <v>1220</v>
      </c>
      <c r="P1146" s="6" t="s">
        <v>1213</v>
      </c>
      <c r="Q1146" s="6" t="s">
        <v>1213</v>
      </c>
      <c r="R1146" s="6" t="s">
        <v>72</v>
      </c>
      <c r="S1146" s="6"/>
      <c r="T1146" s="6" t="s">
        <v>1265</v>
      </c>
      <c r="U1146" s="1" t="n">
        <v>1500</v>
      </c>
      <c r="V1146" s="1" t="n">
        <v>1</v>
      </c>
      <c r="W1146" s="6"/>
      <c r="X1146" s="9" t="s">
        <v>1215</v>
      </c>
      <c r="Y1146" s="1" t="n">
        <v>5500</v>
      </c>
      <c r="Z1146" s="6" t="s">
        <v>1283</v>
      </c>
      <c r="AA1146" s="6" t="s">
        <v>1284</v>
      </c>
      <c r="AB1146" s="15" t="str">
        <f aca="true" t="array" ref="AB1146:AB1146">LEFT(AA1146,LOOKUP(2^15,FIND(".",AA1146,ROW(INDIRECT("1:"&amp;LEN(AA1146)))))-1)</f>
        <v>NB_2022_061 - 22122022 - 1</v>
      </c>
      <c r="AC1146" s="6" t="s">
        <v>1285</v>
      </c>
      <c r="AD1146" s="15" t="str">
        <f aca="true" t="array" ref="AD1146:AD1146">LEFT(AC1146,LOOKUP(2^15,FIND(".",AC1146,ROW(INDIRECT("1:"&amp;LEN(AC1146)))))-1)</f>
        <v>NB_2022_061 - 22122022 - 2</v>
      </c>
      <c r="AE1146" s="6" t="str">
        <f aca="false">CONCATENATE(AB1146, "-",H1146, ".mzML")</f>
        <v>NB_2022_061 - 22122022 - 1-016.mzML</v>
      </c>
      <c r="AF1146" s="6" t="str">
        <f aca="false">CONCATENATE(AD1146, "-",H1146, ".mzML")</f>
        <v>NB_2022_061 - 22122022 - 2-016.mzML</v>
      </c>
    </row>
    <row r="1147" customFormat="false" ht="18.55" hidden="false" customHeight="false" outlineLevel="0" collapsed="false">
      <c r="A1147" s="33" t="s">
        <v>1377</v>
      </c>
      <c r="B1147" s="34"/>
      <c r="C1147" s="4" t="s">
        <v>1378</v>
      </c>
      <c r="D1147" s="6" t="s">
        <v>19</v>
      </c>
      <c r="E1147" s="6" t="s">
        <v>1277</v>
      </c>
      <c r="F1147" s="7" t="s">
        <v>1278</v>
      </c>
      <c r="G1147" s="6" t="s">
        <v>1293</v>
      </c>
      <c r="H1147" s="27" t="s">
        <v>181</v>
      </c>
      <c r="I1147" s="6" t="str">
        <f aca="false">CONCATENATE(E1147, "_",H1147)</f>
        <v>NLA_2022_013_017</v>
      </c>
      <c r="J1147" s="38" t="s">
        <v>52</v>
      </c>
      <c r="K1147" s="6" t="s">
        <v>1315</v>
      </c>
      <c r="L1147" s="9" t="s">
        <v>69</v>
      </c>
      <c r="M1147" s="13" t="s">
        <v>1295</v>
      </c>
      <c r="N1147" s="6" t="s">
        <v>246</v>
      </c>
      <c r="O1147" s="35" t="s">
        <v>1220</v>
      </c>
      <c r="P1147" s="6" t="s">
        <v>1213</v>
      </c>
      <c r="Q1147" s="6" t="s">
        <v>1213</v>
      </c>
      <c r="R1147" s="6" t="s">
        <v>72</v>
      </c>
      <c r="S1147" s="6"/>
      <c r="T1147" s="6" t="s">
        <v>1265</v>
      </c>
      <c r="U1147" s="1" t="n">
        <v>1500</v>
      </c>
      <c r="V1147" s="1" t="n">
        <v>2</v>
      </c>
      <c r="W1147" s="6"/>
      <c r="X1147" s="9" t="s">
        <v>1215</v>
      </c>
      <c r="Y1147" s="1" t="n">
        <v>5500</v>
      </c>
      <c r="Z1147" s="6" t="s">
        <v>1283</v>
      </c>
      <c r="AA1147" s="6" t="s">
        <v>1284</v>
      </c>
      <c r="AB1147" s="15" t="str">
        <f aca="true" t="array" ref="AB1147:AB1147">LEFT(AA1147,LOOKUP(2^15,FIND(".",AA1147,ROW(INDIRECT("1:"&amp;LEN(AA1147)))))-1)</f>
        <v>NB_2022_061 - 22122022 - 1</v>
      </c>
      <c r="AC1147" s="6" t="s">
        <v>1285</v>
      </c>
      <c r="AD1147" s="15" t="str">
        <f aca="true" t="array" ref="AD1147:AD1147">LEFT(AC1147,LOOKUP(2^15,FIND(".",AC1147,ROW(INDIRECT("1:"&amp;LEN(AC1147)))))-1)</f>
        <v>NB_2022_061 - 22122022 - 2</v>
      </c>
      <c r="AE1147" s="6" t="str">
        <f aca="false">CONCATENATE(AB1147, "-",H1147, ".mzML")</f>
        <v>NB_2022_061 - 22122022 - 1-017.mzML</v>
      </c>
      <c r="AF1147" s="6" t="str">
        <f aca="false">CONCATENATE(AD1147, "-",H1147, ".mzML")</f>
        <v>NB_2022_061 - 22122022 - 2-017.mzML</v>
      </c>
    </row>
    <row r="1148" customFormat="false" ht="18.55" hidden="false" customHeight="false" outlineLevel="0" collapsed="false">
      <c r="A1148" s="33" t="s">
        <v>1377</v>
      </c>
      <c r="B1148" s="34"/>
      <c r="C1148" s="4" t="s">
        <v>1378</v>
      </c>
      <c r="D1148" s="6" t="s">
        <v>19</v>
      </c>
      <c r="E1148" s="6" t="s">
        <v>1277</v>
      </c>
      <c r="F1148" s="7" t="s">
        <v>1278</v>
      </c>
      <c r="G1148" s="6" t="s">
        <v>1293</v>
      </c>
      <c r="H1148" s="27" t="s">
        <v>93</v>
      </c>
      <c r="I1148" s="6" t="str">
        <f aca="false">CONCATENATE(E1148, "_",H1148)</f>
        <v>NLA_2022_013_018</v>
      </c>
      <c r="J1148" s="38" t="s">
        <v>52</v>
      </c>
      <c r="K1148" s="6" t="s">
        <v>1316</v>
      </c>
      <c r="L1148" s="9" t="s">
        <v>69</v>
      </c>
      <c r="M1148" s="13" t="s">
        <v>1295</v>
      </c>
      <c r="N1148" s="6" t="s">
        <v>246</v>
      </c>
      <c r="O1148" s="35" t="s">
        <v>1220</v>
      </c>
      <c r="P1148" s="6" t="s">
        <v>1213</v>
      </c>
      <c r="Q1148" s="6" t="s">
        <v>1213</v>
      </c>
      <c r="R1148" s="6" t="s">
        <v>72</v>
      </c>
      <c r="S1148" s="6"/>
      <c r="T1148" s="6" t="s">
        <v>1265</v>
      </c>
      <c r="U1148" s="1" t="n">
        <v>1500</v>
      </c>
      <c r="V1148" s="1" t="n">
        <v>3</v>
      </c>
      <c r="W1148" s="6"/>
      <c r="X1148" s="9" t="s">
        <v>1215</v>
      </c>
      <c r="Y1148" s="1" t="n">
        <v>5500</v>
      </c>
      <c r="Z1148" s="6" t="s">
        <v>1283</v>
      </c>
      <c r="AA1148" s="6" t="s">
        <v>1284</v>
      </c>
      <c r="AB1148" s="15" t="str">
        <f aca="true" t="array" ref="AB1148:AB1148">LEFT(AA1148,LOOKUP(2^15,FIND(".",AA1148,ROW(INDIRECT("1:"&amp;LEN(AA1148)))))-1)</f>
        <v>NB_2022_061 - 22122022 - 1</v>
      </c>
      <c r="AC1148" s="6" t="s">
        <v>1285</v>
      </c>
      <c r="AD1148" s="15" t="str">
        <f aca="true" t="array" ref="AD1148:AD1148">LEFT(AC1148,LOOKUP(2^15,FIND(".",AC1148,ROW(INDIRECT("1:"&amp;LEN(AC1148)))))-1)</f>
        <v>NB_2022_061 - 22122022 - 2</v>
      </c>
      <c r="AE1148" s="6" t="str">
        <f aca="false">CONCATENATE(AB1148, "-",H1148, ".mzML")</f>
        <v>NB_2022_061 - 22122022 - 1-018.mzML</v>
      </c>
      <c r="AF1148" s="6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3" t="s">
        <v>1377</v>
      </c>
      <c r="B1149" s="34"/>
      <c r="C1149" s="4" t="s">
        <v>1378</v>
      </c>
      <c r="D1149" s="6" t="s">
        <v>19</v>
      </c>
      <c r="E1149" s="6" t="s">
        <v>1277</v>
      </c>
      <c r="F1149" s="7" t="s">
        <v>1278</v>
      </c>
      <c r="G1149" s="6" t="s">
        <v>1277</v>
      </c>
      <c r="H1149" s="27" t="s">
        <v>64</v>
      </c>
      <c r="I1149" s="6" t="str">
        <f aca="false">CONCATENATE(E1149, "_",H1149)</f>
        <v>NLA_2022_013_Blank_1</v>
      </c>
      <c r="J1149" s="38" t="s">
        <v>52</v>
      </c>
      <c r="K1149" s="6" t="n">
        <v>1</v>
      </c>
      <c r="L1149" s="9" t="s">
        <v>46</v>
      </c>
      <c r="M1149" s="13" t="s">
        <v>46</v>
      </c>
      <c r="N1149" s="6" t="s">
        <v>65</v>
      </c>
      <c r="O1149" s="6" t="s">
        <v>46</v>
      </c>
      <c r="P1149" s="6" t="s">
        <v>46</v>
      </c>
      <c r="Q1149" s="6" t="s">
        <v>46</v>
      </c>
      <c r="R1149" s="6" t="s">
        <v>46</v>
      </c>
      <c r="S1149" s="6" t="s">
        <v>46</v>
      </c>
      <c r="T1149" s="6" t="s">
        <v>46</v>
      </c>
      <c r="U1149" s="6" t="s">
        <v>46</v>
      </c>
      <c r="V1149" s="1" t="n">
        <v>1</v>
      </c>
      <c r="W1149" s="6"/>
      <c r="X1149" s="6" t="s">
        <v>46</v>
      </c>
      <c r="Y1149" s="1" t="n">
        <v>5500</v>
      </c>
      <c r="Z1149" s="6" t="s">
        <v>1283</v>
      </c>
      <c r="AA1149" s="6" t="s">
        <v>1284</v>
      </c>
      <c r="AB1149" s="15" t="str">
        <f aca="true" t="array" ref="AB1149:AB1149">LEFT(AA1149,LOOKUP(2^15,FIND(".",AA1149,ROW(INDIRECT("1:"&amp;LEN(AA1149)))))-1)</f>
        <v>NB_2022_061 - 22122022 - 1</v>
      </c>
      <c r="AC1149" s="6" t="s">
        <v>1285</v>
      </c>
      <c r="AD1149" s="15" t="str">
        <f aca="true" t="array" ref="AD1149:AD1149">LEFT(AC1149,LOOKUP(2^15,FIND(".",AC1149,ROW(INDIRECT("1:"&amp;LEN(AC1149)))))-1)</f>
        <v>NB_2022_061 - 22122022 - 2</v>
      </c>
      <c r="AE1149" s="6" t="str">
        <f aca="false">CONCATENATE(AB1149, "-",H1149, ".mzML")</f>
        <v>NB_2022_061 - 22122022 - 1-Blank_1.mzML</v>
      </c>
      <c r="AF1149" s="6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3" t="s">
        <v>1377</v>
      </c>
      <c r="B1150" s="34"/>
      <c r="C1150" s="4" t="s">
        <v>1378</v>
      </c>
      <c r="D1150" s="6" t="s">
        <v>19</v>
      </c>
      <c r="E1150" s="6" t="s">
        <v>1277</v>
      </c>
      <c r="F1150" s="7" t="s">
        <v>1278</v>
      </c>
      <c r="G1150" s="6" t="s">
        <v>1277</v>
      </c>
      <c r="H1150" s="27" t="s">
        <v>66</v>
      </c>
      <c r="I1150" s="6" t="str">
        <f aca="false">CONCATENATE(E1150, "_",H1150)</f>
        <v>NLA_2022_013_Blank_2</v>
      </c>
      <c r="J1150" s="38" t="s">
        <v>52</v>
      </c>
      <c r="K1150" s="6" t="n">
        <v>2</v>
      </c>
      <c r="L1150" s="9" t="s">
        <v>46</v>
      </c>
      <c r="M1150" s="13" t="s">
        <v>46</v>
      </c>
      <c r="N1150" s="6" t="s">
        <v>65</v>
      </c>
      <c r="O1150" s="6" t="s">
        <v>46</v>
      </c>
      <c r="P1150" s="6" t="s">
        <v>46</v>
      </c>
      <c r="Q1150" s="6" t="s">
        <v>46</v>
      </c>
      <c r="R1150" s="6" t="s">
        <v>46</v>
      </c>
      <c r="S1150" s="6" t="s">
        <v>46</v>
      </c>
      <c r="T1150" s="6" t="s">
        <v>46</v>
      </c>
      <c r="U1150" s="6" t="s">
        <v>46</v>
      </c>
      <c r="V1150" s="1" t="n">
        <v>2</v>
      </c>
      <c r="W1150" s="6"/>
      <c r="X1150" s="6" t="s">
        <v>46</v>
      </c>
      <c r="Y1150" s="1" t="n">
        <v>5500</v>
      </c>
      <c r="Z1150" s="6" t="s">
        <v>1283</v>
      </c>
      <c r="AA1150" s="6" t="s">
        <v>1284</v>
      </c>
      <c r="AB1150" s="15" t="str">
        <f aca="true" t="array" ref="AB1150:AB1150">LEFT(AA1150,LOOKUP(2^15,FIND(".",AA1150,ROW(INDIRECT("1:"&amp;LEN(AA1150)))))-1)</f>
        <v>NB_2022_061 - 22122022 - 1</v>
      </c>
      <c r="AC1150" s="6" t="s">
        <v>1285</v>
      </c>
      <c r="AD1150" s="15" t="str">
        <f aca="true" t="array" ref="AD1150:AD1150">LEFT(AC1150,LOOKUP(2^15,FIND(".",AC1150,ROW(INDIRECT("1:"&amp;LEN(AC1150)))))-1)</f>
        <v>NB_2022_061 - 22122022 - 2</v>
      </c>
      <c r="AE1150" s="6" t="str">
        <f aca="false">CONCATENATE(AB1150, "-",H1150, ".mzML")</f>
        <v>NB_2022_061 - 22122022 - 1-Blank_2.mzML</v>
      </c>
      <c r="AF1150" s="6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3" t="s">
        <v>1377</v>
      </c>
      <c r="B1151" s="34"/>
      <c r="C1151" s="4" t="s">
        <v>1378</v>
      </c>
      <c r="D1151" s="6" t="s">
        <v>19</v>
      </c>
      <c r="E1151" s="6" t="s">
        <v>1277</v>
      </c>
      <c r="F1151" s="7" t="s">
        <v>1278</v>
      </c>
      <c r="G1151" s="6" t="s">
        <v>1277</v>
      </c>
      <c r="H1151" s="27" t="s">
        <v>67</v>
      </c>
      <c r="I1151" s="6" t="str">
        <f aca="false">CONCATENATE(E1151, "_",H1151)</f>
        <v>NLA_2022_013_Blank_3</v>
      </c>
      <c r="J1151" s="38" t="s">
        <v>52</v>
      </c>
      <c r="K1151" s="6" t="n">
        <v>3</v>
      </c>
      <c r="L1151" s="9" t="s">
        <v>46</v>
      </c>
      <c r="M1151" s="13" t="s">
        <v>46</v>
      </c>
      <c r="N1151" s="6" t="s">
        <v>65</v>
      </c>
      <c r="O1151" s="6" t="s">
        <v>46</v>
      </c>
      <c r="P1151" s="6" t="s">
        <v>46</v>
      </c>
      <c r="Q1151" s="6" t="s">
        <v>46</v>
      </c>
      <c r="R1151" s="6" t="s">
        <v>46</v>
      </c>
      <c r="S1151" s="6" t="s">
        <v>46</v>
      </c>
      <c r="T1151" s="6" t="s">
        <v>46</v>
      </c>
      <c r="U1151" s="6" t="s">
        <v>46</v>
      </c>
      <c r="V1151" s="1" t="n">
        <v>3</v>
      </c>
      <c r="W1151" s="6"/>
      <c r="X1151" s="6" t="s">
        <v>46</v>
      </c>
      <c r="Y1151" s="1" t="n">
        <v>5500</v>
      </c>
      <c r="Z1151" s="6" t="s">
        <v>1283</v>
      </c>
      <c r="AA1151" s="6" t="s">
        <v>1284</v>
      </c>
      <c r="AB1151" s="15" t="str">
        <f aca="true" t="array" ref="AB1151:AB1151">LEFT(AA1151,LOOKUP(2^15,FIND(".",AA1151,ROW(INDIRECT("1:"&amp;LEN(AA1151)))))-1)</f>
        <v>NB_2022_061 - 22122022 - 1</v>
      </c>
      <c r="AC1151" s="6" t="s">
        <v>1285</v>
      </c>
      <c r="AD1151" s="15" t="str">
        <f aca="true" t="array" ref="AD1151:AD1151">LEFT(AC1151,LOOKUP(2^15,FIND(".",AC1151,ROW(INDIRECT("1:"&amp;LEN(AC1151)))))-1)</f>
        <v>NB_2022_061 - 22122022 - 2</v>
      </c>
      <c r="AE1151" s="6" t="str">
        <f aca="false">CONCATENATE(AB1151, "-",H1151, ".mzML")</f>
        <v>NB_2022_061 - 22122022 - 1-Blank_3.mzML</v>
      </c>
      <c r="AF1151" s="6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3" t="s">
        <v>1377</v>
      </c>
      <c r="B1152" s="34"/>
      <c r="C1152" s="4" t="s">
        <v>1378</v>
      </c>
      <c r="D1152" s="6" t="s">
        <v>19</v>
      </c>
      <c r="E1152" s="6" t="s">
        <v>1277</v>
      </c>
      <c r="F1152" s="7" t="s">
        <v>1278</v>
      </c>
      <c r="G1152" s="6" t="s">
        <v>1277</v>
      </c>
      <c r="H1152" s="27" t="s">
        <v>68</v>
      </c>
      <c r="I1152" s="6" t="str">
        <f aca="false">CONCATENATE(E1152, "_",H1152)</f>
        <v>NLA_2022_013_QC_C_1</v>
      </c>
      <c r="J1152" s="38" t="s">
        <v>52</v>
      </c>
      <c r="K1152" s="6" t="n">
        <v>1</v>
      </c>
      <c r="L1152" s="9" t="s">
        <v>69</v>
      </c>
      <c r="M1152" s="3" t="s">
        <v>46</v>
      </c>
      <c r="N1152" s="6" t="s">
        <v>70</v>
      </c>
      <c r="O1152" s="6" t="s">
        <v>46</v>
      </c>
      <c r="P1152" s="6" t="s">
        <v>71</v>
      </c>
      <c r="Q1152" s="6" t="s">
        <v>71</v>
      </c>
      <c r="R1152" s="6" t="s">
        <v>72</v>
      </c>
      <c r="S1152" s="6" t="s">
        <v>73</v>
      </c>
      <c r="T1152" s="6" t="s">
        <v>46</v>
      </c>
      <c r="U1152" s="6" t="n">
        <v>1000</v>
      </c>
      <c r="V1152" s="1" t="n">
        <v>1</v>
      </c>
      <c r="W1152" s="6"/>
      <c r="X1152" s="6" t="s">
        <v>74</v>
      </c>
      <c r="Y1152" s="6" t="n">
        <v>5500</v>
      </c>
      <c r="Z1152" s="6" t="s">
        <v>1283</v>
      </c>
      <c r="AA1152" s="6" t="s">
        <v>1284</v>
      </c>
      <c r="AB1152" s="15" t="str">
        <f aca="true" t="array" ref="AB1152:AB1152">LEFT(AA1152,LOOKUP(2^15,FIND(".",AA1152,ROW(INDIRECT("1:"&amp;LEN(AA1152)))))-1)</f>
        <v>NB_2022_061 - 22122022 - 1</v>
      </c>
      <c r="AC1152" s="6" t="s">
        <v>1285</v>
      </c>
      <c r="AD1152" s="15" t="str">
        <f aca="true" t="array" ref="AD1152:AD1152">LEFT(AC1152,LOOKUP(2^15,FIND(".",AC1152,ROW(INDIRECT("1:"&amp;LEN(AC1152)))))-1)</f>
        <v>NB_2022_061 - 22122022 - 2</v>
      </c>
      <c r="AE1152" s="6" t="str">
        <f aca="false">CONCATENATE(AB1152, "-",H1152, ".mzML")</f>
        <v>NB_2022_061 - 22122022 - 1-QC_C_1.mzML</v>
      </c>
      <c r="AF1152" s="6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3" t="s">
        <v>1377</v>
      </c>
      <c r="B1153" s="34"/>
      <c r="C1153" s="4" t="s">
        <v>1378</v>
      </c>
      <c r="D1153" s="6" t="s">
        <v>19</v>
      </c>
      <c r="E1153" s="6" t="s">
        <v>1277</v>
      </c>
      <c r="F1153" s="7" t="s">
        <v>1278</v>
      </c>
      <c r="G1153" s="6" t="s">
        <v>1277</v>
      </c>
      <c r="H1153" s="27" t="s">
        <v>75</v>
      </c>
      <c r="I1153" s="6" t="str">
        <f aca="false">CONCATENATE(E1153, "_",H1153)</f>
        <v>NLA_2022_013_QC_C_2</v>
      </c>
      <c r="J1153" s="38" t="s">
        <v>52</v>
      </c>
      <c r="K1153" s="6" t="n">
        <v>2</v>
      </c>
      <c r="L1153" s="9" t="s">
        <v>69</v>
      </c>
      <c r="M1153" s="3" t="s">
        <v>46</v>
      </c>
      <c r="N1153" s="6" t="s">
        <v>70</v>
      </c>
      <c r="O1153" s="6" t="s">
        <v>46</v>
      </c>
      <c r="P1153" s="6" t="s">
        <v>71</v>
      </c>
      <c r="Q1153" s="6" t="s">
        <v>71</v>
      </c>
      <c r="R1153" s="6" t="s">
        <v>72</v>
      </c>
      <c r="S1153" s="6" t="s">
        <v>73</v>
      </c>
      <c r="T1153" s="6" t="s">
        <v>46</v>
      </c>
      <c r="U1153" s="6" t="n">
        <v>1000</v>
      </c>
      <c r="V1153" s="1" t="n">
        <v>2</v>
      </c>
      <c r="W1153" s="6"/>
      <c r="X1153" s="6" t="s">
        <v>74</v>
      </c>
      <c r="Y1153" s="6" t="n">
        <v>5500</v>
      </c>
      <c r="Z1153" s="6" t="s">
        <v>1283</v>
      </c>
      <c r="AA1153" s="6" t="s">
        <v>1284</v>
      </c>
      <c r="AB1153" s="15" t="str">
        <f aca="true" t="array" ref="AB1153:AB1153">LEFT(AA1153,LOOKUP(2^15,FIND(".",AA1153,ROW(INDIRECT("1:"&amp;LEN(AA1153)))))-1)</f>
        <v>NB_2022_061 - 22122022 - 1</v>
      </c>
      <c r="AC1153" s="6" t="s">
        <v>1285</v>
      </c>
      <c r="AD1153" s="15" t="str">
        <f aca="true" t="array" ref="AD1153:AD1153">LEFT(AC1153,LOOKUP(2^15,FIND(".",AC1153,ROW(INDIRECT("1:"&amp;LEN(AC1153)))))-1)</f>
        <v>NB_2022_061 - 22122022 - 2</v>
      </c>
      <c r="AE1153" s="6" t="str">
        <f aca="false">CONCATENATE(AB1153, "-",H1153, ".mzML")</f>
        <v>NB_2022_061 - 22122022 - 1-QC_C_2.mzML</v>
      </c>
      <c r="AF1153" s="6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3" t="s">
        <v>1377</v>
      </c>
      <c r="B1154" s="34"/>
      <c r="C1154" s="4" t="s">
        <v>1378</v>
      </c>
      <c r="D1154" s="6" t="s">
        <v>19</v>
      </c>
      <c r="E1154" s="6" t="s">
        <v>1277</v>
      </c>
      <c r="F1154" s="7" t="s">
        <v>1278</v>
      </c>
      <c r="G1154" s="6" t="s">
        <v>1277</v>
      </c>
      <c r="H1154" s="27" t="s">
        <v>76</v>
      </c>
      <c r="I1154" s="6" t="str">
        <f aca="false">CONCATENATE(E1154, "_",H1154)</f>
        <v>NLA_2022_013_QC_C_3</v>
      </c>
      <c r="J1154" s="38" t="s">
        <v>52</v>
      </c>
      <c r="K1154" s="6" t="n">
        <v>3</v>
      </c>
      <c r="L1154" s="9" t="s">
        <v>69</v>
      </c>
      <c r="M1154" s="3" t="s">
        <v>46</v>
      </c>
      <c r="N1154" s="6" t="s">
        <v>70</v>
      </c>
      <c r="O1154" s="6" t="s">
        <v>46</v>
      </c>
      <c r="P1154" s="6" t="s">
        <v>71</v>
      </c>
      <c r="Q1154" s="6" t="s">
        <v>71</v>
      </c>
      <c r="R1154" s="6" t="s">
        <v>72</v>
      </c>
      <c r="S1154" s="6" t="s">
        <v>73</v>
      </c>
      <c r="T1154" s="6" t="s">
        <v>46</v>
      </c>
      <c r="U1154" s="6" t="n">
        <v>1000</v>
      </c>
      <c r="V1154" s="1" t="n">
        <v>3</v>
      </c>
      <c r="W1154" s="6"/>
      <c r="X1154" s="6" t="s">
        <v>74</v>
      </c>
      <c r="Y1154" s="6" t="n">
        <v>5500</v>
      </c>
      <c r="Z1154" s="6" t="s">
        <v>1283</v>
      </c>
      <c r="AA1154" s="6" t="s">
        <v>1284</v>
      </c>
      <c r="AB1154" s="15" t="str">
        <f aca="true" t="array" ref="AB1154:AB1154">LEFT(AA1154,LOOKUP(2^15,FIND(".",AA1154,ROW(INDIRECT("1:"&amp;LEN(AA1154)))))-1)</f>
        <v>NB_2022_061 - 22122022 - 1</v>
      </c>
      <c r="AC1154" s="6" t="s">
        <v>1285</v>
      </c>
      <c r="AD1154" s="15" t="str">
        <f aca="true" t="array" ref="AD1154:AD1154">LEFT(AC1154,LOOKUP(2^15,FIND(".",AC1154,ROW(INDIRECT("1:"&amp;LEN(AC1154)))))-1)</f>
        <v>NB_2022_061 - 22122022 - 2</v>
      </c>
      <c r="AE1154" s="6" t="str">
        <f aca="false">CONCATENATE(AB1154, "-",H1154, ".mzML")</f>
        <v>NB_2022_061 - 22122022 - 1-QC_C_3.mzML</v>
      </c>
      <c r="AF1154" s="6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3" t="s">
        <v>1377</v>
      </c>
      <c r="B1155" s="34"/>
      <c r="C1155" s="4" t="s">
        <v>1378</v>
      </c>
      <c r="D1155" s="6" t="s">
        <v>19</v>
      </c>
      <c r="E1155" s="6" t="s">
        <v>1277</v>
      </c>
      <c r="F1155" s="7" t="s">
        <v>1278</v>
      </c>
      <c r="G1155" s="6" t="s">
        <v>1277</v>
      </c>
      <c r="H1155" s="27" t="s">
        <v>77</v>
      </c>
      <c r="I1155" s="6" t="str">
        <f aca="false">CONCATENATE(E1155, "_",H1155)</f>
        <v>NLA_2022_013_QC_P_1</v>
      </c>
      <c r="J1155" s="38" t="s">
        <v>52</v>
      </c>
      <c r="K1155" s="6" t="n">
        <v>1</v>
      </c>
      <c r="L1155" s="9" t="s">
        <v>69</v>
      </c>
      <c r="M1155" s="13" t="s">
        <v>46</v>
      </c>
      <c r="N1155" s="6" t="s">
        <v>78</v>
      </c>
      <c r="O1155" s="6" t="s">
        <v>46</v>
      </c>
      <c r="P1155" s="6" t="s">
        <v>79</v>
      </c>
      <c r="Q1155" s="6" t="s">
        <v>80</v>
      </c>
      <c r="R1155" s="6" t="s">
        <v>81</v>
      </c>
      <c r="S1155" s="6" t="s">
        <v>46</v>
      </c>
      <c r="T1155" s="6" t="s">
        <v>46</v>
      </c>
      <c r="U1155" s="6" t="s">
        <v>82</v>
      </c>
      <c r="V1155" s="1" t="n">
        <v>1</v>
      </c>
      <c r="W1155" s="6"/>
      <c r="X1155" s="6" t="s">
        <v>83</v>
      </c>
      <c r="Y1155" s="6" t="n">
        <v>5500</v>
      </c>
      <c r="Z1155" s="6" t="s">
        <v>1283</v>
      </c>
      <c r="AA1155" s="6" t="s">
        <v>1284</v>
      </c>
      <c r="AB1155" s="15" t="str">
        <f aca="true" t="array" ref="AB1155:AB1155">LEFT(AA1155,LOOKUP(2^15,FIND(".",AA1155,ROW(INDIRECT("1:"&amp;LEN(AA1155)))))-1)</f>
        <v>NB_2022_061 - 22122022 - 1</v>
      </c>
      <c r="AC1155" s="6" t="s">
        <v>1285</v>
      </c>
      <c r="AD1155" s="15" t="str">
        <f aca="true" t="array" ref="AD1155:AD1155">LEFT(AC1155,LOOKUP(2^15,FIND(".",AC1155,ROW(INDIRECT("1:"&amp;LEN(AC1155)))))-1)</f>
        <v>NB_2022_061 - 22122022 - 2</v>
      </c>
      <c r="AE1155" s="6" t="str">
        <f aca="false">CONCATENATE(AB1155, "-",H1155, ".mzML")</f>
        <v>NB_2022_061 - 22122022 - 1-QC_P_1.mzML</v>
      </c>
      <c r="AF1155" s="6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3" t="s">
        <v>1377</v>
      </c>
      <c r="B1156" s="34"/>
      <c r="C1156" s="4" t="s">
        <v>1378</v>
      </c>
      <c r="D1156" s="6" t="s">
        <v>19</v>
      </c>
      <c r="E1156" s="6" t="s">
        <v>1277</v>
      </c>
      <c r="F1156" s="7" t="s">
        <v>1278</v>
      </c>
      <c r="G1156" s="6" t="s">
        <v>1277</v>
      </c>
      <c r="H1156" s="27" t="s">
        <v>84</v>
      </c>
      <c r="I1156" s="6" t="str">
        <f aca="false">CONCATENATE(E1156, "_",H1156)</f>
        <v>NLA_2022_013_QC_P_2</v>
      </c>
      <c r="J1156" s="38" t="s">
        <v>52</v>
      </c>
      <c r="K1156" s="6" t="n">
        <v>2</v>
      </c>
      <c r="L1156" s="9" t="s">
        <v>69</v>
      </c>
      <c r="M1156" s="13" t="s">
        <v>46</v>
      </c>
      <c r="N1156" s="6" t="s">
        <v>78</v>
      </c>
      <c r="O1156" s="6" t="s">
        <v>46</v>
      </c>
      <c r="P1156" s="6" t="s">
        <v>79</v>
      </c>
      <c r="Q1156" s="6" t="s">
        <v>80</v>
      </c>
      <c r="R1156" s="6" t="s">
        <v>81</v>
      </c>
      <c r="S1156" s="6" t="s">
        <v>46</v>
      </c>
      <c r="T1156" s="6" t="s">
        <v>46</v>
      </c>
      <c r="U1156" s="6" t="s">
        <v>82</v>
      </c>
      <c r="V1156" s="1" t="n">
        <v>2</v>
      </c>
      <c r="W1156" s="6"/>
      <c r="X1156" s="6" t="s">
        <v>83</v>
      </c>
      <c r="Y1156" s="6" t="n">
        <v>5500</v>
      </c>
      <c r="Z1156" s="6" t="s">
        <v>1283</v>
      </c>
      <c r="AA1156" s="6" t="s">
        <v>1284</v>
      </c>
      <c r="AB1156" s="15" t="str">
        <f aca="true" t="array" ref="AB1156:AB1156">LEFT(AA1156,LOOKUP(2^15,FIND(".",AA1156,ROW(INDIRECT("1:"&amp;LEN(AA1156)))))-1)</f>
        <v>NB_2022_061 - 22122022 - 1</v>
      </c>
      <c r="AC1156" s="6" t="s">
        <v>1285</v>
      </c>
      <c r="AD1156" s="15" t="str">
        <f aca="true" t="array" ref="AD1156:AD1156">LEFT(AC1156,LOOKUP(2^15,FIND(".",AC1156,ROW(INDIRECT("1:"&amp;LEN(AC1156)))))-1)</f>
        <v>NB_2022_061 - 22122022 - 2</v>
      </c>
      <c r="AE1156" s="6" t="str">
        <f aca="false">CONCATENATE(AB1156, "-",H1156, ".mzML")</f>
        <v>NB_2022_061 - 22122022 - 1-QC_P_2.mzML</v>
      </c>
      <c r="AF1156" s="6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3" t="s">
        <v>1377</v>
      </c>
      <c r="B1157" s="34"/>
      <c r="C1157" s="4" t="s">
        <v>1378</v>
      </c>
      <c r="D1157" s="6" t="s">
        <v>19</v>
      </c>
      <c r="E1157" s="6" t="s">
        <v>1277</v>
      </c>
      <c r="F1157" s="7" t="s">
        <v>1278</v>
      </c>
      <c r="G1157" s="6" t="s">
        <v>1277</v>
      </c>
      <c r="H1157" s="27" t="s">
        <v>85</v>
      </c>
      <c r="I1157" s="6" t="str">
        <f aca="false">CONCATENATE(E1157, "_",H1157)</f>
        <v>NLA_2022_013_QC_P_3</v>
      </c>
      <c r="J1157" s="38" t="s">
        <v>52</v>
      </c>
      <c r="K1157" s="6" t="n">
        <v>3</v>
      </c>
      <c r="L1157" s="9" t="s">
        <v>69</v>
      </c>
      <c r="M1157" s="13" t="s">
        <v>46</v>
      </c>
      <c r="N1157" s="6" t="s">
        <v>78</v>
      </c>
      <c r="O1157" s="6" t="s">
        <v>46</v>
      </c>
      <c r="P1157" s="6" t="s">
        <v>79</v>
      </c>
      <c r="Q1157" s="6" t="s">
        <v>80</v>
      </c>
      <c r="R1157" s="6" t="s">
        <v>81</v>
      </c>
      <c r="S1157" s="6" t="s">
        <v>46</v>
      </c>
      <c r="T1157" s="6" t="s">
        <v>46</v>
      </c>
      <c r="U1157" s="6" t="s">
        <v>82</v>
      </c>
      <c r="V1157" s="1" t="n">
        <v>3</v>
      </c>
      <c r="W1157" s="6"/>
      <c r="X1157" s="6" t="s">
        <v>83</v>
      </c>
      <c r="Y1157" s="6" t="n">
        <v>5500</v>
      </c>
      <c r="Z1157" s="6" t="s">
        <v>1283</v>
      </c>
      <c r="AA1157" s="6" t="s">
        <v>1284</v>
      </c>
      <c r="AB1157" s="15" t="str">
        <f aca="true" t="array" ref="AB1157:AB1157">LEFT(AA1157,LOOKUP(2^15,FIND(".",AA1157,ROW(INDIRECT("1:"&amp;LEN(AA1157)))))-1)</f>
        <v>NB_2022_061 - 22122022 - 1</v>
      </c>
      <c r="AC1157" s="6" t="s">
        <v>1285</v>
      </c>
      <c r="AD1157" s="15" t="str">
        <f aca="true" t="array" ref="AD1157:AD1157">LEFT(AC1157,LOOKUP(2^15,FIND(".",AC1157,ROW(INDIRECT("1:"&amp;LEN(AC1157)))))-1)</f>
        <v>NB_2022_061 - 22122022 - 2</v>
      </c>
      <c r="AE1157" s="6" t="str">
        <f aca="false">CONCATENATE(AB1157, "-",H1157, ".mzML")</f>
        <v>NB_2022_061 - 22122022 - 1-QC_P_3.mzML</v>
      </c>
      <c r="AF1157" s="6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3" t="s">
        <v>1377</v>
      </c>
      <c r="B1158" s="34"/>
      <c r="C1158" s="4" t="s">
        <v>1378</v>
      </c>
      <c r="D1158" s="6" t="s">
        <v>19</v>
      </c>
      <c r="E1158" s="6" t="s">
        <v>1247</v>
      </c>
      <c r="F1158" s="7" t="s">
        <v>110</v>
      </c>
      <c r="G1158" s="6" t="s">
        <v>1260</v>
      </c>
      <c r="H1158" s="16" t="s">
        <v>108</v>
      </c>
      <c r="I1158" s="6" t="str">
        <f aca="false">CONCATENATE(E1158, "_",H1158)</f>
        <v>NLA_2023_017_001</v>
      </c>
      <c r="J1158" s="14" t="s">
        <v>38</v>
      </c>
      <c r="K1158" s="14" t="s">
        <v>1261</v>
      </c>
      <c r="L1158" s="9" t="s">
        <v>69</v>
      </c>
      <c r="M1158" s="13" t="s">
        <v>1262</v>
      </c>
      <c r="N1158" s="6" t="s">
        <v>246</v>
      </c>
      <c r="O1158" s="35" t="s">
        <v>1220</v>
      </c>
      <c r="P1158" s="6" t="s">
        <v>1213</v>
      </c>
      <c r="Q1158" s="6" t="s">
        <v>1213</v>
      </c>
      <c r="R1158" s="6" t="s">
        <v>72</v>
      </c>
      <c r="S1158" s="14"/>
      <c r="T1158" s="6" t="s">
        <v>1263</v>
      </c>
      <c r="U1158" s="1" t="n">
        <v>1500</v>
      </c>
      <c r="V1158" s="14" t="n">
        <v>1</v>
      </c>
      <c r="W1158" s="4" t="s">
        <v>1251</v>
      </c>
      <c r="X1158" s="9" t="s">
        <v>1215</v>
      </c>
      <c r="Y1158" s="14" t="n">
        <v>5500</v>
      </c>
      <c r="Z1158" s="6" t="s">
        <v>1252</v>
      </c>
      <c r="AA1158" s="6" t="s">
        <v>1253</v>
      </c>
      <c r="AB1158" s="6" t="s">
        <v>1253</v>
      </c>
      <c r="AC1158" s="6" t="s">
        <v>1254</v>
      </c>
      <c r="AD1158" s="15" t="str">
        <f aca="true" t="array" ref="AD1158:AD1158">LEFT(AC1158,LOOKUP(2^15,FIND(".",AC1158,ROW(INDIRECT("1:"&amp;LEN(AC1158)))))-1)</f>
        <v>NB_2023_041 - 20230920 - 2</v>
      </c>
      <c r="AE1158" s="37" t="str">
        <f aca="false">CONCATENATE(AB1158, "-",H1158, ".mzML")</f>
        <v>NB_2023_041 - 20230920 - 1.wiff-001.mzML</v>
      </c>
      <c r="AF1158" s="37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3" t="s">
        <v>1377</v>
      </c>
      <c r="B1159" s="34"/>
      <c r="C1159" s="4" t="s">
        <v>1378</v>
      </c>
      <c r="D1159" s="6" t="s">
        <v>19</v>
      </c>
      <c r="E1159" s="6" t="s">
        <v>1247</v>
      </c>
      <c r="F1159" s="7" t="s">
        <v>110</v>
      </c>
      <c r="G1159" s="6" t="s">
        <v>1260</v>
      </c>
      <c r="H1159" s="16" t="s">
        <v>88</v>
      </c>
      <c r="I1159" s="6" t="str">
        <f aca="false">CONCATENATE(E1159, "_",H1159)</f>
        <v>NLA_2023_017_002</v>
      </c>
      <c r="J1159" s="14" t="s">
        <v>52</v>
      </c>
      <c r="K1159" s="14" t="s">
        <v>1264</v>
      </c>
      <c r="L1159" s="9" t="s">
        <v>69</v>
      </c>
      <c r="M1159" s="13" t="s">
        <v>1262</v>
      </c>
      <c r="N1159" s="6" t="s">
        <v>246</v>
      </c>
      <c r="O1159" s="35" t="s">
        <v>1220</v>
      </c>
      <c r="P1159" s="6" t="s">
        <v>1213</v>
      </c>
      <c r="Q1159" s="6" t="s">
        <v>1213</v>
      </c>
      <c r="R1159" s="6" t="s">
        <v>72</v>
      </c>
      <c r="S1159" s="14"/>
      <c r="T1159" s="6" t="s">
        <v>1265</v>
      </c>
      <c r="U1159" s="1" t="n">
        <v>1500</v>
      </c>
      <c r="V1159" s="14" t="n">
        <v>1</v>
      </c>
      <c r="W1159" s="4" t="s">
        <v>1251</v>
      </c>
      <c r="X1159" s="9" t="s">
        <v>1215</v>
      </c>
      <c r="Y1159" s="14" t="n">
        <v>5500</v>
      </c>
      <c r="Z1159" s="6" t="s">
        <v>1252</v>
      </c>
      <c r="AA1159" s="6" t="s">
        <v>1253</v>
      </c>
      <c r="AB1159" s="15" t="str">
        <f aca="true" t="array" ref="AB1159:AB1159">LEFT(AA1159,LOOKUP(2^15,FIND(".",AA1159,ROW(INDIRECT("1:"&amp;LEN(AA1159)))))-1)</f>
        <v>NB_2023_041 - 20230920 - 1</v>
      </c>
      <c r="AC1159" s="6" t="s">
        <v>1254</v>
      </c>
      <c r="AD1159" s="15" t="str">
        <f aca="true" t="array" ref="AD1159:AD1159">LEFT(AC1159,LOOKUP(2^15,FIND(".",AC1159,ROW(INDIRECT("1:"&amp;LEN(AC1159)))))-1)</f>
        <v>NB_2023_041 - 20230920 - 2</v>
      </c>
      <c r="AE1159" s="37" t="str">
        <f aca="false">CONCATENATE(AB1159, "-",H1159, ".mzML")</f>
        <v>NB_2023_041 - 20230920 - 1-002.mzML</v>
      </c>
      <c r="AF1159" s="37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3" t="s">
        <v>1377</v>
      </c>
      <c r="B1160" s="34"/>
      <c r="C1160" s="4" t="s">
        <v>1378</v>
      </c>
      <c r="D1160" s="6" t="s">
        <v>19</v>
      </c>
      <c r="E1160" s="6" t="s">
        <v>1247</v>
      </c>
      <c r="F1160" s="7" t="s">
        <v>110</v>
      </c>
      <c r="G1160" s="6" t="s">
        <v>1247</v>
      </c>
      <c r="H1160" s="16" t="s">
        <v>64</v>
      </c>
      <c r="I1160" s="6" t="str">
        <f aca="false">CONCATENATE(E1160, "_",H1160)</f>
        <v>NLA_2023_017_Blank_1</v>
      </c>
      <c r="J1160" s="6" t="s">
        <v>52</v>
      </c>
      <c r="K1160" s="6" t="s">
        <v>157</v>
      </c>
      <c r="L1160" s="7" t="s">
        <v>46</v>
      </c>
      <c r="M1160" s="17" t="s">
        <v>46</v>
      </c>
      <c r="N1160" s="6" t="s">
        <v>65</v>
      </c>
      <c r="O1160" s="6" t="s">
        <v>46</v>
      </c>
      <c r="P1160" s="6" t="s">
        <v>46</v>
      </c>
      <c r="Q1160" s="6" t="s">
        <v>46</v>
      </c>
      <c r="R1160" s="6" t="s">
        <v>46</v>
      </c>
      <c r="S1160" s="6" t="s">
        <v>46</v>
      </c>
      <c r="T1160" s="6" t="s">
        <v>46</v>
      </c>
      <c r="U1160" s="6" t="s">
        <v>46</v>
      </c>
      <c r="V1160" s="1" t="n">
        <v>1</v>
      </c>
      <c r="W1160" s="4" t="s">
        <v>1251</v>
      </c>
      <c r="X1160" s="6" t="s">
        <v>46</v>
      </c>
      <c r="Y1160" s="14" t="n">
        <v>5500</v>
      </c>
      <c r="Z1160" s="6" t="s">
        <v>1252</v>
      </c>
      <c r="AA1160" s="6" t="s">
        <v>1253</v>
      </c>
      <c r="AB1160" s="15" t="str">
        <f aca="true" t="array" ref="AB1160:AB1160">LEFT(AA1160,LOOKUP(2^15,FIND(".",AA1160,ROW(INDIRECT("1:"&amp;LEN(AA1160)))))-1)</f>
        <v>NB_2023_041 - 20230920 - 1</v>
      </c>
      <c r="AC1160" s="6" t="s">
        <v>1254</v>
      </c>
      <c r="AD1160" s="15" t="str">
        <f aca="true" t="array" ref="AD1160:AD1160">LEFT(AC1160,LOOKUP(2^15,FIND(".",AC1160,ROW(INDIRECT("1:"&amp;LEN(AC1160)))))-1)</f>
        <v>NB_2023_041 - 20230920 - 2</v>
      </c>
      <c r="AE1160" s="37" t="str">
        <f aca="false">CONCATENATE(AB1160, "-",H1160, ".mzML")</f>
        <v>NB_2023_041 - 20230920 - 1-Blank_1.mzML</v>
      </c>
      <c r="AF1160" s="37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3" t="s">
        <v>1377</v>
      </c>
      <c r="B1161" s="34"/>
      <c r="C1161" s="4" t="s">
        <v>1378</v>
      </c>
      <c r="D1161" s="6" t="s">
        <v>19</v>
      </c>
      <c r="E1161" s="6" t="s">
        <v>1247</v>
      </c>
      <c r="F1161" s="7" t="s">
        <v>110</v>
      </c>
      <c r="G1161" s="6" t="s">
        <v>1247</v>
      </c>
      <c r="H1161" s="16" t="s">
        <v>66</v>
      </c>
      <c r="I1161" s="6" t="str">
        <f aca="false">CONCATENATE(E1161, "_",H1161)</f>
        <v>NLA_2023_017_Blank_2</v>
      </c>
      <c r="J1161" s="6" t="s">
        <v>52</v>
      </c>
      <c r="K1161" s="6" t="s">
        <v>165</v>
      </c>
      <c r="L1161" s="7" t="s">
        <v>46</v>
      </c>
      <c r="M1161" s="17" t="s">
        <v>46</v>
      </c>
      <c r="N1161" s="6" t="s">
        <v>65</v>
      </c>
      <c r="O1161" s="6" t="s">
        <v>46</v>
      </c>
      <c r="P1161" s="6" t="s">
        <v>46</v>
      </c>
      <c r="Q1161" s="6" t="s">
        <v>46</v>
      </c>
      <c r="R1161" s="6" t="s">
        <v>46</v>
      </c>
      <c r="S1161" s="6" t="s">
        <v>46</v>
      </c>
      <c r="T1161" s="6" t="s">
        <v>46</v>
      </c>
      <c r="U1161" s="6" t="s">
        <v>46</v>
      </c>
      <c r="V1161" s="1" t="n">
        <v>2</v>
      </c>
      <c r="W1161" s="4" t="s">
        <v>1251</v>
      </c>
      <c r="X1161" s="6" t="s">
        <v>46</v>
      </c>
      <c r="Y1161" s="14" t="n">
        <v>5500</v>
      </c>
      <c r="Z1161" s="6" t="s">
        <v>1252</v>
      </c>
      <c r="AA1161" s="6" t="s">
        <v>1253</v>
      </c>
      <c r="AB1161" s="15" t="str">
        <f aca="true" t="array" ref="AB1161:AB1161">LEFT(AA1161,LOOKUP(2^15,FIND(".",AA1161,ROW(INDIRECT("1:"&amp;LEN(AA1161)))))-1)</f>
        <v>NB_2023_041 - 20230920 - 1</v>
      </c>
      <c r="AC1161" s="6" t="s">
        <v>1254</v>
      </c>
      <c r="AD1161" s="15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3" t="s">
        <v>1377</v>
      </c>
      <c r="B1162" s="34"/>
      <c r="C1162" s="4" t="s">
        <v>1378</v>
      </c>
      <c r="D1162" s="6" t="s">
        <v>19</v>
      </c>
      <c r="E1162" s="6" t="s">
        <v>1247</v>
      </c>
      <c r="F1162" s="7" t="s">
        <v>110</v>
      </c>
      <c r="G1162" s="6" t="s">
        <v>1247</v>
      </c>
      <c r="H1162" s="16" t="s">
        <v>67</v>
      </c>
      <c r="I1162" s="6" t="str">
        <f aca="false">CONCATENATE(E1162, "_",H1162)</f>
        <v>NLA_2023_017_Blank_3</v>
      </c>
      <c r="J1162" s="6" t="s">
        <v>52</v>
      </c>
      <c r="K1162" s="6" t="s">
        <v>171</v>
      </c>
      <c r="L1162" s="7" t="s">
        <v>46</v>
      </c>
      <c r="M1162" s="17" t="s">
        <v>46</v>
      </c>
      <c r="N1162" s="6" t="s">
        <v>65</v>
      </c>
      <c r="O1162" s="6" t="s">
        <v>46</v>
      </c>
      <c r="P1162" s="6" t="s">
        <v>46</v>
      </c>
      <c r="Q1162" s="6" t="s">
        <v>46</v>
      </c>
      <c r="R1162" s="6" t="s">
        <v>46</v>
      </c>
      <c r="S1162" s="6" t="s">
        <v>46</v>
      </c>
      <c r="T1162" s="6" t="s">
        <v>46</v>
      </c>
      <c r="U1162" s="6" t="s">
        <v>46</v>
      </c>
      <c r="V1162" s="1" t="n">
        <v>3</v>
      </c>
      <c r="W1162" s="4" t="s">
        <v>1251</v>
      </c>
      <c r="X1162" s="6" t="s">
        <v>46</v>
      </c>
      <c r="Y1162" s="14" t="n">
        <v>5500</v>
      </c>
      <c r="Z1162" s="6" t="s">
        <v>1252</v>
      </c>
      <c r="AA1162" s="6" t="s">
        <v>1253</v>
      </c>
      <c r="AB1162" s="15" t="str">
        <f aca="true" t="array" ref="AB1162:AB1162">LEFT(AA1162,LOOKUP(2^15,FIND(".",AA1162,ROW(INDIRECT("1:"&amp;LEN(AA1162)))))-1)</f>
        <v>NB_2023_041 - 20230920 - 1</v>
      </c>
      <c r="AC1162" s="6" t="s">
        <v>1254</v>
      </c>
      <c r="AD1162" s="15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3" t="s">
        <v>1377</v>
      </c>
      <c r="B1163" s="34"/>
      <c r="C1163" s="4" t="s">
        <v>1378</v>
      </c>
      <c r="D1163" s="6" t="s">
        <v>19</v>
      </c>
      <c r="E1163" s="6" t="s">
        <v>1247</v>
      </c>
      <c r="F1163" s="7" t="s">
        <v>110</v>
      </c>
      <c r="G1163" s="6" t="s">
        <v>1247</v>
      </c>
      <c r="H1163" s="16" t="s">
        <v>221</v>
      </c>
      <c r="I1163" s="6" t="str">
        <f aca="false">CONCATENATE(E1163, "_",H1163)</f>
        <v>NLA_2023_017_Blank_4</v>
      </c>
      <c r="J1163" s="6" t="s">
        <v>52</v>
      </c>
      <c r="K1163" s="6" t="s">
        <v>1256</v>
      </c>
      <c r="L1163" s="7" t="s">
        <v>46</v>
      </c>
      <c r="M1163" s="17" t="s">
        <v>46</v>
      </c>
      <c r="N1163" s="6" t="s">
        <v>65</v>
      </c>
      <c r="O1163" s="6" t="s">
        <v>46</v>
      </c>
      <c r="P1163" s="6" t="s">
        <v>46</v>
      </c>
      <c r="Q1163" s="6" t="s">
        <v>46</v>
      </c>
      <c r="R1163" s="6" t="s">
        <v>46</v>
      </c>
      <c r="S1163" s="6" t="s">
        <v>46</v>
      </c>
      <c r="T1163" s="6" t="s">
        <v>46</v>
      </c>
      <c r="U1163" s="6" t="s">
        <v>46</v>
      </c>
      <c r="V1163" s="1" t="n">
        <v>4</v>
      </c>
      <c r="W1163" s="4" t="s">
        <v>1251</v>
      </c>
      <c r="X1163" s="6" t="s">
        <v>46</v>
      </c>
      <c r="Y1163" s="14" t="n">
        <v>5500</v>
      </c>
      <c r="Z1163" s="6" t="s">
        <v>1252</v>
      </c>
      <c r="AA1163" s="6" t="s">
        <v>1253</v>
      </c>
      <c r="AB1163" s="15" t="str">
        <f aca="true" t="array" ref="AB1163:AB1163">LEFT(AA1163,LOOKUP(2^15,FIND(".",AA1163,ROW(INDIRECT("1:"&amp;LEN(AA1163)))))-1)</f>
        <v>NB_2023_041 - 20230920 - 1</v>
      </c>
      <c r="AC1163" s="6" t="s">
        <v>1254</v>
      </c>
      <c r="AD1163" s="15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3" t="s">
        <v>1377</v>
      </c>
      <c r="B1164" s="34"/>
      <c r="C1164" s="4" t="s">
        <v>1378</v>
      </c>
      <c r="D1164" s="6" t="s">
        <v>19</v>
      </c>
      <c r="E1164" s="6" t="s">
        <v>1247</v>
      </c>
      <c r="F1164" s="7" t="s">
        <v>110</v>
      </c>
      <c r="G1164" s="6" t="s">
        <v>1247</v>
      </c>
      <c r="H1164" s="16" t="s">
        <v>68</v>
      </c>
      <c r="I1164" s="6" t="str">
        <f aca="false">CONCATENATE(E1164, "_",H1164)</f>
        <v>NLA_2023_017_QC_C_1</v>
      </c>
      <c r="J1164" s="6" t="s">
        <v>52</v>
      </c>
      <c r="K1164" s="6" t="s">
        <v>152</v>
      </c>
      <c r="L1164" s="9" t="s">
        <v>69</v>
      </c>
      <c r="M1164" s="3" t="s">
        <v>46</v>
      </c>
      <c r="N1164" s="6" t="s">
        <v>70</v>
      </c>
      <c r="O1164" s="6" t="s">
        <v>46</v>
      </c>
      <c r="P1164" s="6" t="s">
        <v>71</v>
      </c>
      <c r="Q1164" s="6" t="s">
        <v>71</v>
      </c>
      <c r="R1164" s="6" t="s">
        <v>72</v>
      </c>
      <c r="S1164" s="6" t="s">
        <v>73</v>
      </c>
      <c r="T1164" s="6" t="s">
        <v>46</v>
      </c>
      <c r="U1164" s="6" t="n">
        <v>1000</v>
      </c>
      <c r="V1164" s="1" t="n">
        <v>1</v>
      </c>
      <c r="W1164" s="4" t="s">
        <v>1251</v>
      </c>
      <c r="X1164" s="6" t="s">
        <v>74</v>
      </c>
      <c r="Y1164" s="14" t="n">
        <v>5500</v>
      </c>
      <c r="Z1164" s="6" t="s">
        <v>1252</v>
      </c>
      <c r="AA1164" s="6" t="s">
        <v>1253</v>
      </c>
      <c r="AB1164" s="15" t="str">
        <f aca="true" t="array" ref="AB1164:AB1164">LEFT(AA1164,LOOKUP(2^15,FIND(".",AA1164,ROW(INDIRECT("1:"&amp;LEN(AA1164)))))-1)</f>
        <v>NB_2023_041 - 20230920 - 1</v>
      </c>
      <c r="AC1164" s="6" t="s">
        <v>1254</v>
      </c>
      <c r="AD1164" s="15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3" t="s">
        <v>1377</v>
      </c>
      <c r="B1165" s="34"/>
      <c r="C1165" s="4" t="s">
        <v>1378</v>
      </c>
      <c r="D1165" s="6" t="s">
        <v>19</v>
      </c>
      <c r="E1165" s="6" t="s">
        <v>1247</v>
      </c>
      <c r="F1165" s="7" t="s">
        <v>110</v>
      </c>
      <c r="G1165" s="6" t="s">
        <v>1247</v>
      </c>
      <c r="H1165" s="16" t="s">
        <v>75</v>
      </c>
      <c r="I1165" s="6" t="str">
        <f aca="false">CONCATENATE(E1165, "_",H1165)</f>
        <v>NLA_2023_017_QC_C_2</v>
      </c>
      <c r="J1165" s="6" t="s">
        <v>52</v>
      </c>
      <c r="K1165" s="6" t="s">
        <v>164</v>
      </c>
      <c r="L1165" s="9" t="s">
        <v>69</v>
      </c>
      <c r="M1165" s="3" t="s">
        <v>46</v>
      </c>
      <c r="N1165" s="6" t="s">
        <v>70</v>
      </c>
      <c r="O1165" s="6" t="s">
        <v>46</v>
      </c>
      <c r="P1165" s="6" t="s">
        <v>71</v>
      </c>
      <c r="Q1165" s="6" t="s">
        <v>71</v>
      </c>
      <c r="R1165" s="6" t="s">
        <v>72</v>
      </c>
      <c r="S1165" s="6" t="s">
        <v>73</v>
      </c>
      <c r="T1165" s="6" t="s">
        <v>46</v>
      </c>
      <c r="U1165" s="6" t="n">
        <v>1000</v>
      </c>
      <c r="V1165" s="1" t="n">
        <v>2</v>
      </c>
      <c r="W1165" s="4" t="s">
        <v>1251</v>
      </c>
      <c r="X1165" s="6" t="s">
        <v>74</v>
      </c>
      <c r="Y1165" s="14" t="n">
        <v>5500</v>
      </c>
      <c r="Z1165" s="6" t="s">
        <v>1252</v>
      </c>
      <c r="AA1165" s="6" t="s">
        <v>1253</v>
      </c>
      <c r="AB1165" s="15" t="str">
        <f aca="true" t="array" ref="AB1165:AB1165">LEFT(AA1165,LOOKUP(2^15,FIND(".",AA1165,ROW(INDIRECT("1:"&amp;LEN(AA1165)))))-1)</f>
        <v>NB_2023_041 - 20230920 - 1</v>
      </c>
      <c r="AC1165" s="6" t="s">
        <v>1254</v>
      </c>
      <c r="AD1165" s="15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3" t="s">
        <v>1377</v>
      </c>
      <c r="B1166" s="34"/>
      <c r="C1166" s="4" t="s">
        <v>1378</v>
      </c>
      <c r="D1166" s="6" t="s">
        <v>19</v>
      </c>
      <c r="E1166" s="6" t="s">
        <v>1247</v>
      </c>
      <c r="F1166" s="7" t="s">
        <v>110</v>
      </c>
      <c r="G1166" s="6" t="s">
        <v>1247</v>
      </c>
      <c r="H1166" s="16" t="s">
        <v>76</v>
      </c>
      <c r="I1166" s="6" t="str">
        <f aca="false">CONCATENATE(E1166, "_",H1166)</f>
        <v>NLA_2023_017_QC_C_3</v>
      </c>
      <c r="J1166" s="6" t="s">
        <v>52</v>
      </c>
      <c r="K1166" s="6" t="s">
        <v>170</v>
      </c>
      <c r="L1166" s="9" t="s">
        <v>69</v>
      </c>
      <c r="M1166" s="3" t="s">
        <v>46</v>
      </c>
      <c r="N1166" s="6" t="s">
        <v>70</v>
      </c>
      <c r="O1166" s="6" t="s">
        <v>46</v>
      </c>
      <c r="P1166" s="6" t="s">
        <v>71</v>
      </c>
      <c r="Q1166" s="6" t="s">
        <v>71</v>
      </c>
      <c r="R1166" s="6" t="s">
        <v>72</v>
      </c>
      <c r="S1166" s="6" t="s">
        <v>73</v>
      </c>
      <c r="T1166" s="6" t="s">
        <v>46</v>
      </c>
      <c r="U1166" s="6" t="n">
        <v>1000</v>
      </c>
      <c r="V1166" s="1" t="n">
        <v>3</v>
      </c>
      <c r="W1166" s="4" t="s">
        <v>1251</v>
      </c>
      <c r="X1166" s="6" t="s">
        <v>74</v>
      </c>
      <c r="Y1166" s="14" t="n">
        <v>5500</v>
      </c>
      <c r="Z1166" s="6" t="s">
        <v>1252</v>
      </c>
      <c r="AA1166" s="6" t="s">
        <v>1253</v>
      </c>
      <c r="AB1166" s="15" t="str">
        <f aca="true" t="array" ref="AB1166:AB1166">LEFT(AA1166,LOOKUP(2^15,FIND(".",AA1166,ROW(INDIRECT("1:"&amp;LEN(AA1166)))))-1)</f>
        <v>NB_2023_041 - 20230920 - 1</v>
      </c>
      <c r="AC1166" s="6" t="s">
        <v>1254</v>
      </c>
      <c r="AD1166" s="15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3" t="s">
        <v>1377</v>
      </c>
      <c r="B1167" s="34"/>
      <c r="C1167" s="4" t="s">
        <v>1378</v>
      </c>
      <c r="D1167" s="6" t="s">
        <v>19</v>
      </c>
      <c r="E1167" s="6" t="s">
        <v>1247</v>
      </c>
      <c r="F1167" s="7" t="s">
        <v>110</v>
      </c>
      <c r="G1167" s="6" t="s">
        <v>1247</v>
      </c>
      <c r="H1167" s="16" t="s">
        <v>222</v>
      </c>
      <c r="I1167" s="6" t="str">
        <f aca="false">CONCATENATE(E1167, "_",H1167)</f>
        <v>NLA_2023_017_QC_C_4</v>
      </c>
      <c r="J1167" s="6" t="s">
        <v>52</v>
      </c>
      <c r="K1167" s="6" t="s">
        <v>1257</v>
      </c>
      <c r="L1167" s="9" t="s">
        <v>69</v>
      </c>
      <c r="M1167" s="3" t="s">
        <v>46</v>
      </c>
      <c r="N1167" s="6" t="s">
        <v>70</v>
      </c>
      <c r="O1167" s="6" t="s">
        <v>46</v>
      </c>
      <c r="P1167" s="6" t="s">
        <v>71</v>
      </c>
      <c r="Q1167" s="6" t="s">
        <v>71</v>
      </c>
      <c r="R1167" s="6" t="s">
        <v>72</v>
      </c>
      <c r="S1167" s="6" t="s">
        <v>73</v>
      </c>
      <c r="T1167" s="6" t="s">
        <v>46</v>
      </c>
      <c r="U1167" s="6" t="n">
        <v>1000</v>
      </c>
      <c r="V1167" s="1" t="n">
        <v>4</v>
      </c>
      <c r="W1167" s="4" t="s">
        <v>1251</v>
      </c>
      <c r="X1167" s="6" t="s">
        <v>74</v>
      </c>
      <c r="Y1167" s="14" t="n">
        <v>5500</v>
      </c>
      <c r="Z1167" s="6" t="s">
        <v>1252</v>
      </c>
      <c r="AA1167" s="6" t="s">
        <v>1253</v>
      </c>
      <c r="AB1167" s="15" t="str">
        <f aca="true" t="array" ref="AB1167:AB1167">LEFT(AA1167,LOOKUP(2^15,FIND(".",AA1167,ROW(INDIRECT("1:"&amp;LEN(AA1167)))))-1)</f>
        <v>NB_2023_041 - 20230920 - 1</v>
      </c>
      <c r="AC1167" s="6" t="s">
        <v>1254</v>
      </c>
      <c r="AD1167" s="15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3" t="s">
        <v>1377</v>
      </c>
      <c r="B1168" s="34"/>
      <c r="C1168" s="4" t="s">
        <v>1378</v>
      </c>
      <c r="D1168" s="6" t="s">
        <v>19</v>
      </c>
      <c r="E1168" s="6" t="s">
        <v>1247</v>
      </c>
      <c r="F1168" s="7" t="s">
        <v>110</v>
      </c>
      <c r="G1168" s="6" t="s">
        <v>1247</v>
      </c>
      <c r="H1168" s="16" t="s">
        <v>77</v>
      </c>
      <c r="I1168" s="6" t="str">
        <f aca="false">CONCATENATE(E1168, "_",H1168)</f>
        <v>NLA_2023_017_QC_P_1</v>
      </c>
      <c r="J1168" s="4" t="s">
        <v>52</v>
      </c>
      <c r="K1168" s="18" t="s">
        <v>77</v>
      </c>
      <c r="L1168" s="7" t="s">
        <v>69</v>
      </c>
      <c r="M1168" s="3" t="s">
        <v>46</v>
      </c>
      <c r="N1168" s="6" t="s">
        <v>78</v>
      </c>
      <c r="O1168" s="6" t="s">
        <v>46</v>
      </c>
      <c r="P1168" s="6" t="s">
        <v>79</v>
      </c>
      <c r="Q1168" s="6" t="s">
        <v>80</v>
      </c>
      <c r="R1168" s="6" t="s">
        <v>81</v>
      </c>
      <c r="S1168" s="6" t="s">
        <v>46</v>
      </c>
      <c r="T1168" s="6" t="s">
        <v>46</v>
      </c>
      <c r="U1168" s="6" t="s">
        <v>82</v>
      </c>
      <c r="V1168" s="1" t="n">
        <v>1</v>
      </c>
      <c r="W1168" s="4" t="s">
        <v>1251</v>
      </c>
      <c r="X1168" s="6" t="s">
        <v>83</v>
      </c>
      <c r="Y1168" s="14" t="n">
        <v>5500</v>
      </c>
      <c r="Z1168" s="6" t="s">
        <v>1252</v>
      </c>
      <c r="AA1168" s="6" t="s">
        <v>1253</v>
      </c>
      <c r="AB1168" s="15" t="str">
        <f aca="true" t="array" ref="AB1168:AB1168">LEFT(AA1168,LOOKUP(2^15,FIND(".",AA1168,ROW(INDIRECT("1:"&amp;LEN(AA1168)))))-1)</f>
        <v>NB_2023_041 - 20230920 - 1</v>
      </c>
      <c r="AC1168" s="6" t="s">
        <v>1254</v>
      </c>
      <c r="AD1168" s="15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3" t="s">
        <v>1377</v>
      </c>
      <c r="B1169" s="34"/>
      <c r="C1169" s="4" t="s">
        <v>1378</v>
      </c>
      <c r="D1169" s="6" t="s">
        <v>19</v>
      </c>
      <c r="E1169" s="6" t="s">
        <v>1247</v>
      </c>
      <c r="F1169" s="7" t="s">
        <v>110</v>
      </c>
      <c r="G1169" s="6" t="s">
        <v>1247</v>
      </c>
      <c r="H1169" s="16" t="s">
        <v>84</v>
      </c>
      <c r="I1169" s="6" t="str">
        <f aca="false">CONCATENATE(E1169, "_",H1169)</f>
        <v>NLA_2023_017_QC_P_2</v>
      </c>
      <c r="J1169" s="4" t="s">
        <v>52</v>
      </c>
      <c r="K1169" s="18" t="s">
        <v>84</v>
      </c>
      <c r="L1169" s="7" t="s">
        <v>69</v>
      </c>
      <c r="M1169" s="3" t="s">
        <v>46</v>
      </c>
      <c r="N1169" s="6" t="s">
        <v>78</v>
      </c>
      <c r="O1169" s="6" t="s">
        <v>46</v>
      </c>
      <c r="P1169" s="6" t="s">
        <v>79</v>
      </c>
      <c r="Q1169" s="6" t="s">
        <v>80</v>
      </c>
      <c r="R1169" s="6" t="s">
        <v>81</v>
      </c>
      <c r="S1169" s="6" t="s">
        <v>46</v>
      </c>
      <c r="T1169" s="6" t="s">
        <v>46</v>
      </c>
      <c r="U1169" s="6" t="s">
        <v>82</v>
      </c>
      <c r="V1169" s="1" t="n">
        <v>2</v>
      </c>
      <c r="W1169" s="4" t="s">
        <v>1251</v>
      </c>
      <c r="X1169" s="6" t="s">
        <v>83</v>
      </c>
      <c r="Y1169" s="14" t="n">
        <v>5500</v>
      </c>
      <c r="Z1169" s="6" t="s">
        <v>1252</v>
      </c>
      <c r="AA1169" s="6" t="s">
        <v>1253</v>
      </c>
      <c r="AB1169" s="15" t="str">
        <f aca="true" t="array" ref="AB1169:AB1169">LEFT(AA1169,LOOKUP(2^15,FIND(".",AA1169,ROW(INDIRECT("1:"&amp;LEN(AA1169)))))-1)</f>
        <v>NB_2023_041 - 20230920 - 1</v>
      </c>
      <c r="AC1169" s="6" t="s">
        <v>1254</v>
      </c>
      <c r="AD1169" s="15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3" t="s">
        <v>1379</v>
      </c>
      <c r="B1170" s="34"/>
      <c r="C1170" s="4" t="s">
        <v>1380</v>
      </c>
      <c r="D1170" s="6" t="s">
        <v>19</v>
      </c>
      <c r="E1170" s="6" t="s">
        <v>1319</v>
      </c>
      <c r="F1170" s="7" t="s">
        <v>1320</v>
      </c>
      <c r="G1170" s="6" t="s">
        <v>1321</v>
      </c>
      <c r="H1170" s="7" t="s">
        <v>108</v>
      </c>
      <c r="I1170" s="6" t="str">
        <f aca="false">CONCATENATE(E1170, "_",H1170)</f>
        <v>NLA_2023_018_001</v>
      </c>
      <c r="J1170" s="14" t="s">
        <v>38</v>
      </c>
      <c r="K1170" s="6" t="s">
        <v>1357</v>
      </c>
      <c r="L1170" s="9" t="s">
        <v>69</v>
      </c>
      <c r="M1170" s="17" t="s">
        <v>1323</v>
      </c>
      <c r="N1170" s="6" t="s">
        <v>246</v>
      </c>
      <c r="O1170" s="35" t="s">
        <v>1220</v>
      </c>
      <c r="P1170" s="1" t="s">
        <v>43</v>
      </c>
      <c r="Q1170" s="6" t="s">
        <v>1358</v>
      </c>
      <c r="R1170" s="6" t="s">
        <v>44</v>
      </c>
      <c r="S1170" s="14"/>
      <c r="T1170" s="6" t="s">
        <v>1263</v>
      </c>
      <c r="U1170" s="1" t="n">
        <v>1500</v>
      </c>
      <c r="V1170" s="14" t="n">
        <v>1</v>
      </c>
      <c r="W1170" s="4"/>
      <c r="X1170" s="9" t="s">
        <v>1215</v>
      </c>
      <c r="Y1170" s="14" t="n">
        <v>5500</v>
      </c>
      <c r="Z1170" s="6" t="s">
        <v>1324</v>
      </c>
      <c r="AA1170" s="6" t="s">
        <v>1325</v>
      </c>
      <c r="AB1170" s="15" t="str">
        <f aca="true" t="array" ref="AB1170:AB1170">LEFT(AA1170,LOOKUP(2^15,FIND(".",AA1170,ROW(INDIRECT("1:"&amp;LEN(AA1170)))))-1)</f>
        <v>NB_2023_016 - 20230425 - 1</v>
      </c>
      <c r="AC1170" s="6" t="s">
        <v>1326</v>
      </c>
      <c r="AD1170" s="15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3" t="s">
        <v>1379</v>
      </c>
      <c r="B1171" s="34"/>
      <c r="C1171" s="4" t="s">
        <v>1380</v>
      </c>
      <c r="D1171" s="6" t="s">
        <v>19</v>
      </c>
      <c r="E1171" s="6" t="s">
        <v>1319</v>
      </c>
      <c r="F1171" s="7" t="s">
        <v>1320</v>
      </c>
      <c r="G1171" s="6" t="s">
        <v>1345</v>
      </c>
      <c r="H1171" s="7" t="s">
        <v>101</v>
      </c>
      <c r="I1171" s="6" t="str">
        <f aca="false">CONCATENATE(E1171, "_",H1171)</f>
        <v>NLA_2023_018_006</v>
      </c>
      <c r="J1171" s="6" t="s">
        <v>52</v>
      </c>
      <c r="K1171" s="6" t="s">
        <v>1366</v>
      </c>
      <c r="L1171" s="9" t="s">
        <v>69</v>
      </c>
      <c r="M1171" s="17" t="s">
        <v>1347</v>
      </c>
      <c r="N1171" s="6" t="s">
        <v>246</v>
      </c>
      <c r="O1171" s="35" t="s">
        <v>1220</v>
      </c>
      <c r="P1171" s="1" t="s">
        <v>43</v>
      </c>
      <c r="Q1171" s="6" t="s">
        <v>1358</v>
      </c>
      <c r="R1171" s="6" t="s">
        <v>44</v>
      </c>
      <c r="T1171" s="6" t="s">
        <v>1265</v>
      </c>
      <c r="U1171" s="1" t="n">
        <v>1500</v>
      </c>
      <c r="V1171" s="1" t="n">
        <v>2</v>
      </c>
      <c r="W1171" s="4"/>
      <c r="X1171" s="9" t="s">
        <v>1215</v>
      </c>
      <c r="Y1171" s="14" t="n">
        <v>5500</v>
      </c>
      <c r="Z1171" s="6" t="s">
        <v>1324</v>
      </c>
      <c r="AA1171" s="6" t="s">
        <v>1325</v>
      </c>
      <c r="AB1171" s="15" t="str">
        <f aca="true" t="array" ref="AB1171:AB1171">LEFT(AA1171,LOOKUP(2^15,FIND(".",AA1171,ROW(INDIRECT("1:"&amp;LEN(AA1171)))))-1)</f>
        <v>NB_2023_016 - 20230425 - 1</v>
      </c>
      <c r="AC1171" s="6" t="s">
        <v>1326</v>
      </c>
      <c r="AD1171" s="15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3" t="s">
        <v>1379</v>
      </c>
      <c r="B1172" s="34"/>
      <c r="C1172" s="4" t="s">
        <v>1380</v>
      </c>
      <c r="D1172" s="6" t="s">
        <v>19</v>
      </c>
      <c r="E1172" s="6" t="s">
        <v>1319</v>
      </c>
      <c r="F1172" s="7" t="s">
        <v>1320</v>
      </c>
      <c r="G1172" s="6" t="s">
        <v>1321</v>
      </c>
      <c r="H1172" s="7" t="s">
        <v>139</v>
      </c>
      <c r="I1172" s="6" t="str">
        <f aca="false">CONCATENATE(E1172, "_",H1172)</f>
        <v>NLA_2023_018_007</v>
      </c>
      <c r="J1172" s="14" t="s">
        <v>38</v>
      </c>
      <c r="K1172" s="6" t="s">
        <v>1359</v>
      </c>
      <c r="L1172" s="9" t="s">
        <v>69</v>
      </c>
      <c r="M1172" s="17" t="s">
        <v>1323</v>
      </c>
      <c r="N1172" s="6" t="s">
        <v>246</v>
      </c>
      <c r="O1172" s="35" t="s">
        <v>1220</v>
      </c>
      <c r="P1172" s="1" t="s">
        <v>43</v>
      </c>
      <c r="Q1172" s="6" t="s">
        <v>1358</v>
      </c>
      <c r="R1172" s="6" t="s">
        <v>44</v>
      </c>
      <c r="S1172" s="14"/>
      <c r="T1172" s="6" t="s">
        <v>1263</v>
      </c>
      <c r="U1172" s="1" t="n">
        <v>1500</v>
      </c>
      <c r="V1172" s="14" t="n">
        <v>2</v>
      </c>
      <c r="W1172" s="4"/>
      <c r="X1172" s="9" t="s">
        <v>1215</v>
      </c>
      <c r="Y1172" s="14" t="n">
        <v>5500</v>
      </c>
      <c r="Z1172" s="6" t="s">
        <v>1324</v>
      </c>
      <c r="AA1172" s="6" t="s">
        <v>1325</v>
      </c>
      <c r="AB1172" s="15" t="str">
        <f aca="true" t="array" ref="AB1172:AB1172">LEFT(AA1172,LOOKUP(2^15,FIND(".",AA1172,ROW(INDIRECT("1:"&amp;LEN(AA1172)))))-1)</f>
        <v>NB_2023_016 - 20230425 - 1</v>
      </c>
      <c r="AC1172" s="6" t="s">
        <v>1326</v>
      </c>
      <c r="AD1172" s="15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3" t="s">
        <v>1379</v>
      </c>
      <c r="B1173" s="34"/>
      <c r="C1173" s="4" t="s">
        <v>1380</v>
      </c>
      <c r="D1173" s="6" t="s">
        <v>19</v>
      </c>
      <c r="E1173" s="6" t="s">
        <v>1319</v>
      </c>
      <c r="F1173" s="7" t="s">
        <v>1320</v>
      </c>
      <c r="G1173" s="6" t="s">
        <v>1321</v>
      </c>
      <c r="H1173" s="7" t="s">
        <v>37</v>
      </c>
      <c r="I1173" s="6" t="str">
        <f aca="false">CONCATENATE(E1173, "_",H1173)</f>
        <v>NLA_2023_018_009</v>
      </c>
      <c r="J1173" s="14" t="s">
        <v>52</v>
      </c>
      <c r="K1173" s="6" t="s">
        <v>1360</v>
      </c>
      <c r="L1173" s="9" t="s">
        <v>69</v>
      </c>
      <c r="M1173" s="17" t="s">
        <v>1323</v>
      </c>
      <c r="N1173" s="6" t="s">
        <v>246</v>
      </c>
      <c r="O1173" s="35" t="s">
        <v>1220</v>
      </c>
      <c r="P1173" s="1" t="s">
        <v>43</v>
      </c>
      <c r="Q1173" s="6" t="s">
        <v>1358</v>
      </c>
      <c r="R1173" s="6" t="s">
        <v>44</v>
      </c>
      <c r="S1173" s="14"/>
      <c r="T1173" s="6" t="s">
        <v>1265</v>
      </c>
      <c r="U1173" s="1" t="n">
        <v>1500</v>
      </c>
      <c r="V1173" s="14" t="n">
        <v>3</v>
      </c>
      <c r="W1173" s="4"/>
      <c r="X1173" s="9" t="s">
        <v>1215</v>
      </c>
      <c r="Y1173" s="14" t="n">
        <v>5500</v>
      </c>
      <c r="Z1173" s="6" t="s">
        <v>1324</v>
      </c>
      <c r="AA1173" s="6" t="s">
        <v>1325</v>
      </c>
      <c r="AB1173" s="15" t="str">
        <f aca="true" t="array" ref="AB1173:AB1173">LEFT(AA1173,LOOKUP(2^15,FIND(".",AA1173,ROW(INDIRECT("1:"&amp;LEN(AA1173)))))-1)</f>
        <v>NB_2023_016 - 20230425 - 1</v>
      </c>
      <c r="AC1173" s="6" t="s">
        <v>1326</v>
      </c>
      <c r="AD1173" s="15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3" t="s">
        <v>1379</v>
      </c>
      <c r="B1174" s="34"/>
      <c r="C1174" s="4" t="s">
        <v>1380</v>
      </c>
      <c r="D1174" s="6" t="s">
        <v>19</v>
      </c>
      <c r="E1174" s="6" t="s">
        <v>1319</v>
      </c>
      <c r="F1174" s="7" t="s">
        <v>1320</v>
      </c>
      <c r="G1174" s="6" t="s">
        <v>1345</v>
      </c>
      <c r="H1174" s="7" t="s">
        <v>51</v>
      </c>
      <c r="I1174" s="6" t="str">
        <f aca="false">CONCATENATE(E1174, "_",H1174)</f>
        <v>NLA_2023_018_012</v>
      </c>
      <c r="J1174" s="6" t="s">
        <v>52</v>
      </c>
      <c r="K1174" s="6" t="s">
        <v>1367</v>
      </c>
      <c r="L1174" s="9" t="s">
        <v>69</v>
      </c>
      <c r="M1174" s="17" t="s">
        <v>1347</v>
      </c>
      <c r="N1174" s="6" t="s">
        <v>246</v>
      </c>
      <c r="O1174" s="35" t="s">
        <v>1220</v>
      </c>
      <c r="P1174" s="1" t="s">
        <v>43</v>
      </c>
      <c r="Q1174" s="6" t="s">
        <v>1358</v>
      </c>
      <c r="R1174" s="6" t="s">
        <v>44</v>
      </c>
      <c r="T1174" s="6" t="s">
        <v>1265</v>
      </c>
      <c r="U1174" s="1" t="n">
        <v>1500</v>
      </c>
      <c r="V1174" s="1" t="n">
        <v>1</v>
      </c>
      <c r="W1174" s="4"/>
      <c r="X1174" s="9" t="s">
        <v>1215</v>
      </c>
      <c r="Y1174" s="14" t="n">
        <v>5500</v>
      </c>
      <c r="Z1174" s="6" t="s">
        <v>1324</v>
      </c>
      <c r="AA1174" s="6" t="s">
        <v>1325</v>
      </c>
      <c r="AB1174" s="15" t="str">
        <f aca="true" t="array" ref="AB1174:AB1174">LEFT(AA1174,LOOKUP(2^15,FIND(".",AA1174,ROW(INDIRECT("1:"&amp;LEN(AA1174)))))-1)</f>
        <v>NB_2023_016 - 20230425 - 1</v>
      </c>
      <c r="AC1174" s="6" t="s">
        <v>1326</v>
      </c>
      <c r="AD1174" s="15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3" t="s">
        <v>1379</v>
      </c>
      <c r="B1175" s="34"/>
      <c r="C1175" s="4" t="s">
        <v>1380</v>
      </c>
      <c r="D1175" s="6" t="s">
        <v>19</v>
      </c>
      <c r="E1175" s="6" t="s">
        <v>1319</v>
      </c>
      <c r="F1175" s="7" t="s">
        <v>1320</v>
      </c>
      <c r="G1175" s="6" t="s">
        <v>1321</v>
      </c>
      <c r="H1175" s="7" t="s">
        <v>56</v>
      </c>
      <c r="I1175" s="6" t="str">
        <f aca="false">CONCATENATE(E1175, "_",H1175)</f>
        <v>NLA_2023_018_013</v>
      </c>
      <c r="J1175" s="14" t="s">
        <v>52</v>
      </c>
      <c r="K1175" s="6" t="s">
        <v>1361</v>
      </c>
      <c r="L1175" s="9" t="s">
        <v>69</v>
      </c>
      <c r="M1175" s="17" t="s">
        <v>1323</v>
      </c>
      <c r="N1175" s="6" t="s">
        <v>246</v>
      </c>
      <c r="O1175" s="35" t="s">
        <v>1220</v>
      </c>
      <c r="P1175" s="1" t="s">
        <v>43</v>
      </c>
      <c r="Q1175" s="6" t="s">
        <v>1358</v>
      </c>
      <c r="R1175" s="6" t="s">
        <v>44</v>
      </c>
      <c r="S1175" s="14"/>
      <c r="T1175" s="6" t="s">
        <v>1265</v>
      </c>
      <c r="U1175" s="1" t="n">
        <v>1500</v>
      </c>
      <c r="V1175" s="14" t="n">
        <v>1</v>
      </c>
      <c r="W1175" s="4"/>
      <c r="X1175" s="9" t="s">
        <v>1215</v>
      </c>
      <c r="Y1175" s="14" t="n">
        <v>5500</v>
      </c>
      <c r="Z1175" s="6" t="s">
        <v>1324</v>
      </c>
      <c r="AA1175" s="6" t="s">
        <v>1325</v>
      </c>
      <c r="AB1175" s="15" t="str">
        <f aca="true" t="array" ref="AB1175:AB1175">LEFT(AA1175,LOOKUP(2^15,FIND(".",AA1175,ROW(INDIRECT("1:"&amp;LEN(AA1175)))))-1)</f>
        <v>NB_2023_016 - 20230425 - 1</v>
      </c>
      <c r="AC1175" s="6" t="s">
        <v>1326</v>
      </c>
      <c r="AD1175" s="15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3" t="s">
        <v>1379</v>
      </c>
      <c r="B1176" s="34"/>
      <c r="C1176" s="4" t="s">
        <v>1380</v>
      </c>
      <c r="D1176" s="6" t="s">
        <v>19</v>
      </c>
      <c r="E1176" s="6" t="s">
        <v>1319</v>
      </c>
      <c r="F1176" s="7" t="s">
        <v>1320</v>
      </c>
      <c r="G1176" s="6" t="s">
        <v>1345</v>
      </c>
      <c r="H1176" s="7" t="s">
        <v>172</v>
      </c>
      <c r="I1176" s="6" t="str">
        <f aca="false">CONCATENATE(E1176, "_",H1176)</f>
        <v>NLA_2023_018_015</v>
      </c>
      <c r="J1176" s="14" t="s">
        <v>38</v>
      </c>
      <c r="K1176" s="6" t="s">
        <v>1368</v>
      </c>
      <c r="L1176" s="9" t="s">
        <v>69</v>
      </c>
      <c r="M1176" s="17" t="s">
        <v>1347</v>
      </c>
      <c r="N1176" s="6" t="s">
        <v>246</v>
      </c>
      <c r="O1176" s="35" t="s">
        <v>1220</v>
      </c>
      <c r="P1176" s="1" t="s">
        <v>43</v>
      </c>
      <c r="Q1176" s="6" t="s">
        <v>1358</v>
      </c>
      <c r="R1176" s="6" t="s">
        <v>44</v>
      </c>
      <c r="T1176" s="1" t="s">
        <v>1263</v>
      </c>
      <c r="U1176" s="1" t="n">
        <v>1500</v>
      </c>
      <c r="V1176" s="1" t="n">
        <v>2</v>
      </c>
      <c r="W1176" s="4"/>
      <c r="X1176" s="9" t="s">
        <v>1215</v>
      </c>
      <c r="Y1176" s="14" t="n">
        <v>5500</v>
      </c>
      <c r="Z1176" s="6" t="s">
        <v>1324</v>
      </c>
      <c r="AA1176" s="6" t="s">
        <v>1325</v>
      </c>
      <c r="AB1176" s="15" t="str">
        <f aca="true" t="array" ref="AB1176:AB1176">LEFT(AA1176,LOOKUP(2^15,FIND(".",AA1176,ROW(INDIRECT("1:"&amp;LEN(AA1176)))))-1)</f>
        <v>NB_2023_016 - 20230425 - 1</v>
      </c>
      <c r="AC1176" s="6" t="s">
        <v>1326</v>
      </c>
      <c r="AD1176" s="15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3" t="s">
        <v>1379</v>
      </c>
      <c r="B1177" s="34"/>
      <c r="C1177" s="4" t="s">
        <v>1380</v>
      </c>
      <c r="D1177" s="6" t="s">
        <v>19</v>
      </c>
      <c r="E1177" s="6" t="s">
        <v>1319</v>
      </c>
      <c r="F1177" s="7" t="s">
        <v>1320</v>
      </c>
      <c r="G1177" s="6" t="s">
        <v>1345</v>
      </c>
      <c r="H1177" s="7" t="s">
        <v>93</v>
      </c>
      <c r="I1177" s="6" t="str">
        <f aca="false">CONCATENATE(E1177, "_",H1177)</f>
        <v>NLA_2023_018_018</v>
      </c>
      <c r="J1177" s="14" t="s">
        <v>38</v>
      </c>
      <c r="K1177" s="6" t="s">
        <v>1369</v>
      </c>
      <c r="L1177" s="9" t="s">
        <v>69</v>
      </c>
      <c r="M1177" s="17" t="s">
        <v>1347</v>
      </c>
      <c r="N1177" s="6" t="s">
        <v>246</v>
      </c>
      <c r="O1177" s="35" t="s">
        <v>1220</v>
      </c>
      <c r="P1177" s="1" t="s">
        <v>43</v>
      </c>
      <c r="Q1177" s="6" t="s">
        <v>1358</v>
      </c>
      <c r="R1177" s="6" t="s">
        <v>44</v>
      </c>
      <c r="T1177" s="1" t="s">
        <v>1263</v>
      </c>
      <c r="U1177" s="1" t="n">
        <v>1500</v>
      </c>
      <c r="V1177" s="1" t="n">
        <v>3</v>
      </c>
      <c r="W1177" s="4"/>
      <c r="X1177" s="9" t="s">
        <v>1215</v>
      </c>
      <c r="Y1177" s="14" t="n">
        <v>5500</v>
      </c>
      <c r="Z1177" s="6" t="s">
        <v>1324</v>
      </c>
      <c r="AA1177" s="6" t="s">
        <v>1325</v>
      </c>
      <c r="AB1177" s="15" t="str">
        <f aca="true" t="array" ref="AB1177:AB1177">LEFT(AA1177,LOOKUP(2^15,FIND(".",AA1177,ROW(INDIRECT("1:"&amp;LEN(AA1177)))))-1)</f>
        <v>NB_2023_016 - 20230425 - 1</v>
      </c>
      <c r="AC1177" s="6" t="s">
        <v>1326</v>
      </c>
      <c r="AD1177" s="15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3" t="s">
        <v>1379</v>
      </c>
      <c r="B1178" s="34"/>
      <c r="C1178" s="4" t="s">
        <v>1380</v>
      </c>
      <c r="D1178" s="6" t="s">
        <v>19</v>
      </c>
      <c r="E1178" s="6" t="s">
        <v>1319</v>
      </c>
      <c r="F1178" s="7" t="s">
        <v>1320</v>
      </c>
      <c r="G1178" s="6" t="s">
        <v>1321</v>
      </c>
      <c r="H1178" s="7" t="s">
        <v>230</v>
      </c>
      <c r="I1178" s="6" t="str">
        <f aca="false">CONCATENATE(E1178, "_",H1178)</f>
        <v>NLA_2023_018_020</v>
      </c>
      <c r="J1178" s="14" t="s">
        <v>52</v>
      </c>
      <c r="K1178" s="6" t="s">
        <v>1362</v>
      </c>
      <c r="L1178" s="9" t="s">
        <v>69</v>
      </c>
      <c r="M1178" s="17" t="s">
        <v>1323</v>
      </c>
      <c r="N1178" s="6" t="s">
        <v>246</v>
      </c>
      <c r="O1178" s="35" t="s">
        <v>1220</v>
      </c>
      <c r="P1178" s="1" t="s">
        <v>43</v>
      </c>
      <c r="Q1178" s="6" t="s">
        <v>1358</v>
      </c>
      <c r="R1178" s="6" t="s">
        <v>44</v>
      </c>
      <c r="S1178" s="14"/>
      <c r="T1178" s="6" t="s">
        <v>1265</v>
      </c>
      <c r="U1178" s="1" t="n">
        <v>1500</v>
      </c>
      <c r="V1178" s="14" t="n">
        <v>2</v>
      </c>
      <c r="W1178" s="4"/>
      <c r="X1178" s="9" t="s">
        <v>1215</v>
      </c>
      <c r="Y1178" s="14" t="n">
        <v>5500</v>
      </c>
      <c r="Z1178" s="6" t="s">
        <v>1324</v>
      </c>
      <c r="AA1178" s="6" t="s">
        <v>1325</v>
      </c>
      <c r="AB1178" s="15" t="str">
        <f aca="true" t="array" ref="AB1178:AB1178">LEFT(AA1178,LOOKUP(2^15,FIND(".",AA1178,ROW(INDIRECT("1:"&amp;LEN(AA1178)))))-1)</f>
        <v>NB_2023_016 - 20230425 - 1</v>
      </c>
      <c r="AC1178" s="6" t="s">
        <v>1326</v>
      </c>
      <c r="AD1178" s="15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3" t="s">
        <v>1379</v>
      </c>
      <c r="B1179" s="34"/>
      <c r="C1179" s="4" t="s">
        <v>1380</v>
      </c>
      <c r="D1179" s="6" t="s">
        <v>19</v>
      </c>
      <c r="E1179" s="6" t="s">
        <v>1319</v>
      </c>
      <c r="F1179" s="7" t="s">
        <v>1320</v>
      </c>
      <c r="G1179" s="6" t="s">
        <v>1321</v>
      </c>
      <c r="H1179" s="7" t="s">
        <v>235</v>
      </c>
      <c r="I1179" s="6" t="str">
        <f aca="false">CONCATENATE(E1179, "_",H1179)</f>
        <v>NLA_2023_018_023</v>
      </c>
      <c r="J1179" s="14" t="s">
        <v>38</v>
      </c>
      <c r="K1179" s="6" t="s">
        <v>1363</v>
      </c>
      <c r="L1179" s="9" t="s">
        <v>69</v>
      </c>
      <c r="M1179" s="17" t="s">
        <v>1323</v>
      </c>
      <c r="N1179" s="6" t="s">
        <v>246</v>
      </c>
      <c r="O1179" s="35" t="s">
        <v>1220</v>
      </c>
      <c r="P1179" s="1" t="s">
        <v>43</v>
      </c>
      <c r="Q1179" s="6" t="s">
        <v>1358</v>
      </c>
      <c r="R1179" s="6" t="s">
        <v>44</v>
      </c>
      <c r="S1179" s="14"/>
      <c r="T1179" s="6" t="s">
        <v>1263</v>
      </c>
      <c r="U1179" s="1" t="n">
        <v>1500</v>
      </c>
      <c r="V1179" s="14" t="n">
        <v>3</v>
      </c>
      <c r="W1179" s="4"/>
      <c r="X1179" s="9" t="s">
        <v>1215</v>
      </c>
      <c r="Y1179" s="14" t="n">
        <v>5500</v>
      </c>
      <c r="Z1179" s="6" t="s">
        <v>1324</v>
      </c>
      <c r="AA1179" s="6" t="s">
        <v>1325</v>
      </c>
      <c r="AB1179" s="15" t="str">
        <f aca="true" t="array" ref="AB1179:AB1179">LEFT(AA1179,LOOKUP(2^15,FIND(".",AA1179,ROW(INDIRECT("1:"&amp;LEN(AA1179)))))-1)</f>
        <v>NB_2023_016 - 20230425 - 1</v>
      </c>
      <c r="AC1179" s="6" t="s">
        <v>1326</v>
      </c>
      <c r="AD1179" s="15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3" t="s">
        <v>1379</v>
      </c>
      <c r="B1180" s="34"/>
      <c r="C1180" s="4" t="s">
        <v>1380</v>
      </c>
      <c r="D1180" s="6" t="s">
        <v>19</v>
      </c>
      <c r="E1180" s="6" t="s">
        <v>1319</v>
      </c>
      <c r="F1180" s="7" t="s">
        <v>1320</v>
      </c>
      <c r="G1180" s="6" t="s">
        <v>1345</v>
      </c>
      <c r="H1180" s="7" t="s">
        <v>385</v>
      </c>
      <c r="I1180" s="6" t="str">
        <f aca="false">CONCATENATE(E1180, "_",H1180)</f>
        <v>NLA_2023_018_030</v>
      </c>
      <c r="J1180" s="14" t="s">
        <v>38</v>
      </c>
      <c r="K1180" s="6" t="s">
        <v>1370</v>
      </c>
      <c r="L1180" s="9" t="s">
        <v>69</v>
      </c>
      <c r="M1180" s="17" t="s">
        <v>1347</v>
      </c>
      <c r="N1180" s="6" t="s">
        <v>246</v>
      </c>
      <c r="O1180" s="35" t="s">
        <v>1220</v>
      </c>
      <c r="P1180" s="1" t="s">
        <v>43</v>
      </c>
      <c r="Q1180" s="6" t="s">
        <v>1358</v>
      </c>
      <c r="R1180" s="6" t="s">
        <v>44</v>
      </c>
      <c r="T1180" s="1" t="s">
        <v>1263</v>
      </c>
      <c r="U1180" s="1" t="n">
        <v>1500</v>
      </c>
      <c r="V1180" s="1" t="n">
        <v>1</v>
      </c>
      <c r="W1180" s="4"/>
      <c r="X1180" s="9" t="s">
        <v>1215</v>
      </c>
      <c r="Y1180" s="14" t="n">
        <v>5500</v>
      </c>
      <c r="Z1180" s="6" t="s">
        <v>1324</v>
      </c>
      <c r="AA1180" s="6" t="s">
        <v>1325</v>
      </c>
      <c r="AB1180" s="15" t="str">
        <f aca="true" t="array" ref="AB1180:AB1180">LEFT(AA1180,LOOKUP(2^15,FIND(".",AA1180,ROW(INDIRECT("1:"&amp;LEN(AA1180)))))-1)</f>
        <v>NB_2023_016 - 20230425 - 1</v>
      </c>
      <c r="AC1180" s="6" t="s">
        <v>1326</v>
      </c>
      <c r="AD1180" s="15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3" t="s">
        <v>1379</v>
      </c>
      <c r="B1181" s="34"/>
      <c r="C1181" s="4" t="s">
        <v>1380</v>
      </c>
      <c r="D1181" s="6" t="s">
        <v>19</v>
      </c>
      <c r="E1181" s="6" t="s">
        <v>1319</v>
      </c>
      <c r="F1181" s="7" t="s">
        <v>1320</v>
      </c>
      <c r="G1181" s="6" t="s">
        <v>1345</v>
      </c>
      <c r="H1181" s="7" t="s">
        <v>1371</v>
      </c>
      <c r="I1181" s="6" t="str">
        <f aca="false">CONCATENATE(E1181, "_",H1181)</f>
        <v>NLA_2023_018_037</v>
      </c>
      <c r="J1181" s="6" t="s">
        <v>52</v>
      </c>
      <c r="K1181" s="6" t="s">
        <v>1372</v>
      </c>
      <c r="L1181" s="9" t="s">
        <v>69</v>
      </c>
      <c r="M1181" s="17" t="s">
        <v>1347</v>
      </c>
      <c r="N1181" s="6" t="s">
        <v>246</v>
      </c>
      <c r="O1181" s="35" t="s">
        <v>1220</v>
      </c>
      <c r="P1181" s="1" t="s">
        <v>43</v>
      </c>
      <c r="Q1181" s="6" t="s">
        <v>1358</v>
      </c>
      <c r="R1181" s="6" t="s">
        <v>44</v>
      </c>
      <c r="T1181" s="1" t="s">
        <v>1265</v>
      </c>
      <c r="U1181" s="1" t="n">
        <v>1500</v>
      </c>
      <c r="V1181" s="1" t="n">
        <v>3</v>
      </c>
      <c r="W1181" s="4"/>
      <c r="X1181" s="9" t="s">
        <v>1215</v>
      </c>
      <c r="Y1181" s="14" t="n">
        <v>5500</v>
      </c>
      <c r="Z1181" s="6" t="s">
        <v>1324</v>
      </c>
      <c r="AA1181" s="6" t="s">
        <v>1325</v>
      </c>
      <c r="AB1181" s="15" t="str">
        <f aca="true" t="array" ref="AB1181:AB1181">LEFT(AA1181,LOOKUP(2^15,FIND(".",AA1181,ROW(INDIRECT("1:"&amp;LEN(AA1181)))))-1)</f>
        <v>NB_2023_016 - 20230425 - 1</v>
      </c>
      <c r="AC1181" s="6" t="s">
        <v>1326</v>
      </c>
      <c r="AD1181" s="15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3" t="s">
        <v>1379</v>
      </c>
      <c r="B1182" s="34"/>
      <c r="C1182" s="4" t="s">
        <v>1380</v>
      </c>
      <c r="D1182" s="6" t="s">
        <v>19</v>
      </c>
      <c r="E1182" s="6" t="s">
        <v>1319</v>
      </c>
      <c r="F1182" s="7" t="s">
        <v>1320</v>
      </c>
      <c r="G1182" s="6" t="s">
        <v>1319</v>
      </c>
      <c r="H1182" s="16" t="s">
        <v>64</v>
      </c>
      <c r="I1182" s="6" t="str">
        <f aca="false">CONCATENATE(E1182, "_",H1182)</f>
        <v>NLA_2023_018_Blank_1</v>
      </c>
      <c r="J1182" s="6" t="s">
        <v>52</v>
      </c>
      <c r="K1182" s="18" t="s">
        <v>64</v>
      </c>
      <c r="L1182" s="7" t="s">
        <v>46</v>
      </c>
      <c r="M1182" s="17" t="s">
        <v>46</v>
      </c>
      <c r="N1182" s="6" t="s">
        <v>65</v>
      </c>
      <c r="O1182" s="6" t="s">
        <v>46</v>
      </c>
      <c r="P1182" s="6" t="s">
        <v>46</v>
      </c>
      <c r="Q1182" s="6" t="s">
        <v>46</v>
      </c>
      <c r="R1182" s="6" t="s">
        <v>46</v>
      </c>
      <c r="S1182" s="6" t="s">
        <v>46</v>
      </c>
      <c r="T1182" s="6" t="s">
        <v>46</v>
      </c>
      <c r="U1182" s="6" t="s">
        <v>46</v>
      </c>
      <c r="V1182" s="1" t="n">
        <v>1</v>
      </c>
      <c r="W1182" s="4"/>
      <c r="X1182" s="6" t="s">
        <v>46</v>
      </c>
      <c r="Y1182" s="14" t="n">
        <v>5500</v>
      </c>
      <c r="Z1182" s="6" t="s">
        <v>1324</v>
      </c>
      <c r="AA1182" s="6" t="s">
        <v>1325</v>
      </c>
      <c r="AB1182" s="15" t="str">
        <f aca="true" t="array" ref="AB1182:AB1182">LEFT(AA1182,LOOKUP(2^15,FIND(".",AA1182,ROW(INDIRECT("1:"&amp;LEN(AA1182)))))-1)</f>
        <v>NB_2023_016 - 20230425 - 1</v>
      </c>
      <c r="AC1182" s="6" t="s">
        <v>1326</v>
      </c>
      <c r="AD1182" s="15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3" t="s">
        <v>1379</v>
      </c>
      <c r="B1183" s="34"/>
      <c r="C1183" s="4" t="s">
        <v>1380</v>
      </c>
      <c r="D1183" s="6" t="s">
        <v>19</v>
      </c>
      <c r="E1183" s="6" t="s">
        <v>1319</v>
      </c>
      <c r="F1183" s="7" t="s">
        <v>1320</v>
      </c>
      <c r="G1183" s="6" t="s">
        <v>1319</v>
      </c>
      <c r="H1183" s="16" t="s">
        <v>67</v>
      </c>
      <c r="I1183" s="6" t="str">
        <f aca="false">CONCATENATE(E1183, "_",H1183)</f>
        <v>NLA_2023_018_Blank_3</v>
      </c>
      <c r="J1183" s="6" t="s">
        <v>52</v>
      </c>
      <c r="K1183" s="18" t="s">
        <v>67</v>
      </c>
      <c r="L1183" s="7" t="s">
        <v>46</v>
      </c>
      <c r="M1183" s="17" t="s">
        <v>46</v>
      </c>
      <c r="N1183" s="6" t="s">
        <v>65</v>
      </c>
      <c r="O1183" s="6" t="s">
        <v>46</v>
      </c>
      <c r="P1183" s="6" t="s">
        <v>46</v>
      </c>
      <c r="Q1183" s="6" t="s">
        <v>46</v>
      </c>
      <c r="R1183" s="6" t="s">
        <v>46</v>
      </c>
      <c r="S1183" s="6" t="s">
        <v>46</v>
      </c>
      <c r="T1183" s="6" t="s">
        <v>46</v>
      </c>
      <c r="U1183" s="6" t="s">
        <v>46</v>
      </c>
      <c r="V1183" s="1" t="n">
        <v>3</v>
      </c>
      <c r="W1183" s="4"/>
      <c r="X1183" s="6" t="s">
        <v>46</v>
      </c>
      <c r="Y1183" s="14" t="n">
        <v>5500</v>
      </c>
      <c r="Z1183" s="6" t="s">
        <v>1324</v>
      </c>
      <c r="AA1183" s="6" t="s">
        <v>1325</v>
      </c>
      <c r="AB1183" s="15" t="str">
        <f aca="true" t="array" ref="AB1183:AB1183">LEFT(AA1183,LOOKUP(2^15,FIND(".",AA1183,ROW(INDIRECT("1:"&amp;LEN(AA1183)))))-1)</f>
        <v>NB_2023_016 - 20230425 - 1</v>
      </c>
      <c r="AC1183" s="6" t="s">
        <v>1326</v>
      </c>
      <c r="AD1183" s="15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3" t="s">
        <v>1379</v>
      </c>
      <c r="B1184" s="34"/>
      <c r="C1184" s="4" t="s">
        <v>1380</v>
      </c>
      <c r="D1184" s="6" t="s">
        <v>19</v>
      </c>
      <c r="E1184" s="6" t="s">
        <v>1319</v>
      </c>
      <c r="F1184" s="7" t="s">
        <v>1320</v>
      </c>
      <c r="G1184" s="6" t="s">
        <v>1319</v>
      </c>
      <c r="H1184" s="16" t="s">
        <v>221</v>
      </c>
      <c r="I1184" s="6" t="str">
        <f aca="false">CONCATENATE(E1184, "_",H1184)</f>
        <v>NLA_2023_018_Blank_4</v>
      </c>
      <c r="J1184" s="6" t="s">
        <v>52</v>
      </c>
      <c r="K1184" s="18" t="s">
        <v>221</v>
      </c>
      <c r="L1184" s="7" t="s">
        <v>46</v>
      </c>
      <c r="M1184" s="17" t="s">
        <v>46</v>
      </c>
      <c r="N1184" s="6" t="s">
        <v>65</v>
      </c>
      <c r="O1184" s="6" t="s">
        <v>46</v>
      </c>
      <c r="P1184" s="6" t="s">
        <v>46</v>
      </c>
      <c r="Q1184" s="6" t="s">
        <v>46</v>
      </c>
      <c r="R1184" s="6" t="s">
        <v>46</v>
      </c>
      <c r="S1184" s="6" t="s">
        <v>46</v>
      </c>
      <c r="T1184" s="6" t="s">
        <v>46</v>
      </c>
      <c r="U1184" s="6" t="s">
        <v>46</v>
      </c>
      <c r="V1184" s="1" t="n">
        <v>4</v>
      </c>
      <c r="W1184" s="4"/>
      <c r="X1184" s="6" t="s">
        <v>46</v>
      </c>
      <c r="Y1184" s="14" t="n">
        <v>5500</v>
      </c>
      <c r="Z1184" s="6" t="s">
        <v>1324</v>
      </c>
      <c r="AA1184" s="6" t="s">
        <v>1325</v>
      </c>
      <c r="AB1184" s="15" t="str">
        <f aca="true" t="array" ref="AB1184:AB1184">LEFT(AA1184,LOOKUP(2^15,FIND(".",AA1184,ROW(INDIRECT("1:"&amp;LEN(AA1184)))))-1)</f>
        <v>NB_2023_016 - 20230425 - 1</v>
      </c>
      <c r="AC1184" s="6" t="s">
        <v>1326</v>
      </c>
      <c r="AD1184" s="15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3" t="s">
        <v>1379</v>
      </c>
      <c r="B1185" s="34"/>
      <c r="C1185" s="4" t="s">
        <v>1380</v>
      </c>
      <c r="D1185" s="6" t="s">
        <v>19</v>
      </c>
      <c r="E1185" s="6" t="s">
        <v>1319</v>
      </c>
      <c r="F1185" s="7" t="s">
        <v>1320</v>
      </c>
      <c r="G1185" s="6" t="s">
        <v>1319</v>
      </c>
      <c r="H1185" s="16" t="s">
        <v>68</v>
      </c>
      <c r="I1185" s="6" t="str">
        <f aca="false">CONCATENATE(E1185, "_",H1185)</f>
        <v>NLA_2023_018_QC_C_1</v>
      </c>
      <c r="J1185" s="6" t="s">
        <v>52</v>
      </c>
      <c r="K1185" s="18" t="s">
        <v>68</v>
      </c>
      <c r="L1185" s="9" t="s">
        <v>69</v>
      </c>
      <c r="M1185" s="3" t="s">
        <v>46</v>
      </c>
      <c r="N1185" s="6" t="s">
        <v>70</v>
      </c>
      <c r="O1185" s="6" t="s">
        <v>46</v>
      </c>
      <c r="P1185" s="6" t="s">
        <v>71</v>
      </c>
      <c r="Q1185" s="6" t="s">
        <v>71</v>
      </c>
      <c r="R1185" s="6" t="s">
        <v>72</v>
      </c>
      <c r="S1185" s="6" t="s">
        <v>73</v>
      </c>
      <c r="T1185" s="6" t="s">
        <v>46</v>
      </c>
      <c r="U1185" s="6" t="n">
        <v>1000</v>
      </c>
      <c r="V1185" s="1" t="n">
        <v>1</v>
      </c>
      <c r="W1185" s="4"/>
      <c r="X1185" s="6" t="s">
        <v>74</v>
      </c>
      <c r="Y1185" s="14" t="n">
        <v>5500</v>
      </c>
      <c r="Z1185" s="6" t="s">
        <v>1324</v>
      </c>
      <c r="AA1185" s="6" t="s">
        <v>1325</v>
      </c>
      <c r="AB1185" s="15" t="str">
        <f aca="true" t="array" ref="AB1185:AB1185">LEFT(AA1185,LOOKUP(2^15,FIND(".",AA1185,ROW(INDIRECT("1:"&amp;LEN(AA1185)))))-1)</f>
        <v>NB_2023_016 - 20230425 - 1</v>
      </c>
      <c r="AC1185" s="6" t="s">
        <v>1326</v>
      </c>
      <c r="AD1185" s="15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3" t="s">
        <v>1379</v>
      </c>
      <c r="B1186" s="34"/>
      <c r="C1186" s="4" t="s">
        <v>1380</v>
      </c>
      <c r="D1186" s="6" t="s">
        <v>19</v>
      </c>
      <c r="E1186" s="6" t="s">
        <v>1319</v>
      </c>
      <c r="F1186" s="7" t="s">
        <v>1320</v>
      </c>
      <c r="G1186" s="6" t="s">
        <v>1319</v>
      </c>
      <c r="H1186" s="16" t="s">
        <v>75</v>
      </c>
      <c r="I1186" s="6" t="str">
        <f aca="false">CONCATENATE(E1186, "_",H1186)</f>
        <v>NLA_2023_018_QC_C_2</v>
      </c>
      <c r="J1186" s="6" t="s">
        <v>52</v>
      </c>
      <c r="K1186" s="18" t="s">
        <v>75</v>
      </c>
      <c r="L1186" s="9" t="s">
        <v>69</v>
      </c>
      <c r="M1186" s="3" t="s">
        <v>46</v>
      </c>
      <c r="N1186" s="6" t="s">
        <v>70</v>
      </c>
      <c r="O1186" s="6" t="s">
        <v>46</v>
      </c>
      <c r="P1186" s="6" t="s">
        <v>71</v>
      </c>
      <c r="Q1186" s="6" t="s">
        <v>71</v>
      </c>
      <c r="R1186" s="6" t="s">
        <v>72</v>
      </c>
      <c r="S1186" s="6" t="s">
        <v>73</v>
      </c>
      <c r="T1186" s="6" t="s">
        <v>46</v>
      </c>
      <c r="U1186" s="6" t="n">
        <v>1000</v>
      </c>
      <c r="V1186" s="1" t="n">
        <v>2</v>
      </c>
      <c r="W1186" s="4"/>
      <c r="X1186" s="6" t="s">
        <v>74</v>
      </c>
      <c r="Y1186" s="14" t="n">
        <v>5500</v>
      </c>
      <c r="Z1186" s="6" t="s">
        <v>1324</v>
      </c>
      <c r="AA1186" s="6" t="s">
        <v>1325</v>
      </c>
      <c r="AB1186" s="15" t="str">
        <f aca="true" t="array" ref="AB1186:AB1186">LEFT(AA1186,LOOKUP(2^15,FIND(".",AA1186,ROW(INDIRECT("1:"&amp;LEN(AA1186)))))-1)</f>
        <v>NB_2023_016 - 20230425 - 1</v>
      </c>
      <c r="AC1186" s="6" t="s">
        <v>1326</v>
      </c>
      <c r="AD1186" s="15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3" t="s">
        <v>1379</v>
      </c>
      <c r="B1187" s="34"/>
      <c r="C1187" s="4" t="s">
        <v>1380</v>
      </c>
      <c r="D1187" s="6" t="s">
        <v>19</v>
      </c>
      <c r="E1187" s="6" t="s">
        <v>1319</v>
      </c>
      <c r="F1187" s="7" t="s">
        <v>1320</v>
      </c>
      <c r="G1187" s="6" t="s">
        <v>1319</v>
      </c>
      <c r="H1187" s="16" t="s">
        <v>76</v>
      </c>
      <c r="I1187" s="6" t="str">
        <f aca="false">CONCATENATE(E1187, "_",H1187)</f>
        <v>NLA_2023_018_QC_C_3</v>
      </c>
      <c r="J1187" s="6" t="s">
        <v>52</v>
      </c>
      <c r="K1187" s="18" t="s">
        <v>76</v>
      </c>
      <c r="L1187" s="9" t="s">
        <v>69</v>
      </c>
      <c r="M1187" s="3" t="s">
        <v>46</v>
      </c>
      <c r="N1187" s="6" t="s">
        <v>70</v>
      </c>
      <c r="O1187" s="6" t="s">
        <v>46</v>
      </c>
      <c r="P1187" s="6" t="s">
        <v>71</v>
      </c>
      <c r="Q1187" s="6" t="s">
        <v>71</v>
      </c>
      <c r="R1187" s="6" t="s">
        <v>72</v>
      </c>
      <c r="S1187" s="6" t="s">
        <v>73</v>
      </c>
      <c r="T1187" s="6" t="s">
        <v>46</v>
      </c>
      <c r="U1187" s="6" t="n">
        <v>1000</v>
      </c>
      <c r="V1187" s="1" t="n">
        <v>3</v>
      </c>
      <c r="W1187" s="4"/>
      <c r="X1187" s="6" t="s">
        <v>74</v>
      </c>
      <c r="Y1187" s="14" t="n">
        <v>5500</v>
      </c>
      <c r="Z1187" s="6" t="s">
        <v>1324</v>
      </c>
      <c r="AA1187" s="6" t="s">
        <v>1325</v>
      </c>
      <c r="AB1187" s="15" t="str">
        <f aca="true" t="array" ref="AB1187:AB1187">LEFT(AA1187,LOOKUP(2^15,FIND(".",AA1187,ROW(INDIRECT("1:"&amp;LEN(AA1187)))))-1)</f>
        <v>NB_2023_016 - 20230425 - 1</v>
      </c>
      <c r="AC1187" s="6" t="s">
        <v>1326</v>
      </c>
      <c r="AD1187" s="15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3" t="s">
        <v>1379</v>
      </c>
      <c r="B1188" s="34"/>
      <c r="C1188" s="4" t="s">
        <v>1380</v>
      </c>
      <c r="D1188" s="6" t="s">
        <v>19</v>
      </c>
      <c r="E1188" s="6" t="s">
        <v>1319</v>
      </c>
      <c r="F1188" s="7" t="s">
        <v>1320</v>
      </c>
      <c r="G1188" s="6" t="s">
        <v>1319</v>
      </c>
      <c r="H1188" s="16" t="s">
        <v>222</v>
      </c>
      <c r="I1188" s="6" t="str">
        <f aca="false">CONCATENATE(E1188, "_",H1188)</f>
        <v>NLA_2023_018_QC_C_4</v>
      </c>
      <c r="J1188" s="6" t="s">
        <v>52</v>
      </c>
      <c r="K1188" s="18" t="s">
        <v>222</v>
      </c>
      <c r="L1188" s="9" t="s">
        <v>69</v>
      </c>
      <c r="M1188" s="3" t="s">
        <v>46</v>
      </c>
      <c r="N1188" s="6" t="s">
        <v>70</v>
      </c>
      <c r="O1188" s="6" t="s">
        <v>46</v>
      </c>
      <c r="P1188" s="6" t="s">
        <v>71</v>
      </c>
      <c r="Q1188" s="6" t="s">
        <v>71</v>
      </c>
      <c r="R1188" s="6" t="s">
        <v>72</v>
      </c>
      <c r="S1188" s="6" t="s">
        <v>73</v>
      </c>
      <c r="T1188" s="6" t="s">
        <v>46</v>
      </c>
      <c r="U1188" s="6" t="n">
        <v>1000</v>
      </c>
      <c r="V1188" s="1" t="n">
        <v>4</v>
      </c>
      <c r="W1188" s="4"/>
      <c r="X1188" s="6" t="s">
        <v>74</v>
      </c>
      <c r="Y1188" s="14" t="n">
        <v>5500</v>
      </c>
      <c r="Z1188" s="6" t="s">
        <v>1324</v>
      </c>
      <c r="AA1188" s="6" t="s">
        <v>1325</v>
      </c>
      <c r="AB1188" s="15" t="str">
        <f aca="true" t="array" ref="AB1188:AB1188">LEFT(AA1188,LOOKUP(2^15,FIND(".",AA1188,ROW(INDIRECT("1:"&amp;LEN(AA1188)))))-1)</f>
        <v>NB_2023_016 - 20230425 - 1</v>
      </c>
      <c r="AC1188" s="6" t="s">
        <v>1326</v>
      </c>
      <c r="AD1188" s="15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3" t="s">
        <v>1379</v>
      </c>
      <c r="B1189" s="34"/>
      <c r="C1189" s="4" t="s">
        <v>1380</v>
      </c>
      <c r="D1189" s="6" t="s">
        <v>19</v>
      </c>
      <c r="E1189" s="6" t="s">
        <v>1319</v>
      </c>
      <c r="F1189" s="7" t="s">
        <v>1320</v>
      </c>
      <c r="G1189" s="6" t="s">
        <v>1319</v>
      </c>
      <c r="H1189" s="16" t="s">
        <v>77</v>
      </c>
      <c r="I1189" s="6" t="str">
        <f aca="false">CONCATENATE(E1189, "_",H1189)</f>
        <v>NLA_2023_018_QC_P_1</v>
      </c>
      <c r="J1189" s="6" t="s">
        <v>52</v>
      </c>
      <c r="K1189" s="18" t="s">
        <v>77</v>
      </c>
      <c r="L1189" s="7" t="s">
        <v>69</v>
      </c>
      <c r="M1189" s="3" t="s">
        <v>46</v>
      </c>
      <c r="N1189" s="6" t="s">
        <v>78</v>
      </c>
      <c r="O1189" s="6" t="s">
        <v>46</v>
      </c>
      <c r="P1189" s="6" t="s">
        <v>79</v>
      </c>
      <c r="Q1189" s="6" t="s">
        <v>80</v>
      </c>
      <c r="R1189" s="6" t="s">
        <v>81</v>
      </c>
      <c r="S1189" s="6" t="s">
        <v>46</v>
      </c>
      <c r="T1189" s="6" t="s">
        <v>46</v>
      </c>
      <c r="U1189" s="6" t="s">
        <v>82</v>
      </c>
      <c r="V1189" s="1" t="n">
        <v>1</v>
      </c>
      <c r="W1189" s="4"/>
      <c r="X1189" s="6" t="s">
        <v>83</v>
      </c>
      <c r="Y1189" s="14" t="n">
        <v>5500</v>
      </c>
      <c r="Z1189" s="6" t="s">
        <v>1324</v>
      </c>
      <c r="AA1189" s="6" t="s">
        <v>1325</v>
      </c>
      <c r="AB1189" s="15" t="str">
        <f aca="true" t="array" ref="AB1189:AB1189">LEFT(AA1189,LOOKUP(2^15,FIND(".",AA1189,ROW(INDIRECT("1:"&amp;LEN(AA1189)))))-1)</f>
        <v>NB_2023_016 - 20230425 - 1</v>
      </c>
      <c r="AC1189" s="6" t="s">
        <v>1326</v>
      </c>
      <c r="AD1189" s="15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3" t="s">
        <v>1379</v>
      </c>
      <c r="B1190" s="34"/>
      <c r="C1190" s="4" t="s">
        <v>1380</v>
      </c>
      <c r="D1190" s="6" t="s">
        <v>19</v>
      </c>
      <c r="E1190" s="6" t="s">
        <v>1319</v>
      </c>
      <c r="F1190" s="7" t="s">
        <v>1320</v>
      </c>
      <c r="G1190" s="6" t="s">
        <v>1319</v>
      </c>
      <c r="H1190" s="16" t="s">
        <v>84</v>
      </c>
      <c r="I1190" s="6" t="str">
        <f aca="false">CONCATENATE(E1190, "_",H1190)</f>
        <v>NLA_2023_018_QC_P_2</v>
      </c>
      <c r="J1190" s="6" t="s">
        <v>52</v>
      </c>
      <c r="K1190" s="18" t="s">
        <v>84</v>
      </c>
      <c r="L1190" s="7" t="s">
        <v>69</v>
      </c>
      <c r="M1190" s="3" t="s">
        <v>46</v>
      </c>
      <c r="N1190" s="6" t="s">
        <v>78</v>
      </c>
      <c r="O1190" s="6" t="s">
        <v>46</v>
      </c>
      <c r="P1190" s="6" t="s">
        <v>79</v>
      </c>
      <c r="Q1190" s="6" t="s">
        <v>80</v>
      </c>
      <c r="R1190" s="6" t="s">
        <v>81</v>
      </c>
      <c r="S1190" s="6" t="s">
        <v>46</v>
      </c>
      <c r="T1190" s="6" t="s">
        <v>46</v>
      </c>
      <c r="U1190" s="6" t="s">
        <v>82</v>
      </c>
      <c r="V1190" s="1" t="n">
        <v>2</v>
      </c>
      <c r="W1190" s="4"/>
      <c r="X1190" s="6" t="s">
        <v>83</v>
      </c>
      <c r="Y1190" s="14" t="n">
        <v>5500</v>
      </c>
      <c r="Z1190" s="6" t="s">
        <v>1324</v>
      </c>
      <c r="AA1190" s="6" t="s">
        <v>1325</v>
      </c>
      <c r="AB1190" s="15" t="str">
        <f aca="true" t="array" ref="AB1190:AB1190">LEFT(AA1190,LOOKUP(2^15,FIND(".",AA1190,ROW(INDIRECT("1:"&amp;LEN(AA1190)))))-1)</f>
        <v>NB_2023_016 - 20230425 - 1</v>
      </c>
      <c r="AC1190" s="6" t="s">
        <v>1326</v>
      </c>
      <c r="AD1190" s="15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3" t="s">
        <v>1379</v>
      </c>
      <c r="B1191" s="34"/>
      <c r="C1191" s="4" t="s">
        <v>1380</v>
      </c>
      <c r="D1191" s="6" t="s">
        <v>19</v>
      </c>
      <c r="E1191" s="6" t="s">
        <v>1319</v>
      </c>
      <c r="F1191" s="7" t="s">
        <v>1320</v>
      </c>
      <c r="G1191" s="6" t="s">
        <v>1319</v>
      </c>
      <c r="H1191" s="16" t="s">
        <v>85</v>
      </c>
      <c r="I1191" s="6" t="str">
        <f aca="false">CONCATENATE(E1191, "_",H1191)</f>
        <v>NLA_2023_018_QC_P_3</v>
      </c>
      <c r="J1191" s="4" t="s">
        <v>52</v>
      </c>
      <c r="K1191" s="18" t="s">
        <v>85</v>
      </c>
      <c r="L1191" s="7" t="s">
        <v>69</v>
      </c>
      <c r="M1191" s="3" t="s">
        <v>46</v>
      </c>
      <c r="N1191" s="6" t="s">
        <v>78</v>
      </c>
      <c r="O1191" s="6" t="s">
        <v>46</v>
      </c>
      <c r="P1191" s="6" t="s">
        <v>79</v>
      </c>
      <c r="Q1191" s="6" t="s">
        <v>80</v>
      </c>
      <c r="R1191" s="6" t="s">
        <v>81</v>
      </c>
      <c r="S1191" s="6" t="s">
        <v>46</v>
      </c>
      <c r="T1191" s="6" t="s">
        <v>46</v>
      </c>
      <c r="U1191" s="6" t="s">
        <v>82</v>
      </c>
      <c r="V1191" s="1" t="n">
        <v>3</v>
      </c>
      <c r="W1191" s="4"/>
      <c r="X1191" s="6" t="s">
        <v>83</v>
      </c>
      <c r="Y1191" s="14" t="n">
        <v>5500</v>
      </c>
      <c r="Z1191" s="6" t="s">
        <v>1324</v>
      </c>
      <c r="AA1191" s="6" t="s">
        <v>1325</v>
      </c>
      <c r="AB1191" s="15" t="str">
        <f aca="true" t="array" ref="AB1191:AB1191">LEFT(AA1191,LOOKUP(2^15,FIND(".",AA1191,ROW(INDIRECT("1:"&amp;LEN(AA1191)))))-1)</f>
        <v>NB_2023_016 - 20230425 - 1</v>
      </c>
      <c r="AC1191" s="6" t="s">
        <v>1326</v>
      </c>
      <c r="AD1191" s="15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3" t="s">
        <v>1379</v>
      </c>
      <c r="B1192" s="34"/>
      <c r="C1192" s="4" t="s">
        <v>1380</v>
      </c>
      <c r="D1192" s="6" t="s">
        <v>19</v>
      </c>
      <c r="E1192" s="6" t="s">
        <v>1319</v>
      </c>
      <c r="F1192" s="7" t="s">
        <v>1320</v>
      </c>
      <c r="G1192" s="6" t="s">
        <v>1319</v>
      </c>
      <c r="H1192" s="16" t="s">
        <v>224</v>
      </c>
      <c r="I1192" s="6" t="str">
        <f aca="false">CONCATENATE(E1192, "_",H1192)</f>
        <v>NLA_2023_018_QC_P_4</v>
      </c>
      <c r="J1192" s="4" t="s">
        <v>52</v>
      </c>
      <c r="K1192" s="18" t="s">
        <v>224</v>
      </c>
      <c r="L1192" s="7" t="s">
        <v>69</v>
      </c>
      <c r="M1192" s="3" t="s">
        <v>46</v>
      </c>
      <c r="N1192" s="6" t="s">
        <v>78</v>
      </c>
      <c r="O1192" s="6" t="s">
        <v>46</v>
      </c>
      <c r="P1192" s="6" t="s">
        <v>79</v>
      </c>
      <c r="Q1192" s="6" t="s">
        <v>80</v>
      </c>
      <c r="R1192" s="6" t="s">
        <v>81</v>
      </c>
      <c r="S1192" s="6" t="s">
        <v>46</v>
      </c>
      <c r="T1192" s="6" t="s">
        <v>46</v>
      </c>
      <c r="U1192" s="6" t="s">
        <v>82</v>
      </c>
      <c r="V1192" s="1" t="n">
        <v>4</v>
      </c>
      <c r="W1192" s="4"/>
      <c r="X1192" s="6" t="s">
        <v>83</v>
      </c>
      <c r="Y1192" s="14" t="n">
        <v>5500</v>
      </c>
      <c r="Z1192" s="6" t="s">
        <v>1324</v>
      </c>
      <c r="AA1192" s="6" t="s">
        <v>1325</v>
      </c>
      <c r="AB1192" s="15" t="str">
        <f aca="true" t="array" ref="AB1192:AB1192">LEFT(AA1192,LOOKUP(2^15,FIND(".",AA1192,ROW(INDIRECT("1:"&amp;LEN(AA1192)))))-1)</f>
        <v>NB_2023_016 - 20230425 - 1</v>
      </c>
      <c r="AC1192" s="6" t="s">
        <v>1326</v>
      </c>
      <c r="AD1192" s="15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3" t="s">
        <v>1381</v>
      </c>
      <c r="B1193" s="34"/>
      <c r="C1193" s="4" t="s">
        <v>1382</v>
      </c>
      <c r="D1193" s="6" t="s">
        <v>14</v>
      </c>
      <c r="E1193" s="6" t="s">
        <v>1319</v>
      </c>
      <c r="F1193" s="7" t="s">
        <v>1320</v>
      </c>
      <c r="G1193" s="6" t="s">
        <v>1336</v>
      </c>
      <c r="H1193" s="7" t="s">
        <v>132</v>
      </c>
      <c r="I1193" s="6" t="str">
        <f aca="false">CONCATENATE(E1193, "_",H1193)</f>
        <v>NLA_2023_018_011</v>
      </c>
      <c r="J1193" s="6" t="s">
        <v>52</v>
      </c>
      <c r="K1193" s="6" t="s">
        <v>1383</v>
      </c>
      <c r="L1193" s="9" t="s">
        <v>69</v>
      </c>
      <c r="M1193" s="17" t="s">
        <v>1338</v>
      </c>
      <c r="N1193" s="6" t="s">
        <v>246</v>
      </c>
      <c r="O1193" s="35" t="s">
        <v>1220</v>
      </c>
      <c r="P1193" s="1" t="s">
        <v>43</v>
      </c>
      <c r="Q1193" s="6" t="s">
        <v>1358</v>
      </c>
      <c r="R1193" s="6" t="s">
        <v>44</v>
      </c>
      <c r="S1193" s="14"/>
      <c r="U1193" s="6" t="n">
        <v>1500</v>
      </c>
      <c r="V1193" s="14" t="n">
        <v>1</v>
      </c>
      <c r="W1193" s="4"/>
      <c r="X1193" s="9" t="s">
        <v>1215</v>
      </c>
      <c r="Y1193" s="14" t="n">
        <v>5500</v>
      </c>
      <c r="Z1193" s="6" t="s">
        <v>1324</v>
      </c>
      <c r="AA1193" s="6" t="s">
        <v>1325</v>
      </c>
      <c r="AB1193" s="15" t="str">
        <f aca="true" t="array" ref="AB1193:AB1193">LEFT(AA1193,LOOKUP(2^15,FIND(".",AA1193,ROW(INDIRECT("1:"&amp;LEN(AA1193)))))-1)</f>
        <v>NB_2023_016 - 20230425 - 1</v>
      </c>
      <c r="AC1193" s="6" t="s">
        <v>1326</v>
      </c>
      <c r="AD1193" s="15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3" t="s">
        <v>1381</v>
      </c>
      <c r="B1194" s="34"/>
      <c r="C1194" s="4" t="s">
        <v>1382</v>
      </c>
      <c r="D1194" s="6" t="s">
        <v>14</v>
      </c>
      <c r="E1194" s="6" t="s">
        <v>1319</v>
      </c>
      <c r="F1194" s="7" t="s">
        <v>1320</v>
      </c>
      <c r="G1194" s="6" t="s">
        <v>1321</v>
      </c>
      <c r="H1194" s="7" t="s">
        <v>58</v>
      </c>
      <c r="I1194" s="6" t="str">
        <f aca="false">CONCATENATE(E1194, "_",H1194)</f>
        <v>NLA_2023_018_014</v>
      </c>
      <c r="J1194" s="6" t="s">
        <v>52</v>
      </c>
      <c r="K1194" s="6" t="s">
        <v>1384</v>
      </c>
      <c r="L1194" s="9" t="s">
        <v>69</v>
      </c>
      <c r="M1194" s="17" t="s">
        <v>1323</v>
      </c>
      <c r="N1194" s="6" t="s">
        <v>246</v>
      </c>
      <c r="O1194" s="35" t="s">
        <v>1220</v>
      </c>
      <c r="P1194" s="1" t="s">
        <v>43</v>
      </c>
      <c r="Q1194" s="6" t="s">
        <v>1358</v>
      </c>
      <c r="R1194" s="6" t="s">
        <v>44</v>
      </c>
      <c r="S1194" s="14"/>
      <c r="U1194" s="6" t="n">
        <v>1500</v>
      </c>
      <c r="V1194" s="14" t="n">
        <v>2</v>
      </c>
      <c r="W1194" s="4"/>
      <c r="X1194" s="9" t="s">
        <v>1215</v>
      </c>
      <c r="Y1194" s="14" t="n">
        <v>5500</v>
      </c>
      <c r="Z1194" s="6" t="s">
        <v>1324</v>
      </c>
      <c r="AA1194" s="6" t="s">
        <v>1325</v>
      </c>
      <c r="AB1194" s="15" t="str">
        <f aca="true" t="array" ref="AB1194:AB1194">LEFT(AA1194,LOOKUP(2^15,FIND(".",AA1194,ROW(INDIRECT("1:"&amp;LEN(AA1194)))))-1)</f>
        <v>NB_2023_016 - 20230425 - 1</v>
      </c>
      <c r="AC1194" s="6" t="s">
        <v>1326</v>
      </c>
      <c r="AD1194" s="15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3" t="s">
        <v>1381</v>
      </c>
      <c r="B1195" s="34"/>
      <c r="C1195" s="4" t="s">
        <v>1382</v>
      </c>
      <c r="D1195" s="6" t="s">
        <v>14</v>
      </c>
      <c r="E1195" s="6" t="s">
        <v>1319</v>
      </c>
      <c r="F1195" s="7" t="s">
        <v>1320</v>
      </c>
      <c r="G1195" s="6" t="s">
        <v>1321</v>
      </c>
      <c r="H1195" s="7" t="s">
        <v>60</v>
      </c>
      <c r="I1195" s="6" t="str">
        <f aca="false">CONCATENATE(E1195, "_",H1195)</f>
        <v>NLA_2023_018_016</v>
      </c>
      <c r="J1195" s="6" t="s">
        <v>38</v>
      </c>
      <c r="K1195" s="6" t="s">
        <v>1327</v>
      </c>
      <c r="L1195" s="9" t="s">
        <v>69</v>
      </c>
      <c r="M1195" s="17" t="s">
        <v>1323</v>
      </c>
      <c r="N1195" s="6" t="s">
        <v>246</v>
      </c>
      <c r="O1195" s="35" t="s">
        <v>1212</v>
      </c>
      <c r="P1195" s="1" t="s">
        <v>43</v>
      </c>
      <c r="Q1195" s="1" t="s">
        <v>43</v>
      </c>
      <c r="R1195" s="6" t="s">
        <v>44</v>
      </c>
      <c r="U1195" s="6" t="n">
        <v>1500</v>
      </c>
      <c r="V1195" s="1" t="n">
        <v>2</v>
      </c>
      <c r="W1195" s="4"/>
      <c r="X1195" s="9" t="s">
        <v>1215</v>
      </c>
      <c r="Y1195" s="14" t="n">
        <v>5500</v>
      </c>
      <c r="Z1195" s="6" t="s">
        <v>1324</v>
      </c>
      <c r="AA1195" s="6" t="s">
        <v>1325</v>
      </c>
      <c r="AB1195" s="15" t="str">
        <f aca="true" t="array" ref="AB1195:AB1195">LEFT(AA1195,LOOKUP(2^15,FIND(".",AA1195,ROW(INDIRECT("1:"&amp;LEN(AA1195)))))-1)</f>
        <v>NB_2023_016 - 20230425 - 1</v>
      </c>
      <c r="AC1195" s="6" t="s">
        <v>1326</v>
      </c>
      <c r="AD1195" s="15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3" t="s">
        <v>1381</v>
      </c>
      <c r="B1196" s="34"/>
      <c r="C1196" s="4" t="s">
        <v>1382</v>
      </c>
      <c r="D1196" s="6" t="s">
        <v>14</v>
      </c>
      <c r="E1196" s="6" t="s">
        <v>1319</v>
      </c>
      <c r="F1196" s="7" t="s">
        <v>1320</v>
      </c>
      <c r="G1196" s="6" t="s">
        <v>1336</v>
      </c>
      <c r="H1196" s="7" t="s">
        <v>181</v>
      </c>
      <c r="I1196" s="6" t="str">
        <f aca="false">CONCATENATE(E1196, "_",H1196)</f>
        <v>NLA_2023_018_017</v>
      </c>
      <c r="J1196" s="6" t="s">
        <v>38</v>
      </c>
      <c r="K1196" s="6" t="s">
        <v>1340</v>
      </c>
      <c r="L1196" s="9" t="s">
        <v>69</v>
      </c>
      <c r="M1196" s="17" t="s">
        <v>1338</v>
      </c>
      <c r="N1196" s="6" t="s">
        <v>246</v>
      </c>
      <c r="O1196" s="35" t="s">
        <v>1212</v>
      </c>
      <c r="P1196" s="1" t="s">
        <v>43</v>
      </c>
      <c r="Q1196" s="1" t="s">
        <v>43</v>
      </c>
      <c r="R1196" s="6" t="s">
        <v>44</v>
      </c>
      <c r="S1196" s="14"/>
      <c r="U1196" s="6" t="n">
        <v>1500</v>
      </c>
      <c r="V1196" s="14" t="n">
        <v>2</v>
      </c>
      <c r="W1196" s="4"/>
      <c r="X1196" s="9" t="s">
        <v>1215</v>
      </c>
      <c r="Y1196" s="14" t="n">
        <v>5500</v>
      </c>
      <c r="Z1196" s="6" t="s">
        <v>1324</v>
      </c>
      <c r="AA1196" s="6" t="s">
        <v>1325</v>
      </c>
      <c r="AB1196" s="15" t="str">
        <f aca="true" t="array" ref="AB1196:AB1196">LEFT(AA1196,LOOKUP(2^15,FIND(".",AA1196,ROW(INDIRECT("1:"&amp;LEN(AA1196)))))-1)</f>
        <v>NB_2023_016 - 20230425 - 1</v>
      </c>
      <c r="AC1196" s="6" t="s">
        <v>1326</v>
      </c>
      <c r="AD1196" s="15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3" t="s">
        <v>1381</v>
      </c>
      <c r="B1197" s="34"/>
      <c r="C1197" s="4" t="s">
        <v>1382</v>
      </c>
      <c r="D1197" s="6" t="s">
        <v>14</v>
      </c>
      <c r="E1197" s="6" t="s">
        <v>1319</v>
      </c>
      <c r="F1197" s="7" t="s">
        <v>1320</v>
      </c>
      <c r="G1197" s="6" t="s">
        <v>1345</v>
      </c>
      <c r="H1197" s="7" t="s">
        <v>62</v>
      </c>
      <c r="I1197" s="6" t="str">
        <f aca="false">CONCATENATE(E1197, "_",H1197)</f>
        <v>NLA_2023_018_021</v>
      </c>
      <c r="J1197" s="6" t="s">
        <v>38</v>
      </c>
      <c r="K1197" s="6" t="s">
        <v>1350</v>
      </c>
      <c r="L1197" s="9" t="s">
        <v>69</v>
      </c>
      <c r="M1197" s="17" t="s">
        <v>1347</v>
      </c>
      <c r="N1197" s="6" t="s">
        <v>246</v>
      </c>
      <c r="O1197" s="35" t="s">
        <v>1212</v>
      </c>
      <c r="P1197" s="1" t="s">
        <v>43</v>
      </c>
      <c r="Q1197" s="6" t="s">
        <v>43</v>
      </c>
      <c r="R1197" s="6" t="s">
        <v>44</v>
      </c>
      <c r="S1197" s="14"/>
      <c r="T1197" s="6"/>
      <c r="U1197" s="6" t="n">
        <v>1500</v>
      </c>
      <c r="V1197" s="14" t="n">
        <v>1</v>
      </c>
      <c r="W1197" s="4"/>
      <c r="X1197" s="9" t="s">
        <v>1215</v>
      </c>
      <c r="Y1197" s="14" t="n">
        <v>5500</v>
      </c>
      <c r="Z1197" s="6" t="s">
        <v>1324</v>
      </c>
      <c r="AA1197" s="6" t="s">
        <v>1325</v>
      </c>
      <c r="AB1197" s="15" t="str">
        <f aca="true" t="array" ref="AB1197:AB1197">LEFT(AA1197,LOOKUP(2^15,FIND(".",AA1197,ROW(INDIRECT("1:"&amp;LEN(AA1197)))))-1)</f>
        <v>NB_2023_016 - 20230425 - 1</v>
      </c>
      <c r="AC1197" s="6" t="s">
        <v>1326</v>
      </c>
      <c r="AD1197" s="15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3" t="s">
        <v>1381</v>
      </c>
      <c r="B1198" s="34"/>
      <c r="C1198" s="4" t="s">
        <v>1382</v>
      </c>
      <c r="D1198" s="6" t="s">
        <v>14</v>
      </c>
      <c r="E1198" s="6" t="s">
        <v>1319</v>
      </c>
      <c r="F1198" s="7" t="s">
        <v>1320</v>
      </c>
      <c r="G1198" s="6" t="s">
        <v>1336</v>
      </c>
      <c r="H1198" s="7" t="s">
        <v>288</v>
      </c>
      <c r="I1198" s="6" t="str">
        <f aca="false">CONCATENATE(E1198, "_",H1198)</f>
        <v>NLA_2023_018_022</v>
      </c>
      <c r="J1198" s="6" t="s">
        <v>52</v>
      </c>
      <c r="K1198" s="6" t="s">
        <v>1385</v>
      </c>
      <c r="L1198" s="9" t="s">
        <v>69</v>
      </c>
      <c r="M1198" s="17" t="s">
        <v>1338</v>
      </c>
      <c r="N1198" s="6" t="s">
        <v>246</v>
      </c>
      <c r="O1198" s="35" t="s">
        <v>1220</v>
      </c>
      <c r="P1198" s="1" t="s">
        <v>43</v>
      </c>
      <c r="Q1198" s="6" t="s">
        <v>1358</v>
      </c>
      <c r="R1198" s="6" t="s">
        <v>44</v>
      </c>
      <c r="S1198" s="14"/>
      <c r="U1198" s="6" t="n">
        <v>1500</v>
      </c>
      <c r="V1198" s="14" t="n">
        <v>3</v>
      </c>
      <c r="W1198" s="4"/>
      <c r="X1198" s="9" t="s">
        <v>1215</v>
      </c>
      <c r="Y1198" s="14" t="n">
        <v>5500</v>
      </c>
      <c r="Z1198" s="6" t="s">
        <v>1324</v>
      </c>
      <c r="AA1198" s="6" t="s">
        <v>1325</v>
      </c>
      <c r="AB1198" s="15" t="str">
        <f aca="true" t="array" ref="AB1198:AB1198">LEFT(AA1198,LOOKUP(2^15,FIND(".",AA1198,ROW(INDIRECT("1:"&amp;LEN(AA1198)))))-1)</f>
        <v>NB_2023_016 - 20230425 - 1</v>
      </c>
      <c r="AC1198" s="6" t="s">
        <v>1326</v>
      </c>
      <c r="AD1198" s="15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3" t="s">
        <v>1381</v>
      </c>
      <c r="B1199" s="34"/>
      <c r="C1199" s="4" t="s">
        <v>1382</v>
      </c>
      <c r="D1199" s="6" t="s">
        <v>14</v>
      </c>
      <c r="E1199" s="6" t="s">
        <v>1319</v>
      </c>
      <c r="F1199" s="7" t="s">
        <v>1320</v>
      </c>
      <c r="G1199" s="6" t="s">
        <v>1345</v>
      </c>
      <c r="H1199" s="7" t="s">
        <v>1351</v>
      </c>
      <c r="I1199" s="6" t="str">
        <f aca="false">CONCATENATE(E1199, "_",H1199)</f>
        <v>NLA_2023_018_025</v>
      </c>
      <c r="J1199" s="6" t="s">
        <v>38</v>
      </c>
      <c r="K1199" s="6" t="s">
        <v>1352</v>
      </c>
      <c r="L1199" s="9" t="s">
        <v>69</v>
      </c>
      <c r="M1199" s="17" t="s">
        <v>1347</v>
      </c>
      <c r="N1199" s="6" t="s">
        <v>246</v>
      </c>
      <c r="O1199" s="35" t="s">
        <v>1212</v>
      </c>
      <c r="P1199" s="1" t="s">
        <v>43</v>
      </c>
      <c r="Q1199" s="6" t="s">
        <v>43</v>
      </c>
      <c r="R1199" s="6" t="s">
        <v>44</v>
      </c>
      <c r="S1199" s="14"/>
      <c r="U1199" s="6" t="n">
        <v>1500</v>
      </c>
      <c r="V1199" s="14" t="n">
        <v>2</v>
      </c>
      <c r="W1199" s="4"/>
      <c r="X1199" s="9" t="s">
        <v>1215</v>
      </c>
      <c r="Y1199" s="14" t="n">
        <v>5500</v>
      </c>
      <c r="Z1199" s="6" t="s">
        <v>1324</v>
      </c>
      <c r="AA1199" s="6" t="s">
        <v>1325</v>
      </c>
      <c r="AB1199" s="15" t="str">
        <f aca="true" t="array" ref="AB1199:AB1199">LEFT(AA1199,LOOKUP(2^15,FIND(".",AA1199,ROW(INDIRECT("1:"&amp;LEN(AA1199)))))-1)</f>
        <v>NB_2023_016 - 20230425 - 1</v>
      </c>
      <c r="AC1199" s="6" t="s">
        <v>1326</v>
      </c>
      <c r="AD1199" s="15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3" t="s">
        <v>1381</v>
      </c>
      <c r="B1200" s="34"/>
      <c r="C1200" s="4" t="s">
        <v>1382</v>
      </c>
      <c r="D1200" s="6" t="s">
        <v>14</v>
      </c>
      <c r="E1200" s="6" t="s">
        <v>1319</v>
      </c>
      <c r="F1200" s="7" t="s">
        <v>1320</v>
      </c>
      <c r="G1200" s="6" t="s">
        <v>1321</v>
      </c>
      <c r="H1200" s="7" t="s">
        <v>316</v>
      </c>
      <c r="I1200" s="6" t="str">
        <f aca="false">CONCATENATE(E1200, "_",H1200)</f>
        <v>NLA_2023_018_026</v>
      </c>
      <c r="J1200" s="6" t="s">
        <v>52</v>
      </c>
      <c r="K1200" s="6" t="s">
        <v>1386</v>
      </c>
      <c r="L1200" s="9" t="s">
        <v>69</v>
      </c>
      <c r="M1200" s="17" t="s">
        <v>1323</v>
      </c>
      <c r="N1200" s="6" t="s">
        <v>246</v>
      </c>
      <c r="O1200" s="35" t="s">
        <v>1220</v>
      </c>
      <c r="P1200" s="1" t="s">
        <v>43</v>
      </c>
      <c r="Q1200" s="6" t="s">
        <v>1358</v>
      </c>
      <c r="R1200" s="6" t="s">
        <v>44</v>
      </c>
      <c r="S1200" s="14"/>
      <c r="T1200" s="6"/>
      <c r="U1200" s="6" t="n">
        <v>1500</v>
      </c>
      <c r="V1200" s="14" t="n">
        <v>1</v>
      </c>
      <c r="W1200" s="4"/>
      <c r="X1200" s="9" t="s">
        <v>1215</v>
      </c>
      <c r="Y1200" s="14" t="n">
        <v>5500</v>
      </c>
      <c r="Z1200" s="6" t="s">
        <v>1324</v>
      </c>
      <c r="AA1200" s="6" t="s">
        <v>1325</v>
      </c>
      <c r="AB1200" s="15" t="str">
        <f aca="true" t="array" ref="AB1200:AB1200">LEFT(AA1200,LOOKUP(2^15,FIND(".",AA1200,ROW(INDIRECT("1:"&amp;LEN(AA1200)))))-1)</f>
        <v>NB_2023_016 - 20230425 - 1</v>
      </c>
      <c r="AC1200" s="6" t="s">
        <v>1326</v>
      </c>
      <c r="AD1200" s="15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3" t="s">
        <v>1381</v>
      </c>
      <c r="B1201" s="34"/>
      <c r="C1201" s="4" t="s">
        <v>1382</v>
      </c>
      <c r="D1201" s="6" t="s">
        <v>14</v>
      </c>
      <c r="E1201" s="6" t="s">
        <v>1319</v>
      </c>
      <c r="F1201" s="7" t="s">
        <v>1320</v>
      </c>
      <c r="G1201" s="6" t="s">
        <v>1345</v>
      </c>
      <c r="H1201" s="7" t="s">
        <v>1353</v>
      </c>
      <c r="I1201" s="6" t="str">
        <f aca="false">CONCATENATE(E1201, "_",H1201)</f>
        <v>NLA_2023_018_027</v>
      </c>
      <c r="J1201" s="6" t="s">
        <v>38</v>
      </c>
      <c r="K1201" s="6" t="s">
        <v>1354</v>
      </c>
      <c r="L1201" s="9" t="s">
        <v>69</v>
      </c>
      <c r="M1201" s="17" t="s">
        <v>1347</v>
      </c>
      <c r="N1201" s="6" t="s">
        <v>246</v>
      </c>
      <c r="O1201" s="35" t="s">
        <v>1212</v>
      </c>
      <c r="P1201" s="1" t="s">
        <v>43</v>
      </c>
      <c r="Q1201" s="1" t="s">
        <v>43</v>
      </c>
      <c r="R1201" s="6" t="s">
        <v>44</v>
      </c>
      <c r="S1201" s="14"/>
      <c r="U1201" s="6" t="n">
        <v>1500</v>
      </c>
      <c r="V1201" s="14" t="n">
        <v>3</v>
      </c>
      <c r="W1201" s="4"/>
      <c r="X1201" s="9" t="s">
        <v>1215</v>
      </c>
      <c r="Y1201" s="14" t="n">
        <v>5500</v>
      </c>
      <c r="Z1201" s="6" t="s">
        <v>1324</v>
      </c>
      <c r="AA1201" s="6" t="s">
        <v>1325</v>
      </c>
      <c r="AB1201" s="15" t="str">
        <f aca="true" t="array" ref="AB1201:AB1201">LEFT(AA1201,LOOKUP(2^15,FIND(".",AA1201,ROW(INDIRECT("1:"&amp;LEN(AA1201)))))-1)</f>
        <v>NB_2023_016 - 20230425 - 1</v>
      </c>
      <c r="AC1201" s="6" t="s">
        <v>1326</v>
      </c>
      <c r="AD1201" s="15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3" t="s">
        <v>1381</v>
      </c>
      <c r="B1202" s="34"/>
      <c r="C1202" s="4" t="s">
        <v>1382</v>
      </c>
      <c r="D1202" s="6" t="s">
        <v>14</v>
      </c>
      <c r="E1202" s="6" t="s">
        <v>1319</v>
      </c>
      <c r="F1202" s="7" t="s">
        <v>1320</v>
      </c>
      <c r="G1202" s="6" t="s">
        <v>1321</v>
      </c>
      <c r="H1202" s="7" t="s">
        <v>1329</v>
      </c>
      <c r="I1202" s="6" t="str">
        <f aca="false">CONCATENATE(E1202, "_",H1202)</f>
        <v>NLA_2023_018_028</v>
      </c>
      <c r="J1202" s="6" t="s">
        <v>38</v>
      </c>
      <c r="K1202" s="6" t="s">
        <v>1330</v>
      </c>
      <c r="L1202" s="9" t="s">
        <v>69</v>
      </c>
      <c r="M1202" s="17" t="s">
        <v>1323</v>
      </c>
      <c r="N1202" s="6" t="s">
        <v>246</v>
      </c>
      <c r="O1202" s="35" t="s">
        <v>1212</v>
      </c>
      <c r="P1202" s="1" t="s">
        <v>43</v>
      </c>
      <c r="Q1202" s="6" t="s">
        <v>43</v>
      </c>
      <c r="R1202" s="6" t="s">
        <v>44</v>
      </c>
      <c r="U1202" s="6" t="n">
        <v>1500</v>
      </c>
      <c r="V1202" s="1" t="n">
        <v>4</v>
      </c>
      <c r="W1202" s="4"/>
      <c r="X1202" s="9" t="s">
        <v>1215</v>
      </c>
      <c r="Y1202" s="14" t="n">
        <v>5500</v>
      </c>
      <c r="Z1202" s="6" t="s">
        <v>1324</v>
      </c>
      <c r="AA1202" s="6" t="s">
        <v>1325</v>
      </c>
      <c r="AB1202" s="15" t="str">
        <f aca="true" t="array" ref="AB1202:AB1202">LEFT(AA1202,LOOKUP(2^15,FIND(".",AA1202,ROW(INDIRECT("1:"&amp;LEN(AA1202)))))-1)</f>
        <v>NB_2023_016 - 20230425 - 1</v>
      </c>
      <c r="AC1202" s="6" t="s">
        <v>1326</v>
      </c>
      <c r="AD1202" s="15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3" t="s">
        <v>1381</v>
      </c>
      <c r="B1203" s="34"/>
      <c r="C1203" s="4" t="s">
        <v>1382</v>
      </c>
      <c r="D1203" s="6" t="s">
        <v>14</v>
      </c>
      <c r="E1203" s="6" t="s">
        <v>1319</v>
      </c>
      <c r="F1203" s="7" t="s">
        <v>1320</v>
      </c>
      <c r="G1203" s="6" t="s">
        <v>1336</v>
      </c>
      <c r="H1203" s="7" t="s">
        <v>439</v>
      </c>
      <c r="I1203" s="6" t="str">
        <f aca="false">CONCATENATE(E1203, "_",H1203)</f>
        <v>NLA_2023_018_029</v>
      </c>
      <c r="J1203" s="6" t="s">
        <v>38</v>
      </c>
      <c r="K1203" s="6" t="s">
        <v>1342</v>
      </c>
      <c r="L1203" s="9" t="s">
        <v>69</v>
      </c>
      <c r="M1203" s="17" t="s">
        <v>1338</v>
      </c>
      <c r="N1203" s="6" t="s">
        <v>246</v>
      </c>
      <c r="O1203" s="35" t="s">
        <v>1212</v>
      </c>
      <c r="P1203" s="1" t="s">
        <v>43</v>
      </c>
      <c r="Q1203" s="1" t="s">
        <v>43</v>
      </c>
      <c r="R1203" s="6" t="s">
        <v>44</v>
      </c>
      <c r="U1203" s="6" t="n">
        <v>1500</v>
      </c>
      <c r="V1203" s="1" t="n">
        <v>1</v>
      </c>
      <c r="W1203" s="4"/>
      <c r="X1203" s="9" t="s">
        <v>1215</v>
      </c>
      <c r="Y1203" s="14" t="n">
        <v>5500</v>
      </c>
      <c r="Z1203" s="6" t="s">
        <v>1324</v>
      </c>
      <c r="AA1203" s="6" t="s">
        <v>1325</v>
      </c>
      <c r="AB1203" s="15" t="str">
        <f aca="true" t="array" ref="AB1203:AB1203">LEFT(AA1203,LOOKUP(2^15,FIND(".",AA1203,ROW(INDIRECT("1:"&amp;LEN(AA1203)))))-1)</f>
        <v>NB_2023_016 - 20230425 - 1</v>
      </c>
      <c r="AC1203" s="6" t="s">
        <v>1326</v>
      </c>
      <c r="AD1203" s="15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3" t="s">
        <v>1381</v>
      </c>
      <c r="B1204" s="34"/>
      <c r="C1204" s="4" t="s">
        <v>1382</v>
      </c>
      <c r="D1204" s="6" t="s">
        <v>14</v>
      </c>
      <c r="E1204" s="6" t="s">
        <v>1319</v>
      </c>
      <c r="F1204" s="7" t="s">
        <v>1320</v>
      </c>
      <c r="G1204" s="6" t="s">
        <v>1336</v>
      </c>
      <c r="H1204" s="7" t="s">
        <v>1241</v>
      </c>
      <c r="I1204" s="6" t="str">
        <f aca="false">CONCATENATE(E1204, "_",H1204)</f>
        <v>NLA_2023_018_032</v>
      </c>
      <c r="J1204" s="6" t="s">
        <v>52</v>
      </c>
      <c r="K1204" s="6" t="s">
        <v>1387</v>
      </c>
      <c r="L1204" s="9" t="s">
        <v>69</v>
      </c>
      <c r="M1204" s="17" t="s">
        <v>1338</v>
      </c>
      <c r="N1204" s="6" t="s">
        <v>246</v>
      </c>
      <c r="O1204" s="35" t="s">
        <v>1220</v>
      </c>
      <c r="P1204" s="1" t="s">
        <v>43</v>
      </c>
      <c r="Q1204" s="1" t="s">
        <v>1358</v>
      </c>
      <c r="R1204" s="6" t="s">
        <v>44</v>
      </c>
      <c r="S1204" s="14"/>
      <c r="U1204" s="6" t="n">
        <v>1500</v>
      </c>
      <c r="V1204" s="14" t="n">
        <v>2</v>
      </c>
      <c r="W1204" s="4"/>
      <c r="X1204" s="9" t="s">
        <v>1215</v>
      </c>
      <c r="Y1204" s="14" t="n">
        <v>5500</v>
      </c>
      <c r="Z1204" s="6" t="s">
        <v>1324</v>
      </c>
      <c r="AA1204" s="6" t="s">
        <v>1325</v>
      </c>
      <c r="AB1204" s="15" t="str">
        <f aca="true" t="array" ref="AB1204:AB1204">LEFT(AA1204,LOOKUP(2^15,FIND(".",AA1204,ROW(INDIRECT("1:"&amp;LEN(AA1204)))))-1)</f>
        <v>NB_2023_016 - 20230425 - 1</v>
      </c>
      <c r="AC1204" s="6" t="s">
        <v>1326</v>
      </c>
      <c r="AD1204" s="15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3" t="s">
        <v>1381</v>
      </c>
      <c r="B1205" s="34"/>
      <c r="C1205" s="4" t="s">
        <v>1382</v>
      </c>
      <c r="D1205" s="6" t="s">
        <v>14</v>
      </c>
      <c r="E1205" s="6" t="s">
        <v>1319</v>
      </c>
      <c r="F1205" s="7" t="s">
        <v>1320</v>
      </c>
      <c r="G1205" s="6" t="s">
        <v>1321</v>
      </c>
      <c r="H1205" s="7" t="s">
        <v>1063</v>
      </c>
      <c r="I1205" s="6" t="str">
        <f aca="false">CONCATENATE(E1205, "_",H1205)</f>
        <v>NLA_2023_018_033</v>
      </c>
      <c r="J1205" s="6" t="s">
        <v>38</v>
      </c>
      <c r="K1205" s="6" t="s">
        <v>1332</v>
      </c>
      <c r="L1205" s="9" t="s">
        <v>69</v>
      </c>
      <c r="M1205" s="17" t="s">
        <v>1323</v>
      </c>
      <c r="N1205" s="6" t="s">
        <v>246</v>
      </c>
      <c r="O1205" s="35" t="s">
        <v>1212</v>
      </c>
      <c r="P1205" s="1" t="s">
        <v>43</v>
      </c>
      <c r="Q1205" s="1" t="s">
        <v>43</v>
      </c>
      <c r="R1205" s="6" t="s">
        <v>44</v>
      </c>
      <c r="U1205" s="6" t="n">
        <v>1500</v>
      </c>
      <c r="V1205" s="1" t="n">
        <v>3</v>
      </c>
      <c r="W1205" s="4"/>
      <c r="X1205" s="9" t="s">
        <v>1215</v>
      </c>
      <c r="Y1205" s="14" t="n">
        <v>5500</v>
      </c>
      <c r="Z1205" s="6" t="s">
        <v>1324</v>
      </c>
      <c r="AA1205" s="6" t="s">
        <v>1325</v>
      </c>
      <c r="AB1205" s="15" t="str">
        <f aca="true" t="array" ref="AB1205:AB1205">LEFT(AA1205,LOOKUP(2^15,FIND(".",AA1205,ROW(INDIRECT("1:"&amp;LEN(AA1205)))))-1)</f>
        <v>NB_2023_016 - 20230425 - 1</v>
      </c>
      <c r="AC1205" s="6" t="s">
        <v>1326</v>
      </c>
      <c r="AD1205" s="15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3" t="s">
        <v>1381</v>
      </c>
      <c r="B1206" s="34"/>
      <c r="C1206" s="4" t="s">
        <v>1382</v>
      </c>
      <c r="D1206" s="6" t="s">
        <v>14</v>
      </c>
      <c r="E1206" s="6" t="s">
        <v>1319</v>
      </c>
      <c r="F1206" s="7" t="s">
        <v>1320</v>
      </c>
      <c r="G1206" s="6" t="s">
        <v>1345</v>
      </c>
      <c r="H1206" s="7" t="s">
        <v>920</v>
      </c>
      <c r="I1206" s="6" t="str">
        <f aca="false">CONCATENATE(E1206, "_",H1206)</f>
        <v>NLA_2023_018_034</v>
      </c>
      <c r="J1206" s="6" t="s">
        <v>52</v>
      </c>
      <c r="K1206" s="6" t="s">
        <v>1388</v>
      </c>
      <c r="L1206" s="9" t="s">
        <v>69</v>
      </c>
      <c r="M1206" s="17" t="s">
        <v>1347</v>
      </c>
      <c r="N1206" s="6" t="s">
        <v>246</v>
      </c>
      <c r="O1206" s="35" t="s">
        <v>1220</v>
      </c>
      <c r="P1206" s="1" t="s">
        <v>43</v>
      </c>
      <c r="Q1206" s="6" t="s">
        <v>1358</v>
      </c>
      <c r="R1206" s="6" t="s">
        <v>44</v>
      </c>
      <c r="S1206" s="14"/>
      <c r="U1206" s="6" t="n">
        <v>1500</v>
      </c>
      <c r="V1206" s="14" t="n">
        <v>1</v>
      </c>
      <c r="W1206" s="4"/>
      <c r="X1206" s="9" t="s">
        <v>1215</v>
      </c>
      <c r="Y1206" s="14" t="n">
        <v>5500</v>
      </c>
      <c r="Z1206" s="6" t="s">
        <v>1324</v>
      </c>
      <c r="AA1206" s="6" t="s">
        <v>1325</v>
      </c>
      <c r="AB1206" s="15" t="str">
        <f aca="true" t="array" ref="AB1206:AB1206">LEFT(AA1206,LOOKUP(2^15,FIND(".",AA1206,ROW(INDIRECT("1:"&amp;LEN(AA1206)))))-1)</f>
        <v>NB_2023_016 - 20230425 - 1</v>
      </c>
      <c r="AC1206" s="6" t="s">
        <v>1326</v>
      </c>
      <c r="AD1206" s="15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3" t="s">
        <v>1381</v>
      </c>
      <c r="B1207" s="34"/>
      <c r="C1207" s="4" t="s">
        <v>1382</v>
      </c>
      <c r="D1207" s="6" t="s">
        <v>14</v>
      </c>
      <c r="E1207" s="6" t="s">
        <v>1319</v>
      </c>
      <c r="F1207" s="7" t="s">
        <v>1320</v>
      </c>
      <c r="G1207" s="6" t="s">
        <v>1321</v>
      </c>
      <c r="H1207" s="7" t="s">
        <v>1244</v>
      </c>
      <c r="I1207" s="6" t="str">
        <f aca="false">CONCATENATE(E1207, "_",H1207)</f>
        <v>NLA_2023_018_035</v>
      </c>
      <c r="J1207" s="6" t="s">
        <v>52</v>
      </c>
      <c r="K1207" s="6" t="s">
        <v>1389</v>
      </c>
      <c r="L1207" s="9" t="s">
        <v>69</v>
      </c>
      <c r="M1207" s="17" t="s">
        <v>1323</v>
      </c>
      <c r="N1207" s="6" t="s">
        <v>246</v>
      </c>
      <c r="O1207" s="35" t="s">
        <v>1220</v>
      </c>
      <c r="P1207" s="1" t="s">
        <v>43</v>
      </c>
      <c r="Q1207" s="6" t="s">
        <v>1358</v>
      </c>
      <c r="R1207" s="6" t="s">
        <v>44</v>
      </c>
      <c r="S1207" s="14"/>
      <c r="U1207" s="6" t="n">
        <v>1500</v>
      </c>
      <c r="V1207" s="14" t="n">
        <v>3</v>
      </c>
      <c r="W1207" s="4"/>
      <c r="X1207" s="9" t="s">
        <v>1215</v>
      </c>
      <c r="Y1207" s="14" t="n">
        <v>5500</v>
      </c>
      <c r="Z1207" s="6" t="s">
        <v>1324</v>
      </c>
      <c r="AA1207" s="6" t="s">
        <v>1325</v>
      </c>
      <c r="AB1207" s="15" t="str">
        <f aca="true" t="array" ref="AB1207:AB1207">LEFT(AA1207,LOOKUP(2^15,FIND(".",AA1207,ROW(INDIRECT("1:"&amp;LEN(AA1207)))))-1)</f>
        <v>NB_2023_016 - 20230425 - 1</v>
      </c>
      <c r="AC1207" s="6" t="s">
        <v>1326</v>
      </c>
      <c r="AD1207" s="15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3" t="s">
        <v>1381</v>
      </c>
      <c r="B1208" s="34"/>
      <c r="C1208" s="4" t="s">
        <v>1382</v>
      </c>
      <c r="D1208" s="6" t="s">
        <v>14</v>
      </c>
      <c r="E1208" s="6" t="s">
        <v>1319</v>
      </c>
      <c r="F1208" s="7" t="s">
        <v>1320</v>
      </c>
      <c r="G1208" s="6" t="s">
        <v>1321</v>
      </c>
      <c r="H1208" s="7" t="s">
        <v>925</v>
      </c>
      <c r="I1208" s="6" t="str">
        <f aca="false">CONCATENATE(E1208, "_",H1208)</f>
        <v>NLA_2023_018_036</v>
      </c>
      <c r="J1208" s="6" t="s">
        <v>38</v>
      </c>
      <c r="K1208" s="6" t="s">
        <v>1333</v>
      </c>
      <c r="L1208" s="9" t="s">
        <v>69</v>
      </c>
      <c r="M1208" s="17" t="s">
        <v>1323</v>
      </c>
      <c r="N1208" s="6" t="s">
        <v>246</v>
      </c>
      <c r="O1208" s="35" t="s">
        <v>1212</v>
      </c>
      <c r="P1208" s="1" t="s">
        <v>43</v>
      </c>
      <c r="Q1208" s="6" t="s">
        <v>43</v>
      </c>
      <c r="R1208" s="6" t="s">
        <v>44</v>
      </c>
      <c r="U1208" s="6" t="n">
        <v>1500</v>
      </c>
      <c r="V1208" s="1" t="n">
        <v>1</v>
      </c>
      <c r="W1208" s="4"/>
      <c r="X1208" s="9" t="s">
        <v>1215</v>
      </c>
      <c r="Y1208" s="14" t="n">
        <v>5500</v>
      </c>
      <c r="Z1208" s="6" t="s">
        <v>1324</v>
      </c>
      <c r="AA1208" s="6" t="s">
        <v>1325</v>
      </c>
      <c r="AB1208" s="15" t="str">
        <f aca="true" t="array" ref="AB1208:AB1208">LEFT(AA1208,LOOKUP(2^15,FIND(".",AA1208,ROW(INDIRECT("1:"&amp;LEN(AA1208)))))-1)</f>
        <v>NB_2023_016 - 20230425 - 1</v>
      </c>
      <c r="AC1208" s="6" t="s">
        <v>1326</v>
      </c>
      <c r="AD1208" s="15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3" t="s">
        <v>1381</v>
      </c>
      <c r="B1209" s="34"/>
      <c r="C1209" s="4" t="s">
        <v>1382</v>
      </c>
      <c r="D1209" s="6" t="s">
        <v>14</v>
      </c>
      <c r="E1209" s="6" t="s">
        <v>1319</v>
      </c>
      <c r="F1209" s="7" t="s">
        <v>1320</v>
      </c>
      <c r="G1209" s="6" t="s">
        <v>1319</v>
      </c>
      <c r="H1209" s="16" t="s">
        <v>64</v>
      </c>
      <c r="I1209" s="6" t="str">
        <f aca="false">CONCATENATE(E1209, "_",H1209)</f>
        <v>NLA_2023_018_Blank_1</v>
      </c>
      <c r="J1209" s="6" t="s">
        <v>52</v>
      </c>
      <c r="K1209" s="18" t="s">
        <v>64</v>
      </c>
      <c r="L1209" s="7" t="s">
        <v>46</v>
      </c>
      <c r="M1209" s="17" t="s">
        <v>46</v>
      </c>
      <c r="N1209" s="6" t="s">
        <v>65</v>
      </c>
      <c r="O1209" s="6" t="s">
        <v>46</v>
      </c>
      <c r="P1209" s="6" t="s">
        <v>46</v>
      </c>
      <c r="Q1209" s="6" t="s">
        <v>46</v>
      </c>
      <c r="R1209" s="6" t="s">
        <v>46</v>
      </c>
      <c r="S1209" s="6" t="s">
        <v>46</v>
      </c>
      <c r="T1209" s="6" t="s">
        <v>46</v>
      </c>
      <c r="U1209" s="6" t="s">
        <v>46</v>
      </c>
      <c r="V1209" s="1" t="n">
        <v>1</v>
      </c>
      <c r="W1209" s="4"/>
      <c r="X1209" s="6" t="s">
        <v>46</v>
      </c>
      <c r="Y1209" s="14" t="n">
        <v>5500</v>
      </c>
      <c r="Z1209" s="6" t="s">
        <v>1324</v>
      </c>
      <c r="AA1209" s="6" t="s">
        <v>1325</v>
      </c>
      <c r="AB1209" s="15" t="str">
        <f aca="true" t="array" ref="AB1209:AB1209">LEFT(AA1209,LOOKUP(2^15,FIND(".",AA1209,ROW(INDIRECT("1:"&amp;LEN(AA1209)))))-1)</f>
        <v>NB_2023_016 - 20230425 - 1</v>
      </c>
      <c r="AC1209" s="6" t="s">
        <v>1326</v>
      </c>
      <c r="AD1209" s="15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3" t="s">
        <v>1381</v>
      </c>
      <c r="B1210" s="34"/>
      <c r="C1210" s="4" t="s">
        <v>1382</v>
      </c>
      <c r="D1210" s="6" t="s">
        <v>14</v>
      </c>
      <c r="E1210" s="6" t="s">
        <v>1319</v>
      </c>
      <c r="F1210" s="7" t="s">
        <v>1320</v>
      </c>
      <c r="G1210" s="6" t="s">
        <v>1319</v>
      </c>
      <c r="H1210" s="16" t="s">
        <v>67</v>
      </c>
      <c r="I1210" s="6" t="str">
        <f aca="false">CONCATENATE(E1210, "_",H1210)</f>
        <v>NLA_2023_018_Blank_3</v>
      </c>
      <c r="J1210" s="6" t="s">
        <v>52</v>
      </c>
      <c r="K1210" s="18" t="s">
        <v>67</v>
      </c>
      <c r="L1210" s="7" t="s">
        <v>46</v>
      </c>
      <c r="M1210" s="17" t="s">
        <v>46</v>
      </c>
      <c r="N1210" s="6" t="s">
        <v>65</v>
      </c>
      <c r="O1210" s="6" t="s">
        <v>46</v>
      </c>
      <c r="P1210" s="6" t="s">
        <v>46</v>
      </c>
      <c r="Q1210" s="6" t="s">
        <v>46</v>
      </c>
      <c r="R1210" s="6" t="s">
        <v>46</v>
      </c>
      <c r="S1210" s="6" t="s">
        <v>46</v>
      </c>
      <c r="T1210" s="6" t="s">
        <v>46</v>
      </c>
      <c r="U1210" s="6" t="s">
        <v>46</v>
      </c>
      <c r="V1210" s="1" t="n">
        <v>3</v>
      </c>
      <c r="W1210" s="4"/>
      <c r="X1210" s="6" t="s">
        <v>46</v>
      </c>
      <c r="Y1210" s="14" t="n">
        <v>5500</v>
      </c>
      <c r="Z1210" s="6" t="s">
        <v>1324</v>
      </c>
      <c r="AA1210" s="6" t="s">
        <v>1325</v>
      </c>
      <c r="AB1210" s="15" t="str">
        <f aca="true" t="array" ref="AB1210:AB1210">LEFT(AA1210,LOOKUP(2^15,FIND(".",AA1210,ROW(INDIRECT("1:"&amp;LEN(AA1210)))))-1)</f>
        <v>NB_2023_016 - 20230425 - 1</v>
      </c>
      <c r="AC1210" s="6" t="s">
        <v>1326</v>
      </c>
      <c r="AD1210" s="15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3" t="s">
        <v>1381</v>
      </c>
      <c r="B1211" s="34"/>
      <c r="C1211" s="4" t="s">
        <v>1382</v>
      </c>
      <c r="D1211" s="6" t="s">
        <v>14</v>
      </c>
      <c r="E1211" s="6" t="s">
        <v>1319</v>
      </c>
      <c r="F1211" s="7" t="s">
        <v>1320</v>
      </c>
      <c r="G1211" s="6" t="s">
        <v>1319</v>
      </c>
      <c r="H1211" s="16" t="s">
        <v>221</v>
      </c>
      <c r="I1211" s="6" t="str">
        <f aca="false">CONCATENATE(E1211, "_",H1211)</f>
        <v>NLA_2023_018_Blank_4</v>
      </c>
      <c r="J1211" s="6" t="s">
        <v>52</v>
      </c>
      <c r="K1211" s="18" t="s">
        <v>221</v>
      </c>
      <c r="L1211" s="7" t="s">
        <v>46</v>
      </c>
      <c r="M1211" s="17" t="s">
        <v>46</v>
      </c>
      <c r="N1211" s="6" t="s">
        <v>65</v>
      </c>
      <c r="O1211" s="6" t="s">
        <v>46</v>
      </c>
      <c r="P1211" s="6" t="s">
        <v>46</v>
      </c>
      <c r="Q1211" s="6" t="s">
        <v>46</v>
      </c>
      <c r="R1211" s="6" t="s">
        <v>46</v>
      </c>
      <c r="S1211" s="6" t="s">
        <v>46</v>
      </c>
      <c r="T1211" s="6" t="s">
        <v>46</v>
      </c>
      <c r="U1211" s="6" t="s">
        <v>46</v>
      </c>
      <c r="V1211" s="1" t="n">
        <v>4</v>
      </c>
      <c r="W1211" s="4"/>
      <c r="X1211" s="6" t="s">
        <v>46</v>
      </c>
      <c r="Y1211" s="14" t="n">
        <v>5500</v>
      </c>
      <c r="Z1211" s="6" t="s">
        <v>1324</v>
      </c>
      <c r="AA1211" s="6" t="s">
        <v>1325</v>
      </c>
      <c r="AB1211" s="15" t="str">
        <f aca="true" t="array" ref="AB1211:AB1211">LEFT(AA1211,LOOKUP(2^15,FIND(".",AA1211,ROW(INDIRECT("1:"&amp;LEN(AA1211)))))-1)</f>
        <v>NB_2023_016 - 20230425 - 1</v>
      </c>
      <c r="AC1211" s="6" t="s">
        <v>1326</v>
      </c>
      <c r="AD1211" s="15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3" t="s">
        <v>1381</v>
      </c>
      <c r="B1212" s="34"/>
      <c r="C1212" s="4" t="s">
        <v>1382</v>
      </c>
      <c r="D1212" s="6" t="s">
        <v>14</v>
      </c>
      <c r="E1212" s="6" t="s">
        <v>1319</v>
      </c>
      <c r="F1212" s="7" t="s">
        <v>1320</v>
      </c>
      <c r="G1212" s="6" t="s">
        <v>1319</v>
      </c>
      <c r="H1212" s="16" t="s">
        <v>68</v>
      </c>
      <c r="I1212" s="6" t="str">
        <f aca="false">CONCATENATE(E1212, "_",H1212)</f>
        <v>NLA_2023_018_QC_C_1</v>
      </c>
      <c r="J1212" s="6" t="s">
        <v>52</v>
      </c>
      <c r="K1212" s="18" t="s">
        <v>68</v>
      </c>
      <c r="L1212" s="9" t="s">
        <v>69</v>
      </c>
      <c r="M1212" s="3" t="s">
        <v>46</v>
      </c>
      <c r="N1212" s="6" t="s">
        <v>70</v>
      </c>
      <c r="O1212" s="6" t="s">
        <v>46</v>
      </c>
      <c r="P1212" s="6" t="s">
        <v>71</v>
      </c>
      <c r="Q1212" s="6" t="s">
        <v>71</v>
      </c>
      <c r="R1212" s="6" t="s">
        <v>72</v>
      </c>
      <c r="S1212" s="6" t="s">
        <v>73</v>
      </c>
      <c r="T1212" s="6" t="s">
        <v>46</v>
      </c>
      <c r="U1212" s="6" t="n">
        <v>1000</v>
      </c>
      <c r="V1212" s="1" t="n">
        <v>1</v>
      </c>
      <c r="W1212" s="4"/>
      <c r="X1212" s="6" t="s">
        <v>74</v>
      </c>
      <c r="Y1212" s="14" t="n">
        <v>5500</v>
      </c>
      <c r="Z1212" s="6" t="s">
        <v>1324</v>
      </c>
      <c r="AA1212" s="6" t="s">
        <v>1325</v>
      </c>
      <c r="AB1212" s="15" t="str">
        <f aca="true" t="array" ref="AB1212:AB1212">LEFT(AA1212,LOOKUP(2^15,FIND(".",AA1212,ROW(INDIRECT("1:"&amp;LEN(AA1212)))))-1)</f>
        <v>NB_2023_016 - 20230425 - 1</v>
      </c>
      <c r="AC1212" s="6" t="s">
        <v>1326</v>
      </c>
      <c r="AD1212" s="15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3" t="s">
        <v>1381</v>
      </c>
      <c r="B1213" s="34"/>
      <c r="C1213" s="4" t="s">
        <v>1382</v>
      </c>
      <c r="D1213" s="6" t="s">
        <v>14</v>
      </c>
      <c r="E1213" s="6" t="s">
        <v>1319</v>
      </c>
      <c r="F1213" s="7" t="s">
        <v>1320</v>
      </c>
      <c r="G1213" s="6" t="s">
        <v>1319</v>
      </c>
      <c r="H1213" s="16" t="s">
        <v>75</v>
      </c>
      <c r="I1213" s="6" t="str">
        <f aca="false">CONCATENATE(E1213, "_",H1213)</f>
        <v>NLA_2023_018_QC_C_2</v>
      </c>
      <c r="J1213" s="6" t="s">
        <v>52</v>
      </c>
      <c r="K1213" s="18" t="s">
        <v>75</v>
      </c>
      <c r="L1213" s="9" t="s">
        <v>69</v>
      </c>
      <c r="M1213" s="3" t="s">
        <v>46</v>
      </c>
      <c r="N1213" s="6" t="s">
        <v>70</v>
      </c>
      <c r="O1213" s="6" t="s">
        <v>46</v>
      </c>
      <c r="P1213" s="6" t="s">
        <v>71</v>
      </c>
      <c r="Q1213" s="6" t="s">
        <v>71</v>
      </c>
      <c r="R1213" s="6" t="s">
        <v>72</v>
      </c>
      <c r="S1213" s="6" t="s">
        <v>73</v>
      </c>
      <c r="T1213" s="6" t="s">
        <v>46</v>
      </c>
      <c r="U1213" s="6" t="n">
        <v>1000</v>
      </c>
      <c r="V1213" s="1" t="n">
        <v>2</v>
      </c>
      <c r="W1213" s="4"/>
      <c r="X1213" s="6" t="s">
        <v>74</v>
      </c>
      <c r="Y1213" s="14" t="n">
        <v>5500</v>
      </c>
      <c r="Z1213" s="6" t="s">
        <v>1324</v>
      </c>
      <c r="AA1213" s="6" t="s">
        <v>1325</v>
      </c>
      <c r="AB1213" s="15" t="str">
        <f aca="true" t="array" ref="AB1213:AB1213">LEFT(AA1213,LOOKUP(2^15,FIND(".",AA1213,ROW(INDIRECT("1:"&amp;LEN(AA1213)))))-1)</f>
        <v>NB_2023_016 - 20230425 - 1</v>
      </c>
      <c r="AC1213" s="6" t="s">
        <v>1326</v>
      </c>
      <c r="AD1213" s="15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3" t="s">
        <v>1381</v>
      </c>
      <c r="B1214" s="34"/>
      <c r="C1214" s="4" t="s">
        <v>1382</v>
      </c>
      <c r="D1214" s="6" t="s">
        <v>14</v>
      </c>
      <c r="E1214" s="6" t="s">
        <v>1319</v>
      </c>
      <c r="F1214" s="7" t="s">
        <v>1320</v>
      </c>
      <c r="G1214" s="6" t="s">
        <v>1319</v>
      </c>
      <c r="H1214" s="16" t="s">
        <v>76</v>
      </c>
      <c r="I1214" s="6" t="str">
        <f aca="false">CONCATENATE(E1214, "_",H1214)</f>
        <v>NLA_2023_018_QC_C_3</v>
      </c>
      <c r="J1214" s="6" t="s">
        <v>52</v>
      </c>
      <c r="K1214" s="18" t="s">
        <v>76</v>
      </c>
      <c r="L1214" s="9" t="s">
        <v>69</v>
      </c>
      <c r="M1214" s="3" t="s">
        <v>46</v>
      </c>
      <c r="N1214" s="6" t="s">
        <v>70</v>
      </c>
      <c r="O1214" s="6" t="s">
        <v>46</v>
      </c>
      <c r="P1214" s="6" t="s">
        <v>71</v>
      </c>
      <c r="Q1214" s="6" t="s">
        <v>71</v>
      </c>
      <c r="R1214" s="6" t="s">
        <v>72</v>
      </c>
      <c r="S1214" s="6" t="s">
        <v>73</v>
      </c>
      <c r="T1214" s="6" t="s">
        <v>46</v>
      </c>
      <c r="U1214" s="6" t="n">
        <v>1000</v>
      </c>
      <c r="V1214" s="1" t="n">
        <v>3</v>
      </c>
      <c r="W1214" s="4"/>
      <c r="X1214" s="6" t="s">
        <v>74</v>
      </c>
      <c r="Y1214" s="14" t="n">
        <v>5500</v>
      </c>
      <c r="Z1214" s="6" t="s">
        <v>1324</v>
      </c>
      <c r="AA1214" s="6" t="s">
        <v>1325</v>
      </c>
      <c r="AB1214" s="15" t="str">
        <f aca="true" t="array" ref="AB1214:AB1214">LEFT(AA1214,LOOKUP(2^15,FIND(".",AA1214,ROW(INDIRECT("1:"&amp;LEN(AA1214)))))-1)</f>
        <v>NB_2023_016 - 20230425 - 1</v>
      </c>
      <c r="AC1214" s="6" t="s">
        <v>1326</v>
      </c>
      <c r="AD1214" s="15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3" t="s">
        <v>1381</v>
      </c>
      <c r="B1215" s="34"/>
      <c r="C1215" s="4" t="s">
        <v>1382</v>
      </c>
      <c r="D1215" s="6" t="s">
        <v>14</v>
      </c>
      <c r="E1215" s="6" t="s">
        <v>1319</v>
      </c>
      <c r="F1215" s="7" t="s">
        <v>1320</v>
      </c>
      <c r="G1215" s="6" t="s">
        <v>1319</v>
      </c>
      <c r="H1215" s="16" t="s">
        <v>222</v>
      </c>
      <c r="I1215" s="6" t="str">
        <f aca="false">CONCATENATE(E1215, "_",H1215)</f>
        <v>NLA_2023_018_QC_C_4</v>
      </c>
      <c r="J1215" s="6" t="s">
        <v>52</v>
      </c>
      <c r="K1215" s="18" t="s">
        <v>222</v>
      </c>
      <c r="L1215" s="9" t="s">
        <v>69</v>
      </c>
      <c r="M1215" s="3" t="s">
        <v>46</v>
      </c>
      <c r="N1215" s="6" t="s">
        <v>70</v>
      </c>
      <c r="O1215" s="6" t="s">
        <v>46</v>
      </c>
      <c r="P1215" s="6" t="s">
        <v>71</v>
      </c>
      <c r="Q1215" s="6" t="s">
        <v>71</v>
      </c>
      <c r="R1215" s="6" t="s">
        <v>72</v>
      </c>
      <c r="S1215" s="6" t="s">
        <v>73</v>
      </c>
      <c r="T1215" s="6" t="s">
        <v>46</v>
      </c>
      <c r="U1215" s="6" t="n">
        <v>1000</v>
      </c>
      <c r="V1215" s="1" t="n">
        <v>4</v>
      </c>
      <c r="W1215" s="4"/>
      <c r="X1215" s="6" t="s">
        <v>74</v>
      </c>
      <c r="Y1215" s="14" t="n">
        <v>5500</v>
      </c>
      <c r="Z1215" s="6" t="s">
        <v>1324</v>
      </c>
      <c r="AA1215" s="6" t="s">
        <v>1325</v>
      </c>
      <c r="AB1215" s="15" t="str">
        <f aca="true" t="array" ref="AB1215:AB1215">LEFT(AA1215,LOOKUP(2^15,FIND(".",AA1215,ROW(INDIRECT("1:"&amp;LEN(AA1215)))))-1)</f>
        <v>NB_2023_016 - 20230425 - 1</v>
      </c>
      <c r="AC1215" s="6" t="s">
        <v>1326</v>
      </c>
      <c r="AD1215" s="15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3" t="s">
        <v>1381</v>
      </c>
      <c r="B1216" s="34"/>
      <c r="C1216" s="4" t="s">
        <v>1382</v>
      </c>
      <c r="D1216" s="6" t="s">
        <v>14</v>
      </c>
      <c r="E1216" s="6" t="s">
        <v>1319</v>
      </c>
      <c r="F1216" s="7" t="s">
        <v>1320</v>
      </c>
      <c r="G1216" s="6" t="s">
        <v>1319</v>
      </c>
      <c r="H1216" s="16" t="s">
        <v>77</v>
      </c>
      <c r="I1216" s="6" t="str">
        <f aca="false">CONCATENATE(E1216, "_",H1216)</f>
        <v>NLA_2023_018_QC_P_1</v>
      </c>
      <c r="J1216" s="6" t="s">
        <v>52</v>
      </c>
      <c r="K1216" s="18" t="s">
        <v>77</v>
      </c>
      <c r="L1216" s="7" t="s">
        <v>69</v>
      </c>
      <c r="M1216" s="3" t="s">
        <v>46</v>
      </c>
      <c r="N1216" s="6" t="s">
        <v>78</v>
      </c>
      <c r="O1216" s="6" t="s">
        <v>46</v>
      </c>
      <c r="P1216" s="6" t="s">
        <v>79</v>
      </c>
      <c r="Q1216" s="6" t="s">
        <v>80</v>
      </c>
      <c r="R1216" s="6" t="s">
        <v>81</v>
      </c>
      <c r="S1216" s="6" t="s">
        <v>46</v>
      </c>
      <c r="T1216" s="6" t="s">
        <v>46</v>
      </c>
      <c r="U1216" s="6" t="s">
        <v>82</v>
      </c>
      <c r="V1216" s="1" t="n">
        <v>1</v>
      </c>
      <c r="W1216" s="4"/>
      <c r="X1216" s="6" t="s">
        <v>83</v>
      </c>
      <c r="Y1216" s="14" t="n">
        <v>5500</v>
      </c>
      <c r="Z1216" s="6" t="s">
        <v>1324</v>
      </c>
      <c r="AA1216" s="6" t="s">
        <v>1325</v>
      </c>
      <c r="AB1216" s="15" t="str">
        <f aca="true" t="array" ref="AB1216:AB1216">LEFT(AA1216,LOOKUP(2^15,FIND(".",AA1216,ROW(INDIRECT("1:"&amp;LEN(AA1216)))))-1)</f>
        <v>NB_2023_016 - 20230425 - 1</v>
      </c>
      <c r="AC1216" s="6" t="s">
        <v>1326</v>
      </c>
      <c r="AD1216" s="15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3" t="s">
        <v>1381</v>
      </c>
      <c r="B1217" s="34"/>
      <c r="C1217" s="4" t="s">
        <v>1382</v>
      </c>
      <c r="D1217" s="6" t="s">
        <v>14</v>
      </c>
      <c r="E1217" s="6" t="s">
        <v>1319</v>
      </c>
      <c r="F1217" s="7" t="s">
        <v>1320</v>
      </c>
      <c r="G1217" s="6" t="s">
        <v>1319</v>
      </c>
      <c r="H1217" s="16" t="s">
        <v>84</v>
      </c>
      <c r="I1217" s="6" t="str">
        <f aca="false">CONCATENATE(E1217, "_",H1217)</f>
        <v>NLA_2023_018_QC_P_2</v>
      </c>
      <c r="J1217" s="6" t="s">
        <v>52</v>
      </c>
      <c r="K1217" s="18" t="s">
        <v>84</v>
      </c>
      <c r="L1217" s="7" t="s">
        <v>69</v>
      </c>
      <c r="M1217" s="3" t="s">
        <v>46</v>
      </c>
      <c r="N1217" s="6" t="s">
        <v>78</v>
      </c>
      <c r="O1217" s="6" t="s">
        <v>46</v>
      </c>
      <c r="P1217" s="6" t="s">
        <v>79</v>
      </c>
      <c r="Q1217" s="6" t="s">
        <v>80</v>
      </c>
      <c r="R1217" s="6" t="s">
        <v>81</v>
      </c>
      <c r="S1217" s="6" t="s">
        <v>46</v>
      </c>
      <c r="T1217" s="6" t="s">
        <v>46</v>
      </c>
      <c r="U1217" s="6" t="s">
        <v>82</v>
      </c>
      <c r="V1217" s="1" t="n">
        <v>2</v>
      </c>
      <c r="W1217" s="4"/>
      <c r="X1217" s="6" t="s">
        <v>83</v>
      </c>
      <c r="Y1217" s="14" t="n">
        <v>5500</v>
      </c>
      <c r="Z1217" s="6" t="s">
        <v>1324</v>
      </c>
      <c r="AA1217" s="6" t="s">
        <v>1325</v>
      </c>
      <c r="AB1217" s="15" t="str">
        <f aca="true" t="array" ref="AB1217:AB1217">LEFT(AA1217,LOOKUP(2^15,FIND(".",AA1217,ROW(INDIRECT("1:"&amp;LEN(AA1217)))))-1)</f>
        <v>NB_2023_016 - 20230425 - 1</v>
      </c>
      <c r="AC1217" s="6" t="s">
        <v>1326</v>
      </c>
      <c r="AD1217" s="15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3" t="s">
        <v>1381</v>
      </c>
      <c r="B1218" s="34"/>
      <c r="C1218" s="4" t="s">
        <v>1382</v>
      </c>
      <c r="D1218" s="6" t="s">
        <v>14</v>
      </c>
      <c r="E1218" s="6" t="s">
        <v>1319</v>
      </c>
      <c r="F1218" s="7" t="s">
        <v>1320</v>
      </c>
      <c r="G1218" s="6" t="s">
        <v>1319</v>
      </c>
      <c r="H1218" s="16" t="s">
        <v>85</v>
      </c>
      <c r="I1218" s="6" t="str">
        <f aca="false">CONCATENATE(E1218, "_",H1218)</f>
        <v>NLA_2023_018_QC_P_3</v>
      </c>
      <c r="J1218" s="4" t="s">
        <v>52</v>
      </c>
      <c r="K1218" s="18" t="s">
        <v>85</v>
      </c>
      <c r="L1218" s="7" t="s">
        <v>69</v>
      </c>
      <c r="M1218" s="3" t="s">
        <v>46</v>
      </c>
      <c r="N1218" s="6" t="s">
        <v>78</v>
      </c>
      <c r="O1218" s="6" t="s">
        <v>46</v>
      </c>
      <c r="P1218" s="6" t="s">
        <v>79</v>
      </c>
      <c r="Q1218" s="6" t="s">
        <v>80</v>
      </c>
      <c r="R1218" s="6" t="s">
        <v>81</v>
      </c>
      <c r="S1218" s="6" t="s">
        <v>46</v>
      </c>
      <c r="T1218" s="6" t="s">
        <v>46</v>
      </c>
      <c r="U1218" s="6" t="s">
        <v>82</v>
      </c>
      <c r="V1218" s="1" t="n">
        <v>3</v>
      </c>
      <c r="W1218" s="4"/>
      <c r="X1218" s="6" t="s">
        <v>83</v>
      </c>
      <c r="Y1218" s="14" t="n">
        <v>5500</v>
      </c>
      <c r="Z1218" s="6" t="s">
        <v>1324</v>
      </c>
      <c r="AA1218" s="6" t="s">
        <v>1325</v>
      </c>
      <c r="AB1218" s="15" t="str">
        <f aca="true" t="array" ref="AB1218:AB1218">LEFT(AA1218,LOOKUP(2^15,FIND(".",AA1218,ROW(INDIRECT("1:"&amp;LEN(AA1218)))))-1)</f>
        <v>NB_2023_016 - 20230425 - 1</v>
      </c>
      <c r="AC1218" s="6" t="s">
        <v>1326</v>
      </c>
      <c r="AD1218" s="15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3" t="s">
        <v>1381</v>
      </c>
      <c r="B1219" s="34"/>
      <c r="C1219" s="4" t="s">
        <v>1382</v>
      </c>
      <c r="D1219" s="6" t="s">
        <v>14</v>
      </c>
      <c r="E1219" s="6" t="s">
        <v>1319</v>
      </c>
      <c r="F1219" s="7" t="s">
        <v>1320</v>
      </c>
      <c r="G1219" s="6" t="s">
        <v>1319</v>
      </c>
      <c r="H1219" s="16" t="s">
        <v>224</v>
      </c>
      <c r="I1219" s="6" t="str">
        <f aca="false">CONCATENATE(E1219, "_",H1219)</f>
        <v>NLA_2023_018_QC_P_4</v>
      </c>
      <c r="J1219" s="4" t="s">
        <v>52</v>
      </c>
      <c r="K1219" s="18" t="s">
        <v>224</v>
      </c>
      <c r="L1219" s="7" t="s">
        <v>69</v>
      </c>
      <c r="M1219" s="3" t="s">
        <v>46</v>
      </c>
      <c r="N1219" s="6" t="s">
        <v>78</v>
      </c>
      <c r="O1219" s="6" t="s">
        <v>46</v>
      </c>
      <c r="P1219" s="6" t="s">
        <v>79</v>
      </c>
      <c r="Q1219" s="6" t="s">
        <v>80</v>
      </c>
      <c r="R1219" s="6" t="s">
        <v>81</v>
      </c>
      <c r="S1219" s="6" t="s">
        <v>46</v>
      </c>
      <c r="T1219" s="6" t="s">
        <v>46</v>
      </c>
      <c r="U1219" s="6" t="s">
        <v>82</v>
      </c>
      <c r="V1219" s="1" t="n">
        <v>4</v>
      </c>
      <c r="W1219" s="4"/>
      <c r="X1219" s="6" t="s">
        <v>83</v>
      </c>
      <c r="Y1219" s="14" t="n">
        <v>5500</v>
      </c>
      <c r="Z1219" s="6" t="s">
        <v>1324</v>
      </c>
      <c r="AA1219" s="6" t="s">
        <v>1325</v>
      </c>
      <c r="AB1219" s="15" t="str">
        <f aca="true" t="array" ref="AB1219:AB1219">LEFT(AA1219,LOOKUP(2^15,FIND(".",AA1219,ROW(INDIRECT("1:"&amp;LEN(AA1219)))))-1)</f>
        <v>NB_2023_016 - 20230425 - 1</v>
      </c>
      <c r="AC1219" s="6" t="s">
        <v>1326</v>
      </c>
      <c r="AD1219" s="15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3" t="s">
        <v>1390</v>
      </c>
      <c r="B1220" s="34"/>
      <c r="C1220" s="4" t="s">
        <v>1391</v>
      </c>
      <c r="D1220" s="6" t="s">
        <v>14</v>
      </c>
      <c r="E1220" s="6" t="s">
        <v>1319</v>
      </c>
      <c r="F1220" s="7" t="s">
        <v>1320</v>
      </c>
      <c r="G1220" s="6" t="s">
        <v>1345</v>
      </c>
      <c r="H1220" s="7" t="s">
        <v>88</v>
      </c>
      <c r="I1220" s="6" t="str">
        <f aca="false">CONCATENATE(E1220, "_",H1220)</f>
        <v>NLA_2023_018_002</v>
      </c>
      <c r="J1220" s="6" t="s">
        <v>52</v>
      </c>
      <c r="K1220" s="6" t="s">
        <v>1346</v>
      </c>
      <c r="L1220" s="9" t="s">
        <v>69</v>
      </c>
      <c r="M1220" s="17" t="s">
        <v>1347</v>
      </c>
      <c r="N1220" s="6" t="s">
        <v>246</v>
      </c>
      <c r="O1220" s="35" t="s">
        <v>1220</v>
      </c>
      <c r="P1220" s="1" t="s">
        <v>43</v>
      </c>
      <c r="Q1220" s="6" t="s">
        <v>1269</v>
      </c>
      <c r="R1220" s="6" t="s">
        <v>44</v>
      </c>
      <c r="U1220" s="6" t="n">
        <v>1500</v>
      </c>
      <c r="V1220" s="1" t="n">
        <v>2</v>
      </c>
      <c r="W1220" s="4"/>
      <c r="X1220" s="9" t="s">
        <v>1215</v>
      </c>
      <c r="Y1220" s="14" t="n">
        <v>5500</v>
      </c>
      <c r="Z1220" s="6" t="s">
        <v>1324</v>
      </c>
      <c r="AA1220" s="6" t="s">
        <v>1325</v>
      </c>
      <c r="AB1220" s="15" t="str">
        <f aca="true" t="array" ref="AB1220:AB1220">LEFT(AA1220,LOOKUP(2^15,FIND(".",AA1220,ROW(INDIRECT("1:"&amp;LEN(AA1220)))))-1)</f>
        <v>NB_2023_016 - 20230425 - 1</v>
      </c>
      <c r="AC1220" s="6" t="s">
        <v>1326</v>
      </c>
      <c r="AD1220" s="15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3" t="s">
        <v>1390</v>
      </c>
      <c r="B1221" s="34"/>
      <c r="C1221" s="4" t="s">
        <v>1391</v>
      </c>
      <c r="D1221" s="6" t="s">
        <v>14</v>
      </c>
      <c r="E1221" s="6" t="s">
        <v>1319</v>
      </c>
      <c r="F1221" s="7" t="s">
        <v>1320</v>
      </c>
      <c r="G1221" s="6" t="s">
        <v>1321</v>
      </c>
      <c r="H1221" s="7" t="s">
        <v>97</v>
      </c>
      <c r="I1221" s="6" t="str">
        <f aca="false">CONCATENATE(E1221, "_",H1221)</f>
        <v>NLA_2023_018_003</v>
      </c>
      <c r="J1221" s="6" t="s">
        <v>52</v>
      </c>
      <c r="K1221" s="6" t="s">
        <v>1322</v>
      </c>
      <c r="L1221" s="9" t="s">
        <v>69</v>
      </c>
      <c r="M1221" s="17" t="s">
        <v>1323</v>
      </c>
      <c r="N1221" s="6" t="s">
        <v>246</v>
      </c>
      <c r="O1221" s="35" t="s">
        <v>1220</v>
      </c>
      <c r="P1221" s="1" t="s">
        <v>43</v>
      </c>
      <c r="Q1221" s="6" t="s">
        <v>1269</v>
      </c>
      <c r="R1221" s="6" t="s">
        <v>44</v>
      </c>
      <c r="S1221" s="14"/>
      <c r="U1221" s="6" t="n">
        <v>1500</v>
      </c>
      <c r="V1221" s="14" t="n">
        <v>1</v>
      </c>
      <c r="W1221" s="4"/>
      <c r="X1221" s="9" t="s">
        <v>1215</v>
      </c>
      <c r="Y1221" s="14" t="n">
        <v>5500</v>
      </c>
      <c r="Z1221" s="6" t="s">
        <v>1324</v>
      </c>
      <c r="AA1221" s="6" t="s">
        <v>1325</v>
      </c>
      <c r="AB1221" s="15" t="str">
        <f aca="true" t="array" ref="AB1221:AB1221">LEFT(AA1221,LOOKUP(2^15,FIND(".",AA1221,ROW(INDIRECT("1:"&amp;LEN(AA1221)))))-1)</f>
        <v>NB_2023_016 - 20230425 - 1</v>
      </c>
      <c r="AC1221" s="6" t="s">
        <v>1326</v>
      </c>
      <c r="AD1221" s="15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3" t="s">
        <v>1390</v>
      </c>
      <c r="B1222" s="34"/>
      <c r="C1222" s="4" t="s">
        <v>1391</v>
      </c>
      <c r="D1222" s="6" t="s">
        <v>14</v>
      </c>
      <c r="E1222" s="6" t="s">
        <v>1319</v>
      </c>
      <c r="F1222" s="7" t="s">
        <v>1320</v>
      </c>
      <c r="G1222" s="6" t="s">
        <v>1345</v>
      </c>
      <c r="H1222" s="7" t="s">
        <v>99</v>
      </c>
      <c r="I1222" s="6" t="str">
        <f aca="false">CONCATENATE(E1222, "_",H1222)</f>
        <v>NLA_2023_018_004</v>
      </c>
      <c r="J1222" s="6" t="s">
        <v>52</v>
      </c>
      <c r="K1222" s="6" t="s">
        <v>1348</v>
      </c>
      <c r="L1222" s="9" t="s">
        <v>69</v>
      </c>
      <c r="M1222" s="17" t="s">
        <v>1347</v>
      </c>
      <c r="N1222" s="6" t="s">
        <v>246</v>
      </c>
      <c r="O1222" s="35" t="s">
        <v>1220</v>
      </c>
      <c r="P1222" s="1" t="s">
        <v>43</v>
      </c>
      <c r="Q1222" s="6" t="s">
        <v>1269</v>
      </c>
      <c r="R1222" s="6" t="s">
        <v>44</v>
      </c>
      <c r="S1222" s="14"/>
      <c r="U1222" s="6" t="n">
        <v>1500</v>
      </c>
      <c r="V1222" s="14" t="n">
        <v>3</v>
      </c>
      <c r="W1222" s="4"/>
      <c r="X1222" s="9" t="s">
        <v>1215</v>
      </c>
      <c r="Y1222" s="14" t="n">
        <v>5500</v>
      </c>
      <c r="Z1222" s="6" t="s">
        <v>1324</v>
      </c>
      <c r="AA1222" s="6" t="s">
        <v>1325</v>
      </c>
      <c r="AB1222" s="15" t="str">
        <f aca="true" t="array" ref="AB1222:AB1222">LEFT(AA1222,LOOKUP(2^15,FIND(".",AA1222,ROW(INDIRECT("1:"&amp;LEN(AA1222)))))-1)</f>
        <v>NB_2023_016 - 20230425 - 1</v>
      </c>
      <c r="AC1222" s="6" t="s">
        <v>1326</v>
      </c>
      <c r="AD1222" s="15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3" t="s">
        <v>1390</v>
      </c>
      <c r="B1223" s="34"/>
      <c r="C1223" s="4" t="s">
        <v>1391</v>
      </c>
      <c r="D1223" s="6" t="s">
        <v>14</v>
      </c>
      <c r="E1223" s="6" t="s">
        <v>1319</v>
      </c>
      <c r="F1223" s="7" t="s">
        <v>1320</v>
      </c>
      <c r="G1223" s="6" t="s">
        <v>1345</v>
      </c>
      <c r="H1223" s="7" t="s">
        <v>91</v>
      </c>
      <c r="I1223" s="6" t="str">
        <f aca="false">CONCATENATE(E1223, "_",H1223)</f>
        <v>NLA_2023_018_005</v>
      </c>
      <c r="J1223" s="6" t="s">
        <v>52</v>
      </c>
      <c r="K1223" s="6" t="s">
        <v>1349</v>
      </c>
      <c r="L1223" s="9" t="s">
        <v>69</v>
      </c>
      <c r="M1223" s="17" t="s">
        <v>1347</v>
      </c>
      <c r="N1223" s="6" t="s">
        <v>246</v>
      </c>
      <c r="O1223" s="35" t="s">
        <v>1220</v>
      </c>
      <c r="P1223" s="1" t="s">
        <v>43</v>
      </c>
      <c r="Q1223" s="6" t="s">
        <v>1269</v>
      </c>
      <c r="R1223" s="6" t="s">
        <v>44</v>
      </c>
      <c r="U1223" s="6" t="n">
        <v>1500</v>
      </c>
      <c r="V1223" s="1" t="n">
        <v>1</v>
      </c>
      <c r="W1223" s="4"/>
      <c r="X1223" s="9" t="s">
        <v>1215</v>
      </c>
      <c r="Y1223" s="14" t="n">
        <v>5500</v>
      </c>
      <c r="Z1223" s="6" t="s">
        <v>1324</v>
      </c>
      <c r="AA1223" s="6" t="s">
        <v>1325</v>
      </c>
      <c r="AB1223" s="15" t="str">
        <f aca="true" t="array" ref="AB1223:AB1223">LEFT(AA1223,LOOKUP(2^15,FIND(".",AA1223,ROW(INDIRECT("1:"&amp;LEN(AA1223)))))-1)</f>
        <v>NB_2023_016 - 20230425 - 1</v>
      </c>
      <c r="AC1223" s="6" t="s">
        <v>1326</v>
      </c>
      <c r="AD1223" s="15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3" t="s">
        <v>1390</v>
      </c>
      <c r="B1224" s="34"/>
      <c r="C1224" s="4" t="s">
        <v>1391</v>
      </c>
      <c r="D1224" s="6" t="s">
        <v>14</v>
      </c>
      <c r="E1224" s="6" t="s">
        <v>1319</v>
      </c>
      <c r="F1224" s="7" t="s">
        <v>1320</v>
      </c>
      <c r="G1224" s="6" t="s">
        <v>1336</v>
      </c>
      <c r="H1224" s="7" t="s">
        <v>142</v>
      </c>
      <c r="I1224" s="6" t="str">
        <f aca="false">CONCATENATE(E1224, "_",H1224)</f>
        <v>NLA_2023_018_008</v>
      </c>
      <c r="J1224" s="6" t="s">
        <v>52</v>
      </c>
      <c r="K1224" s="6" t="s">
        <v>1337</v>
      </c>
      <c r="L1224" s="9" t="s">
        <v>69</v>
      </c>
      <c r="M1224" s="17" t="s">
        <v>1338</v>
      </c>
      <c r="N1224" s="6" t="s">
        <v>246</v>
      </c>
      <c r="O1224" s="35" t="s">
        <v>1220</v>
      </c>
      <c r="P1224" s="1" t="s">
        <v>43</v>
      </c>
      <c r="Q1224" s="6" t="s">
        <v>1269</v>
      </c>
      <c r="R1224" s="6" t="s">
        <v>44</v>
      </c>
      <c r="S1224" s="14"/>
      <c r="U1224" s="6" t="n">
        <v>1500</v>
      </c>
      <c r="V1224" s="14" t="n">
        <v>2</v>
      </c>
      <c r="W1224" s="4"/>
      <c r="X1224" s="9" t="s">
        <v>1215</v>
      </c>
      <c r="Y1224" s="14" t="n">
        <v>5500</v>
      </c>
      <c r="Z1224" s="6" t="s">
        <v>1324</v>
      </c>
      <c r="AA1224" s="6" t="s">
        <v>1325</v>
      </c>
      <c r="AB1224" s="15" t="str">
        <f aca="true" t="array" ref="AB1224:AB1224">LEFT(AA1224,LOOKUP(2^15,FIND(".",AA1224,ROW(INDIRECT("1:"&amp;LEN(AA1224)))))-1)</f>
        <v>NB_2023_016 - 20230425 - 1</v>
      </c>
      <c r="AC1224" s="6" t="s">
        <v>1326</v>
      </c>
      <c r="AD1224" s="15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3" t="s">
        <v>1390</v>
      </c>
      <c r="B1225" s="34"/>
      <c r="C1225" s="4" t="s">
        <v>1391</v>
      </c>
      <c r="D1225" s="6" t="s">
        <v>14</v>
      </c>
      <c r="E1225" s="6" t="s">
        <v>1319</v>
      </c>
      <c r="F1225" s="7" t="s">
        <v>1320</v>
      </c>
      <c r="G1225" s="6" t="s">
        <v>1336</v>
      </c>
      <c r="H1225" s="7" t="s">
        <v>129</v>
      </c>
      <c r="I1225" s="6" t="str">
        <f aca="false">CONCATENATE(E1225, "_",H1225)</f>
        <v>NLA_2023_018_010</v>
      </c>
      <c r="J1225" s="6" t="s">
        <v>52</v>
      </c>
      <c r="K1225" s="6" t="s">
        <v>1339</v>
      </c>
      <c r="L1225" s="9" t="s">
        <v>69</v>
      </c>
      <c r="M1225" s="17" t="s">
        <v>1338</v>
      </c>
      <c r="N1225" s="6" t="s">
        <v>246</v>
      </c>
      <c r="O1225" s="35" t="s">
        <v>1220</v>
      </c>
      <c r="P1225" s="1" t="s">
        <v>43</v>
      </c>
      <c r="Q1225" s="6" t="s">
        <v>1269</v>
      </c>
      <c r="R1225" s="6" t="s">
        <v>44</v>
      </c>
      <c r="S1225" s="14"/>
      <c r="U1225" s="6" t="n">
        <v>1500</v>
      </c>
      <c r="V1225" s="14" t="n">
        <v>1</v>
      </c>
      <c r="W1225" s="4"/>
      <c r="X1225" s="9" t="s">
        <v>1215</v>
      </c>
      <c r="Y1225" s="14" t="n">
        <v>5500</v>
      </c>
      <c r="Z1225" s="6" t="s">
        <v>1324</v>
      </c>
      <c r="AA1225" s="6" t="s">
        <v>1325</v>
      </c>
      <c r="AB1225" s="15" t="str">
        <f aca="true" t="array" ref="AB1225:AB1225">LEFT(AA1225,LOOKUP(2^15,FIND(".",AA1225,ROW(INDIRECT("1:"&amp;LEN(AA1225)))))-1)</f>
        <v>NB_2023_016 - 20230425 - 1</v>
      </c>
      <c r="AC1225" s="6" t="s">
        <v>1326</v>
      </c>
      <c r="AD1225" s="15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3" t="s">
        <v>1390</v>
      </c>
      <c r="B1226" s="34"/>
      <c r="C1226" s="4" t="s">
        <v>1391</v>
      </c>
      <c r="D1226" s="6" t="s">
        <v>14</v>
      </c>
      <c r="E1226" s="6" t="s">
        <v>1319</v>
      </c>
      <c r="F1226" s="7" t="s">
        <v>1320</v>
      </c>
      <c r="G1226" s="6" t="s">
        <v>1321</v>
      </c>
      <c r="H1226" s="7" t="s">
        <v>60</v>
      </c>
      <c r="I1226" s="6" t="str">
        <f aca="false">CONCATENATE(E1226, "_",H1226)</f>
        <v>NLA_2023_018_016</v>
      </c>
      <c r="J1226" s="6" t="s">
        <v>38</v>
      </c>
      <c r="K1226" s="6" t="s">
        <v>1327</v>
      </c>
      <c r="L1226" s="9" t="s">
        <v>69</v>
      </c>
      <c r="M1226" s="17" t="s">
        <v>1323</v>
      </c>
      <c r="N1226" s="6" t="s">
        <v>246</v>
      </c>
      <c r="O1226" s="35" t="s">
        <v>1212</v>
      </c>
      <c r="P1226" s="1" t="s">
        <v>43</v>
      </c>
      <c r="Q1226" s="1" t="s">
        <v>43</v>
      </c>
      <c r="R1226" s="6" t="s">
        <v>44</v>
      </c>
      <c r="U1226" s="6" t="n">
        <v>1500</v>
      </c>
      <c r="V1226" s="1" t="n">
        <v>2</v>
      </c>
      <c r="W1226" s="4"/>
      <c r="X1226" s="9" t="s">
        <v>1215</v>
      </c>
      <c r="Y1226" s="14" t="n">
        <v>5500</v>
      </c>
      <c r="Z1226" s="6" t="s">
        <v>1324</v>
      </c>
      <c r="AA1226" s="6" t="s">
        <v>1325</v>
      </c>
      <c r="AB1226" s="15" t="str">
        <f aca="true" t="array" ref="AB1226:AB1226">LEFT(AA1226,LOOKUP(2^15,FIND(".",AA1226,ROW(INDIRECT("1:"&amp;LEN(AA1226)))))-1)</f>
        <v>NB_2023_016 - 20230425 - 1</v>
      </c>
      <c r="AC1226" s="6" t="s">
        <v>1326</v>
      </c>
      <c r="AD1226" s="15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3" t="s">
        <v>1390</v>
      </c>
      <c r="B1227" s="34"/>
      <c r="C1227" s="4" t="s">
        <v>1391</v>
      </c>
      <c r="D1227" s="6" t="s">
        <v>14</v>
      </c>
      <c r="E1227" s="6" t="s">
        <v>1319</v>
      </c>
      <c r="F1227" s="7" t="s">
        <v>1320</v>
      </c>
      <c r="G1227" s="6" t="s">
        <v>1336</v>
      </c>
      <c r="H1227" s="7" t="s">
        <v>181</v>
      </c>
      <c r="I1227" s="6" t="str">
        <f aca="false">CONCATENATE(E1227, "_",H1227)</f>
        <v>NLA_2023_018_017</v>
      </c>
      <c r="J1227" s="6" t="s">
        <v>38</v>
      </c>
      <c r="K1227" s="6" t="s">
        <v>1340</v>
      </c>
      <c r="L1227" s="9" t="s">
        <v>69</v>
      </c>
      <c r="M1227" s="17" t="s">
        <v>1338</v>
      </c>
      <c r="N1227" s="6" t="s">
        <v>246</v>
      </c>
      <c r="O1227" s="35" t="s">
        <v>1212</v>
      </c>
      <c r="P1227" s="1" t="s">
        <v>43</v>
      </c>
      <c r="Q1227" s="1" t="s">
        <v>43</v>
      </c>
      <c r="R1227" s="6" t="s">
        <v>44</v>
      </c>
      <c r="S1227" s="14"/>
      <c r="U1227" s="6" t="n">
        <v>1500</v>
      </c>
      <c r="V1227" s="14" t="n">
        <v>2</v>
      </c>
      <c r="W1227" s="4"/>
      <c r="X1227" s="9" t="s">
        <v>1215</v>
      </c>
      <c r="Y1227" s="14" t="n">
        <v>5500</v>
      </c>
      <c r="Z1227" s="6" t="s">
        <v>1324</v>
      </c>
      <c r="AA1227" s="6" t="s">
        <v>1325</v>
      </c>
      <c r="AB1227" s="15" t="str">
        <f aca="true" t="array" ref="AB1227:AB1227">LEFT(AA1227,LOOKUP(2^15,FIND(".",AA1227,ROW(INDIRECT("1:"&amp;LEN(AA1227)))))-1)</f>
        <v>NB_2023_016 - 20230425 - 1</v>
      </c>
      <c r="AC1227" s="6" t="s">
        <v>1326</v>
      </c>
      <c r="AD1227" s="15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3" t="s">
        <v>1390</v>
      </c>
      <c r="B1228" s="34"/>
      <c r="C1228" s="4" t="s">
        <v>1391</v>
      </c>
      <c r="D1228" s="6" t="s">
        <v>14</v>
      </c>
      <c r="E1228" s="6" t="s">
        <v>1319</v>
      </c>
      <c r="F1228" s="7" t="s">
        <v>1320</v>
      </c>
      <c r="G1228" s="6" t="s">
        <v>1321</v>
      </c>
      <c r="H1228" s="7" t="s">
        <v>227</v>
      </c>
      <c r="I1228" s="6" t="str">
        <f aca="false">CONCATENATE(E1228, "_",H1228)</f>
        <v>NLA_2023_018_019</v>
      </c>
      <c r="J1228" s="6" t="s">
        <v>52</v>
      </c>
      <c r="K1228" s="6" t="s">
        <v>1328</v>
      </c>
      <c r="L1228" s="9" t="s">
        <v>69</v>
      </c>
      <c r="M1228" s="17" t="s">
        <v>1323</v>
      </c>
      <c r="N1228" s="6" t="s">
        <v>246</v>
      </c>
      <c r="O1228" s="35" t="s">
        <v>1220</v>
      </c>
      <c r="P1228" s="1" t="s">
        <v>43</v>
      </c>
      <c r="Q1228" s="6" t="s">
        <v>1269</v>
      </c>
      <c r="R1228" s="6" t="s">
        <v>44</v>
      </c>
      <c r="S1228" s="14"/>
      <c r="U1228" s="6" t="n">
        <v>1500</v>
      </c>
      <c r="V1228" s="14" t="n">
        <v>3</v>
      </c>
      <c r="W1228" s="4"/>
      <c r="X1228" s="9" t="s">
        <v>1215</v>
      </c>
      <c r="Y1228" s="14" t="n">
        <v>5500</v>
      </c>
      <c r="Z1228" s="6" t="s">
        <v>1324</v>
      </c>
      <c r="AA1228" s="6" t="s">
        <v>1325</v>
      </c>
      <c r="AB1228" s="15" t="str">
        <f aca="true" t="array" ref="AB1228:AB1228">LEFT(AA1228,LOOKUP(2^15,FIND(".",AA1228,ROW(INDIRECT("1:"&amp;LEN(AA1228)))))-1)</f>
        <v>NB_2023_016 - 20230425 - 1</v>
      </c>
      <c r="AC1228" s="6" t="s">
        <v>1326</v>
      </c>
      <c r="AD1228" s="15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3" t="s">
        <v>1390</v>
      </c>
      <c r="B1229" s="34"/>
      <c r="C1229" s="4" t="s">
        <v>1391</v>
      </c>
      <c r="D1229" s="6" t="s">
        <v>14</v>
      </c>
      <c r="E1229" s="6" t="s">
        <v>1319</v>
      </c>
      <c r="F1229" s="7" t="s">
        <v>1320</v>
      </c>
      <c r="G1229" s="6" t="s">
        <v>1345</v>
      </c>
      <c r="H1229" s="7" t="s">
        <v>62</v>
      </c>
      <c r="I1229" s="6" t="str">
        <f aca="false">CONCATENATE(E1229, "_",H1229)</f>
        <v>NLA_2023_018_021</v>
      </c>
      <c r="J1229" s="6" t="s">
        <v>38</v>
      </c>
      <c r="K1229" s="6" t="s">
        <v>1350</v>
      </c>
      <c r="L1229" s="9" t="s">
        <v>69</v>
      </c>
      <c r="M1229" s="17" t="s">
        <v>1347</v>
      </c>
      <c r="N1229" s="6" t="s">
        <v>246</v>
      </c>
      <c r="O1229" s="35" t="s">
        <v>1212</v>
      </c>
      <c r="P1229" s="1" t="s">
        <v>43</v>
      </c>
      <c r="Q1229" s="1" t="s">
        <v>43</v>
      </c>
      <c r="R1229" s="6" t="s">
        <v>44</v>
      </c>
      <c r="S1229" s="14"/>
      <c r="U1229" s="6" t="n">
        <v>1500</v>
      </c>
      <c r="V1229" s="14" t="n">
        <v>1</v>
      </c>
      <c r="W1229" s="4"/>
      <c r="X1229" s="9" t="s">
        <v>1215</v>
      </c>
      <c r="Y1229" s="14" t="n">
        <v>5500</v>
      </c>
      <c r="Z1229" s="6" t="s">
        <v>1324</v>
      </c>
      <c r="AA1229" s="6" t="s">
        <v>1325</v>
      </c>
      <c r="AB1229" s="15" t="str">
        <f aca="true" t="array" ref="AB1229:AB1229">LEFT(AA1229,LOOKUP(2^15,FIND(".",AA1229,ROW(INDIRECT("1:"&amp;LEN(AA1229)))))-1)</f>
        <v>NB_2023_016 - 20230425 - 1</v>
      </c>
      <c r="AC1229" s="6" t="s">
        <v>1326</v>
      </c>
      <c r="AD1229" s="15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3" t="s">
        <v>1390</v>
      </c>
      <c r="B1230" s="34"/>
      <c r="C1230" s="4" t="s">
        <v>1391</v>
      </c>
      <c r="D1230" s="6" t="s">
        <v>14</v>
      </c>
      <c r="E1230" s="6" t="s">
        <v>1319</v>
      </c>
      <c r="F1230" s="7" t="s">
        <v>1320</v>
      </c>
      <c r="G1230" s="6" t="s">
        <v>1336</v>
      </c>
      <c r="H1230" s="7" t="s">
        <v>237</v>
      </c>
      <c r="I1230" s="6" t="str">
        <f aca="false">CONCATENATE(E1230, "_",H1230)</f>
        <v>NLA_2023_018_024</v>
      </c>
      <c r="J1230" s="6" t="s">
        <v>52</v>
      </c>
      <c r="K1230" s="6" t="s">
        <v>1341</v>
      </c>
      <c r="L1230" s="9" t="s">
        <v>69</v>
      </c>
      <c r="M1230" s="17" t="s">
        <v>1338</v>
      </c>
      <c r="N1230" s="6" t="s">
        <v>246</v>
      </c>
      <c r="O1230" s="35" t="s">
        <v>1220</v>
      </c>
      <c r="P1230" s="1" t="s">
        <v>43</v>
      </c>
      <c r="Q1230" s="6" t="s">
        <v>1269</v>
      </c>
      <c r="R1230" s="6" t="s">
        <v>44</v>
      </c>
      <c r="S1230" s="14"/>
      <c r="U1230" s="6" t="n">
        <v>1500</v>
      </c>
      <c r="V1230" s="14" t="n">
        <v>3</v>
      </c>
      <c r="W1230" s="4"/>
      <c r="X1230" s="9" t="s">
        <v>1215</v>
      </c>
      <c r="Y1230" s="14" t="n">
        <v>5500</v>
      </c>
      <c r="Z1230" s="6" t="s">
        <v>1324</v>
      </c>
      <c r="AA1230" s="6" t="s">
        <v>1325</v>
      </c>
      <c r="AB1230" s="15" t="str">
        <f aca="true" t="array" ref="AB1230:AB1230">LEFT(AA1230,LOOKUP(2^15,FIND(".",AA1230,ROW(INDIRECT("1:"&amp;LEN(AA1230)))))-1)</f>
        <v>NB_2023_016 - 20230425 - 1</v>
      </c>
      <c r="AC1230" s="6" t="s">
        <v>1326</v>
      </c>
      <c r="AD1230" s="15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3" t="s">
        <v>1390</v>
      </c>
      <c r="B1231" s="34"/>
      <c r="C1231" s="4" t="s">
        <v>1391</v>
      </c>
      <c r="D1231" s="6" t="s">
        <v>14</v>
      </c>
      <c r="E1231" s="6" t="s">
        <v>1319</v>
      </c>
      <c r="F1231" s="7" t="s">
        <v>1320</v>
      </c>
      <c r="G1231" s="6" t="s">
        <v>1345</v>
      </c>
      <c r="H1231" s="7" t="s">
        <v>1351</v>
      </c>
      <c r="I1231" s="6" t="str">
        <f aca="false">CONCATENATE(E1231, "_",H1231)</f>
        <v>NLA_2023_018_025</v>
      </c>
      <c r="J1231" s="6" t="s">
        <v>38</v>
      </c>
      <c r="K1231" s="6" t="s">
        <v>1352</v>
      </c>
      <c r="L1231" s="9" t="s">
        <v>69</v>
      </c>
      <c r="M1231" s="17" t="s">
        <v>1347</v>
      </c>
      <c r="N1231" s="6" t="s">
        <v>246</v>
      </c>
      <c r="O1231" s="35" t="s">
        <v>1212</v>
      </c>
      <c r="P1231" s="1" t="s">
        <v>43</v>
      </c>
      <c r="Q1231" s="6" t="s">
        <v>43</v>
      </c>
      <c r="R1231" s="6" t="s">
        <v>44</v>
      </c>
      <c r="S1231" s="14"/>
      <c r="U1231" s="6" t="n">
        <v>1500</v>
      </c>
      <c r="V1231" s="14" t="n">
        <v>2</v>
      </c>
      <c r="W1231" s="4"/>
      <c r="X1231" s="9" t="s">
        <v>1215</v>
      </c>
      <c r="Y1231" s="14" t="n">
        <v>5500</v>
      </c>
      <c r="Z1231" s="6" t="s">
        <v>1324</v>
      </c>
      <c r="AA1231" s="6" t="s">
        <v>1325</v>
      </c>
      <c r="AB1231" s="15" t="str">
        <f aca="true" t="array" ref="AB1231:AB1231">LEFT(AA1231,LOOKUP(2^15,FIND(".",AA1231,ROW(INDIRECT("1:"&amp;LEN(AA1231)))))-1)</f>
        <v>NB_2023_016 - 20230425 - 1</v>
      </c>
      <c r="AC1231" s="6" t="s">
        <v>1326</v>
      </c>
      <c r="AD1231" s="15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3" t="s">
        <v>1390</v>
      </c>
      <c r="B1232" s="34"/>
      <c r="C1232" s="4" t="s">
        <v>1391</v>
      </c>
      <c r="D1232" s="6" t="s">
        <v>14</v>
      </c>
      <c r="E1232" s="6" t="s">
        <v>1319</v>
      </c>
      <c r="F1232" s="7" t="s">
        <v>1320</v>
      </c>
      <c r="G1232" s="6" t="s">
        <v>1345</v>
      </c>
      <c r="H1232" s="7" t="s">
        <v>1353</v>
      </c>
      <c r="I1232" s="6" t="str">
        <f aca="false">CONCATENATE(E1232, "_",H1232)</f>
        <v>NLA_2023_018_027</v>
      </c>
      <c r="J1232" s="6" t="s">
        <v>38</v>
      </c>
      <c r="K1232" s="6" t="s">
        <v>1354</v>
      </c>
      <c r="L1232" s="9" t="s">
        <v>69</v>
      </c>
      <c r="M1232" s="17" t="s">
        <v>1347</v>
      </c>
      <c r="N1232" s="6" t="s">
        <v>246</v>
      </c>
      <c r="O1232" s="35" t="s">
        <v>1212</v>
      </c>
      <c r="P1232" s="1" t="s">
        <v>43</v>
      </c>
      <c r="Q1232" s="1" t="s">
        <v>43</v>
      </c>
      <c r="R1232" s="6" t="s">
        <v>44</v>
      </c>
      <c r="S1232" s="14"/>
      <c r="U1232" s="6" t="n">
        <v>1500</v>
      </c>
      <c r="V1232" s="14" t="n">
        <v>3</v>
      </c>
      <c r="W1232" s="4"/>
      <c r="X1232" s="9" t="s">
        <v>1215</v>
      </c>
      <c r="Y1232" s="14" t="n">
        <v>5500</v>
      </c>
      <c r="Z1232" s="6" t="s">
        <v>1324</v>
      </c>
      <c r="AA1232" s="6" t="s">
        <v>1325</v>
      </c>
      <c r="AB1232" s="15" t="str">
        <f aca="true" t="array" ref="AB1232:AB1232">LEFT(AA1232,LOOKUP(2^15,FIND(".",AA1232,ROW(INDIRECT("1:"&amp;LEN(AA1232)))))-1)</f>
        <v>NB_2023_016 - 20230425 - 1</v>
      </c>
      <c r="AC1232" s="6" t="s">
        <v>1326</v>
      </c>
      <c r="AD1232" s="15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3" t="s">
        <v>1390</v>
      </c>
      <c r="B1233" s="34"/>
      <c r="C1233" s="4" t="s">
        <v>1391</v>
      </c>
      <c r="D1233" s="6" t="s">
        <v>14</v>
      </c>
      <c r="E1233" s="6" t="s">
        <v>1319</v>
      </c>
      <c r="F1233" s="7" t="s">
        <v>1320</v>
      </c>
      <c r="G1233" s="6" t="s">
        <v>1321</v>
      </c>
      <c r="H1233" s="7" t="s">
        <v>1329</v>
      </c>
      <c r="I1233" s="6" t="str">
        <f aca="false">CONCATENATE(E1233, "_",H1233)</f>
        <v>NLA_2023_018_028</v>
      </c>
      <c r="J1233" s="6" t="s">
        <v>38</v>
      </c>
      <c r="K1233" s="6" t="s">
        <v>1330</v>
      </c>
      <c r="L1233" s="9" t="s">
        <v>69</v>
      </c>
      <c r="M1233" s="17" t="s">
        <v>1323</v>
      </c>
      <c r="N1233" s="6" t="s">
        <v>246</v>
      </c>
      <c r="O1233" s="35" t="s">
        <v>1212</v>
      </c>
      <c r="P1233" s="1" t="s">
        <v>43</v>
      </c>
      <c r="Q1233" s="1" t="s">
        <v>43</v>
      </c>
      <c r="R1233" s="6" t="s">
        <v>44</v>
      </c>
      <c r="U1233" s="6" t="n">
        <v>1500</v>
      </c>
      <c r="V1233" s="1" t="n">
        <v>4</v>
      </c>
      <c r="W1233" s="4"/>
      <c r="X1233" s="9" t="s">
        <v>1215</v>
      </c>
      <c r="Y1233" s="14" t="n">
        <v>5500</v>
      </c>
      <c r="Z1233" s="6" t="s">
        <v>1324</v>
      </c>
      <c r="AA1233" s="6" t="s">
        <v>1325</v>
      </c>
      <c r="AB1233" s="15" t="str">
        <f aca="true" t="array" ref="AB1233:AB1233">LEFT(AA1233,LOOKUP(2^15,FIND(".",AA1233,ROW(INDIRECT("1:"&amp;LEN(AA1233)))))-1)</f>
        <v>NB_2023_016 - 20230425 - 1</v>
      </c>
      <c r="AC1233" s="6" t="s">
        <v>1326</v>
      </c>
      <c r="AD1233" s="15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3" t="s">
        <v>1390</v>
      </c>
      <c r="B1234" s="34"/>
      <c r="C1234" s="4" t="s">
        <v>1391</v>
      </c>
      <c r="D1234" s="6" t="s">
        <v>14</v>
      </c>
      <c r="E1234" s="6" t="s">
        <v>1319</v>
      </c>
      <c r="F1234" s="7" t="s">
        <v>1320</v>
      </c>
      <c r="G1234" s="6" t="s">
        <v>1336</v>
      </c>
      <c r="H1234" s="7" t="s">
        <v>439</v>
      </c>
      <c r="I1234" s="6" t="str">
        <f aca="false">CONCATENATE(E1234, "_",H1234)</f>
        <v>NLA_2023_018_029</v>
      </c>
      <c r="J1234" s="6" t="s">
        <v>38</v>
      </c>
      <c r="K1234" s="6" t="s">
        <v>1342</v>
      </c>
      <c r="L1234" s="9" t="s">
        <v>69</v>
      </c>
      <c r="M1234" s="17" t="s">
        <v>1338</v>
      </c>
      <c r="N1234" s="6" t="s">
        <v>246</v>
      </c>
      <c r="O1234" s="35" t="s">
        <v>1212</v>
      </c>
      <c r="P1234" s="1" t="s">
        <v>43</v>
      </c>
      <c r="Q1234" s="1" t="s">
        <v>43</v>
      </c>
      <c r="R1234" s="6" t="s">
        <v>44</v>
      </c>
      <c r="U1234" s="6" t="n">
        <v>1500</v>
      </c>
      <c r="V1234" s="1" t="n">
        <v>1</v>
      </c>
      <c r="W1234" s="4"/>
      <c r="X1234" s="9" t="s">
        <v>1215</v>
      </c>
      <c r="Y1234" s="14" t="n">
        <v>5500</v>
      </c>
      <c r="Z1234" s="6" t="s">
        <v>1324</v>
      </c>
      <c r="AA1234" s="6" t="s">
        <v>1325</v>
      </c>
      <c r="AB1234" s="15" t="str">
        <f aca="true" t="array" ref="AB1234:AB1234">LEFT(AA1234,LOOKUP(2^15,FIND(".",AA1234,ROW(INDIRECT("1:"&amp;LEN(AA1234)))))-1)</f>
        <v>NB_2023_016 - 20230425 - 1</v>
      </c>
      <c r="AC1234" s="6" t="s">
        <v>1326</v>
      </c>
      <c r="AD1234" s="15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3" t="s">
        <v>1390</v>
      </c>
      <c r="B1235" s="34"/>
      <c r="C1235" s="4" t="s">
        <v>1391</v>
      </c>
      <c r="D1235" s="6" t="s">
        <v>14</v>
      </c>
      <c r="E1235" s="6" t="s">
        <v>1319</v>
      </c>
      <c r="F1235" s="7" t="s">
        <v>1320</v>
      </c>
      <c r="G1235" s="6" t="s">
        <v>1321</v>
      </c>
      <c r="H1235" s="7" t="s">
        <v>445</v>
      </c>
      <c r="I1235" s="6" t="str">
        <f aca="false">CONCATENATE(E1235, "_",H1235)</f>
        <v>NLA_2023_018_031</v>
      </c>
      <c r="J1235" s="6" t="s">
        <v>52</v>
      </c>
      <c r="K1235" s="6" t="s">
        <v>1331</v>
      </c>
      <c r="L1235" s="9" t="s">
        <v>69</v>
      </c>
      <c r="M1235" s="17" t="s">
        <v>1323</v>
      </c>
      <c r="N1235" s="6" t="s">
        <v>246</v>
      </c>
      <c r="O1235" s="35" t="s">
        <v>1220</v>
      </c>
      <c r="P1235" s="1" t="s">
        <v>43</v>
      </c>
      <c r="Q1235" s="6" t="s">
        <v>1269</v>
      </c>
      <c r="R1235" s="6" t="s">
        <v>44</v>
      </c>
      <c r="S1235" s="14"/>
      <c r="U1235" s="6" t="n">
        <v>1500</v>
      </c>
      <c r="V1235" s="14" t="n">
        <v>2</v>
      </c>
      <c r="W1235" s="4"/>
      <c r="X1235" s="9" t="s">
        <v>1215</v>
      </c>
      <c r="Y1235" s="14" t="n">
        <v>5500</v>
      </c>
      <c r="Z1235" s="6" t="s">
        <v>1324</v>
      </c>
      <c r="AA1235" s="6" t="s">
        <v>1325</v>
      </c>
      <c r="AB1235" s="15" t="str">
        <f aca="true" t="array" ref="AB1235:AB1235">LEFT(AA1235,LOOKUP(2^15,FIND(".",AA1235,ROW(INDIRECT("1:"&amp;LEN(AA1235)))))-1)</f>
        <v>NB_2023_016 - 20230425 - 1</v>
      </c>
      <c r="AC1235" s="6" t="s">
        <v>1326</v>
      </c>
      <c r="AD1235" s="15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3" t="s">
        <v>1390</v>
      </c>
      <c r="B1236" s="34"/>
      <c r="C1236" s="4" t="s">
        <v>1391</v>
      </c>
      <c r="D1236" s="6" t="s">
        <v>14</v>
      </c>
      <c r="E1236" s="6" t="s">
        <v>1319</v>
      </c>
      <c r="F1236" s="7" t="s">
        <v>1320</v>
      </c>
      <c r="G1236" s="6" t="s">
        <v>1321</v>
      </c>
      <c r="H1236" s="7" t="s">
        <v>1063</v>
      </c>
      <c r="I1236" s="6" t="str">
        <f aca="false">CONCATENATE(E1236, "_",H1236)</f>
        <v>NLA_2023_018_033</v>
      </c>
      <c r="J1236" s="6" t="s">
        <v>38</v>
      </c>
      <c r="K1236" s="6" t="s">
        <v>1332</v>
      </c>
      <c r="L1236" s="9" t="s">
        <v>69</v>
      </c>
      <c r="M1236" s="17" t="s">
        <v>1323</v>
      </c>
      <c r="N1236" s="6" t="s">
        <v>246</v>
      </c>
      <c r="O1236" s="35" t="s">
        <v>1212</v>
      </c>
      <c r="P1236" s="1" t="s">
        <v>43</v>
      </c>
      <c r="Q1236" s="6" t="s">
        <v>43</v>
      </c>
      <c r="R1236" s="6" t="s">
        <v>44</v>
      </c>
      <c r="U1236" s="6" t="n">
        <v>1500</v>
      </c>
      <c r="V1236" s="1" t="n">
        <v>3</v>
      </c>
      <c r="W1236" s="4"/>
      <c r="X1236" s="9" t="s">
        <v>1215</v>
      </c>
      <c r="Y1236" s="14" t="n">
        <v>5500</v>
      </c>
      <c r="Z1236" s="6" t="s">
        <v>1324</v>
      </c>
      <c r="AA1236" s="6" t="s">
        <v>1325</v>
      </c>
      <c r="AB1236" s="15" t="str">
        <f aca="true" t="array" ref="AB1236:AB1236">LEFT(AA1236,LOOKUP(2^15,FIND(".",AA1236,ROW(INDIRECT("1:"&amp;LEN(AA1236)))))-1)</f>
        <v>NB_2023_016 - 20230425 - 1</v>
      </c>
      <c r="AC1236" s="6" t="s">
        <v>1326</v>
      </c>
      <c r="AD1236" s="15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3" t="s">
        <v>1390</v>
      </c>
      <c r="B1237" s="34"/>
      <c r="C1237" s="4" t="s">
        <v>1391</v>
      </c>
      <c r="D1237" s="6" t="s">
        <v>14</v>
      </c>
      <c r="E1237" s="6" t="s">
        <v>1319</v>
      </c>
      <c r="F1237" s="7" t="s">
        <v>1320</v>
      </c>
      <c r="G1237" s="6" t="s">
        <v>1321</v>
      </c>
      <c r="H1237" s="7" t="s">
        <v>925</v>
      </c>
      <c r="I1237" s="6" t="str">
        <f aca="false">CONCATENATE(E1237, "_",H1237)</f>
        <v>NLA_2023_018_036</v>
      </c>
      <c r="J1237" s="6" t="s">
        <v>38</v>
      </c>
      <c r="K1237" s="6" t="s">
        <v>1333</v>
      </c>
      <c r="L1237" s="9" t="s">
        <v>69</v>
      </c>
      <c r="M1237" s="17" t="s">
        <v>1323</v>
      </c>
      <c r="N1237" s="6" t="s">
        <v>246</v>
      </c>
      <c r="O1237" s="35" t="s">
        <v>1212</v>
      </c>
      <c r="P1237" s="1" t="s">
        <v>43</v>
      </c>
      <c r="Q1237" s="6" t="s">
        <v>43</v>
      </c>
      <c r="R1237" s="6" t="s">
        <v>44</v>
      </c>
      <c r="U1237" s="6" t="n">
        <v>1500</v>
      </c>
      <c r="V1237" s="1" t="n">
        <v>1</v>
      </c>
      <c r="W1237" s="4"/>
      <c r="X1237" s="9" t="s">
        <v>1215</v>
      </c>
      <c r="Y1237" s="14" t="n">
        <v>5500</v>
      </c>
      <c r="Z1237" s="6" t="s">
        <v>1324</v>
      </c>
      <c r="AA1237" s="6" t="s">
        <v>1325</v>
      </c>
      <c r="AB1237" s="15" t="str">
        <f aca="true" t="array" ref="AB1237:AB1237">LEFT(AA1237,LOOKUP(2^15,FIND(".",AA1237,ROW(INDIRECT("1:"&amp;LEN(AA1237)))))-1)</f>
        <v>NB_2023_016 - 20230425 - 1</v>
      </c>
      <c r="AC1237" s="6" t="s">
        <v>1326</v>
      </c>
      <c r="AD1237" s="15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3" t="s">
        <v>1390</v>
      </c>
      <c r="B1238" s="34"/>
      <c r="C1238" s="4" t="s">
        <v>1391</v>
      </c>
      <c r="D1238" s="6" t="s">
        <v>14</v>
      </c>
      <c r="E1238" s="6" t="s">
        <v>1319</v>
      </c>
      <c r="F1238" s="7" t="s">
        <v>1320</v>
      </c>
      <c r="G1238" s="6" t="s">
        <v>1319</v>
      </c>
      <c r="H1238" s="16" t="s">
        <v>64</v>
      </c>
      <c r="I1238" s="6" t="str">
        <f aca="false">CONCATENATE(E1238, "_",H1238)</f>
        <v>NLA_2023_018_Blank_1</v>
      </c>
      <c r="J1238" s="6" t="s">
        <v>52</v>
      </c>
      <c r="K1238" s="18" t="s">
        <v>64</v>
      </c>
      <c r="L1238" s="7" t="s">
        <v>46</v>
      </c>
      <c r="M1238" s="17" t="s">
        <v>46</v>
      </c>
      <c r="N1238" s="6" t="s">
        <v>65</v>
      </c>
      <c r="O1238" s="6" t="s">
        <v>46</v>
      </c>
      <c r="P1238" s="6" t="s">
        <v>46</v>
      </c>
      <c r="Q1238" s="6" t="s">
        <v>46</v>
      </c>
      <c r="R1238" s="6" t="s">
        <v>46</v>
      </c>
      <c r="S1238" s="6" t="s">
        <v>46</v>
      </c>
      <c r="T1238" s="6" t="s">
        <v>46</v>
      </c>
      <c r="U1238" s="6" t="s">
        <v>46</v>
      </c>
      <c r="V1238" s="1" t="n">
        <v>1</v>
      </c>
      <c r="W1238" s="4"/>
      <c r="X1238" s="6" t="s">
        <v>46</v>
      </c>
      <c r="Y1238" s="14" t="n">
        <v>5500</v>
      </c>
      <c r="Z1238" s="6" t="s">
        <v>1324</v>
      </c>
      <c r="AA1238" s="6" t="s">
        <v>1325</v>
      </c>
      <c r="AB1238" s="15" t="str">
        <f aca="true" t="array" ref="AB1238:AB1238">LEFT(AA1238,LOOKUP(2^15,FIND(".",AA1238,ROW(INDIRECT("1:"&amp;LEN(AA1238)))))-1)</f>
        <v>NB_2023_016 - 20230425 - 1</v>
      </c>
      <c r="AC1238" s="6" t="s">
        <v>1326</v>
      </c>
      <c r="AD1238" s="15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3" t="s">
        <v>1390</v>
      </c>
      <c r="B1239" s="34"/>
      <c r="C1239" s="4" t="s">
        <v>1391</v>
      </c>
      <c r="D1239" s="6" t="s">
        <v>14</v>
      </c>
      <c r="E1239" s="6" t="s">
        <v>1319</v>
      </c>
      <c r="F1239" s="7" t="s">
        <v>1320</v>
      </c>
      <c r="G1239" s="6" t="s">
        <v>1319</v>
      </c>
      <c r="H1239" s="16" t="s">
        <v>67</v>
      </c>
      <c r="I1239" s="6" t="str">
        <f aca="false">CONCATENATE(E1239, "_",H1239)</f>
        <v>NLA_2023_018_Blank_3</v>
      </c>
      <c r="J1239" s="6" t="s">
        <v>52</v>
      </c>
      <c r="K1239" s="18" t="s">
        <v>67</v>
      </c>
      <c r="L1239" s="7" t="s">
        <v>46</v>
      </c>
      <c r="M1239" s="17" t="s">
        <v>46</v>
      </c>
      <c r="N1239" s="6" t="s">
        <v>65</v>
      </c>
      <c r="O1239" s="6" t="s">
        <v>46</v>
      </c>
      <c r="P1239" s="6" t="s">
        <v>46</v>
      </c>
      <c r="Q1239" s="6" t="s">
        <v>46</v>
      </c>
      <c r="R1239" s="6" t="s">
        <v>46</v>
      </c>
      <c r="S1239" s="6" t="s">
        <v>46</v>
      </c>
      <c r="T1239" s="6" t="s">
        <v>46</v>
      </c>
      <c r="U1239" s="6" t="s">
        <v>46</v>
      </c>
      <c r="V1239" s="1" t="n">
        <v>3</v>
      </c>
      <c r="W1239" s="4"/>
      <c r="X1239" s="6" t="s">
        <v>46</v>
      </c>
      <c r="Y1239" s="14" t="n">
        <v>5500</v>
      </c>
      <c r="Z1239" s="6" t="s">
        <v>1324</v>
      </c>
      <c r="AA1239" s="6" t="s">
        <v>1325</v>
      </c>
      <c r="AB1239" s="15" t="str">
        <f aca="true" t="array" ref="AB1239:AB1239">LEFT(AA1239,LOOKUP(2^15,FIND(".",AA1239,ROW(INDIRECT("1:"&amp;LEN(AA1239)))))-1)</f>
        <v>NB_2023_016 - 20230425 - 1</v>
      </c>
      <c r="AC1239" s="6" t="s">
        <v>1326</v>
      </c>
      <c r="AD1239" s="15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3" t="s">
        <v>1390</v>
      </c>
      <c r="B1240" s="34"/>
      <c r="C1240" s="4" t="s">
        <v>1391</v>
      </c>
      <c r="D1240" s="6" t="s">
        <v>14</v>
      </c>
      <c r="E1240" s="6" t="s">
        <v>1319</v>
      </c>
      <c r="F1240" s="7" t="s">
        <v>1320</v>
      </c>
      <c r="G1240" s="6" t="s">
        <v>1319</v>
      </c>
      <c r="H1240" s="16" t="s">
        <v>221</v>
      </c>
      <c r="I1240" s="6" t="str">
        <f aca="false">CONCATENATE(E1240, "_",H1240)</f>
        <v>NLA_2023_018_Blank_4</v>
      </c>
      <c r="J1240" s="6" t="s">
        <v>52</v>
      </c>
      <c r="K1240" s="18" t="s">
        <v>221</v>
      </c>
      <c r="L1240" s="7" t="s">
        <v>46</v>
      </c>
      <c r="M1240" s="17" t="s">
        <v>46</v>
      </c>
      <c r="N1240" s="6" t="s">
        <v>65</v>
      </c>
      <c r="O1240" s="6" t="s">
        <v>46</v>
      </c>
      <c r="P1240" s="6" t="s">
        <v>46</v>
      </c>
      <c r="Q1240" s="6" t="s">
        <v>46</v>
      </c>
      <c r="R1240" s="6" t="s">
        <v>46</v>
      </c>
      <c r="S1240" s="6" t="s">
        <v>46</v>
      </c>
      <c r="T1240" s="6" t="s">
        <v>46</v>
      </c>
      <c r="U1240" s="6" t="s">
        <v>46</v>
      </c>
      <c r="V1240" s="1" t="n">
        <v>4</v>
      </c>
      <c r="W1240" s="4"/>
      <c r="X1240" s="6" t="s">
        <v>46</v>
      </c>
      <c r="Y1240" s="14" t="n">
        <v>5500</v>
      </c>
      <c r="Z1240" s="6" t="s">
        <v>1324</v>
      </c>
      <c r="AA1240" s="6" t="s">
        <v>1325</v>
      </c>
      <c r="AB1240" s="15" t="str">
        <f aca="true" t="array" ref="AB1240:AB1240">LEFT(AA1240,LOOKUP(2^15,FIND(".",AA1240,ROW(INDIRECT("1:"&amp;LEN(AA1240)))))-1)</f>
        <v>NB_2023_016 - 20230425 - 1</v>
      </c>
      <c r="AC1240" s="6" t="s">
        <v>1326</v>
      </c>
      <c r="AD1240" s="15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3" t="s">
        <v>1390</v>
      </c>
      <c r="B1241" s="34"/>
      <c r="C1241" s="4" t="s">
        <v>1391</v>
      </c>
      <c r="D1241" s="6" t="s">
        <v>14</v>
      </c>
      <c r="E1241" s="6" t="s">
        <v>1319</v>
      </c>
      <c r="F1241" s="7" t="s">
        <v>1320</v>
      </c>
      <c r="G1241" s="6" t="s">
        <v>1319</v>
      </c>
      <c r="H1241" s="16" t="s">
        <v>68</v>
      </c>
      <c r="I1241" s="6" t="str">
        <f aca="false">CONCATENATE(E1241, "_",H1241)</f>
        <v>NLA_2023_018_QC_C_1</v>
      </c>
      <c r="J1241" s="6" t="s">
        <v>52</v>
      </c>
      <c r="K1241" s="18" t="s">
        <v>68</v>
      </c>
      <c r="L1241" s="9" t="s">
        <v>69</v>
      </c>
      <c r="M1241" s="3" t="s">
        <v>46</v>
      </c>
      <c r="N1241" s="6" t="s">
        <v>70</v>
      </c>
      <c r="O1241" s="6" t="s">
        <v>46</v>
      </c>
      <c r="P1241" s="6" t="s">
        <v>71</v>
      </c>
      <c r="Q1241" s="6" t="s">
        <v>71</v>
      </c>
      <c r="R1241" s="6" t="s">
        <v>72</v>
      </c>
      <c r="S1241" s="6" t="s">
        <v>73</v>
      </c>
      <c r="T1241" s="6" t="s">
        <v>46</v>
      </c>
      <c r="U1241" s="6" t="n">
        <v>1000</v>
      </c>
      <c r="V1241" s="1" t="n">
        <v>1</v>
      </c>
      <c r="W1241" s="4"/>
      <c r="X1241" s="6" t="s">
        <v>74</v>
      </c>
      <c r="Y1241" s="14" t="n">
        <v>5500</v>
      </c>
      <c r="Z1241" s="6" t="s">
        <v>1324</v>
      </c>
      <c r="AA1241" s="6" t="s">
        <v>1325</v>
      </c>
      <c r="AB1241" s="15" t="str">
        <f aca="true" t="array" ref="AB1241:AB1241">LEFT(AA1241,LOOKUP(2^15,FIND(".",AA1241,ROW(INDIRECT("1:"&amp;LEN(AA1241)))))-1)</f>
        <v>NB_2023_016 - 20230425 - 1</v>
      </c>
      <c r="AC1241" s="6" t="s">
        <v>1326</v>
      </c>
      <c r="AD1241" s="15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3" t="s">
        <v>1390</v>
      </c>
      <c r="B1242" s="34"/>
      <c r="C1242" s="4" t="s">
        <v>1391</v>
      </c>
      <c r="D1242" s="6" t="s">
        <v>14</v>
      </c>
      <c r="E1242" s="6" t="s">
        <v>1319</v>
      </c>
      <c r="F1242" s="7" t="s">
        <v>1320</v>
      </c>
      <c r="G1242" s="6" t="s">
        <v>1319</v>
      </c>
      <c r="H1242" s="16" t="s">
        <v>75</v>
      </c>
      <c r="I1242" s="6" t="str">
        <f aca="false">CONCATENATE(E1242, "_",H1242)</f>
        <v>NLA_2023_018_QC_C_2</v>
      </c>
      <c r="J1242" s="6" t="s">
        <v>52</v>
      </c>
      <c r="K1242" s="18" t="s">
        <v>75</v>
      </c>
      <c r="L1242" s="9" t="s">
        <v>69</v>
      </c>
      <c r="M1242" s="3" t="s">
        <v>46</v>
      </c>
      <c r="N1242" s="6" t="s">
        <v>70</v>
      </c>
      <c r="O1242" s="6" t="s">
        <v>46</v>
      </c>
      <c r="P1242" s="6" t="s">
        <v>71</v>
      </c>
      <c r="Q1242" s="6" t="s">
        <v>71</v>
      </c>
      <c r="R1242" s="6" t="s">
        <v>72</v>
      </c>
      <c r="S1242" s="6" t="s">
        <v>73</v>
      </c>
      <c r="T1242" s="6" t="s">
        <v>46</v>
      </c>
      <c r="U1242" s="6" t="n">
        <v>1000</v>
      </c>
      <c r="V1242" s="1" t="n">
        <v>2</v>
      </c>
      <c r="W1242" s="4"/>
      <c r="X1242" s="6" t="s">
        <v>74</v>
      </c>
      <c r="Y1242" s="14" t="n">
        <v>5500</v>
      </c>
      <c r="Z1242" s="6" t="s">
        <v>1324</v>
      </c>
      <c r="AA1242" s="6" t="s">
        <v>1325</v>
      </c>
      <c r="AB1242" s="15" t="str">
        <f aca="true" t="array" ref="AB1242:AB1242">LEFT(AA1242,LOOKUP(2^15,FIND(".",AA1242,ROW(INDIRECT("1:"&amp;LEN(AA1242)))))-1)</f>
        <v>NB_2023_016 - 20230425 - 1</v>
      </c>
      <c r="AC1242" s="6" t="s">
        <v>1326</v>
      </c>
      <c r="AD1242" s="15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3" t="s">
        <v>1390</v>
      </c>
      <c r="B1243" s="34"/>
      <c r="C1243" s="4" t="s">
        <v>1391</v>
      </c>
      <c r="D1243" s="6" t="s">
        <v>14</v>
      </c>
      <c r="E1243" s="6" t="s">
        <v>1319</v>
      </c>
      <c r="F1243" s="7" t="s">
        <v>1320</v>
      </c>
      <c r="G1243" s="6" t="s">
        <v>1319</v>
      </c>
      <c r="H1243" s="16" t="s">
        <v>76</v>
      </c>
      <c r="I1243" s="6" t="str">
        <f aca="false">CONCATENATE(E1243, "_",H1243)</f>
        <v>NLA_2023_018_QC_C_3</v>
      </c>
      <c r="J1243" s="6" t="s">
        <v>52</v>
      </c>
      <c r="K1243" s="18" t="s">
        <v>76</v>
      </c>
      <c r="L1243" s="9" t="s">
        <v>69</v>
      </c>
      <c r="M1243" s="3" t="s">
        <v>46</v>
      </c>
      <c r="N1243" s="6" t="s">
        <v>70</v>
      </c>
      <c r="O1243" s="6" t="s">
        <v>46</v>
      </c>
      <c r="P1243" s="6" t="s">
        <v>71</v>
      </c>
      <c r="Q1243" s="6" t="s">
        <v>71</v>
      </c>
      <c r="R1243" s="6" t="s">
        <v>72</v>
      </c>
      <c r="S1243" s="6" t="s">
        <v>73</v>
      </c>
      <c r="T1243" s="6" t="s">
        <v>46</v>
      </c>
      <c r="U1243" s="6" t="n">
        <v>1000</v>
      </c>
      <c r="V1243" s="1" t="n">
        <v>3</v>
      </c>
      <c r="W1243" s="4"/>
      <c r="X1243" s="6" t="s">
        <v>74</v>
      </c>
      <c r="Y1243" s="14" t="n">
        <v>5500</v>
      </c>
      <c r="Z1243" s="6" t="s">
        <v>1324</v>
      </c>
      <c r="AA1243" s="6" t="s">
        <v>1325</v>
      </c>
      <c r="AB1243" s="15" t="str">
        <f aca="true" t="array" ref="AB1243:AB1243">LEFT(AA1243,LOOKUP(2^15,FIND(".",AA1243,ROW(INDIRECT("1:"&amp;LEN(AA1243)))))-1)</f>
        <v>NB_2023_016 - 20230425 - 1</v>
      </c>
      <c r="AC1243" s="6" t="s">
        <v>1326</v>
      </c>
      <c r="AD1243" s="15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3" t="s">
        <v>1390</v>
      </c>
      <c r="B1244" s="34"/>
      <c r="C1244" s="4" t="s">
        <v>1391</v>
      </c>
      <c r="D1244" s="6" t="s">
        <v>14</v>
      </c>
      <c r="E1244" s="6" t="s">
        <v>1319</v>
      </c>
      <c r="F1244" s="7" t="s">
        <v>1320</v>
      </c>
      <c r="G1244" s="6" t="s">
        <v>1319</v>
      </c>
      <c r="H1244" s="16" t="s">
        <v>222</v>
      </c>
      <c r="I1244" s="6" t="str">
        <f aca="false">CONCATENATE(E1244, "_",H1244)</f>
        <v>NLA_2023_018_QC_C_4</v>
      </c>
      <c r="J1244" s="6" t="s">
        <v>52</v>
      </c>
      <c r="K1244" s="18" t="s">
        <v>222</v>
      </c>
      <c r="L1244" s="9" t="s">
        <v>69</v>
      </c>
      <c r="M1244" s="3" t="s">
        <v>46</v>
      </c>
      <c r="N1244" s="6" t="s">
        <v>70</v>
      </c>
      <c r="O1244" s="6" t="s">
        <v>46</v>
      </c>
      <c r="P1244" s="6" t="s">
        <v>71</v>
      </c>
      <c r="Q1244" s="6" t="s">
        <v>71</v>
      </c>
      <c r="R1244" s="6" t="s">
        <v>72</v>
      </c>
      <c r="S1244" s="6" t="s">
        <v>73</v>
      </c>
      <c r="T1244" s="6" t="s">
        <v>46</v>
      </c>
      <c r="U1244" s="6" t="n">
        <v>1000</v>
      </c>
      <c r="V1244" s="1" t="n">
        <v>4</v>
      </c>
      <c r="W1244" s="4"/>
      <c r="X1244" s="6" t="s">
        <v>74</v>
      </c>
      <c r="Y1244" s="14" t="n">
        <v>5500</v>
      </c>
      <c r="Z1244" s="6" t="s">
        <v>1324</v>
      </c>
      <c r="AA1244" s="6" t="s">
        <v>1325</v>
      </c>
      <c r="AB1244" s="15" t="str">
        <f aca="true" t="array" ref="AB1244:AB1244">LEFT(AA1244,LOOKUP(2^15,FIND(".",AA1244,ROW(INDIRECT("1:"&amp;LEN(AA1244)))))-1)</f>
        <v>NB_2023_016 - 20230425 - 1</v>
      </c>
      <c r="AC1244" s="6" t="s">
        <v>1326</v>
      </c>
      <c r="AD1244" s="15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3" t="s">
        <v>1390</v>
      </c>
      <c r="B1245" s="34"/>
      <c r="C1245" s="4" t="s">
        <v>1391</v>
      </c>
      <c r="D1245" s="6" t="s">
        <v>14</v>
      </c>
      <c r="E1245" s="6" t="s">
        <v>1319</v>
      </c>
      <c r="F1245" s="7" t="s">
        <v>1320</v>
      </c>
      <c r="G1245" s="6" t="s">
        <v>1319</v>
      </c>
      <c r="H1245" s="16" t="s">
        <v>77</v>
      </c>
      <c r="I1245" s="6" t="str">
        <f aca="false">CONCATENATE(E1245, "_",H1245)</f>
        <v>NLA_2023_018_QC_P_1</v>
      </c>
      <c r="J1245" s="6" t="s">
        <v>52</v>
      </c>
      <c r="K1245" s="18" t="s">
        <v>77</v>
      </c>
      <c r="L1245" s="7" t="s">
        <v>69</v>
      </c>
      <c r="M1245" s="3" t="s">
        <v>46</v>
      </c>
      <c r="N1245" s="6" t="s">
        <v>78</v>
      </c>
      <c r="O1245" s="6" t="s">
        <v>46</v>
      </c>
      <c r="P1245" s="6" t="s">
        <v>79</v>
      </c>
      <c r="Q1245" s="6" t="s">
        <v>80</v>
      </c>
      <c r="R1245" s="6" t="s">
        <v>81</v>
      </c>
      <c r="S1245" s="6" t="s">
        <v>46</v>
      </c>
      <c r="T1245" s="6" t="s">
        <v>46</v>
      </c>
      <c r="U1245" s="6" t="s">
        <v>82</v>
      </c>
      <c r="V1245" s="1" t="n">
        <v>1</v>
      </c>
      <c r="W1245" s="4"/>
      <c r="X1245" s="6" t="s">
        <v>83</v>
      </c>
      <c r="Y1245" s="14" t="n">
        <v>5500</v>
      </c>
      <c r="Z1245" s="6" t="s">
        <v>1324</v>
      </c>
      <c r="AA1245" s="6" t="s">
        <v>1325</v>
      </c>
      <c r="AB1245" s="15" t="str">
        <f aca="true" t="array" ref="AB1245:AB1245">LEFT(AA1245,LOOKUP(2^15,FIND(".",AA1245,ROW(INDIRECT("1:"&amp;LEN(AA1245)))))-1)</f>
        <v>NB_2023_016 - 20230425 - 1</v>
      </c>
      <c r="AC1245" s="6" t="s">
        <v>1326</v>
      </c>
      <c r="AD1245" s="15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3" t="s">
        <v>1390</v>
      </c>
      <c r="B1246" s="34"/>
      <c r="C1246" s="4" t="s">
        <v>1391</v>
      </c>
      <c r="D1246" s="6" t="s">
        <v>14</v>
      </c>
      <c r="E1246" s="6" t="s">
        <v>1319</v>
      </c>
      <c r="F1246" s="7" t="s">
        <v>1320</v>
      </c>
      <c r="G1246" s="6" t="s">
        <v>1319</v>
      </c>
      <c r="H1246" s="16" t="s">
        <v>84</v>
      </c>
      <c r="I1246" s="6" t="str">
        <f aca="false">CONCATENATE(E1246, "_",H1246)</f>
        <v>NLA_2023_018_QC_P_2</v>
      </c>
      <c r="J1246" s="6" t="s">
        <v>52</v>
      </c>
      <c r="K1246" s="18" t="s">
        <v>84</v>
      </c>
      <c r="L1246" s="7" t="s">
        <v>69</v>
      </c>
      <c r="M1246" s="3" t="s">
        <v>46</v>
      </c>
      <c r="N1246" s="6" t="s">
        <v>78</v>
      </c>
      <c r="O1246" s="6" t="s">
        <v>46</v>
      </c>
      <c r="P1246" s="6" t="s">
        <v>79</v>
      </c>
      <c r="Q1246" s="6" t="s">
        <v>80</v>
      </c>
      <c r="R1246" s="6" t="s">
        <v>81</v>
      </c>
      <c r="S1246" s="6" t="s">
        <v>46</v>
      </c>
      <c r="T1246" s="6" t="s">
        <v>46</v>
      </c>
      <c r="U1246" s="6" t="s">
        <v>82</v>
      </c>
      <c r="V1246" s="1" t="n">
        <v>2</v>
      </c>
      <c r="W1246" s="4"/>
      <c r="X1246" s="6" t="s">
        <v>83</v>
      </c>
      <c r="Y1246" s="14" t="n">
        <v>5500</v>
      </c>
      <c r="Z1246" s="6" t="s">
        <v>1324</v>
      </c>
      <c r="AA1246" s="6" t="s">
        <v>1325</v>
      </c>
      <c r="AB1246" s="15" t="str">
        <f aca="true" t="array" ref="AB1246:AB1246">LEFT(AA1246,LOOKUP(2^15,FIND(".",AA1246,ROW(INDIRECT("1:"&amp;LEN(AA1246)))))-1)</f>
        <v>NB_2023_016 - 20230425 - 1</v>
      </c>
      <c r="AC1246" s="6" t="s">
        <v>1326</v>
      </c>
      <c r="AD1246" s="15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3" t="s">
        <v>1390</v>
      </c>
      <c r="B1247" s="34"/>
      <c r="C1247" s="4" t="s">
        <v>1391</v>
      </c>
      <c r="D1247" s="6" t="s">
        <v>14</v>
      </c>
      <c r="E1247" s="6" t="s">
        <v>1319</v>
      </c>
      <c r="F1247" s="7" t="s">
        <v>1320</v>
      </c>
      <c r="G1247" s="6" t="s">
        <v>1319</v>
      </c>
      <c r="H1247" s="16" t="s">
        <v>85</v>
      </c>
      <c r="I1247" s="6" t="str">
        <f aca="false">CONCATENATE(E1247, "_",H1247)</f>
        <v>NLA_2023_018_QC_P_3</v>
      </c>
      <c r="J1247" s="4" t="s">
        <v>52</v>
      </c>
      <c r="K1247" s="18" t="s">
        <v>85</v>
      </c>
      <c r="L1247" s="7" t="s">
        <v>69</v>
      </c>
      <c r="M1247" s="3" t="s">
        <v>46</v>
      </c>
      <c r="N1247" s="6" t="s">
        <v>78</v>
      </c>
      <c r="O1247" s="6" t="s">
        <v>46</v>
      </c>
      <c r="P1247" s="6" t="s">
        <v>79</v>
      </c>
      <c r="Q1247" s="6" t="s">
        <v>80</v>
      </c>
      <c r="R1247" s="6" t="s">
        <v>81</v>
      </c>
      <c r="S1247" s="6" t="s">
        <v>46</v>
      </c>
      <c r="T1247" s="6" t="s">
        <v>46</v>
      </c>
      <c r="U1247" s="6" t="s">
        <v>82</v>
      </c>
      <c r="V1247" s="1" t="n">
        <v>3</v>
      </c>
      <c r="W1247" s="4"/>
      <c r="X1247" s="6" t="s">
        <v>83</v>
      </c>
      <c r="Y1247" s="14" t="n">
        <v>5500</v>
      </c>
      <c r="Z1247" s="6" t="s">
        <v>1324</v>
      </c>
      <c r="AA1247" s="6" t="s">
        <v>1325</v>
      </c>
      <c r="AB1247" s="15" t="str">
        <f aca="true" t="array" ref="AB1247:AB1247">LEFT(AA1247,LOOKUP(2^15,FIND(".",AA1247,ROW(INDIRECT("1:"&amp;LEN(AA1247)))))-1)</f>
        <v>NB_2023_016 - 20230425 - 1</v>
      </c>
      <c r="AC1247" s="6" t="s">
        <v>1326</v>
      </c>
      <c r="AD1247" s="15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3" t="s">
        <v>1390</v>
      </c>
      <c r="B1248" s="34"/>
      <c r="C1248" s="4" t="s">
        <v>1391</v>
      </c>
      <c r="D1248" s="6" t="s">
        <v>14</v>
      </c>
      <c r="E1248" s="6" t="s">
        <v>1319</v>
      </c>
      <c r="F1248" s="7" t="s">
        <v>1320</v>
      </c>
      <c r="G1248" s="6" t="s">
        <v>1319</v>
      </c>
      <c r="H1248" s="16" t="s">
        <v>224</v>
      </c>
      <c r="I1248" s="6" t="str">
        <f aca="false">CONCATENATE(E1248, "_",H1248)</f>
        <v>NLA_2023_018_QC_P_4</v>
      </c>
      <c r="J1248" s="4" t="s">
        <v>52</v>
      </c>
      <c r="K1248" s="18" t="s">
        <v>224</v>
      </c>
      <c r="L1248" s="7" t="s">
        <v>69</v>
      </c>
      <c r="M1248" s="3" t="s">
        <v>46</v>
      </c>
      <c r="N1248" s="6" t="s">
        <v>78</v>
      </c>
      <c r="O1248" s="6" t="s">
        <v>46</v>
      </c>
      <c r="P1248" s="6" t="s">
        <v>79</v>
      </c>
      <c r="Q1248" s="6" t="s">
        <v>80</v>
      </c>
      <c r="R1248" s="6" t="s">
        <v>81</v>
      </c>
      <c r="S1248" s="6" t="s">
        <v>46</v>
      </c>
      <c r="T1248" s="6" t="s">
        <v>46</v>
      </c>
      <c r="U1248" s="6" t="s">
        <v>82</v>
      </c>
      <c r="V1248" s="1" t="n">
        <v>4</v>
      </c>
      <c r="W1248" s="4"/>
      <c r="X1248" s="6" t="s">
        <v>83</v>
      </c>
      <c r="Y1248" s="14" t="n">
        <v>5500</v>
      </c>
      <c r="Z1248" s="6" t="s">
        <v>1324</v>
      </c>
      <c r="AA1248" s="6" t="s">
        <v>1325</v>
      </c>
      <c r="AB1248" s="15" t="str">
        <f aca="true" t="array" ref="AB1248:AB1248">LEFT(AA1248,LOOKUP(2^15,FIND(".",AA1248,ROW(INDIRECT("1:"&amp;LEN(AA1248)))))-1)</f>
        <v>NB_2023_016 - 20230425 - 1</v>
      </c>
      <c r="AC1248" s="6" t="s">
        <v>1326</v>
      </c>
      <c r="AD1248" s="15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3" t="s">
        <v>1392</v>
      </c>
      <c r="B1249" s="34"/>
      <c r="C1249" s="4" t="s">
        <v>1393</v>
      </c>
      <c r="D1249" s="6" t="s">
        <v>14</v>
      </c>
      <c r="E1249" s="6" t="s">
        <v>1319</v>
      </c>
      <c r="F1249" s="7" t="s">
        <v>1320</v>
      </c>
      <c r="G1249" s="6" t="s">
        <v>1321</v>
      </c>
      <c r="H1249" s="7" t="s">
        <v>58</v>
      </c>
      <c r="I1249" s="6" t="str">
        <f aca="false">CONCATENATE(E1249, "_",H1249)</f>
        <v>NLA_2023_018_014</v>
      </c>
      <c r="J1249" s="6" t="s">
        <v>52</v>
      </c>
      <c r="K1249" s="6" t="s">
        <v>1384</v>
      </c>
      <c r="L1249" s="9" t="s">
        <v>69</v>
      </c>
      <c r="M1249" s="17" t="s">
        <v>1323</v>
      </c>
      <c r="N1249" s="6" t="s">
        <v>246</v>
      </c>
      <c r="O1249" s="35" t="s">
        <v>1220</v>
      </c>
      <c r="P1249" s="1" t="s">
        <v>43</v>
      </c>
      <c r="Q1249" s="6" t="s">
        <v>1358</v>
      </c>
      <c r="R1249" s="6" t="s">
        <v>44</v>
      </c>
      <c r="S1249" s="14"/>
      <c r="U1249" s="1" t="n">
        <v>1500</v>
      </c>
      <c r="V1249" s="14" t="n">
        <v>2</v>
      </c>
      <c r="W1249" s="4"/>
      <c r="X1249" s="9" t="s">
        <v>1215</v>
      </c>
      <c r="Y1249" s="14" t="n">
        <v>5500</v>
      </c>
      <c r="Z1249" s="6" t="s">
        <v>1324</v>
      </c>
      <c r="AA1249" s="6" t="s">
        <v>1325</v>
      </c>
      <c r="AB1249" s="15" t="str">
        <f aca="true" t="array" ref="AB1249:AB1249">LEFT(AA1249,LOOKUP(2^15,FIND(".",AA1249,ROW(INDIRECT("1:"&amp;LEN(AA1249)))))-1)</f>
        <v>NB_2023_016 - 20230425 - 1</v>
      </c>
      <c r="AC1249" s="6" t="s">
        <v>1326</v>
      </c>
      <c r="AD1249" s="15" t="str">
        <f aca="true" t="array" ref="AD1249:AD1249">LEFT(AC1249,LOOKUP(2^15,FIND(".",AC1249,ROW(INDIRECT("1:"&amp;LEN(AC1249)))))-1)</f>
        <v>NB_2023_016 - 20230425 - 2</v>
      </c>
      <c r="AE1249" s="6" t="str">
        <f aca="false">CONCATENATE(AB1249, "-",H1249, ".mzML")</f>
        <v>NB_2023_016 - 20230425 - 1-014.mzML</v>
      </c>
      <c r="AF1249" s="6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3" t="s">
        <v>1392</v>
      </c>
      <c r="B1250" s="34"/>
      <c r="C1250" s="4" t="s">
        <v>1393</v>
      </c>
      <c r="D1250" s="6" t="s">
        <v>14</v>
      </c>
      <c r="E1250" s="6" t="s">
        <v>1319</v>
      </c>
      <c r="F1250" s="7" t="s">
        <v>1320</v>
      </c>
      <c r="G1250" s="6" t="s">
        <v>1321</v>
      </c>
      <c r="H1250" s="7" t="s">
        <v>60</v>
      </c>
      <c r="I1250" s="6" t="str">
        <f aca="false">CONCATENATE(E1250, "_",H1250)</f>
        <v>NLA_2023_018_016</v>
      </c>
      <c r="J1250" s="6" t="s">
        <v>38</v>
      </c>
      <c r="K1250" s="6" t="s">
        <v>1327</v>
      </c>
      <c r="L1250" s="9" t="s">
        <v>69</v>
      </c>
      <c r="M1250" s="17" t="s">
        <v>1323</v>
      </c>
      <c r="N1250" s="6" t="s">
        <v>246</v>
      </c>
      <c r="O1250" s="35" t="s">
        <v>1212</v>
      </c>
      <c r="P1250" s="1" t="s">
        <v>43</v>
      </c>
      <c r="Q1250" s="1" t="s">
        <v>43</v>
      </c>
      <c r="R1250" s="6" t="s">
        <v>44</v>
      </c>
      <c r="U1250" s="1" t="n">
        <v>1500</v>
      </c>
      <c r="V1250" s="1" t="n">
        <v>2</v>
      </c>
      <c r="W1250" s="4"/>
      <c r="X1250" s="9" t="s">
        <v>1215</v>
      </c>
      <c r="Y1250" s="14" t="n">
        <v>5500</v>
      </c>
      <c r="Z1250" s="6" t="s">
        <v>1324</v>
      </c>
      <c r="AA1250" s="6" t="s">
        <v>1325</v>
      </c>
      <c r="AB1250" s="15" t="str">
        <f aca="true" t="array" ref="AB1250:AB1250">LEFT(AA1250,LOOKUP(2^15,FIND(".",AA1250,ROW(INDIRECT("1:"&amp;LEN(AA1250)))))-1)</f>
        <v>NB_2023_016 - 20230425 - 1</v>
      </c>
      <c r="AC1250" s="6" t="s">
        <v>1326</v>
      </c>
      <c r="AD1250" s="15" t="str">
        <f aca="true" t="array" ref="AD1250:AD1250">LEFT(AC1250,LOOKUP(2^15,FIND(".",AC1250,ROW(INDIRECT("1:"&amp;LEN(AC1250)))))-1)</f>
        <v>NB_2023_016 - 20230425 - 2</v>
      </c>
      <c r="AE1250" s="6" t="str">
        <f aca="false">CONCATENATE(AB1250, "-",H1250, ".mzML")</f>
        <v>NB_2023_016 - 20230425 - 1-016.mzML</v>
      </c>
      <c r="AF1250" s="6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3" t="s">
        <v>1392</v>
      </c>
      <c r="B1251" s="34"/>
      <c r="C1251" s="4" t="s">
        <v>1393</v>
      </c>
      <c r="D1251" s="6" t="s">
        <v>14</v>
      </c>
      <c r="E1251" s="6" t="s">
        <v>1319</v>
      </c>
      <c r="F1251" s="7" t="s">
        <v>1320</v>
      </c>
      <c r="G1251" s="6" t="s">
        <v>1321</v>
      </c>
      <c r="H1251" s="7" t="s">
        <v>316</v>
      </c>
      <c r="I1251" s="6" t="str">
        <f aca="false">CONCATENATE(E1251, "_",H1251)</f>
        <v>NLA_2023_018_026</v>
      </c>
      <c r="J1251" s="6" t="s">
        <v>52</v>
      </c>
      <c r="K1251" s="6" t="s">
        <v>1386</v>
      </c>
      <c r="L1251" s="9" t="s">
        <v>69</v>
      </c>
      <c r="M1251" s="17" t="s">
        <v>1323</v>
      </c>
      <c r="N1251" s="6" t="s">
        <v>246</v>
      </c>
      <c r="O1251" s="35" t="s">
        <v>1220</v>
      </c>
      <c r="P1251" s="1" t="s">
        <v>43</v>
      </c>
      <c r="Q1251" s="6" t="s">
        <v>1358</v>
      </c>
      <c r="R1251" s="6" t="s">
        <v>44</v>
      </c>
      <c r="S1251" s="14"/>
      <c r="U1251" s="1" t="n">
        <v>1500</v>
      </c>
      <c r="V1251" s="14" t="n">
        <v>1</v>
      </c>
      <c r="W1251" s="4"/>
      <c r="X1251" s="9" t="s">
        <v>1215</v>
      </c>
      <c r="Y1251" s="14" t="n">
        <v>5500</v>
      </c>
      <c r="Z1251" s="6" t="s">
        <v>1324</v>
      </c>
      <c r="AA1251" s="6" t="s">
        <v>1325</v>
      </c>
      <c r="AB1251" s="15" t="str">
        <f aca="true" t="array" ref="AB1251:AB1251">LEFT(AA1251,LOOKUP(2^15,FIND(".",AA1251,ROW(INDIRECT("1:"&amp;LEN(AA1251)))))-1)</f>
        <v>NB_2023_016 - 20230425 - 1</v>
      </c>
      <c r="AC1251" s="6" t="s">
        <v>1326</v>
      </c>
      <c r="AD1251" s="15" t="str">
        <f aca="true" t="array" ref="AD1251:AD1251">LEFT(AC1251,LOOKUP(2^15,FIND(".",AC1251,ROW(INDIRECT("1:"&amp;LEN(AC1251)))))-1)</f>
        <v>NB_2023_016 - 20230425 - 2</v>
      </c>
      <c r="AE1251" s="6" t="str">
        <f aca="false">CONCATENATE(AB1251, "-",H1251, ".mzML")</f>
        <v>NB_2023_016 - 20230425 - 1-026.mzML</v>
      </c>
      <c r="AF1251" s="6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3" t="s">
        <v>1392</v>
      </c>
      <c r="B1252" s="34"/>
      <c r="C1252" s="4" t="s">
        <v>1393</v>
      </c>
      <c r="D1252" s="6" t="s">
        <v>14</v>
      </c>
      <c r="E1252" s="6" t="s">
        <v>1319</v>
      </c>
      <c r="F1252" s="7" t="s">
        <v>1320</v>
      </c>
      <c r="G1252" s="6" t="s">
        <v>1321</v>
      </c>
      <c r="H1252" s="7" t="s">
        <v>1329</v>
      </c>
      <c r="I1252" s="6" t="str">
        <f aca="false">CONCATENATE(E1252, "_",H1252)</f>
        <v>NLA_2023_018_028</v>
      </c>
      <c r="J1252" s="6" t="s">
        <v>38</v>
      </c>
      <c r="K1252" s="6" t="s">
        <v>1330</v>
      </c>
      <c r="L1252" s="9" t="s">
        <v>69</v>
      </c>
      <c r="M1252" s="17" t="s">
        <v>1323</v>
      </c>
      <c r="N1252" s="6" t="s">
        <v>246</v>
      </c>
      <c r="O1252" s="35" t="s">
        <v>1212</v>
      </c>
      <c r="P1252" s="1" t="s">
        <v>43</v>
      </c>
      <c r="Q1252" s="1" t="s">
        <v>43</v>
      </c>
      <c r="R1252" s="6" t="s">
        <v>44</v>
      </c>
      <c r="U1252" s="1" t="n">
        <v>1500</v>
      </c>
      <c r="V1252" s="1" t="n">
        <v>4</v>
      </c>
      <c r="W1252" s="4"/>
      <c r="X1252" s="9" t="s">
        <v>1215</v>
      </c>
      <c r="Y1252" s="14" t="n">
        <v>5500</v>
      </c>
      <c r="Z1252" s="6" t="s">
        <v>1324</v>
      </c>
      <c r="AA1252" s="6" t="s">
        <v>1325</v>
      </c>
      <c r="AB1252" s="15" t="str">
        <f aca="true" t="array" ref="AB1252:AB1252">LEFT(AA1252,LOOKUP(2^15,FIND(".",AA1252,ROW(INDIRECT("1:"&amp;LEN(AA1252)))))-1)</f>
        <v>NB_2023_016 - 20230425 - 1</v>
      </c>
      <c r="AC1252" s="6" t="s">
        <v>1326</v>
      </c>
      <c r="AD1252" s="15" t="str">
        <f aca="true" t="array" ref="AD1252:AD1252">LEFT(AC1252,LOOKUP(2^15,FIND(".",AC1252,ROW(INDIRECT("1:"&amp;LEN(AC1252)))))-1)</f>
        <v>NB_2023_016 - 20230425 - 2</v>
      </c>
      <c r="AE1252" s="6" t="str">
        <f aca="false">CONCATENATE(AB1252, "-",H1252, ".mzML")</f>
        <v>NB_2023_016 - 20230425 - 1-028.mzML</v>
      </c>
      <c r="AF1252" s="6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3" t="s">
        <v>1392</v>
      </c>
      <c r="B1253" s="34"/>
      <c r="C1253" s="4" t="s">
        <v>1393</v>
      </c>
      <c r="D1253" s="6" t="s">
        <v>14</v>
      </c>
      <c r="E1253" s="6" t="s">
        <v>1319</v>
      </c>
      <c r="F1253" s="7" t="s">
        <v>1320</v>
      </c>
      <c r="G1253" s="6" t="s">
        <v>1321</v>
      </c>
      <c r="H1253" s="7" t="s">
        <v>1063</v>
      </c>
      <c r="I1253" s="6" t="str">
        <f aca="false">CONCATENATE(E1253, "_",H1253)</f>
        <v>NLA_2023_018_033</v>
      </c>
      <c r="J1253" s="6" t="s">
        <v>38</v>
      </c>
      <c r="K1253" s="6" t="s">
        <v>1332</v>
      </c>
      <c r="L1253" s="9" t="s">
        <v>69</v>
      </c>
      <c r="M1253" s="17" t="s">
        <v>1323</v>
      </c>
      <c r="N1253" s="6" t="s">
        <v>246</v>
      </c>
      <c r="O1253" s="35" t="s">
        <v>1212</v>
      </c>
      <c r="P1253" s="1" t="s">
        <v>43</v>
      </c>
      <c r="Q1253" s="6" t="s">
        <v>43</v>
      </c>
      <c r="R1253" s="6" t="s">
        <v>44</v>
      </c>
      <c r="U1253" s="1" t="n">
        <v>1500</v>
      </c>
      <c r="V1253" s="1" t="n">
        <v>3</v>
      </c>
      <c r="W1253" s="4"/>
      <c r="X1253" s="9" t="s">
        <v>1215</v>
      </c>
      <c r="Y1253" s="14" t="n">
        <v>5500</v>
      </c>
      <c r="Z1253" s="6" t="s">
        <v>1324</v>
      </c>
      <c r="AA1253" s="6" t="s">
        <v>1325</v>
      </c>
      <c r="AB1253" s="15" t="str">
        <f aca="true" t="array" ref="AB1253:AB1253">LEFT(AA1253,LOOKUP(2^15,FIND(".",AA1253,ROW(INDIRECT("1:"&amp;LEN(AA1253)))))-1)</f>
        <v>NB_2023_016 - 20230425 - 1</v>
      </c>
      <c r="AC1253" s="6" t="s">
        <v>1326</v>
      </c>
      <c r="AD1253" s="15" t="str">
        <f aca="true" t="array" ref="AD1253:AD1253">LEFT(AC1253,LOOKUP(2^15,FIND(".",AC1253,ROW(INDIRECT("1:"&amp;LEN(AC1253)))))-1)</f>
        <v>NB_2023_016 - 20230425 - 2</v>
      </c>
      <c r="AE1253" s="6" t="str">
        <f aca="false">CONCATENATE(AB1253, "-",H1253, ".mzML")</f>
        <v>NB_2023_016 - 20230425 - 1-033.mzML</v>
      </c>
      <c r="AF1253" s="6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3" t="s">
        <v>1392</v>
      </c>
      <c r="B1254" s="34"/>
      <c r="C1254" s="4" t="s">
        <v>1393</v>
      </c>
      <c r="D1254" s="6" t="s">
        <v>14</v>
      </c>
      <c r="E1254" s="6" t="s">
        <v>1319</v>
      </c>
      <c r="F1254" s="7" t="s">
        <v>1320</v>
      </c>
      <c r="G1254" s="6" t="s">
        <v>1321</v>
      </c>
      <c r="H1254" s="7" t="s">
        <v>1244</v>
      </c>
      <c r="I1254" s="6" t="str">
        <f aca="false">CONCATENATE(E1254, "_",H1254)</f>
        <v>NLA_2023_018_035</v>
      </c>
      <c r="J1254" s="6" t="s">
        <v>52</v>
      </c>
      <c r="K1254" s="6" t="s">
        <v>1389</v>
      </c>
      <c r="L1254" s="9" t="s">
        <v>69</v>
      </c>
      <c r="M1254" s="17" t="s">
        <v>1323</v>
      </c>
      <c r="N1254" s="6" t="s">
        <v>246</v>
      </c>
      <c r="O1254" s="35" t="s">
        <v>1220</v>
      </c>
      <c r="P1254" s="1" t="s">
        <v>43</v>
      </c>
      <c r="Q1254" s="6" t="s">
        <v>1358</v>
      </c>
      <c r="R1254" s="6" t="s">
        <v>44</v>
      </c>
      <c r="S1254" s="14"/>
      <c r="U1254" s="1" t="n">
        <v>1500</v>
      </c>
      <c r="V1254" s="14" t="n">
        <v>3</v>
      </c>
      <c r="W1254" s="4"/>
      <c r="X1254" s="9" t="s">
        <v>1215</v>
      </c>
      <c r="Y1254" s="14" t="n">
        <v>5500</v>
      </c>
      <c r="Z1254" s="6" t="s">
        <v>1324</v>
      </c>
      <c r="AA1254" s="6" t="s">
        <v>1325</v>
      </c>
      <c r="AB1254" s="15" t="str">
        <f aca="true" t="array" ref="AB1254:AB1254">LEFT(AA1254,LOOKUP(2^15,FIND(".",AA1254,ROW(INDIRECT("1:"&amp;LEN(AA1254)))))-1)</f>
        <v>NB_2023_016 - 20230425 - 1</v>
      </c>
      <c r="AC1254" s="6" t="s">
        <v>1326</v>
      </c>
      <c r="AD1254" s="15" t="str">
        <f aca="true" t="array" ref="AD1254:AD1254">LEFT(AC1254,LOOKUP(2^15,FIND(".",AC1254,ROW(INDIRECT("1:"&amp;LEN(AC1254)))))-1)</f>
        <v>NB_2023_016 - 20230425 - 2</v>
      </c>
      <c r="AE1254" s="6" t="str">
        <f aca="false">CONCATENATE(AB1254, "-",H1254, ".mzML")</f>
        <v>NB_2023_016 - 20230425 - 1-035.mzML</v>
      </c>
      <c r="AF1254" s="6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3" t="s">
        <v>1392</v>
      </c>
      <c r="B1255" s="34"/>
      <c r="C1255" s="4" t="s">
        <v>1393</v>
      </c>
      <c r="D1255" s="6" t="s">
        <v>14</v>
      </c>
      <c r="E1255" s="6" t="s">
        <v>1319</v>
      </c>
      <c r="F1255" s="7" t="s">
        <v>1320</v>
      </c>
      <c r="G1255" s="6" t="s">
        <v>1321</v>
      </c>
      <c r="H1255" s="7" t="s">
        <v>925</v>
      </c>
      <c r="I1255" s="6" t="str">
        <f aca="false">CONCATENATE(E1255, "_",H1255)</f>
        <v>NLA_2023_018_036</v>
      </c>
      <c r="J1255" s="6" t="s">
        <v>38</v>
      </c>
      <c r="K1255" s="6" t="s">
        <v>1333</v>
      </c>
      <c r="L1255" s="9" t="s">
        <v>69</v>
      </c>
      <c r="M1255" s="17" t="s">
        <v>1323</v>
      </c>
      <c r="N1255" s="6" t="s">
        <v>246</v>
      </c>
      <c r="O1255" s="35" t="s">
        <v>1212</v>
      </c>
      <c r="P1255" s="1" t="s">
        <v>43</v>
      </c>
      <c r="Q1255" s="6" t="s">
        <v>43</v>
      </c>
      <c r="R1255" s="6" t="s">
        <v>44</v>
      </c>
      <c r="U1255" s="1" t="n">
        <v>1500</v>
      </c>
      <c r="V1255" s="1" t="n">
        <v>1</v>
      </c>
      <c r="W1255" s="4"/>
      <c r="X1255" s="9" t="s">
        <v>1215</v>
      </c>
      <c r="Y1255" s="14" t="n">
        <v>5500</v>
      </c>
      <c r="Z1255" s="6" t="s">
        <v>1324</v>
      </c>
      <c r="AA1255" s="6" t="s">
        <v>1325</v>
      </c>
      <c r="AB1255" s="15" t="str">
        <f aca="true" t="array" ref="AB1255:AB1255">LEFT(AA1255,LOOKUP(2^15,FIND(".",AA1255,ROW(INDIRECT("1:"&amp;LEN(AA1255)))))-1)</f>
        <v>NB_2023_016 - 20230425 - 1</v>
      </c>
      <c r="AC1255" s="6" t="s">
        <v>1326</v>
      </c>
      <c r="AD1255" s="15" t="str">
        <f aca="true" t="array" ref="AD1255:AD1255">LEFT(AC1255,LOOKUP(2^15,FIND(".",AC1255,ROW(INDIRECT("1:"&amp;LEN(AC1255)))))-1)</f>
        <v>NB_2023_016 - 20230425 - 2</v>
      </c>
      <c r="AE1255" s="6" t="str">
        <f aca="false">CONCATENATE(AB1255, "-",H1255, ".mzML")</f>
        <v>NB_2023_016 - 20230425 - 1-036.mzML</v>
      </c>
      <c r="AF1255" s="6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3" t="s">
        <v>1392</v>
      </c>
      <c r="B1256" s="34"/>
      <c r="C1256" s="4" t="s">
        <v>1393</v>
      </c>
      <c r="D1256" s="6" t="s">
        <v>14</v>
      </c>
      <c r="E1256" s="6" t="s">
        <v>1319</v>
      </c>
      <c r="F1256" s="7" t="s">
        <v>1320</v>
      </c>
      <c r="G1256" s="6" t="s">
        <v>1319</v>
      </c>
      <c r="H1256" s="16" t="s">
        <v>64</v>
      </c>
      <c r="I1256" s="6" t="str">
        <f aca="false">CONCATENATE(E1256, "_",H1256)</f>
        <v>NLA_2023_018_Blank_1</v>
      </c>
      <c r="J1256" s="6" t="s">
        <v>52</v>
      </c>
      <c r="K1256" s="18" t="s">
        <v>64</v>
      </c>
      <c r="L1256" s="7" t="s">
        <v>46</v>
      </c>
      <c r="M1256" s="17" t="s">
        <v>46</v>
      </c>
      <c r="N1256" s="6" t="s">
        <v>65</v>
      </c>
      <c r="O1256" s="6" t="s">
        <v>46</v>
      </c>
      <c r="P1256" s="6" t="s">
        <v>46</v>
      </c>
      <c r="Q1256" s="6" t="s">
        <v>46</v>
      </c>
      <c r="R1256" s="6" t="s">
        <v>46</v>
      </c>
      <c r="S1256" s="6" t="s">
        <v>46</v>
      </c>
      <c r="T1256" s="6" t="s">
        <v>46</v>
      </c>
      <c r="U1256" s="6" t="s">
        <v>46</v>
      </c>
      <c r="V1256" s="1" t="n">
        <v>1</v>
      </c>
      <c r="W1256" s="4"/>
      <c r="X1256" s="6" t="s">
        <v>46</v>
      </c>
      <c r="Y1256" s="14" t="n">
        <v>5500</v>
      </c>
      <c r="Z1256" s="6" t="s">
        <v>1324</v>
      </c>
      <c r="AA1256" s="6" t="s">
        <v>1325</v>
      </c>
      <c r="AB1256" s="15" t="str">
        <f aca="true" t="array" ref="AB1256:AB1256">LEFT(AA1256,LOOKUP(2^15,FIND(".",AA1256,ROW(INDIRECT("1:"&amp;LEN(AA1256)))))-1)</f>
        <v>NB_2023_016 - 20230425 - 1</v>
      </c>
      <c r="AC1256" s="6" t="s">
        <v>1326</v>
      </c>
      <c r="AD1256" s="15" t="str">
        <f aca="true" t="array" ref="AD1256:AD1256">LEFT(AC1256,LOOKUP(2^15,FIND(".",AC1256,ROW(INDIRECT("1:"&amp;LEN(AC1256)))))-1)</f>
        <v>NB_2023_016 - 20230425 - 2</v>
      </c>
      <c r="AE1256" s="6" t="str">
        <f aca="false">CONCATENATE(AB1256, "-",H1256, ".mzML")</f>
        <v>NB_2023_016 - 20230425 - 1-Blank_1.mzML</v>
      </c>
      <c r="AF1256" s="6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3" t="s">
        <v>1392</v>
      </c>
      <c r="B1257" s="34"/>
      <c r="C1257" s="4" t="s">
        <v>1393</v>
      </c>
      <c r="D1257" s="6" t="s">
        <v>14</v>
      </c>
      <c r="E1257" s="6" t="s">
        <v>1319</v>
      </c>
      <c r="F1257" s="7" t="s">
        <v>1320</v>
      </c>
      <c r="G1257" s="6" t="s">
        <v>1319</v>
      </c>
      <c r="H1257" s="16" t="s">
        <v>67</v>
      </c>
      <c r="I1257" s="6" t="str">
        <f aca="false">CONCATENATE(E1257, "_",H1257)</f>
        <v>NLA_2023_018_Blank_3</v>
      </c>
      <c r="J1257" s="6" t="s">
        <v>52</v>
      </c>
      <c r="K1257" s="18" t="s">
        <v>67</v>
      </c>
      <c r="L1257" s="7" t="s">
        <v>46</v>
      </c>
      <c r="M1257" s="17" t="s">
        <v>46</v>
      </c>
      <c r="N1257" s="6" t="s">
        <v>65</v>
      </c>
      <c r="O1257" s="6" t="s">
        <v>46</v>
      </c>
      <c r="P1257" s="6" t="s">
        <v>46</v>
      </c>
      <c r="Q1257" s="6" t="s">
        <v>46</v>
      </c>
      <c r="R1257" s="6" t="s">
        <v>46</v>
      </c>
      <c r="S1257" s="6" t="s">
        <v>46</v>
      </c>
      <c r="T1257" s="6" t="s">
        <v>46</v>
      </c>
      <c r="U1257" s="6" t="s">
        <v>46</v>
      </c>
      <c r="V1257" s="1" t="n">
        <v>3</v>
      </c>
      <c r="W1257" s="4"/>
      <c r="X1257" s="6" t="s">
        <v>46</v>
      </c>
      <c r="Y1257" s="14" t="n">
        <v>5500</v>
      </c>
      <c r="Z1257" s="6" t="s">
        <v>1324</v>
      </c>
      <c r="AA1257" s="6" t="s">
        <v>1325</v>
      </c>
      <c r="AB1257" s="15" t="str">
        <f aca="true" t="array" ref="AB1257:AB1257">LEFT(AA1257,LOOKUP(2^15,FIND(".",AA1257,ROW(INDIRECT("1:"&amp;LEN(AA1257)))))-1)</f>
        <v>NB_2023_016 - 20230425 - 1</v>
      </c>
      <c r="AC1257" s="6" t="s">
        <v>1326</v>
      </c>
      <c r="AD1257" s="15" t="str">
        <f aca="true" t="array" ref="AD1257:AD1257">LEFT(AC1257,LOOKUP(2^15,FIND(".",AC1257,ROW(INDIRECT("1:"&amp;LEN(AC1257)))))-1)</f>
        <v>NB_2023_016 - 20230425 - 2</v>
      </c>
      <c r="AE1257" s="6" t="str">
        <f aca="false">CONCATENATE(AB1257, "-",H1257, ".mzML")</f>
        <v>NB_2023_016 - 20230425 - 1-Blank_3.mzML</v>
      </c>
      <c r="AF1257" s="6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3" t="s">
        <v>1392</v>
      </c>
      <c r="B1258" s="34"/>
      <c r="C1258" s="4" t="s">
        <v>1393</v>
      </c>
      <c r="D1258" s="6" t="s">
        <v>14</v>
      </c>
      <c r="E1258" s="6" t="s">
        <v>1319</v>
      </c>
      <c r="F1258" s="7" t="s">
        <v>1320</v>
      </c>
      <c r="G1258" s="6" t="s">
        <v>1319</v>
      </c>
      <c r="H1258" s="16" t="s">
        <v>221</v>
      </c>
      <c r="I1258" s="6" t="str">
        <f aca="false">CONCATENATE(E1258, "_",H1258)</f>
        <v>NLA_2023_018_Blank_4</v>
      </c>
      <c r="J1258" s="6" t="s">
        <v>52</v>
      </c>
      <c r="K1258" s="18" t="s">
        <v>221</v>
      </c>
      <c r="L1258" s="7" t="s">
        <v>46</v>
      </c>
      <c r="M1258" s="17" t="s">
        <v>46</v>
      </c>
      <c r="N1258" s="6" t="s">
        <v>65</v>
      </c>
      <c r="O1258" s="6" t="s">
        <v>46</v>
      </c>
      <c r="P1258" s="6" t="s">
        <v>46</v>
      </c>
      <c r="Q1258" s="6" t="s">
        <v>46</v>
      </c>
      <c r="R1258" s="6" t="s">
        <v>46</v>
      </c>
      <c r="S1258" s="6" t="s">
        <v>46</v>
      </c>
      <c r="T1258" s="6" t="s">
        <v>46</v>
      </c>
      <c r="U1258" s="6" t="s">
        <v>46</v>
      </c>
      <c r="V1258" s="1" t="n">
        <v>4</v>
      </c>
      <c r="W1258" s="4"/>
      <c r="X1258" s="6" t="s">
        <v>46</v>
      </c>
      <c r="Y1258" s="14" t="n">
        <v>5500</v>
      </c>
      <c r="Z1258" s="6" t="s">
        <v>1324</v>
      </c>
      <c r="AA1258" s="6" t="s">
        <v>1325</v>
      </c>
      <c r="AB1258" s="15" t="str">
        <f aca="true" t="array" ref="AB1258:AB1258">LEFT(AA1258,LOOKUP(2^15,FIND(".",AA1258,ROW(INDIRECT("1:"&amp;LEN(AA1258)))))-1)</f>
        <v>NB_2023_016 - 20230425 - 1</v>
      </c>
      <c r="AC1258" s="6" t="s">
        <v>1326</v>
      </c>
      <c r="AD1258" s="15" t="str">
        <f aca="true" t="array" ref="AD1258:AD1258">LEFT(AC1258,LOOKUP(2^15,FIND(".",AC1258,ROW(INDIRECT("1:"&amp;LEN(AC1258)))))-1)</f>
        <v>NB_2023_016 - 20230425 - 2</v>
      </c>
      <c r="AE1258" s="6" t="str">
        <f aca="false">CONCATENATE(AB1258, "-",H1258, ".mzML")</f>
        <v>NB_2023_016 - 20230425 - 1-Blank_4.mzML</v>
      </c>
      <c r="AF1258" s="6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3" t="s">
        <v>1392</v>
      </c>
      <c r="B1259" s="34"/>
      <c r="C1259" s="4" t="s">
        <v>1393</v>
      </c>
      <c r="D1259" s="6" t="s">
        <v>14</v>
      </c>
      <c r="E1259" s="6" t="s">
        <v>1319</v>
      </c>
      <c r="F1259" s="7" t="s">
        <v>1320</v>
      </c>
      <c r="G1259" s="6" t="s">
        <v>1319</v>
      </c>
      <c r="H1259" s="16" t="s">
        <v>68</v>
      </c>
      <c r="I1259" s="6" t="str">
        <f aca="false">CONCATENATE(E1259, "_",H1259)</f>
        <v>NLA_2023_018_QC_C_1</v>
      </c>
      <c r="J1259" s="6" t="s">
        <v>52</v>
      </c>
      <c r="K1259" s="18" t="s">
        <v>68</v>
      </c>
      <c r="L1259" s="9" t="s">
        <v>69</v>
      </c>
      <c r="M1259" s="3" t="s">
        <v>46</v>
      </c>
      <c r="N1259" s="6" t="s">
        <v>70</v>
      </c>
      <c r="O1259" s="6" t="s">
        <v>46</v>
      </c>
      <c r="P1259" s="6" t="s">
        <v>71</v>
      </c>
      <c r="Q1259" s="6" t="s">
        <v>71</v>
      </c>
      <c r="R1259" s="6" t="s">
        <v>72</v>
      </c>
      <c r="S1259" s="6" t="s">
        <v>73</v>
      </c>
      <c r="T1259" s="6" t="s">
        <v>46</v>
      </c>
      <c r="U1259" s="6" t="n">
        <v>1000</v>
      </c>
      <c r="V1259" s="1" t="n">
        <v>1</v>
      </c>
      <c r="W1259" s="4"/>
      <c r="X1259" s="6" t="s">
        <v>74</v>
      </c>
      <c r="Y1259" s="14" t="n">
        <v>5500</v>
      </c>
      <c r="Z1259" s="6" t="s">
        <v>1324</v>
      </c>
      <c r="AA1259" s="6" t="s">
        <v>1325</v>
      </c>
      <c r="AB1259" s="15" t="str">
        <f aca="true" t="array" ref="AB1259:AB1259">LEFT(AA1259,LOOKUP(2^15,FIND(".",AA1259,ROW(INDIRECT("1:"&amp;LEN(AA1259)))))-1)</f>
        <v>NB_2023_016 - 20230425 - 1</v>
      </c>
      <c r="AC1259" s="6" t="s">
        <v>1326</v>
      </c>
      <c r="AD1259" s="15" t="str">
        <f aca="true" t="array" ref="AD1259:AD1259">LEFT(AC1259,LOOKUP(2^15,FIND(".",AC1259,ROW(INDIRECT("1:"&amp;LEN(AC1259)))))-1)</f>
        <v>NB_2023_016 - 20230425 - 2</v>
      </c>
      <c r="AE1259" s="6" t="str">
        <f aca="false">CONCATENATE(AB1259, "-",H1259, ".mzML")</f>
        <v>NB_2023_016 - 20230425 - 1-QC_C_1.mzML</v>
      </c>
      <c r="AF1259" s="6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3" t="s">
        <v>1392</v>
      </c>
      <c r="B1260" s="34"/>
      <c r="C1260" s="4" t="s">
        <v>1393</v>
      </c>
      <c r="D1260" s="6" t="s">
        <v>14</v>
      </c>
      <c r="E1260" s="6" t="s">
        <v>1319</v>
      </c>
      <c r="F1260" s="7" t="s">
        <v>1320</v>
      </c>
      <c r="G1260" s="6" t="s">
        <v>1319</v>
      </c>
      <c r="H1260" s="16" t="s">
        <v>75</v>
      </c>
      <c r="I1260" s="6" t="str">
        <f aca="false">CONCATENATE(E1260, "_",H1260)</f>
        <v>NLA_2023_018_QC_C_2</v>
      </c>
      <c r="J1260" s="6" t="s">
        <v>52</v>
      </c>
      <c r="K1260" s="18" t="s">
        <v>75</v>
      </c>
      <c r="L1260" s="9" t="s">
        <v>69</v>
      </c>
      <c r="M1260" s="3" t="s">
        <v>46</v>
      </c>
      <c r="N1260" s="6" t="s">
        <v>70</v>
      </c>
      <c r="O1260" s="6" t="s">
        <v>46</v>
      </c>
      <c r="P1260" s="6" t="s">
        <v>71</v>
      </c>
      <c r="Q1260" s="6" t="s">
        <v>71</v>
      </c>
      <c r="R1260" s="6" t="s">
        <v>72</v>
      </c>
      <c r="S1260" s="6" t="s">
        <v>73</v>
      </c>
      <c r="T1260" s="6" t="s">
        <v>46</v>
      </c>
      <c r="U1260" s="6" t="n">
        <v>1000</v>
      </c>
      <c r="V1260" s="1" t="n">
        <v>2</v>
      </c>
      <c r="W1260" s="4"/>
      <c r="X1260" s="6" t="s">
        <v>74</v>
      </c>
      <c r="Y1260" s="14" t="n">
        <v>5500</v>
      </c>
      <c r="Z1260" s="6" t="s">
        <v>1324</v>
      </c>
      <c r="AA1260" s="6" t="s">
        <v>1325</v>
      </c>
      <c r="AB1260" s="15" t="str">
        <f aca="true" t="array" ref="AB1260:AB1260">LEFT(AA1260,LOOKUP(2^15,FIND(".",AA1260,ROW(INDIRECT("1:"&amp;LEN(AA1260)))))-1)</f>
        <v>NB_2023_016 - 20230425 - 1</v>
      </c>
      <c r="AC1260" s="6" t="s">
        <v>1326</v>
      </c>
      <c r="AD1260" s="15" t="str">
        <f aca="true" t="array" ref="AD1260:AD1260">LEFT(AC1260,LOOKUP(2^15,FIND(".",AC1260,ROW(INDIRECT("1:"&amp;LEN(AC1260)))))-1)</f>
        <v>NB_2023_016 - 20230425 - 2</v>
      </c>
      <c r="AE1260" s="6" t="str">
        <f aca="false">CONCATENATE(AB1260, "-",H1260, ".mzML")</f>
        <v>NB_2023_016 - 20230425 - 1-QC_C_2.mzML</v>
      </c>
      <c r="AF1260" s="6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3" t="s">
        <v>1392</v>
      </c>
      <c r="B1261" s="34"/>
      <c r="C1261" s="4" t="s">
        <v>1393</v>
      </c>
      <c r="D1261" s="6" t="s">
        <v>14</v>
      </c>
      <c r="E1261" s="6" t="s">
        <v>1319</v>
      </c>
      <c r="F1261" s="7" t="s">
        <v>1320</v>
      </c>
      <c r="G1261" s="6" t="s">
        <v>1319</v>
      </c>
      <c r="H1261" s="16" t="s">
        <v>76</v>
      </c>
      <c r="I1261" s="6" t="str">
        <f aca="false">CONCATENATE(E1261, "_",H1261)</f>
        <v>NLA_2023_018_QC_C_3</v>
      </c>
      <c r="J1261" s="6" t="s">
        <v>52</v>
      </c>
      <c r="K1261" s="18" t="s">
        <v>76</v>
      </c>
      <c r="L1261" s="9" t="s">
        <v>69</v>
      </c>
      <c r="M1261" s="3" t="s">
        <v>46</v>
      </c>
      <c r="N1261" s="6" t="s">
        <v>70</v>
      </c>
      <c r="O1261" s="6" t="s">
        <v>46</v>
      </c>
      <c r="P1261" s="6" t="s">
        <v>71</v>
      </c>
      <c r="Q1261" s="6" t="s">
        <v>71</v>
      </c>
      <c r="R1261" s="6" t="s">
        <v>72</v>
      </c>
      <c r="S1261" s="6" t="s">
        <v>73</v>
      </c>
      <c r="T1261" s="6" t="s">
        <v>46</v>
      </c>
      <c r="U1261" s="6" t="n">
        <v>1000</v>
      </c>
      <c r="V1261" s="1" t="n">
        <v>3</v>
      </c>
      <c r="W1261" s="4"/>
      <c r="X1261" s="6" t="s">
        <v>74</v>
      </c>
      <c r="Y1261" s="14" t="n">
        <v>5500</v>
      </c>
      <c r="Z1261" s="6" t="s">
        <v>1324</v>
      </c>
      <c r="AA1261" s="6" t="s">
        <v>1325</v>
      </c>
      <c r="AB1261" s="15" t="str">
        <f aca="true" t="array" ref="AB1261:AB1261">LEFT(AA1261,LOOKUP(2^15,FIND(".",AA1261,ROW(INDIRECT("1:"&amp;LEN(AA1261)))))-1)</f>
        <v>NB_2023_016 - 20230425 - 1</v>
      </c>
      <c r="AC1261" s="6" t="s">
        <v>1326</v>
      </c>
      <c r="AD1261" s="15" t="str">
        <f aca="true" t="array" ref="AD1261:AD1261">LEFT(AC1261,LOOKUP(2^15,FIND(".",AC1261,ROW(INDIRECT("1:"&amp;LEN(AC1261)))))-1)</f>
        <v>NB_2023_016 - 20230425 - 2</v>
      </c>
      <c r="AE1261" s="6" t="str">
        <f aca="false">CONCATENATE(AB1261, "-",H1261, ".mzML")</f>
        <v>NB_2023_016 - 20230425 - 1-QC_C_3.mzML</v>
      </c>
      <c r="AF1261" s="6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3" t="s">
        <v>1392</v>
      </c>
      <c r="B1262" s="34"/>
      <c r="C1262" s="4" t="s">
        <v>1393</v>
      </c>
      <c r="D1262" s="6" t="s">
        <v>14</v>
      </c>
      <c r="E1262" s="6" t="s">
        <v>1319</v>
      </c>
      <c r="F1262" s="7" t="s">
        <v>1320</v>
      </c>
      <c r="G1262" s="6" t="s">
        <v>1319</v>
      </c>
      <c r="H1262" s="16" t="s">
        <v>222</v>
      </c>
      <c r="I1262" s="6" t="str">
        <f aca="false">CONCATENATE(E1262, "_",H1262)</f>
        <v>NLA_2023_018_QC_C_4</v>
      </c>
      <c r="J1262" s="6" t="s">
        <v>52</v>
      </c>
      <c r="K1262" s="18" t="s">
        <v>222</v>
      </c>
      <c r="L1262" s="9" t="s">
        <v>69</v>
      </c>
      <c r="M1262" s="3" t="s">
        <v>46</v>
      </c>
      <c r="N1262" s="6" t="s">
        <v>70</v>
      </c>
      <c r="O1262" s="6" t="s">
        <v>46</v>
      </c>
      <c r="P1262" s="6" t="s">
        <v>71</v>
      </c>
      <c r="Q1262" s="6" t="s">
        <v>71</v>
      </c>
      <c r="R1262" s="6" t="s">
        <v>72</v>
      </c>
      <c r="S1262" s="6" t="s">
        <v>73</v>
      </c>
      <c r="T1262" s="6" t="s">
        <v>46</v>
      </c>
      <c r="U1262" s="6" t="n">
        <v>1000</v>
      </c>
      <c r="V1262" s="1" t="n">
        <v>4</v>
      </c>
      <c r="W1262" s="4"/>
      <c r="X1262" s="6" t="s">
        <v>74</v>
      </c>
      <c r="Y1262" s="14" t="n">
        <v>5500</v>
      </c>
      <c r="Z1262" s="6" t="s">
        <v>1324</v>
      </c>
      <c r="AA1262" s="6" t="s">
        <v>1325</v>
      </c>
      <c r="AB1262" s="15" t="str">
        <f aca="true" t="array" ref="AB1262:AB1262">LEFT(AA1262,LOOKUP(2^15,FIND(".",AA1262,ROW(INDIRECT("1:"&amp;LEN(AA1262)))))-1)</f>
        <v>NB_2023_016 - 20230425 - 1</v>
      </c>
      <c r="AC1262" s="6" t="s">
        <v>1326</v>
      </c>
      <c r="AD1262" s="15" t="str">
        <f aca="true" t="array" ref="AD1262:AD1262">LEFT(AC1262,LOOKUP(2^15,FIND(".",AC1262,ROW(INDIRECT("1:"&amp;LEN(AC1262)))))-1)</f>
        <v>NB_2023_016 - 20230425 - 2</v>
      </c>
      <c r="AE1262" s="6" t="str">
        <f aca="false">CONCATENATE(AB1262, "-",H1262, ".mzML")</f>
        <v>NB_2023_016 - 20230425 - 1-QC_C_4.mzML</v>
      </c>
      <c r="AF1262" s="6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3" t="s">
        <v>1392</v>
      </c>
      <c r="B1263" s="34"/>
      <c r="C1263" s="4" t="s">
        <v>1393</v>
      </c>
      <c r="D1263" s="6" t="s">
        <v>14</v>
      </c>
      <c r="E1263" s="6" t="s">
        <v>1319</v>
      </c>
      <c r="F1263" s="7" t="s">
        <v>1320</v>
      </c>
      <c r="G1263" s="6" t="s">
        <v>1319</v>
      </c>
      <c r="H1263" s="16" t="s">
        <v>77</v>
      </c>
      <c r="I1263" s="6" t="str">
        <f aca="false">CONCATENATE(E1263, "_",H1263)</f>
        <v>NLA_2023_018_QC_P_1</v>
      </c>
      <c r="J1263" s="6" t="s">
        <v>52</v>
      </c>
      <c r="K1263" s="18" t="s">
        <v>77</v>
      </c>
      <c r="L1263" s="7" t="s">
        <v>69</v>
      </c>
      <c r="M1263" s="3" t="s">
        <v>46</v>
      </c>
      <c r="N1263" s="6" t="s">
        <v>78</v>
      </c>
      <c r="O1263" s="6" t="s">
        <v>46</v>
      </c>
      <c r="P1263" s="6" t="s">
        <v>79</v>
      </c>
      <c r="Q1263" s="6" t="s">
        <v>80</v>
      </c>
      <c r="R1263" s="6" t="s">
        <v>81</v>
      </c>
      <c r="S1263" s="6" t="s">
        <v>46</v>
      </c>
      <c r="T1263" s="6" t="s">
        <v>46</v>
      </c>
      <c r="U1263" s="6" t="s">
        <v>82</v>
      </c>
      <c r="V1263" s="1" t="n">
        <v>1</v>
      </c>
      <c r="W1263" s="4"/>
      <c r="X1263" s="6" t="s">
        <v>83</v>
      </c>
      <c r="Y1263" s="14" t="n">
        <v>5500</v>
      </c>
      <c r="Z1263" s="6" t="s">
        <v>1324</v>
      </c>
      <c r="AA1263" s="6" t="s">
        <v>1325</v>
      </c>
      <c r="AB1263" s="15" t="str">
        <f aca="true" t="array" ref="AB1263:AB1263">LEFT(AA1263,LOOKUP(2^15,FIND(".",AA1263,ROW(INDIRECT("1:"&amp;LEN(AA1263)))))-1)</f>
        <v>NB_2023_016 - 20230425 - 1</v>
      </c>
      <c r="AC1263" s="6" t="s">
        <v>1326</v>
      </c>
      <c r="AD1263" s="15" t="str">
        <f aca="true" t="array" ref="AD1263:AD1263">LEFT(AC1263,LOOKUP(2^15,FIND(".",AC1263,ROW(INDIRECT("1:"&amp;LEN(AC1263)))))-1)</f>
        <v>NB_2023_016 - 20230425 - 2</v>
      </c>
      <c r="AE1263" s="6" t="str">
        <f aca="false">CONCATENATE(AB1263, "-",H1263, ".mzML")</f>
        <v>NB_2023_016 - 20230425 - 1-QC_P_1.mzML</v>
      </c>
      <c r="AF1263" s="6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3" t="s">
        <v>1392</v>
      </c>
      <c r="B1264" s="34"/>
      <c r="C1264" s="4" t="s">
        <v>1393</v>
      </c>
      <c r="D1264" s="6" t="s">
        <v>14</v>
      </c>
      <c r="E1264" s="6" t="s">
        <v>1319</v>
      </c>
      <c r="F1264" s="7" t="s">
        <v>1320</v>
      </c>
      <c r="G1264" s="6" t="s">
        <v>1319</v>
      </c>
      <c r="H1264" s="16" t="s">
        <v>84</v>
      </c>
      <c r="I1264" s="6" t="str">
        <f aca="false">CONCATENATE(E1264, "_",H1264)</f>
        <v>NLA_2023_018_QC_P_2</v>
      </c>
      <c r="J1264" s="6" t="s">
        <v>52</v>
      </c>
      <c r="K1264" s="18" t="s">
        <v>84</v>
      </c>
      <c r="L1264" s="7" t="s">
        <v>69</v>
      </c>
      <c r="M1264" s="3" t="s">
        <v>46</v>
      </c>
      <c r="N1264" s="6" t="s">
        <v>78</v>
      </c>
      <c r="O1264" s="6" t="s">
        <v>46</v>
      </c>
      <c r="P1264" s="6" t="s">
        <v>79</v>
      </c>
      <c r="Q1264" s="6" t="s">
        <v>80</v>
      </c>
      <c r="R1264" s="6" t="s">
        <v>81</v>
      </c>
      <c r="S1264" s="6" t="s">
        <v>46</v>
      </c>
      <c r="T1264" s="6" t="s">
        <v>46</v>
      </c>
      <c r="U1264" s="6" t="s">
        <v>82</v>
      </c>
      <c r="V1264" s="1" t="n">
        <v>2</v>
      </c>
      <c r="W1264" s="4"/>
      <c r="X1264" s="6" t="s">
        <v>83</v>
      </c>
      <c r="Y1264" s="14" t="n">
        <v>5500</v>
      </c>
      <c r="Z1264" s="6" t="s">
        <v>1324</v>
      </c>
      <c r="AA1264" s="6" t="s">
        <v>1325</v>
      </c>
      <c r="AB1264" s="15" t="str">
        <f aca="true" t="array" ref="AB1264:AB1264">LEFT(AA1264,LOOKUP(2^15,FIND(".",AA1264,ROW(INDIRECT("1:"&amp;LEN(AA1264)))))-1)</f>
        <v>NB_2023_016 - 20230425 - 1</v>
      </c>
      <c r="AC1264" s="6" t="s">
        <v>1326</v>
      </c>
      <c r="AD1264" s="15" t="str">
        <f aca="true" t="array" ref="AD1264:AD1264">LEFT(AC1264,LOOKUP(2^15,FIND(".",AC1264,ROW(INDIRECT("1:"&amp;LEN(AC1264)))))-1)</f>
        <v>NB_2023_016 - 20230425 - 2</v>
      </c>
      <c r="AE1264" s="6" t="str">
        <f aca="false">CONCATENATE(AB1264, "-",H1264, ".mzML")</f>
        <v>NB_2023_016 - 20230425 - 1-QC_P_2.mzML</v>
      </c>
      <c r="AF1264" s="6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3" t="s">
        <v>1392</v>
      </c>
      <c r="B1265" s="34"/>
      <c r="C1265" s="4" t="s">
        <v>1393</v>
      </c>
      <c r="D1265" s="6" t="s">
        <v>14</v>
      </c>
      <c r="E1265" s="6" t="s">
        <v>1319</v>
      </c>
      <c r="F1265" s="7" t="s">
        <v>1320</v>
      </c>
      <c r="G1265" s="6" t="s">
        <v>1319</v>
      </c>
      <c r="H1265" s="16" t="s">
        <v>85</v>
      </c>
      <c r="I1265" s="6" t="str">
        <f aca="false">CONCATENATE(E1265, "_",H1265)</f>
        <v>NLA_2023_018_QC_P_3</v>
      </c>
      <c r="J1265" s="4" t="s">
        <v>52</v>
      </c>
      <c r="K1265" s="18" t="s">
        <v>85</v>
      </c>
      <c r="L1265" s="7" t="s">
        <v>69</v>
      </c>
      <c r="M1265" s="3" t="s">
        <v>46</v>
      </c>
      <c r="N1265" s="6" t="s">
        <v>78</v>
      </c>
      <c r="O1265" s="6" t="s">
        <v>46</v>
      </c>
      <c r="P1265" s="6" t="s">
        <v>79</v>
      </c>
      <c r="Q1265" s="6" t="s">
        <v>80</v>
      </c>
      <c r="R1265" s="6" t="s">
        <v>81</v>
      </c>
      <c r="S1265" s="6" t="s">
        <v>46</v>
      </c>
      <c r="T1265" s="6" t="s">
        <v>46</v>
      </c>
      <c r="U1265" s="6" t="s">
        <v>82</v>
      </c>
      <c r="V1265" s="1" t="n">
        <v>3</v>
      </c>
      <c r="W1265" s="4"/>
      <c r="X1265" s="6" t="s">
        <v>83</v>
      </c>
      <c r="Y1265" s="14" t="n">
        <v>5500</v>
      </c>
      <c r="Z1265" s="6" t="s">
        <v>1324</v>
      </c>
      <c r="AA1265" s="6" t="s">
        <v>1325</v>
      </c>
      <c r="AB1265" s="15" t="str">
        <f aca="true" t="array" ref="AB1265:AB1265">LEFT(AA1265,LOOKUP(2^15,FIND(".",AA1265,ROW(INDIRECT("1:"&amp;LEN(AA1265)))))-1)</f>
        <v>NB_2023_016 - 20230425 - 1</v>
      </c>
      <c r="AC1265" s="6" t="s">
        <v>1326</v>
      </c>
      <c r="AD1265" s="15" t="str">
        <f aca="true" t="array" ref="AD1265:AD1265">LEFT(AC1265,LOOKUP(2^15,FIND(".",AC1265,ROW(INDIRECT("1:"&amp;LEN(AC1265)))))-1)</f>
        <v>NB_2023_016 - 20230425 - 2</v>
      </c>
      <c r="AE1265" s="6" t="str">
        <f aca="false">CONCATENATE(AB1265, "-",H1265, ".mzML")</f>
        <v>NB_2023_016 - 20230425 - 1-QC_P_3.mzML</v>
      </c>
      <c r="AF1265" s="6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3" t="s">
        <v>1392</v>
      </c>
      <c r="B1266" s="34"/>
      <c r="C1266" s="4" t="s">
        <v>1393</v>
      </c>
      <c r="D1266" s="6" t="s">
        <v>14</v>
      </c>
      <c r="E1266" s="6" t="s">
        <v>1319</v>
      </c>
      <c r="F1266" s="7" t="s">
        <v>1320</v>
      </c>
      <c r="G1266" s="6" t="s">
        <v>1319</v>
      </c>
      <c r="H1266" s="16" t="s">
        <v>224</v>
      </c>
      <c r="I1266" s="6" t="str">
        <f aca="false">CONCATENATE(E1266, "_",H1266)</f>
        <v>NLA_2023_018_QC_P_4</v>
      </c>
      <c r="J1266" s="4" t="s">
        <v>52</v>
      </c>
      <c r="K1266" s="18" t="s">
        <v>224</v>
      </c>
      <c r="L1266" s="7" t="s">
        <v>69</v>
      </c>
      <c r="M1266" s="3" t="s">
        <v>46</v>
      </c>
      <c r="N1266" s="6" t="s">
        <v>78</v>
      </c>
      <c r="O1266" s="6" t="s">
        <v>46</v>
      </c>
      <c r="P1266" s="6" t="s">
        <v>79</v>
      </c>
      <c r="Q1266" s="6" t="s">
        <v>80</v>
      </c>
      <c r="R1266" s="6" t="s">
        <v>81</v>
      </c>
      <c r="S1266" s="6" t="s">
        <v>46</v>
      </c>
      <c r="T1266" s="6" t="s">
        <v>46</v>
      </c>
      <c r="U1266" s="6" t="s">
        <v>82</v>
      </c>
      <c r="V1266" s="1" t="n">
        <v>4</v>
      </c>
      <c r="W1266" s="4"/>
      <c r="X1266" s="6" t="s">
        <v>83</v>
      </c>
      <c r="Y1266" s="14" t="n">
        <v>5500</v>
      </c>
      <c r="Z1266" s="6" t="s">
        <v>1324</v>
      </c>
      <c r="AA1266" s="6" t="s">
        <v>1325</v>
      </c>
      <c r="AB1266" s="15" t="str">
        <f aca="true" t="array" ref="AB1266:AB1266">LEFT(AA1266,LOOKUP(2^15,FIND(".",AA1266,ROW(INDIRECT("1:"&amp;LEN(AA1266)))))-1)</f>
        <v>NB_2023_016 - 20230425 - 1</v>
      </c>
      <c r="AC1266" s="6" t="s">
        <v>1326</v>
      </c>
      <c r="AD1266" s="15" t="str">
        <f aca="true" t="array" ref="AD1266:AD1266">LEFT(AC1266,LOOKUP(2^15,FIND(".",AC1266,ROW(INDIRECT("1:"&amp;LEN(AC1266)))))-1)</f>
        <v>NB_2023_016 - 20230425 - 2</v>
      </c>
      <c r="AE1266" s="6" t="str">
        <f aca="false">CONCATENATE(AB1266, "-",H1266, ".mzML")</f>
        <v>NB_2023_016 - 20230425 - 1-QC_P_4.mzML</v>
      </c>
      <c r="AF1266" s="6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3" t="s">
        <v>1394</v>
      </c>
      <c r="B1267" s="34"/>
      <c r="C1267" s="4" t="s">
        <v>1395</v>
      </c>
      <c r="D1267" s="6" t="s">
        <v>14</v>
      </c>
      <c r="E1267" s="6" t="s">
        <v>1319</v>
      </c>
      <c r="F1267" s="7" t="s">
        <v>1320</v>
      </c>
      <c r="G1267" s="6" t="s">
        <v>1336</v>
      </c>
      <c r="H1267" s="7" t="s">
        <v>132</v>
      </c>
      <c r="I1267" s="6" t="str">
        <f aca="false">CONCATENATE(E1267, "_",H1267)</f>
        <v>NLA_2023_018_011</v>
      </c>
      <c r="J1267" s="6" t="s">
        <v>52</v>
      </c>
      <c r="K1267" s="6" t="s">
        <v>1383</v>
      </c>
      <c r="L1267" s="9" t="s">
        <v>69</v>
      </c>
      <c r="M1267" s="17" t="s">
        <v>1338</v>
      </c>
      <c r="N1267" s="6" t="s">
        <v>246</v>
      </c>
      <c r="O1267" s="35" t="s">
        <v>1220</v>
      </c>
      <c r="P1267" s="1" t="s">
        <v>43</v>
      </c>
      <c r="Q1267" s="6" t="s">
        <v>1358</v>
      </c>
      <c r="R1267" s="6" t="s">
        <v>44</v>
      </c>
      <c r="S1267" s="14"/>
      <c r="T1267" s="6"/>
      <c r="U1267" s="6" t="n">
        <v>1500</v>
      </c>
      <c r="V1267" s="14" t="n">
        <v>1</v>
      </c>
      <c r="W1267" s="4"/>
      <c r="X1267" s="9" t="s">
        <v>1215</v>
      </c>
      <c r="Y1267" s="14" t="n">
        <v>5500</v>
      </c>
      <c r="Z1267" s="6" t="s">
        <v>1324</v>
      </c>
      <c r="AA1267" s="6" t="s">
        <v>1325</v>
      </c>
      <c r="AB1267" s="15" t="str">
        <f aca="true" t="array" ref="AB1267:AB1267">LEFT(AA1267,LOOKUP(2^15,FIND(".",AA1267,ROW(INDIRECT("1:"&amp;LEN(AA1267)))))-1)</f>
        <v>NB_2023_016 - 20230425 - 1</v>
      </c>
      <c r="AC1267" s="6" t="s">
        <v>1326</v>
      </c>
      <c r="AD1267" s="15" t="str">
        <f aca="true" t="array" ref="AD1267:AD1267">LEFT(AC1267,LOOKUP(2^15,FIND(".",AC1267,ROW(INDIRECT("1:"&amp;LEN(AC1267)))))-1)</f>
        <v>NB_2023_016 - 20230425 - 2</v>
      </c>
      <c r="AE1267" s="6" t="str">
        <f aca="false">CONCATENATE(AB1267, "-",H1267, ".mzML")</f>
        <v>NB_2023_016 - 20230425 - 1-011.mzML</v>
      </c>
      <c r="AF1267" s="6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3" t="s">
        <v>1394</v>
      </c>
      <c r="B1268" s="34"/>
      <c r="C1268" s="4" t="s">
        <v>1395</v>
      </c>
      <c r="D1268" s="6" t="s">
        <v>14</v>
      </c>
      <c r="E1268" s="6" t="s">
        <v>1319</v>
      </c>
      <c r="F1268" s="7" t="s">
        <v>1320</v>
      </c>
      <c r="G1268" s="6" t="s">
        <v>1336</v>
      </c>
      <c r="H1268" s="7" t="s">
        <v>181</v>
      </c>
      <c r="I1268" s="6" t="str">
        <f aca="false">CONCATENATE(E1268, "_",H1268)</f>
        <v>NLA_2023_018_017</v>
      </c>
      <c r="J1268" s="6" t="s">
        <v>38</v>
      </c>
      <c r="K1268" s="6" t="s">
        <v>1340</v>
      </c>
      <c r="L1268" s="9" t="s">
        <v>69</v>
      </c>
      <c r="M1268" s="17" t="s">
        <v>1338</v>
      </c>
      <c r="N1268" s="6" t="s">
        <v>246</v>
      </c>
      <c r="O1268" s="35" t="s">
        <v>1212</v>
      </c>
      <c r="P1268" s="1" t="s">
        <v>43</v>
      </c>
      <c r="Q1268" s="1" t="s">
        <v>43</v>
      </c>
      <c r="R1268" s="6" t="s">
        <v>44</v>
      </c>
      <c r="S1268" s="14"/>
      <c r="T1268" s="6"/>
      <c r="U1268" s="6" t="n">
        <v>1500</v>
      </c>
      <c r="V1268" s="14" t="n">
        <v>2</v>
      </c>
      <c r="W1268" s="4"/>
      <c r="X1268" s="9" t="s">
        <v>1215</v>
      </c>
      <c r="Y1268" s="14" t="n">
        <v>5500</v>
      </c>
      <c r="Z1268" s="6" t="s">
        <v>1324</v>
      </c>
      <c r="AA1268" s="6" t="s">
        <v>1325</v>
      </c>
      <c r="AB1268" s="15" t="str">
        <f aca="true" t="array" ref="AB1268:AB1268">LEFT(AA1268,LOOKUP(2^15,FIND(".",AA1268,ROW(INDIRECT("1:"&amp;LEN(AA1268)))))-1)</f>
        <v>NB_2023_016 - 20230425 - 1</v>
      </c>
      <c r="AC1268" s="6" t="s">
        <v>1326</v>
      </c>
      <c r="AD1268" s="15" t="str">
        <f aca="true" t="array" ref="AD1268:AD1268">LEFT(AC1268,LOOKUP(2^15,FIND(".",AC1268,ROW(INDIRECT("1:"&amp;LEN(AC1268)))))-1)</f>
        <v>NB_2023_016 - 20230425 - 2</v>
      </c>
      <c r="AE1268" s="6" t="str">
        <f aca="false">CONCATENATE(AB1268, "-",H1268, ".mzML")</f>
        <v>NB_2023_016 - 20230425 - 1-017.mzML</v>
      </c>
      <c r="AF1268" s="6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3" t="s">
        <v>1394</v>
      </c>
      <c r="B1269" s="34"/>
      <c r="C1269" s="4" t="s">
        <v>1395</v>
      </c>
      <c r="D1269" s="6" t="s">
        <v>14</v>
      </c>
      <c r="E1269" s="6" t="s">
        <v>1319</v>
      </c>
      <c r="F1269" s="7" t="s">
        <v>1320</v>
      </c>
      <c r="G1269" s="6" t="s">
        <v>1336</v>
      </c>
      <c r="H1269" s="7" t="s">
        <v>288</v>
      </c>
      <c r="I1269" s="6" t="str">
        <f aca="false">CONCATENATE(E1269, "_",H1269)</f>
        <v>NLA_2023_018_022</v>
      </c>
      <c r="J1269" s="6" t="s">
        <v>52</v>
      </c>
      <c r="K1269" s="6" t="s">
        <v>1385</v>
      </c>
      <c r="L1269" s="9" t="s">
        <v>69</v>
      </c>
      <c r="M1269" s="17" t="s">
        <v>1338</v>
      </c>
      <c r="N1269" s="6" t="s">
        <v>246</v>
      </c>
      <c r="O1269" s="35" t="s">
        <v>1220</v>
      </c>
      <c r="P1269" s="1" t="s">
        <v>43</v>
      </c>
      <c r="Q1269" s="6" t="s">
        <v>1358</v>
      </c>
      <c r="R1269" s="6" t="s">
        <v>44</v>
      </c>
      <c r="S1269" s="14"/>
      <c r="T1269" s="6"/>
      <c r="U1269" s="6" t="n">
        <v>1500</v>
      </c>
      <c r="V1269" s="14" t="n">
        <v>3</v>
      </c>
      <c r="W1269" s="4"/>
      <c r="X1269" s="9" t="s">
        <v>1215</v>
      </c>
      <c r="Y1269" s="14" t="n">
        <v>5500</v>
      </c>
      <c r="Z1269" s="6" t="s">
        <v>1324</v>
      </c>
      <c r="AA1269" s="6" t="s">
        <v>1325</v>
      </c>
      <c r="AB1269" s="15" t="str">
        <f aca="true" t="array" ref="AB1269:AB1269">LEFT(AA1269,LOOKUP(2^15,FIND(".",AA1269,ROW(INDIRECT("1:"&amp;LEN(AA1269)))))-1)</f>
        <v>NB_2023_016 - 20230425 - 1</v>
      </c>
      <c r="AC1269" s="6" t="s">
        <v>1326</v>
      </c>
      <c r="AD1269" s="15" t="str">
        <f aca="true" t="array" ref="AD1269:AD1269">LEFT(AC1269,LOOKUP(2^15,FIND(".",AC1269,ROW(INDIRECT("1:"&amp;LEN(AC1269)))))-1)</f>
        <v>NB_2023_016 - 20230425 - 2</v>
      </c>
      <c r="AE1269" s="6" t="str">
        <f aca="false">CONCATENATE(AB1269, "-",H1269, ".mzML")</f>
        <v>NB_2023_016 - 20230425 - 1-022.mzML</v>
      </c>
      <c r="AF1269" s="6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3" t="s">
        <v>1394</v>
      </c>
      <c r="B1270" s="34"/>
      <c r="C1270" s="4" t="s">
        <v>1395</v>
      </c>
      <c r="D1270" s="6" t="s">
        <v>14</v>
      </c>
      <c r="E1270" s="6" t="s">
        <v>1319</v>
      </c>
      <c r="F1270" s="7" t="s">
        <v>1320</v>
      </c>
      <c r="G1270" s="6" t="s">
        <v>1336</v>
      </c>
      <c r="H1270" s="7" t="s">
        <v>439</v>
      </c>
      <c r="I1270" s="6" t="str">
        <f aca="false">CONCATENATE(E1270, "_",H1270)</f>
        <v>NLA_2023_018_029</v>
      </c>
      <c r="J1270" s="6" t="s">
        <v>38</v>
      </c>
      <c r="K1270" s="6" t="s">
        <v>1342</v>
      </c>
      <c r="L1270" s="9" t="s">
        <v>69</v>
      </c>
      <c r="M1270" s="17" t="s">
        <v>1338</v>
      </c>
      <c r="N1270" s="6" t="s">
        <v>246</v>
      </c>
      <c r="O1270" s="35" t="s">
        <v>1212</v>
      </c>
      <c r="P1270" s="1" t="s">
        <v>43</v>
      </c>
      <c r="Q1270" s="6" t="s">
        <v>43</v>
      </c>
      <c r="R1270" s="6" t="s">
        <v>44</v>
      </c>
      <c r="S1270" s="6"/>
      <c r="T1270" s="6"/>
      <c r="U1270" s="6" t="n">
        <v>1500</v>
      </c>
      <c r="V1270" s="1" t="n">
        <v>1</v>
      </c>
      <c r="W1270" s="4"/>
      <c r="X1270" s="9" t="s">
        <v>1215</v>
      </c>
      <c r="Y1270" s="14" t="n">
        <v>5500</v>
      </c>
      <c r="Z1270" s="6" t="s">
        <v>1324</v>
      </c>
      <c r="AA1270" s="6" t="s">
        <v>1325</v>
      </c>
      <c r="AB1270" s="15" t="str">
        <f aca="true" t="array" ref="AB1270:AB1270">LEFT(AA1270,LOOKUP(2^15,FIND(".",AA1270,ROW(INDIRECT("1:"&amp;LEN(AA1270)))))-1)</f>
        <v>NB_2023_016 - 20230425 - 1</v>
      </c>
      <c r="AC1270" s="6" t="s">
        <v>1326</v>
      </c>
      <c r="AD1270" s="15" t="str">
        <f aca="true" t="array" ref="AD1270:AD1270">LEFT(AC1270,LOOKUP(2^15,FIND(".",AC1270,ROW(INDIRECT("1:"&amp;LEN(AC1270)))))-1)</f>
        <v>NB_2023_016 - 20230425 - 2</v>
      </c>
      <c r="AE1270" s="6" t="str">
        <f aca="false">CONCATENATE(AB1270, "-",H1270, ".mzML")</f>
        <v>NB_2023_016 - 20230425 - 1-029.mzML</v>
      </c>
      <c r="AF1270" s="6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3" t="s">
        <v>1394</v>
      </c>
      <c r="B1271" s="34"/>
      <c r="C1271" s="4" t="s">
        <v>1395</v>
      </c>
      <c r="D1271" s="6" t="s">
        <v>14</v>
      </c>
      <c r="E1271" s="6" t="s">
        <v>1319</v>
      </c>
      <c r="F1271" s="7" t="s">
        <v>1320</v>
      </c>
      <c r="G1271" s="6" t="s">
        <v>1336</v>
      </c>
      <c r="H1271" s="7" t="s">
        <v>1241</v>
      </c>
      <c r="I1271" s="6" t="str">
        <f aca="false">CONCATENATE(E1271, "_",H1271)</f>
        <v>NLA_2023_018_032</v>
      </c>
      <c r="J1271" s="6" t="s">
        <v>52</v>
      </c>
      <c r="K1271" s="6" t="s">
        <v>1387</v>
      </c>
      <c r="L1271" s="9" t="s">
        <v>69</v>
      </c>
      <c r="M1271" s="17" t="s">
        <v>1338</v>
      </c>
      <c r="N1271" s="6" t="s">
        <v>246</v>
      </c>
      <c r="O1271" s="35" t="s">
        <v>1220</v>
      </c>
      <c r="P1271" s="1" t="s">
        <v>43</v>
      </c>
      <c r="Q1271" s="6" t="s">
        <v>1358</v>
      </c>
      <c r="R1271" s="6" t="s">
        <v>44</v>
      </c>
      <c r="S1271" s="14"/>
      <c r="T1271" s="6"/>
      <c r="U1271" s="6" t="n">
        <v>1500</v>
      </c>
      <c r="V1271" s="14" t="n">
        <v>2</v>
      </c>
      <c r="W1271" s="4"/>
      <c r="X1271" s="9" t="s">
        <v>1215</v>
      </c>
      <c r="Y1271" s="14" t="n">
        <v>5500</v>
      </c>
      <c r="Z1271" s="6" t="s">
        <v>1324</v>
      </c>
      <c r="AA1271" s="6" t="s">
        <v>1325</v>
      </c>
      <c r="AB1271" s="15" t="str">
        <f aca="true" t="array" ref="AB1271:AB1271">LEFT(AA1271,LOOKUP(2^15,FIND(".",AA1271,ROW(INDIRECT("1:"&amp;LEN(AA1271)))))-1)</f>
        <v>NB_2023_016 - 20230425 - 1</v>
      </c>
      <c r="AC1271" s="6" t="s">
        <v>1326</v>
      </c>
      <c r="AD1271" s="15" t="str">
        <f aca="true" t="array" ref="AD1271:AD1271">LEFT(AC1271,LOOKUP(2^15,FIND(".",AC1271,ROW(INDIRECT("1:"&amp;LEN(AC1271)))))-1)</f>
        <v>NB_2023_016 - 20230425 - 2</v>
      </c>
      <c r="AE1271" s="6" t="str">
        <f aca="false">CONCATENATE(AB1271, "-",H1271, ".mzML")</f>
        <v>NB_2023_016 - 20230425 - 1-032.mzML</v>
      </c>
      <c r="AF1271" s="6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3" t="s">
        <v>1394</v>
      </c>
      <c r="B1272" s="34"/>
      <c r="C1272" s="4" t="s">
        <v>1395</v>
      </c>
      <c r="D1272" s="6" t="s">
        <v>14</v>
      </c>
      <c r="E1272" s="6" t="s">
        <v>1319</v>
      </c>
      <c r="F1272" s="7" t="s">
        <v>1320</v>
      </c>
      <c r="G1272" s="6" t="s">
        <v>1319</v>
      </c>
      <c r="H1272" s="16" t="s">
        <v>64</v>
      </c>
      <c r="I1272" s="6" t="str">
        <f aca="false">CONCATENATE(E1272, "_",H1272)</f>
        <v>NLA_2023_018_Blank_1</v>
      </c>
      <c r="J1272" s="6" t="s">
        <v>52</v>
      </c>
      <c r="K1272" s="18" t="s">
        <v>64</v>
      </c>
      <c r="L1272" s="7" t="s">
        <v>46</v>
      </c>
      <c r="M1272" s="17" t="s">
        <v>46</v>
      </c>
      <c r="N1272" s="6" t="s">
        <v>65</v>
      </c>
      <c r="O1272" s="6" t="s">
        <v>46</v>
      </c>
      <c r="P1272" s="6" t="s">
        <v>46</v>
      </c>
      <c r="Q1272" s="6" t="s">
        <v>46</v>
      </c>
      <c r="R1272" s="6" t="s">
        <v>46</v>
      </c>
      <c r="S1272" s="6" t="s">
        <v>46</v>
      </c>
      <c r="T1272" s="6" t="s">
        <v>46</v>
      </c>
      <c r="U1272" s="6" t="s">
        <v>46</v>
      </c>
      <c r="V1272" s="1" t="n">
        <v>1</v>
      </c>
      <c r="W1272" s="4"/>
      <c r="X1272" s="6" t="s">
        <v>46</v>
      </c>
      <c r="Y1272" s="14" t="n">
        <v>5500</v>
      </c>
      <c r="Z1272" s="6" t="s">
        <v>1324</v>
      </c>
      <c r="AA1272" s="6" t="s">
        <v>1325</v>
      </c>
      <c r="AB1272" s="15" t="str">
        <f aca="true" t="array" ref="AB1272:AB1272">LEFT(AA1272,LOOKUP(2^15,FIND(".",AA1272,ROW(INDIRECT("1:"&amp;LEN(AA1272)))))-1)</f>
        <v>NB_2023_016 - 20230425 - 1</v>
      </c>
      <c r="AC1272" s="6" t="s">
        <v>1326</v>
      </c>
      <c r="AD1272" s="15" t="str">
        <f aca="true" t="array" ref="AD1272:AD1272">LEFT(AC1272,LOOKUP(2^15,FIND(".",AC1272,ROW(INDIRECT("1:"&amp;LEN(AC1272)))))-1)</f>
        <v>NB_2023_016 - 20230425 - 2</v>
      </c>
      <c r="AE1272" s="6" t="str">
        <f aca="false">CONCATENATE(AB1272, "-",H1272, ".mzML")</f>
        <v>NB_2023_016 - 20230425 - 1-Blank_1.mzML</v>
      </c>
      <c r="AF1272" s="6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3" t="s">
        <v>1394</v>
      </c>
      <c r="B1273" s="34"/>
      <c r="C1273" s="4" t="s">
        <v>1395</v>
      </c>
      <c r="D1273" s="6" t="s">
        <v>14</v>
      </c>
      <c r="E1273" s="6" t="s">
        <v>1319</v>
      </c>
      <c r="F1273" s="7" t="s">
        <v>1320</v>
      </c>
      <c r="G1273" s="6" t="s">
        <v>1319</v>
      </c>
      <c r="H1273" s="16" t="s">
        <v>67</v>
      </c>
      <c r="I1273" s="6" t="str">
        <f aca="false">CONCATENATE(E1273, "_",H1273)</f>
        <v>NLA_2023_018_Blank_3</v>
      </c>
      <c r="J1273" s="6" t="s">
        <v>52</v>
      </c>
      <c r="K1273" s="18" t="s">
        <v>67</v>
      </c>
      <c r="L1273" s="7" t="s">
        <v>46</v>
      </c>
      <c r="M1273" s="17" t="s">
        <v>46</v>
      </c>
      <c r="N1273" s="6" t="s">
        <v>65</v>
      </c>
      <c r="O1273" s="6" t="s">
        <v>46</v>
      </c>
      <c r="P1273" s="6" t="s">
        <v>46</v>
      </c>
      <c r="Q1273" s="6" t="s">
        <v>46</v>
      </c>
      <c r="R1273" s="6" t="s">
        <v>46</v>
      </c>
      <c r="S1273" s="6" t="s">
        <v>46</v>
      </c>
      <c r="T1273" s="6" t="s">
        <v>46</v>
      </c>
      <c r="U1273" s="6" t="s">
        <v>46</v>
      </c>
      <c r="V1273" s="1" t="n">
        <v>3</v>
      </c>
      <c r="W1273" s="4"/>
      <c r="X1273" s="6" t="s">
        <v>46</v>
      </c>
      <c r="Y1273" s="14" t="n">
        <v>5500</v>
      </c>
      <c r="Z1273" s="6" t="s">
        <v>1324</v>
      </c>
      <c r="AA1273" s="6" t="s">
        <v>1325</v>
      </c>
      <c r="AB1273" s="15" t="str">
        <f aca="true" t="array" ref="AB1273:AB1273">LEFT(AA1273,LOOKUP(2^15,FIND(".",AA1273,ROW(INDIRECT("1:"&amp;LEN(AA1273)))))-1)</f>
        <v>NB_2023_016 - 20230425 - 1</v>
      </c>
      <c r="AC1273" s="6" t="s">
        <v>1326</v>
      </c>
      <c r="AD1273" s="15" t="str">
        <f aca="true" t="array" ref="AD1273:AD1273">LEFT(AC1273,LOOKUP(2^15,FIND(".",AC1273,ROW(INDIRECT("1:"&amp;LEN(AC1273)))))-1)</f>
        <v>NB_2023_016 - 20230425 - 2</v>
      </c>
      <c r="AE1273" s="6" t="str">
        <f aca="false">CONCATENATE(AB1273, "-",H1273, ".mzML")</f>
        <v>NB_2023_016 - 20230425 - 1-Blank_3.mzML</v>
      </c>
      <c r="AF1273" s="6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3" t="s">
        <v>1394</v>
      </c>
      <c r="B1274" s="34"/>
      <c r="C1274" s="4" t="s">
        <v>1395</v>
      </c>
      <c r="D1274" s="6" t="s">
        <v>14</v>
      </c>
      <c r="E1274" s="6" t="s">
        <v>1319</v>
      </c>
      <c r="F1274" s="7" t="s">
        <v>1320</v>
      </c>
      <c r="G1274" s="6" t="s">
        <v>1319</v>
      </c>
      <c r="H1274" s="16" t="s">
        <v>221</v>
      </c>
      <c r="I1274" s="6" t="str">
        <f aca="false">CONCATENATE(E1274, "_",H1274)</f>
        <v>NLA_2023_018_Blank_4</v>
      </c>
      <c r="J1274" s="6" t="s">
        <v>52</v>
      </c>
      <c r="K1274" s="18" t="s">
        <v>221</v>
      </c>
      <c r="L1274" s="7" t="s">
        <v>46</v>
      </c>
      <c r="M1274" s="17" t="s">
        <v>46</v>
      </c>
      <c r="N1274" s="6" t="s">
        <v>65</v>
      </c>
      <c r="O1274" s="6" t="s">
        <v>46</v>
      </c>
      <c r="P1274" s="6" t="s">
        <v>46</v>
      </c>
      <c r="Q1274" s="6" t="s">
        <v>46</v>
      </c>
      <c r="R1274" s="6" t="s">
        <v>46</v>
      </c>
      <c r="S1274" s="6" t="s">
        <v>46</v>
      </c>
      <c r="T1274" s="6" t="s">
        <v>46</v>
      </c>
      <c r="U1274" s="6" t="s">
        <v>46</v>
      </c>
      <c r="V1274" s="1" t="n">
        <v>4</v>
      </c>
      <c r="W1274" s="4"/>
      <c r="X1274" s="6" t="s">
        <v>46</v>
      </c>
      <c r="Y1274" s="14" t="n">
        <v>5500</v>
      </c>
      <c r="Z1274" s="6" t="s">
        <v>1324</v>
      </c>
      <c r="AA1274" s="6" t="s">
        <v>1325</v>
      </c>
      <c r="AB1274" s="15" t="str">
        <f aca="true" t="array" ref="AB1274:AB1274">LEFT(AA1274,LOOKUP(2^15,FIND(".",AA1274,ROW(INDIRECT("1:"&amp;LEN(AA1274)))))-1)</f>
        <v>NB_2023_016 - 20230425 - 1</v>
      </c>
      <c r="AC1274" s="6" t="s">
        <v>1326</v>
      </c>
      <c r="AD1274" s="15" t="str">
        <f aca="true" t="array" ref="AD1274:AD1274">LEFT(AC1274,LOOKUP(2^15,FIND(".",AC1274,ROW(INDIRECT("1:"&amp;LEN(AC1274)))))-1)</f>
        <v>NB_2023_016 - 20230425 - 2</v>
      </c>
      <c r="AE1274" s="6" t="str">
        <f aca="false">CONCATENATE(AB1274, "-",H1274, ".mzML")</f>
        <v>NB_2023_016 - 20230425 - 1-Blank_4.mzML</v>
      </c>
      <c r="AF1274" s="6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3" t="s">
        <v>1394</v>
      </c>
      <c r="B1275" s="34"/>
      <c r="C1275" s="4" t="s">
        <v>1395</v>
      </c>
      <c r="D1275" s="6" t="s">
        <v>14</v>
      </c>
      <c r="E1275" s="6" t="s">
        <v>1319</v>
      </c>
      <c r="F1275" s="7" t="s">
        <v>1320</v>
      </c>
      <c r="G1275" s="6" t="s">
        <v>1319</v>
      </c>
      <c r="H1275" s="16" t="s">
        <v>68</v>
      </c>
      <c r="I1275" s="6" t="str">
        <f aca="false">CONCATENATE(E1275, "_",H1275)</f>
        <v>NLA_2023_018_QC_C_1</v>
      </c>
      <c r="J1275" s="6" t="s">
        <v>52</v>
      </c>
      <c r="K1275" s="18" t="s">
        <v>68</v>
      </c>
      <c r="L1275" s="9" t="s">
        <v>69</v>
      </c>
      <c r="M1275" s="3" t="s">
        <v>46</v>
      </c>
      <c r="N1275" s="6" t="s">
        <v>70</v>
      </c>
      <c r="O1275" s="6" t="s">
        <v>46</v>
      </c>
      <c r="P1275" s="6" t="s">
        <v>71</v>
      </c>
      <c r="Q1275" s="6" t="s">
        <v>71</v>
      </c>
      <c r="R1275" s="6" t="s">
        <v>72</v>
      </c>
      <c r="S1275" s="6" t="s">
        <v>73</v>
      </c>
      <c r="T1275" s="6" t="s">
        <v>46</v>
      </c>
      <c r="U1275" s="6" t="n">
        <v>1000</v>
      </c>
      <c r="V1275" s="1" t="n">
        <v>1</v>
      </c>
      <c r="W1275" s="4"/>
      <c r="X1275" s="6" t="s">
        <v>74</v>
      </c>
      <c r="Y1275" s="14" t="n">
        <v>5500</v>
      </c>
      <c r="Z1275" s="6" t="s">
        <v>1324</v>
      </c>
      <c r="AA1275" s="6" t="s">
        <v>1325</v>
      </c>
      <c r="AB1275" s="15" t="str">
        <f aca="true" t="array" ref="AB1275:AB1275">LEFT(AA1275,LOOKUP(2^15,FIND(".",AA1275,ROW(INDIRECT("1:"&amp;LEN(AA1275)))))-1)</f>
        <v>NB_2023_016 - 20230425 - 1</v>
      </c>
      <c r="AC1275" s="6" t="s">
        <v>1326</v>
      </c>
      <c r="AD1275" s="15" t="str">
        <f aca="true" t="array" ref="AD1275:AD1275">LEFT(AC1275,LOOKUP(2^15,FIND(".",AC1275,ROW(INDIRECT("1:"&amp;LEN(AC1275)))))-1)</f>
        <v>NB_2023_016 - 20230425 - 2</v>
      </c>
      <c r="AE1275" s="6" t="str">
        <f aca="false">CONCATENATE(AB1275, "-",H1275, ".mzML")</f>
        <v>NB_2023_016 - 20230425 - 1-QC_C_1.mzML</v>
      </c>
      <c r="AF1275" s="6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3" t="s">
        <v>1394</v>
      </c>
      <c r="B1276" s="34"/>
      <c r="C1276" s="4" t="s">
        <v>1395</v>
      </c>
      <c r="D1276" s="6" t="s">
        <v>14</v>
      </c>
      <c r="E1276" s="6" t="s">
        <v>1319</v>
      </c>
      <c r="F1276" s="7" t="s">
        <v>1320</v>
      </c>
      <c r="G1276" s="6" t="s">
        <v>1319</v>
      </c>
      <c r="H1276" s="16" t="s">
        <v>75</v>
      </c>
      <c r="I1276" s="6" t="str">
        <f aca="false">CONCATENATE(E1276, "_",H1276)</f>
        <v>NLA_2023_018_QC_C_2</v>
      </c>
      <c r="J1276" s="6" t="s">
        <v>52</v>
      </c>
      <c r="K1276" s="18" t="s">
        <v>75</v>
      </c>
      <c r="L1276" s="9" t="s">
        <v>69</v>
      </c>
      <c r="M1276" s="3" t="s">
        <v>46</v>
      </c>
      <c r="N1276" s="6" t="s">
        <v>70</v>
      </c>
      <c r="O1276" s="6" t="s">
        <v>46</v>
      </c>
      <c r="P1276" s="6" t="s">
        <v>71</v>
      </c>
      <c r="Q1276" s="6" t="s">
        <v>71</v>
      </c>
      <c r="R1276" s="6" t="s">
        <v>72</v>
      </c>
      <c r="S1276" s="6" t="s">
        <v>73</v>
      </c>
      <c r="T1276" s="6" t="s">
        <v>46</v>
      </c>
      <c r="U1276" s="6" t="n">
        <v>1000</v>
      </c>
      <c r="V1276" s="1" t="n">
        <v>2</v>
      </c>
      <c r="W1276" s="4"/>
      <c r="X1276" s="6" t="s">
        <v>74</v>
      </c>
      <c r="Y1276" s="14" t="n">
        <v>5500</v>
      </c>
      <c r="Z1276" s="6" t="s">
        <v>1324</v>
      </c>
      <c r="AA1276" s="6" t="s">
        <v>1325</v>
      </c>
      <c r="AB1276" s="15" t="str">
        <f aca="true" t="array" ref="AB1276:AB1276">LEFT(AA1276,LOOKUP(2^15,FIND(".",AA1276,ROW(INDIRECT("1:"&amp;LEN(AA1276)))))-1)</f>
        <v>NB_2023_016 - 20230425 - 1</v>
      </c>
      <c r="AC1276" s="6" t="s">
        <v>1326</v>
      </c>
      <c r="AD1276" s="15" t="str">
        <f aca="true" t="array" ref="AD1276:AD1276">LEFT(AC1276,LOOKUP(2^15,FIND(".",AC1276,ROW(INDIRECT("1:"&amp;LEN(AC1276)))))-1)</f>
        <v>NB_2023_016 - 20230425 - 2</v>
      </c>
      <c r="AE1276" s="6" t="str">
        <f aca="false">CONCATENATE(AB1276, "-",H1276, ".mzML")</f>
        <v>NB_2023_016 - 20230425 - 1-QC_C_2.mzML</v>
      </c>
      <c r="AF1276" s="6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3" t="s">
        <v>1394</v>
      </c>
      <c r="B1277" s="34"/>
      <c r="C1277" s="4" t="s">
        <v>1395</v>
      </c>
      <c r="D1277" s="6" t="s">
        <v>14</v>
      </c>
      <c r="E1277" s="6" t="s">
        <v>1319</v>
      </c>
      <c r="F1277" s="7" t="s">
        <v>1320</v>
      </c>
      <c r="G1277" s="6" t="s">
        <v>1319</v>
      </c>
      <c r="H1277" s="16" t="s">
        <v>76</v>
      </c>
      <c r="I1277" s="6" t="str">
        <f aca="false">CONCATENATE(E1277, "_",H1277)</f>
        <v>NLA_2023_018_QC_C_3</v>
      </c>
      <c r="J1277" s="6" t="s">
        <v>52</v>
      </c>
      <c r="K1277" s="18" t="s">
        <v>76</v>
      </c>
      <c r="L1277" s="9" t="s">
        <v>69</v>
      </c>
      <c r="M1277" s="3" t="s">
        <v>46</v>
      </c>
      <c r="N1277" s="6" t="s">
        <v>70</v>
      </c>
      <c r="O1277" s="6" t="s">
        <v>46</v>
      </c>
      <c r="P1277" s="6" t="s">
        <v>71</v>
      </c>
      <c r="Q1277" s="6" t="s">
        <v>71</v>
      </c>
      <c r="R1277" s="6" t="s">
        <v>72</v>
      </c>
      <c r="S1277" s="6" t="s">
        <v>73</v>
      </c>
      <c r="T1277" s="6" t="s">
        <v>46</v>
      </c>
      <c r="U1277" s="6" t="n">
        <v>1000</v>
      </c>
      <c r="V1277" s="1" t="n">
        <v>3</v>
      </c>
      <c r="W1277" s="4"/>
      <c r="X1277" s="6" t="s">
        <v>74</v>
      </c>
      <c r="Y1277" s="14" t="n">
        <v>5500</v>
      </c>
      <c r="Z1277" s="6" t="s">
        <v>1324</v>
      </c>
      <c r="AA1277" s="6" t="s">
        <v>1325</v>
      </c>
      <c r="AB1277" s="15" t="str">
        <f aca="true" t="array" ref="AB1277:AB1277">LEFT(AA1277,LOOKUP(2^15,FIND(".",AA1277,ROW(INDIRECT("1:"&amp;LEN(AA1277)))))-1)</f>
        <v>NB_2023_016 - 20230425 - 1</v>
      </c>
      <c r="AC1277" s="6" t="s">
        <v>1326</v>
      </c>
      <c r="AD1277" s="15" t="str">
        <f aca="true" t="array" ref="AD1277:AD1277">LEFT(AC1277,LOOKUP(2^15,FIND(".",AC1277,ROW(INDIRECT("1:"&amp;LEN(AC1277)))))-1)</f>
        <v>NB_2023_016 - 20230425 - 2</v>
      </c>
      <c r="AE1277" s="6" t="str">
        <f aca="false">CONCATENATE(AB1277, "-",H1277, ".mzML")</f>
        <v>NB_2023_016 - 20230425 - 1-QC_C_3.mzML</v>
      </c>
      <c r="AF1277" s="6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3" t="s">
        <v>1394</v>
      </c>
      <c r="B1278" s="34"/>
      <c r="C1278" s="4" t="s">
        <v>1395</v>
      </c>
      <c r="D1278" s="6" t="s">
        <v>14</v>
      </c>
      <c r="E1278" s="6" t="s">
        <v>1319</v>
      </c>
      <c r="F1278" s="7" t="s">
        <v>1320</v>
      </c>
      <c r="G1278" s="6" t="s">
        <v>1319</v>
      </c>
      <c r="H1278" s="16" t="s">
        <v>222</v>
      </c>
      <c r="I1278" s="6" t="str">
        <f aca="false">CONCATENATE(E1278, "_",H1278)</f>
        <v>NLA_2023_018_QC_C_4</v>
      </c>
      <c r="J1278" s="6" t="s">
        <v>52</v>
      </c>
      <c r="K1278" s="18" t="s">
        <v>222</v>
      </c>
      <c r="L1278" s="9" t="s">
        <v>69</v>
      </c>
      <c r="M1278" s="3" t="s">
        <v>46</v>
      </c>
      <c r="N1278" s="6" t="s">
        <v>70</v>
      </c>
      <c r="O1278" s="6" t="s">
        <v>46</v>
      </c>
      <c r="P1278" s="6" t="s">
        <v>71</v>
      </c>
      <c r="Q1278" s="6" t="s">
        <v>71</v>
      </c>
      <c r="R1278" s="6" t="s">
        <v>72</v>
      </c>
      <c r="S1278" s="6" t="s">
        <v>73</v>
      </c>
      <c r="T1278" s="6" t="s">
        <v>46</v>
      </c>
      <c r="U1278" s="6" t="n">
        <v>1000</v>
      </c>
      <c r="V1278" s="1" t="n">
        <v>4</v>
      </c>
      <c r="W1278" s="4"/>
      <c r="X1278" s="6" t="s">
        <v>74</v>
      </c>
      <c r="Y1278" s="14" t="n">
        <v>5500</v>
      </c>
      <c r="Z1278" s="6" t="s">
        <v>1324</v>
      </c>
      <c r="AA1278" s="6" t="s">
        <v>1325</v>
      </c>
      <c r="AB1278" s="15" t="str">
        <f aca="true" t="array" ref="AB1278:AB1278">LEFT(AA1278,LOOKUP(2^15,FIND(".",AA1278,ROW(INDIRECT("1:"&amp;LEN(AA1278)))))-1)</f>
        <v>NB_2023_016 - 20230425 - 1</v>
      </c>
      <c r="AC1278" s="6" t="s">
        <v>1326</v>
      </c>
      <c r="AD1278" s="15" t="str">
        <f aca="true" t="array" ref="AD1278:AD1278">LEFT(AC1278,LOOKUP(2^15,FIND(".",AC1278,ROW(INDIRECT("1:"&amp;LEN(AC1278)))))-1)</f>
        <v>NB_2023_016 - 20230425 - 2</v>
      </c>
      <c r="AE1278" s="6" t="str">
        <f aca="false">CONCATENATE(AB1278, "-",H1278, ".mzML")</f>
        <v>NB_2023_016 - 20230425 - 1-QC_C_4.mzML</v>
      </c>
      <c r="AF1278" s="6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3" t="s">
        <v>1394</v>
      </c>
      <c r="B1279" s="34"/>
      <c r="C1279" s="4" t="s">
        <v>1395</v>
      </c>
      <c r="D1279" s="6" t="s">
        <v>14</v>
      </c>
      <c r="E1279" s="6" t="s">
        <v>1319</v>
      </c>
      <c r="F1279" s="7" t="s">
        <v>1320</v>
      </c>
      <c r="G1279" s="6" t="s">
        <v>1319</v>
      </c>
      <c r="H1279" s="16" t="s">
        <v>77</v>
      </c>
      <c r="I1279" s="6" t="str">
        <f aca="false">CONCATENATE(E1279, "_",H1279)</f>
        <v>NLA_2023_018_QC_P_1</v>
      </c>
      <c r="J1279" s="6" t="s">
        <v>52</v>
      </c>
      <c r="K1279" s="18" t="s">
        <v>77</v>
      </c>
      <c r="L1279" s="7" t="s">
        <v>69</v>
      </c>
      <c r="M1279" s="3" t="s">
        <v>46</v>
      </c>
      <c r="N1279" s="6" t="s">
        <v>78</v>
      </c>
      <c r="O1279" s="6" t="s">
        <v>46</v>
      </c>
      <c r="P1279" s="6" t="s">
        <v>79</v>
      </c>
      <c r="Q1279" s="6" t="s">
        <v>80</v>
      </c>
      <c r="R1279" s="6" t="s">
        <v>81</v>
      </c>
      <c r="S1279" s="6" t="s">
        <v>46</v>
      </c>
      <c r="T1279" s="6" t="s">
        <v>46</v>
      </c>
      <c r="U1279" s="6" t="s">
        <v>82</v>
      </c>
      <c r="V1279" s="1" t="n">
        <v>1</v>
      </c>
      <c r="W1279" s="4"/>
      <c r="X1279" s="6" t="s">
        <v>83</v>
      </c>
      <c r="Y1279" s="14" t="n">
        <v>5500</v>
      </c>
      <c r="Z1279" s="6" t="s">
        <v>1324</v>
      </c>
      <c r="AA1279" s="6" t="s">
        <v>1325</v>
      </c>
      <c r="AB1279" s="15" t="str">
        <f aca="true" t="array" ref="AB1279:AB1279">LEFT(AA1279,LOOKUP(2^15,FIND(".",AA1279,ROW(INDIRECT("1:"&amp;LEN(AA1279)))))-1)</f>
        <v>NB_2023_016 - 20230425 - 1</v>
      </c>
      <c r="AC1279" s="6" t="s">
        <v>1326</v>
      </c>
      <c r="AD1279" s="15" t="str">
        <f aca="true" t="array" ref="AD1279:AD1279">LEFT(AC1279,LOOKUP(2^15,FIND(".",AC1279,ROW(INDIRECT("1:"&amp;LEN(AC1279)))))-1)</f>
        <v>NB_2023_016 - 20230425 - 2</v>
      </c>
      <c r="AE1279" s="6" t="str">
        <f aca="false">CONCATENATE(AB1279, "-",H1279, ".mzML")</f>
        <v>NB_2023_016 - 20230425 - 1-QC_P_1.mzML</v>
      </c>
      <c r="AF1279" s="6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3" t="s">
        <v>1394</v>
      </c>
      <c r="B1280" s="34"/>
      <c r="C1280" s="4" t="s">
        <v>1395</v>
      </c>
      <c r="D1280" s="6" t="s">
        <v>14</v>
      </c>
      <c r="E1280" s="6" t="s">
        <v>1319</v>
      </c>
      <c r="F1280" s="7" t="s">
        <v>1320</v>
      </c>
      <c r="G1280" s="6" t="s">
        <v>1319</v>
      </c>
      <c r="H1280" s="16" t="s">
        <v>84</v>
      </c>
      <c r="I1280" s="6" t="str">
        <f aca="false">CONCATENATE(E1280, "_",H1280)</f>
        <v>NLA_2023_018_QC_P_2</v>
      </c>
      <c r="J1280" s="6" t="s">
        <v>52</v>
      </c>
      <c r="K1280" s="18" t="s">
        <v>84</v>
      </c>
      <c r="L1280" s="7" t="s">
        <v>69</v>
      </c>
      <c r="M1280" s="3" t="s">
        <v>46</v>
      </c>
      <c r="N1280" s="6" t="s">
        <v>78</v>
      </c>
      <c r="O1280" s="6" t="s">
        <v>46</v>
      </c>
      <c r="P1280" s="6" t="s">
        <v>79</v>
      </c>
      <c r="Q1280" s="6" t="s">
        <v>80</v>
      </c>
      <c r="R1280" s="6" t="s">
        <v>81</v>
      </c>
      <c r="S1280" s="6" t="s">
        <v>46</v>
      </c>
      <c r="T1280" s="6" t="s">
        <v>46</v>
      </c>
      <c r="U1280" s="6" t="s">
        <v>82</v>
      </c>
      <c r="V1280" s="1" t="n">
        <v>2</v>
      </c>
      <c r="W1280" s="4"/>
      <c r="X1280" s="6" t="s">
        <v>83</v>
      </c>
      <c r="Y1280" s="14" t="n">
        <v>5500</v>
      </c>
      <c r="Z1280" s="6" t="s">
        <v>1324</v>
      </c>
      <c r="AA1280" s="6" t="s">
        <v>1325</v>
      </c>
      <c r="AB1280" s="15" t="str">
        <f aca="true" t="array" ref="AB1280:AB1280">LEFT(AA1280,LOOKUP(2^15,FIND(".",AA1280,ROW(INDIRECT("1:"&amp;LEN(AA1280)))))-1)</f>
        <v>NB_2023_016 - 20230425 - 1</v>
      </c>
      <c r="AC1280" s="6" t="s">
        <v>1326</v>
      </c>
      <c r="AD1280" s="15" t="str">
        <f aca="true" t="array" ref="AD1280:AD1280">LEFT(AC1280,LOOKUP(2^15,FIND(".",AC1280,ROW(INDIRECT("1:"&amp;LEN(AC1280)))))-1)</f>
        <v>NB_2023_016 - 20230425 - 2</v>
      </c>
      <c r="AE1280" s="6" t="str">
        <f aca="false">CONCATENATE(AB1280, "-",H1280, ".mzML")</f>
        <v>NB_2023_016 - 20230425 - 1-QC_P_2.mzML</v>
      </c>
      <c r="AF1280" s="6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3" t="s">
        <v>1394</v>
      </c>
      <c r="B1281" s="34"/>
      <c r="C1281" s="4" t="s">
        <v>1395</v>
      </c>
      <c r="D1281" s="6" t="s">
        <v>14</v>
      </c>
      <c r="E1281" s="6" t="s">
        <v>1319</v>
      </c>
      <c r="F1281" s="7" t="s">
        <v>1320</v>
      </c>
      <c r="G1281" s="6" t="s">
        <v>1319</v>
      </c>
      <c r="H1281" s="16" t="s">
        <v>85</v>
      </c>
      <c r="I1281" s="6" t="str">
        <f aca="false">CONCATENATE(E1281, "_",H1281)</f>
        <v>NLA_2023_018_QC_P_3</v>
      </c>
      <c r="J1281" s="4" t="s">
        <v>52</v>
      </c>
      <c r="K1281" s="18" t="s">
        <v>85</v>
      </c>
      <c r="L1281" s="7" t="s">
        <v>69</v>
      </c>
      <c r="M1281" s="3" t="s">
        <v>46</v>
      </c>
      <c r="N1281" s="6" t="s">
        <v>78</v>
      </c>
      <c r="O1281" s="6" t="s">
        <v>46</v>
      </c>
      <c r="P1281" s="6" t="s">
        <v>79</v>
      </c>
      <c r="Q1281" s="6" t="s">
        <v>80</v>
      </c>
      <c r="R1281" s="6" t="s">
        <v>81</v>
      </c>
      <c r="S1281" s="6" t="s">
        <v>46</v>
      </c>
      <c r="T1281" s="6" t="s">
        <v>46</v>
      </c>
      <c r="U1281" s="6" t="s">
        <v>82</v>
      </c>
      <c r="V1281" s="1" t="n">
        <v>3</v>
      </c>
      <c r="W1281" s="4"/>
      <c r="X1281" s="6" t="s">
        <v>83</v>
      </c>
      <c r="Y1281" s="14" t="n">
        <v>5500</v>
      </c>
      <c r="Z1281" s="6" t="s">
        <v>1324</v>
      </c>
      <c r="AA1281" s="6" t="s">
        <v>1325</v>
      </c>
      <c r="AB1281" s="15" t="str">
        <f aca="true" t="array" ref="AB1281:AB1281">LEFT(AA1281,LOOKUP(2^15,FIND(".",AA1281,ROW(INDIRECT("1:"&amp;LEN(AA1281)))))-1)</f>
        <v>NB_2023_016 - 20230425 - 1</v>
      </c>
      <c r="AC1281" s="6" t="s">
        <v>1326</v>
      </c>
      <c r="AD1281" s="15" t="str">
        <f aca="true" t="array" ref="AD1281:AD1281">LEFT(AC1281,LOOKUP(2^15,FIND(".",AC1281,ROW(INDIRECT("1:"&amp;LEN(AC1281)))))-1)</f>
        <v>NB_2023_016 - 20230425 - 2</v>
      </c>
      <c r="AE1281" s="6" t="str">
        <f aca="false">CONCATENATE(AB1281, "-",H1281, ".mzML")</f>
        <v>NB_2023_016 - 20230425 - 1-QC_P_3.mzML</v>
      </c>
      <c r="AF1281" s="6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3" t="s">
        <v>1394</v>
      </c>
      <c r="B1282" s="34"/>
      <c r="C1282" s="4" t="s">
        <v>1395</v>
      </c>
      <c r="D1282" s="6" t="s">
        <v>14</v>
      </c>
      <c r="E1282" s="6" t="s">
        <v>1319</v>
      </c>
      <c r="F1282" s="7" t="s">
        <v>1320</v>
      </c>
      <c r="G1282" s="6" t="s">
        <v>1319</v>
      </c>
      <c r="H1282" s="16" t="s">
        <v>224</v>
      </c>
      <c r="I1282" s="6" t="str">
        <f aca="false">CONCATENATE(E1282, "_",H1282)</f>
        <v>NLA_2023_018_QC_P_4</v>
      </c>
      <c r="J1282" s="4" t="s">
        <v>52</v>
      </c>
      <c r="K1282" s="18" t="s">
        <v>224</v>
      </c>
      <c r="L1282" s="7" t="s">
        <v>69</v>
      </c>
      <c r="M1282" s="3" t="s">
        <v>46</v>
      </c>
      <c r="N1282" s="6" t="s">
        <v>78</v>
      </c>
      <c r="O1282" s="6" t="s">
        <v>46</v>
      </c>
      <c r="P1282" s="6" t="s">
        <v>79</v>
      </c>
      <c r="Q1282" s="6" t="s">
        <v>80</v>
      </c>
      <c r="R1282" s="6" t="s">
        <v>81</v>
      </c>
      <c r="S1282" s="6" t="s">
        <v>46</v>
      </c>
      <c r="T1282" s="6" t="s">
        <v>46</v>
      </c>
      <c r="U1282" s="6" t="s">
        <v>82</v>
      </c>
      <c r="V1282" s="1" t="n">
        <v>4</v>
      </c>
      <c r="W1282" s="4"/>
      <c r="X1282" s="6" t="s">
        <v>83</v>
      </c>
      <c r="Y1282" s="14" t="n">
        <v>5500</v>
      </c>
      <c r="Z1282" s="6" t="s">
        <v>1324</v>
      </c>
      <c r="AA1282" s="6" t="s">
        <v>1325</v>
      </c>
      <c r="AB1282" s="15" t="str">
        <f aca="true" t="array" ref="AB1282:AB1282">LEFT(AA1282,LOOKUP(2^15,FIND(".",AA1282,ROW(INDIRECT("1:"&amp;LEN(AA1282)))))-1)</f>
        <v>NB_2023_016 - 20230425 - 1</v>
      </c>
      <c r="AC1282" s="6" t="s">
        <v>1326</v>
      </c>
      <c r="AD1282" s="15" t="str">
        <f aca="true" t="array" ref="AD1282:AD1282">LEFT(AC1282,LOOKUP(2^15,FIND(".",AC1282,ROW(INDIRECT("1:"&amp;LEN(AC1282)))))-1)</f>
        <v>NB_2023_016 - 20230425 - 2</v>
      </c>
      <c r="AE1282" s="6" t="str">
        <f aca="false">CONCATENATE(AB1282, "-",H1282, ".mzML")</f>
        <v>NB_2023_016 - 20230425 - 1-QC_P_4.mzML</v>
      </c>
      <c r="AF1282" s="6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3" t="s">
        <v>1396</v>
      </c>
      <c r="B1283" s="34"/>
      <c r="C1283" s="4" t="s">
        <v>1397</v>
      </c>
      <c r="D1283" s="6" t="s">
        <v>14</v>
      </c>
      <c r="E1283" s="6" t="s">
        <v>1319</v>
      </c>
      <c r="F1283" s="7" t="s">
        <v>1320</v>
      </c>
      <c r="G1283" s="6" t="s">
        <v>1345</v>
      </c>
      <c r="H1283" s="7" t="s">
        <v>62</v>
      </c>
      <c r="I1283" s="6" t="str">
        <f aca="false">CONCATENATE(E1283, "_",H1283)</f>
        <v>NLA_2023_018_021</v>
      </c>
      <c r="J1283" s="6" t="s">
        <v>38</v>
      </c>
      <c r="K1283" s="6" t="s">
        <v>1350</v>
      </c>
      <c r="L1283" s="9" t="s">
        <v>69</v>
      </c>
      <c r="M1283" s="17" t="s">
        <v>1347</v>
      </c>
      <c r="N1283" s="6" t="s">
        <v>246</v>
      </c>
      <c r="O1283" s="35" t="s">
        <v>1212</v>
      </c>
      <c r="P1283" s="1" t="s">
        <v>43</v>
      </c>
      <c r="Q1283" s="1" t="s">
        <v>43</v>
      </c>
      <c r="R1283" s="6" t="s">
        <v>44</v>
      </c>
      <c r="S1283" s="14"/>
      <c r="T1283" s="6"/>
      <c r="U1283" s="6" t="n">
        <v>1500</v>
      </c>
      <c r="V1283" s="14" t="n">
        <v>1</v>
      </c>
      <c r="W1283" s="4"/>
      <c r="X1283" s="9" t="s">
        <v>1215</v>
      </c>
      <c r="Y1283" s="14" t="n">
        <v>5500</v>
      </c>
      <c r="Z1283" s="6" t="s">
        <v>1324</v>
      </c>
      <c r="AA1283" s="6" t="s">
        <v>1325</v>
      </c>
      <c r="AB1283" s="15" t="str">
        <f aca="true" t="array" ref="AB1283:AB1283">LEFT(AA1283,LOOKUP(2^15,FIND(".",AA1283,ROW(INDIRECT("1:"&amp;LEN(AA1283)))))-1)</f>
        <v>NB_2023_016 - 20230425 - 1</v>
      </c>
      <c r="AC1283" s="6" t="s">
        <v>1326</v>
      </c>
      <c r="AD1283" s="15" t="str">
        <f aca="true" t="array" ref="AD1283:AD1283">LEFT(AC1283,LOOKUP(2^15,FIND(".",AC1283,ROW(INDIRECT("1:"&amp;LEN(AC1283)))))-1)</f>
        <v>NB_2023_016 - 20230425 - 2</v>
      </c>
      <c r="AE1283" s="6" t="str">
        <f aca="false">CONCATENATE(AB1283, "-",H1283, ".mzML")</f>
        <v>NB_2023_016 - 20230425 - 1-021.mzML</v>
      </c>
      <c r="AF1283" s="6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3" t="s">
        <v>1396</v>
      </c>
      <c r="B1284" s="34"/>
      <c r="C1284" s="4" t="s">
        <v>1397</v>
      </c>
      <c r="D1284" s="6" t="s">
        <v>14</v>
      </c>
      <c r="E1284" s="6" t="s">
        <v>1319</v>
      </c>
      <c r="F1284" s="7" t="s">
        <v>1320</v>
      </c>
      <c r="G1284" s="6" t="s">
        <v>1345</v>
      </c>
      <c r="H1284" s="7" t="s">
        <v>1351</v>
      </c>
      <c r="I1284" s="6" t="str">
        <f aca="false">CONCATENATE(E1284, "_",H1284)</f>
        <v>NLA_2023_018_025</v>
      </c>
      <c r="J1284" s="6" t="s">
        <v>38</v>
      </c>
      <c r="K1284" s="6" t="s">
        <v>1352</v>
      </c>
      <c r="L1284" s="9" t="s">
        <v>69</v>
      </c>
      <c r="M1284" s="17" t="s">
        <v>1347</v>
      </c>
      <c r="N1284" s="6" t="s">
        <v>246</v>
      </c>
      <c r="O1284" s="35" t="s">
        <v>1212</v>
      </c>
      <c r="P1284" s="1" t="s">
        <v>43</v>
      </c>
      <c r="Q1284" s="1" t="s">
        <v>43</v>
      </c>
      <c r="R1284" s="6" t="s">
        <v>44</v>
      </c>
      <c r="S1284" s="14"/>
      <c r="T1284" s="6"/>
      <c r="U1284" s="6" t="n">
        <v>1500</v>
      </c>
      <c r="V1284" s="14" t="n">
        <v>2</v>
      </c>
      <c r="W1284" s="4"/>
      <c r="X1284" s="9" t="s">
        <v>1215</v>
      </c>
      <c r="Y1284" s="14" t="n">
        <v>5500</v>
      </c>
      <c r="Z1284" s="6" t="s">
        <v>1324</v>
      </c>
      <c r="AA1284" s="6" t="s">
        <v>1325</v>
      </c>
      <c r="AB1284" s="15" t="str">
        <f aca="true" t="array" ref="AB1284:AB1284">LEFT(AA1284,LOOKUP(2^15,FIND(".",AA1284,ROW(INDIRECT("1:"&amp;LEN(AA1284)))))-1)</f>
        <v>NB_2023_016 - 20230425 - 1</v>
      </c>
      <c r="AC1284" s="6" t="s">
        <v>1326</v>
      </c>
      <c r="AD1284" s="15" t="str">
        <f aca="true" t="array" ref="AD1284:AD1284">LEFT(AC1284,LOOKUP(2^15,FIND(".",AC1284,ROW(INDIRECT("1:"&amp;LEN(AC1284)))))-1)</f>
        <v>NB_2023_016 - 20230425 - 2</v>
      </c>
      <c r="AE1284" s="6" t="str">
        <f aca="false">CONCATENATE(AB1284, "-",H1284, ".mzML")</f>
        <v>NB_2023_016 - 20230425 - 1-025.mzML</v>
      </c>
      <c r="AF1284" s="6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3" t="s">
        <v>1396</v>
      </c>
      <c r="B1285" s="34"/>
      <c r="C1285" s="4" t="s">
        <v>1397</v>
      </c>
      <c r="D1285" s="6" t="s">
        <v>14</v>
      </c>
      <c r="E1285" s="6" t="s">
        <v>1319</v>
      </c>
      <c r="F1285" s="7" t="s">
        <v>1320</v>
      </c>
      <c r="G1285" s="6" t="s">
        <v>1345</v>
      </c>
      <c r="H1285" s="7" t="s">
        <v>1353</v>
      </c>
      <c r="I1285" s="6" t="str">
        <f aca="false">CONCATENATE(E1285, "_",H1285)</f>
        <v>NLA_2023_018_027</v>
      </c>
      <c r="J1285" s="6" t="s">
        <v>38</v>
      </c>
      <c r="K1285" s="6" t="s">
        <v>1354</v>
      </c>
      <c r="L1285" s="9" t="s">
        <v>69</v>
      </c>
      <c r="M1285" s="17" t="s">
        <v>1347</v>
      </c>
      <c r="N1285" s="6" t="s">
        <v>246</v>
      </c>
      <c r="O1285" s="35" t="s">
        <v>1212</v>
      </c>
      <c r="P1285" s="1" t="s">
        <v>43</v>
      </c>
      <c r="Q1285" s="1" t="s">
        <v>43</v>
      </c>
      <c r="R1285" s="6" t="s">
        <v>44</v>
      </c>
      <c r="S1285" s="14"/>
      <c r="T1285" s="6"/>
      <c r="U1285" s="6" t="n">
        <v>1500</v>
      </c>
      <c r="V1285" s="14" t="n">
        <v>3</v>
      </c>
      <c r="W1285" s="4"/>
      <c r="X1285" s="9" t="s">
        <v>1215</v>
      </c>
      <c r="Y1285" s="14" t="n">
        <v>5500</v>
      </c>
      <c r="Z1285" s="6" t="s">
        <v>1324</v>
      </c>
      <c r="AA1285" s="6" t="s">
        <v>1325</v>
      </c>
      <c r="AB1285" s="15" t="str">
        <f aca="true" t="array" ref="AB1285:AB1285">LEFT(AA1285,LOOKUP(2^15,FIND(".",AA1285,ROW(INDIRECT("1:"&amp;LEN(AA1285)))))-1)</f>
        <v>NB_2023_016 - 20230425 - 1</v>
      </c>
      <c r="AC1285" s="6" t="s">
        <v>1326</v>
      </c>
      <c r="AD1285" s="15" t="str">
        <f aca="true" t="array" ref="AD1285:AD1285">LEFT(AC1285,LOOKUP(2^15,FIND(".",AC1285,ROW(INDIRECT("1:"&amp;LEN(AC1285)))))-1)</f>
        <v>NB_2023_016 - 20230425 - 2</v>
      </c>
      <c r="AE1285" s="6" t="str">
        <f aca="false">CONCATENATE(AB1285, "-",H1285, ".mzML")</f>
        <v>NB_2023_016 - 20230425 - 1-027.mzML</v>
      </c>
      <c r="AF1285" s="6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3" t="s">
        <v>1396</v>
      </c>
      <c r="B1286" s="34"/>
      <c r="C1286" s="4" t="s">
        <v>1397</v>
      </c>
      <c r="D1286" s="6" t="s">
        <v>14</v>
      </c>
      <c r="E1286" s="6" t="s">
        <v>1319</v>
      </c>
      <c r="F1286" s="7" t="s">
        <v>1320</v>
      </c>
      <c r="G1286" s="6" t="s">
        <v>1345</v>
      </c>
      <c r="H1286" s="7" t="s">
        <v>920</v>
      </c>
      <c r="I1286" s="6" t="str">
        <f aca="false">CONCATENATE(E1286, "_",H1286)</f>
        <v>NLA_2023_018_034</v>
      </c>
      <c r="J1286" s="6" t="s">
        <v>52</v>
      </c>
      <c r="K1286" s="6" t="s">
        <v>1388</v>
      </c>
      <c r="L1286" s="9" t="s">
        <v>69</v>
      </c>
      <c r="M1286" s="17" t="s">
        <v>1347</v>
      </c>
      <c r="N1286" s="6" t="s">
        <v>246</v>
      </c>
      <c r="O1286" s="35" t="s">
        <v>1220</v>
      </c>
      <c r="P1286" s="1" t="s">
        <v>43</v>
      </c>
      <c r="Q1286" s="6" t="s">
        <v>1358</v>
      </c>
      <c r="R1286" s="6" t="s">
        <v>44</v>
      </c>
      <c r="S1286" s="14"/>
      <c r="T1286" s="6"/>
      <c r="U1286" s="6" t="n">
        <v>1500</v>
      </c>
      <c r="V1286" s="14" t="n">
        <v>1</v>
      </c>
      <c r="W1286" s="4"/>
      <c r="X1286" s="9" t="s">
        <v>1215</v>
      </c>
      <c r="Y1286" s="14" t="n">
        <v>5500</v>
      </c>
      <c r="Z1286" s="6" t="s">
        <v>1324</v>
      </c>
      <c r="AA1286" s="6" t="s">
        <v>1325</v>
      </c>
      <c r="AB1286" s="15" t="str">
        <f aca="true" t="array" ref="AB1286:AB1286">LEFT(AA1286,LOOKUP(2^15,FIND(".",AA1286,ROW(INDIRECT("1:"&amp;LEN(AA1286)))))-1)</f>
        <v>NB_2023_016 - 20230425 - 1</v>
      </c>
      <c r="AC1286" s="6" t="s">
        <v>1326</v>
      </c>
      <c r="AD1286" s="15" t="str">
        <f aca="true" t="array" ref="AD1286:AD1286">LEFT(AC1286,LOOKUP(2^15,FIND(".",AC1286,ROW(INDIRECT("1:"&amp;LEN(AC1286)))))-1)</f>
        <v>NB_2023_016 - 20230425 - 2</v>
      </c>
      <c r="AE1286" s="6" t="str">
        <f aca="false">CONCATENATE(AB1286, "-",H1286, ".mzML")</f>
        <v>NB_2023_016 - 20230425 - 1-034.mzML</v>
      </c>
      <c r="AF1286" s="6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3" t="s">
        <v>1396</v>
      </c>
      <c r="B1287" s="34"/>
      <c r="C1287" s="4" t="s">
        <v>1397</v>
      </c>
      <c r="D1287" s="6" t="s">
        <v>14</v>
      </c>
      <c r="E1287" s="6" t="s">
        <v>1319</v>
      </c>
      <c r="F1287" s="7" t="s">
        <v>1320</v>
      </c>
      <c r="G1287" s="6" t="s">
        <v>1319</v>
      </c>
      <c r="H1287" s="16" t="s">
        <v>64</v>
      </c>
      <c r="I1287" s="6" t="str">
        <f aca="false">CONCATENATE(E1287, "_",H1287)</f>
        <v>NLA_2023_018_Blank_1</v>
      </c>
      <c r="J1287" s="6" t="s">
        <v>52</v>
      </c>
      <c r="K1287" s="18" t="s">
        <v>64</v>
      </c>
      <c r="L1287" s="7" t="s">
        <v>46</v>
      </c>
      <c r="M1287" s="17" t="s">
        <v>46</v>
      </c>
      <c r="N1287" s="6" t="s">
        <v>65</v>
      </c>
      <c r="O1287" s="6" t="s">
        <v>46</v>
      </c>
      <c r="P1287" s="6" t="s">
        <v>46</v>
      </c>
      <c r="Q1287" s="6" t="s">
        <v>46</v>
      </c>
      <c r="R1287" s="6" t="s">
        <v>46</v>
      </c>
      <c r="S1287" s="6" t="s">
        <v>46</v>
      </c>
      <c r="T1287" s="6" t="s">
        <v>46</v>
      </c>
      <c r="U1287" s="6" t="s">
        <v>46</v>
      </c>
      <c r="V1287" s="1" t="n">
        <v>1</v>
      </c>
      <c r="W1287" s="4"/>
      <c r="X1287" s="6" t="s">
        <v>46</v>
      </c>
      <c r="Y1287" s="14" t="n">
        <v>5500</v>
      </c>
      <c r="Z1287" s="6" t="s">
        <v>1324</v>
      </c>
      <c r="AA1287" s="6" t="s">
        <v>1325</v>
      </c>
      <c r="AB1287" s="15" t="str">
        <f aca="true" t="array" ref="AB1287:AB1287">LEFT(AA1287,LOOKUP(2^15,FIND(".",AA1287,ROW(INDIRECT("1:"&amp;LEN(AA1287)))))-1)</f>
        <v>NB_2023_016 - 20230425 - 1</v>
      </c>
      <c r="AC1287" s="6" t="s">
        <v>1326</v>
      </c>
      <c r="AD1287" s="15" t="str">
        <f aca="true" t="array" ref="AD1287:AD1287">LEFT(AC1287,LOOKUP(2^15,FIND(".",AC1287,ROW(INDIRECT("1:"&amp;LEN(AC1287)))))-1)</f>
        <v>NB_2023_016 - 20230425 - 2</v>
      </c>
      <c r="AE1287" s="6" t="str">
        <f aca="false">CONCATENATE(AB1287, "-",H1287, ".mzML")</f>
        <v>NB_2023_016 - 20230425 - 1-Blank_1.mzML</v>
      </c>
      <c r="AF1287" s="6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3" t="s">
        <v>1396</v>
      </c>
      <c r="B1288" s="34"/>
      <c r="C1288" s="4" t="s">
        <v>1397</v>
      </c>
      <c r="D1288" s="6" t="s">
        <v>14</v>
      </c>
      <c r="E1288" s="6" t="s">
        <v>1319</v>
      </c>
      <c r="F1288" s="7" t="s">
        <v>1320</v>
      </c>
      <c r="G1288" s="6" t="s">
        <v>1319</v>
      </c>
      <c r="H1288" s="16" t="s">
        <v>67</v>
      </c>
      <c r="I1288" s="6" t="str">
        <f aca="false">CONCATENATE(E1288, "_",H1288)</f>
        <v>NLA_2023_018_Blank_3</v>
      </c>
      <c r="J1288" s="6" t="s">
        <v>52</v>
      </c>
      <c r="K1288" s="18" t="s">
        <v>67</v>
      </c>
      <c r="L1288" s="7" t="s">
        <v>46</v>
      </c>
      <c r="M1288" s="17" t="s">
        <v>46</v>
      </c>
      <c r="N1288" s="6" t="s">
        <v>65</v>
      </c>
      <c r="O1288" s="6" t="s">
        <v>46</v>
      </c>
      <c r="P1288" s="6" t="s">
        <v>46</v>
      </c>
      <c r="Q1288" s="6" t="s">
        <v>46</v>
      </c>
      <c r="R1288" s="6" t="s">
        <v>46</v>
      </c>
      <c r="S1288" s="6" t="s">
        <v>46</v>
      </c>
      <c r="T1288" s="6" t="s">
        <v>46</v>
      </c>
      <c r="U1288" s="6" t="s">
        <v>46</v>
      </c>
      <c r="V1288" s="1" t="n">
        <v>3</v>
      </c>
      <c r="W1288" s="4"/>
      <c r="X1288" s="6" t="s">
        <v>46</v>
      </c>
      <c r="Y1288" s="14" t="n">
        <v>5500</v>
      </c>
      <c r="Z1288" s="6" t="s">
        <v>1324</v>
      </c>
      <c r="AA1288" s="6" t="s">
        <v>1325</v>
      </c>
      <c r="AB1288" s="15" t="str">
        <f aca="true" t="array" ref="AB1288:AB1288">LEFT(AA1288,LOOKUP(2^15,FIND(".",AA1288,ROW(INDIRECT("1:"&amp;LEN(AA1288)))))-1)</f>
        <v>NB_2023_016 - 20230425 - 1</v>
      </c>
      <c r="AC1288" s="6" t="s">
        <v>1326</v>
      </c>
      <c r="AD1288" s="15" t="str">
        <f aca="true" t="array" ref="AD1288:AD1288">LEFT(AC1288,LOOKUP(2^15,FIND(".",AC1288,ROW(INDIRECT("1:"&amp;LEN(AC1288)))))-1)</f>
        <v>NB_2023_016 - 20230425 - 2</v>
      </c>
      <c r="AE1288" s="6" t="str">
        <f aca="false">CONCATENATE(AB1288, "-",H1288, ".mzML")</f>
        <v>NB_2023_016 - 20230425 - 1-Blank_3.mzML</v>
      </c>
      <c r="AF1288" s="6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3" t="s">
        <v>1396</v>
      </c>
      <c r="B1289" s="34"/>
      <c r="C1289" s="4" t="s">
        <v>1397</v>
      </c>
      <c r="D1289" s="6" t="s">
        <v>14</v>
      </c>
      <c r="E1289" s="6" t="s">
        <v>1319</v>
      </c>
      <c r="F1289" s="7" t="s">
        <v>1320</v>
      </c>
      <c r="G1289" s="6" t="s">
        <v>1319</v>
      </c>
      <c r="H1289" s="16" t="s">
        <v>221</v>
      </c>
      <c r="I1289" s="6" t="str">
        <f aca="false">CONCATENATE(E1289, "_",H1289)</f>
        <v>NLA_2023_018_Blank_4</v>
      </c>
      <c r="J1289" s="6" t="s">
        <v>52</v>
      </c>
      <c r="K1289" s="18" t="s">
        <v>221</v>
      </c>
      <c r="L1289" s="7" t="s">
        <v>46</v>
      </c>
      <c r="M1289" s="17" t="s">
        <v>46</v>
      </c>
      <c r="N1289" s="6" t="s">
        <v>65</v>
      </c>
      <c r="O1289" s="6" t="s">
        <v>46</v>
      </c>
      <c r="P1289" s="6" t="s">
        <v>46</v>
      </c>
      <c r="Q1289" s="6" t="s">
        <v>46</v>
      </c>
      <c r="R1289" s="6" t="s">
        <v>46</v>
      </c>
      <c r="S1289" s="6" t="s">
        <v>46</v>
      </c>
      <c r="T1289" s="6" t="s">
        <v>46</v>
      </c>
      <c r="U1289" s="6" t="s">
        <v>46</v>
      </c>
      <c r="V1289" s="1" t="n">
        <v>4</v>
      </c>
      <c r="W1289" s="4"/>
      <c r="X1289" s="6" t="s">
        <v>46</v>
      </c>
      <c r="Y1289" s="14" t="n">
        <v>5500</v>
      </c>
      <c r="Z1289" s="6" t="s">
        <v>1324</v>
      </c>
      <c r="AA1289" s="6" t="s">
        <v>1325</v>
      </c>
      <c r="AB1289" s="15" t="str">
        <f aca="true" t="array" ref="AB1289:AB1289">LEFT(AA1289,LOOKUP(2^15,FIND(".",AA1289,ROW(INDIRECT("1:"&amp;LEN(AA1289)))))-1)</f>
        <v>NB_2023_016 - 20230425 - 1</v>
      </c>
      <c r="AC1289" s="6" t="s">
        <v>1326</v>
      </c>
      <c r="AD1289" s="15" t="str">
        <f aca="true" t="array" ref="AD1289:AD1289">LEFT(AC1289,LOOKUP(2^15,FIND(".",AC1289,ROW(INDIRECT("1:"&amp;LEN(AC1289)))))-1)</f>
        <v>NB_2023_016 - 20230425 - 2</v>
      </c>
      <c r="AE1289" s="6" t="str">
        <f aca="false">CONCATENATE(AB1289, "-",H1289, ".mzML")</f>
        <v>NB_2023_016 - 20230425 - 1-Blank_4.mzML</v>
      </c>
      <c r="AF1289" s="6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3" t="s">
        <v>1396</v>
      </c>
      <c r="B1290" s="34"/>
      <c r="C1290" s="4" t="s">
        <v>1397</v>
      </c>
      <c r="D1290" s="6" t="s">
        <v>14</v>
      </c>
      <c r="E1290" s="6" t="s">
        <v>1319</v>
      </c>
      <c r="F1290" s="7" t="s">
        <v>1320</v>
      </c>
      <c r="G1290" s="6" t="s">
        <v>1319</v>
      </c>
      <c r="H1290" s="16" t="s">
        <v>68</v>
      </c>
      <c r="I1290" s="6" t="str">
        <f aca="false">CONCATENATE(E1290, "_",H1290)</f>
        <v>NLA_2023_018_QC_C_1</v>
      </c>
      <c r="J1290" s="6" t="s">
        <v>52</v>
      </c>
      <c r="K1290" s="18" t="s">
        <v>68</v>
      </c>
      <c r="L1290" s="9" t="s">
        <v>69</v>
      </c>
      <c r="M1290" s="3" t="s">
        <v>46</v>
      </c>
      <c r="N1290" s="6" t="s">
        <v>70</v>
      </c>
      <c r="O1290" s="6" t="s">
        <v>46</v>
      </c>
      <c r="P1290" s="6" t="s">
        <v>71</v>
      </c>
      <c r="Q1290" s="6" t="s">
        <v>71</v>
      </c>
      <c r="R1290" s="6" t="s">
        <v>72</v>
      </c>
      <c r="S1290" s="6" t="s">
        <v>73</v>
      </c>
      <c r="T1290" s="6" t="s">
        <v>46</v>
      </c>
      <c r="U1290" s="6" t="n">
        <v>1000</v>
      </c>
      <c r="V1290" s="1" t="n">
        <v>1</v>
      </c>
      <c r="W1290" s="4"/>
      <c r="X1290" s="6" t="s">
        <v>74</v>
      </c>
      <c r="Y1290" s="14" t="n">
        <v>5500</v>
      </c>
      <c r="Z1290" s="6" t="s">
        <v>1324</v>
      </c>
      <c r="AA1290" s="6" t="s">
        <v>1325</v>
      </c>
      <c r="AB1290" s="15" t="str">
        <f aca="true" t="array" ref="AB1290:AB1290">LEFT(AA1290,LOOKUP(2^15,FIND(".",AA1290,ROW(INDIRECT("1:"&amp;LEN(AA1290)))))-1)</f>
        <v>NB_2023_016 - 20230425 - 1</v>
      </c>
      <c r="AC1290" s="6" t="s">
        <v>1326</v>
      </c>
      <c r="AD1290" s="15" t="str">
        <f aca="true" t="array" ref="AD1290:AD1290">LEFT(AC1290,LOOKUP(2^15,FIND(".",AC1290,ROW(INDIRECT("1:"&amp;LEN(AC1290)))))-1)</f>
        <v>NB_2023_016 - 20230425 - 2</v>
      </c>
      <c r="AE1290" s="6" t="str">
        <f aca="false">CONCATENATE(AB1290, "-",H1290, ".mzML")</f>
        <v>NB_2023_016 - 20230425 - 1-QC_C_1.mzML</v>
      </c>
      <c r="AF1290" s="6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3" t="s">
        <v>1396</v>
      </c>
      <c r="B1291" s="34"/>
      <c r="C1291" s="4" t="s">
        <v>1397</v>
      </c>
      <c r="D1291" s="6" t="s">
        <v>14</v>
      </c>
      <c r="E1291" s="6" t="s">
        <v>1319</v>
      </c>
      <c r="F1291" s="7" t="s">
        <v>1320</v>
      </c>
      <c r="G1291" s="6" t="s">
        <v>1319</v>
      </c>
      <c r="H1291" s="16" t="s">
        <v>75</v>
      </c>
      <c r="I1291" s="6" t="str">
        <f aca="false">CONCATENATE(E1291, "_",H1291)</f>
        <v>NLA_2023_018_QC_C_2</v>
      </c>
      <c r="J1291" s="6" t="s">
        <v>52</v>
      </c>
      <c r="K1291" s="18" t="s">
        <v>75</v>
      </c>
      <c r="L1291" s="9" t="s">
        <v>69</v>
      </c>
      <c r="M1291" s="3" t="s">
        <v>46</v>
      </c>
      <c r="N1291" s="6" t="s">
        <v>70</v>
      </c>
      <c r="O1291" s="6" t="s">
        <v>46</v>
      </c>
      <c r="P1291" s="6" t="s">
        <v>71</v>
      </c>
      <c r="Q1291" s="6" t="s">
        <v>71</v>
      </c>
      <c r="R1291" s="6" t="s">
        <v>72</v>
      </c>
      <c r="S1291" s="6" t="s">
        <v>73</v>
      </c>
      <c r="T1291" s="6" t="s">
        <v>46</v>
      </c>
      <c r="U1291" s="6" t="n">
        <v>1000</v>
      </c>
      <c r="V1291" s="1" t="n">
        <v>2</v>
      </c>
      <c r="W1291" s="4"/>
      <c r="X1291" s="6" t="s">
        <v>74</v>
      </c>
      <c r="Y1291" s="14" t="n">
        <v>5500</v>
      </c>
      <c r="Z1291" s="6" t="s">
        <v>1324</v>
      </c>
      <c r="AA1291" s="6" t="s">
        <v>1325</v>
      </c>
      <c r="AB1291" s="15" t="str">
        <f aca="true" t="array" ref="AB1291:AB1291">LEFT(AA1291,LOOKUP(2^15,FIND(".",AA1291,ROW(INDIRECT("1:"&amp;LEN(AA1291)))))-1)</f>
        <v>NB_2023_016 - 20230425 - 1</v>
      </c>
      <c r="AC1291" s="6" t="s">
        <v>1326</v>
      </c>
      <c r="AD1291" s="15" t="str">
        <f aca="true" t="array" ref="AD1291:AD1291">LEFT(AC1291,LOOKUP(2^15,FIND(".",AC1291,ROW(INDIRECT("1:"&amp;LEN(AC1291)))))-1)</f>
        <v>NB_2023_016 - 20230425 - 2</v>
      </c>
      <c r="AE1291" s="6" t="str">
        <f aca="false">CONCATENATE(AB1291, "-",H1291, ".mzML")</f>
        <v>NB_2023_016 - 20230425 - 1-QC_C_2.mzML</v>
      </c>
      <c r="AF1291" s="6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3" t="s">
        <v>1396</v>
      </c>
      <c r="B1292" s="34"/>
      <c r="C1292" s="4" t="s">
        <v>1397</v>
      </c>
      <c r="D1292" s="6" t="s">
        <v>14</v>
      </c>
      <c r="E1292" s="6" t="s">
        <v>1319</v>
      </c>
      <c r="F1292" s="7" t="s">
        <v>1320</v>
      </c>
      <c r="G1292" s="6" t="s">
        <v>1319</v>
      </c>
      <c r="H1292" s="16" t="s">
        <v>76</v>
      </c>
      <c r="I1292" s="6" t="str">
        <f aca="false">CONCATENATE(E1292, "_",H1292)</f>
        <v>NLA_2023_018_QC_C_3</v>
      </c>
      <c r="J1292" s="6" t="s">
        <v>52</v>
      </c>
      <c r="K1292" s="18" t="s">
        <v>76</v>
      </c>
      <c r="L1292" s="9" t="s">
        <v>69</v>
      </c>
      <c r="M1292" s="3" t="s">
        <v>46</v>
      </c>
      <c r="N1292" s="6" t="s">
        <v>70</v>
      </c>
      <c r="O1292" s="6" t="s">
        <v>46</v>
      </c>
      <c r="P1292" s="6" t="s">
        <v>71</v>
      </c>
      <c r="Q1292" s="6" t="s">
        <v>71</v>
      </c>
      <c r="R1292" s="6" t="s">
        <v>72</v>
      </c>
      <c r="S1292" s="6" t="s">
        <v>73</v>
      </c>
      <c r="T1292" s="6" t="s">
        <v>46</v>
      </c>
      <c r="U1292" s="6" t="n">
        <v>1000</v>
      </c>
      <c r="V1292" s="1" t="n">
        <v>3</v>
      </c>
      <c r="W1292" s="4"/>
      <c r="X1292" s="6" t="s">
        <v>74</v>
      </c>
      <c r="Y1292" s="14" t="n">
        <v>5500</v>
      </c>
      <c r="Z1292" s="6" t="s">
        <v>1324</v>
      </c>
      <c r="AA1292" s="6" t="s">
        <v>1325</v>
      </c>
      <c r="AB1292" s="15" t="str">
        <f aca="true" t="array" ref="AB1292:AB1292">LEFT(AA1292,LOOKUP(2^15,FIND(".",AA1292,ROW(INDIRECT("1:"&amp;LEN(AA1292)))))-1)</f>
        <v>NB_2023_016 - 20230425 - 1</v>
      </c>
      <c r="AC1292" s="6" t="s">
        <v>1326</v>
      </c>
      <c r="AD1292" s="15" t="str">
        <f aca="true" t="array" ref="AD1292:AD1292">LEFT(AC1292,LOOKUP(2^15,FIND(".",AC1292,ROW(INDIRECT("1:"&amp;LEN(AC1292)))))-1)</f>
        <v>NB_2023_016 - 20230425 - 2</v>
      </c>
      <c r="AE1292" s="6" t="str">
        <f aca="false">CONCATENATE(AB1292, "-",H1292, ".mzML")</f>
        <v>NB_2023_016 - 20230425 - 1-QC_C_3.mzML</v>
      </c>
      <c r="AF1292" s="6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3" t="s">
        <v>1396</v>
      </c>
      <c r="B1293" s="34"/>
      <c r="C1293" s="4" t="s">
        <v>1397</v>
      </c>
      <c r="D1293" s="6" t="s">
        <v>14</v>
      </c>
      <c r="E1293" s="6" t="s">
        <v>1319</v>
      </c>
      <c r="F1293" s="7" t="s">
        <v>1320</v>
      </c>
      <c r="G1293" s="6" t="s">
        <v>1319</v>
      </c>
      <c r="H1293" s="16" t="s">
        <v>222</v>
      </c>
      <c r="I1293" s="6" t="str">
        <f aca="false">CONCATENATE(E1293, "_",H1293)</f>
        <v>NLA_2023_018_QC_C_4</v>
      </c>
      <c r="J1293" s="6" t="s">
        <v>52</v>
      </c>
      <c r="K1293" s="18" t="s">
        <v>222</v>
      </c>
      <c r="L1293" s="9" t="s">
        <v>69</v>
      </c>
      <c r="M1293" s="3" t="s">
        <v>46</v>
      </c>
      <c r="N1293" s="6" t="s">
        <v>70</v>
      </c>
      <c r="O1293" s="6" t="s">
        <v>46</v>
      </c>
      <c r="P1293" s="6" t="s">
        <v>71</v>
      </c>
      <c r="Q1293" s="6" t="s">
        <v>71</v>
      </c>
      <c r="R1293" s="6" t="s">
        <v>72</v>
      </c>
      <c r="S1293" s="6" t="s">
        <v>73</v>
      </c>
      <c r="T1293" s="6" t="s">
        <v>46</v>
      </c>
      <c r="U1293" s="6" t="n">
        <v>1000</v>
      </c>
      <c r="V1293" s="1" t="n">
        <v>4</v>
      </c>
      <c r="W1293" s="4"/>
      <c r="X1293" s="6" t="s">
        <v>74</v>
      </c>
      <c r="Y1293" s="14" t="n">
        <v>5500</v>
      </c>
      <c r="Z1293" s="6" t="s">
        <v>1324</v>
      </c>
      <c r="AA1293" s="6" t="s">
        <v>1325</v>
      </c>
      <c r="AB1293" s="15" t="str">
        <f aca="true" t="array" ref="AB1293:AB1293">LEFT(AA1293,LOOKUP(2^15,FIND(".",AA1293,ROW(INDIRECT("1:"&amp;LEN(AA1293)))))-1)</f>
        <v>NB_2023_016 - 20230425 - 1</v>
      </c>
      <c r="AC1293" s="6" t="s">
        <v>1326</v>
      </c>
      <c r="AD1293" s="15" t="str">
        <f aca="true" t="array" ref="AD1293:AD1293">LEFT(AC1293,LOOKUP(2^15,FIND(".",AC1293,ROW(INDIRECT("1:"&amp;LEN(AC1293)))))-1)</f>
        <v>NB_2023_016 - 20230425 - 2</v>
      </c>
      <c r="AE1293" s="6" t="str">
        <f aca="false">CONCATENATE(AB1293, "-",H1293, ".mzML")</f>
        <v>NB_2023_016 - 20230425 - 1-QC_C_4.mzML</v>
      </c>
      <c r="AF1293" s="6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3" t="s">
        <v>1396</v>
      </c>
      <c r="B1294" s="34"/>
      <c r="C1294" s="4" t="s">
        <v>1397</v>
      </c>
      <c r="D1294" s="6" t="s">
        <v>14</v>
      </c>
      <c r="E1294" s="6" t="s">
        <v>1319</v>
      </c>
      <c r="F1294" s="7" t="s">
        <v>1320</v>
      </c>
      <c r="G1294" s="6" t="s">
        <v>1319</v>
      </c>
      <c r="H1294" s="16" t="s">
        <v>77</v>
      </c>
      <c r="I1294" s="6" t="str">
        <f aca="false">CONCATENATE(E1294, "_",H1294)</f>
        <v>NLA_2023_018_QC_P_1</v>
      </c>
      <c r="J1294" s="6" t="s">
        <v>52</v>
      </c>
      <c r="K1294" s="18" t="s">
        <v>77</v>
      </c>
      <c r="L1294" s="7" t="s">
        <v>69</v>
      </c>
      <c r="M1294" s="3" t="s">
        <v>46</v>
      </c>
      <c r="N1294" s="6" t="s">
        <v>78</v>
      </c>
      <c r="O1294" s="6" t="s">
        <v>46</v>
      </c>
      <c r="P1294" s="6" t="s">
        <v>79</v>
      </c>
      <c r="Q1294" s="6" t="s">
        <v>80</v>
      </c>
      <c r="R1294" s="6" t="s">
        <v>81</v>
      </c>
      <c r="S1294" s="6" t="s">
        <v>46</v>
      </c>
      <c r="T1294" s="6" t="s">
        <v>46</v>
      </c>
      <c r="U1294" s="6" t="s">
        <v>82</v>
      </c>
      <c r="V1294" s="1" t="n">
        <v>1</v>
      </c>
      <c r="W1294" s="4"/>
      <c r="X1294" s="6" t="s">
        <v>83</v>
      </c>
      <c r="Y1294" s="14" t="n">
        <v>5500</v>
      </c>
      <c r="Z1294" s="6" t="s">
        <v>1324</v>
      </c>
      <c r="AA1294" s="6" t="s">
        <v>1325</v>
      </c>
      <c r="AB1294" s="15" t="str">
        <f aca="true" t="array" ref="AB1294:AB1294">LEFT(AA1294,LOOKUP(2^15,FIND(".",AA1294,ROW(INDIRECT("1:"&amp;LEN(AA1294)))))-1)</f>
        <v>NB_2023_016 - 20230425 - 1</v>
      </c>
      <c r="AC1294" s="6" t="s">
        <v>1326</v>
      </c>
      <c r="AD1294" s="15" t="str">
        <f aca="true" t="array" ref="AD1294:AD1294">LEFT(AC1294,LOOKUP(2^15,FIND(".",AC1294,ROW(INDIRECT("1:"&amp;LEN(AC1294)))))-1)</f>
        <v>NB_2023_016 - 20230425 - 2</v>
      </c>
      <c r="AE1294" s="6" t="str">
        <f aca="false">CONCATENATE(AB1294, "-",H1294, ".mzML")</f>
        <v>NB_2023_016 - 20230425 - 1-QC_P_1.mzML</v>
      </c>
      <c r="AF1294" s="6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3" t="s">
        <v>1396</v>
      </c>
      <c r="B1295" s="34"/>
      <c r="C1295" s="4" t="s">
        <v>1397</v>
      </c>
      <c r="D1295" s="6" t="s">
        <v>14</v>
      </c>
      <c r="E1295" s="6" t="s">
        <v>1319</v>
      </c>
      <c r="F1295" s="7" t="s">
        <v>1320</v>
      </c>
      <c r="G1295" s="6" t="s">
        <v>1319</v>
      </c>
      <c r="H1295" s="16" t="s">
        <v>84</v>
      </c>
      <c r="I1295" s="6" t="str">
        <f aca="false">CONCATENATE(E1295, "_",H1295)</f>
        <v>NLA_2023_018_QC_P_2</v>
      </c>
      <c r="J1295" s="6" t="s">
        <v>52</v>
      </c>
      <c r="K1295" s="18" t="s">
        <v>84</v>
      </c>
      <c r="L1295" s="7" t="s">
        <v>69</v>
      </c>
      <c r="M1295" s="3" t="s">
        <v>46</v>
      </c>
      <c r="N1295" s="6" t="s">
        <v>78</v>
      </c>
      <c r="O1295" s="6" t="s">
        <v>46</v>
      </c>
      <c r="P1295" s="6" t="s">
        <v>79</v>
      </c>
      <c r="Q1295" s="6" t="s">
        <v>80</v>
      </c>
      <c r="R1295" s="6" t="s">
        <v>81</v>
      </c>
      <c r="S1295" s="6" t="s">
        <v>46</v>
      </c>
      <c r="T1295" s="6" t="s">
        <v>46</v>
      </c>
      <c r="U1295" s="6" t="s">
        <v>82</v>
      </c>
      <c r="V1295" s="1" t="n">
        <v>2</v>
      </c>
      <c r="W1295" s="4"/>
      <c r="X1295" s="6" t="s">
        <v>83</v>
      </c>
      <c r="Y1295" s="14" t="n">
        <v>5500</v>
      </c>
      <c r="Z1295" s="6" t="s">
        <v>1324</v>
      </c>
      <c r="AA1295" s="6" t="s">
        <v>1325</v>
      </c>
      <c r="AB1295" s="15" t="str">
        <f aca="true" t="array" ref="AB1295:AB1295">LEFT(AA1295,LOOKUP(2^15,FIND(".",AA1295,ROW(INDIRECT("1:"&amp;LEN(AA1295)))))-1)</f>
        <v>NB_2023_016 - 20230425 - 1</v>
      </c>
      <c r="AC1295" s="6" t="s">
        <v>1326</v>
      </c>
      <c r="AD1295" s="15" t="str">
        <f aca="true" t="array" ref="AD1295:AD1295">LEFT(AC1295,LOOKUP(2^15,FIND(".",AC1295,ROW(INDIRECT("1:"&amp;LEN(AC1295)))))-1)</f>
        <v>NB_2023_016 - 20230425 - 2</v>
      </c>
      <c r="AE1295" s="6" t="str">
        <f aca="false">CONCATENATE(AB1295, "-",H1295, ".mzML")</f>
        <v>NB_2023_016 - 20230425 - 1-QC_P_2.mzML</v>
      </c>
      <c r="AF1295" s="6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3" t="s">
        <v>1396</v>
      </c>
      <c r="B1296" s="34"/>
      <c r="C1296" s="4" t="s">
        <v>1397</v>
      </c>
      <c r="D1296" s="6" t="s">
        <v>14</v>
      </c>
      <c r="E1296" s="6" t="s">
        <v>1319</v>
      </c>
      <c r="F1296" s="7" t="s">
        <v>1320</v>
      </c>
      <c r="G1296" s="6" t="s">
        <v>1319</v>
      </c>
      <c r="H1296" s="16" t="s">
        <v>85</v>
      </c>
      <c r="I1296" s="6" t="str">
        <f aca="false">CONCATENATE(E1296, "_",H1296)</f>
        <v>NLA_2023_018_QC_P_3</v>
      </c>
      <c r="J1296" s="4" t="s">
        <v>52</v>
      </c>
      <c r="K1296" s="18" t="s">
        <v>85</v>
      </c>
      <c r="L1296" s="7" t="s">
        <v>69</v>
      </c>
      <c r="M1296" s="3" t="s">
        <v>46</v>
      </c>
      <c r="N1296" s="6" t="s">
        <v>78</v>
      </c>
      <c r="O1296" s="6" t="s">
        <v>46</v>
      </c>
      <c r="P1296" s="6" t="s">
        <v>79</v>
      </c>
      <c r="Q1296" s="6" t="s">
        <v>80</v>
      </c>
      <c r="R1296" s="6" t="s">
        <v>81</v>
      </c>
      <c r="S1296" s="6" t="s">
        <v>46</v>
      </c>
      <c r="T1296" s="6" t="s">
        <v>46</v>
      </c>
      <c r="U1296" s="6" t="s">
        <v>82</v>
      </c>
      <c r="V1296" s="1" t="n">
        <v>3</v>
      </c>
      <c r="W1296" s="4"/>
      <c r="X1296" s="6" t="s">
        <v>83</v>
      </c>
      <c r="Y1296" s="14" t="n">
        <v>5500</v>
      </c>
      <c r="Z1296" s="6" t="s">
        <v>1324</v>
      </c>
      <c r="AA1296" s="6" t="s">
        <v>1325</v>
      </c>
      <c r="AB1296" s="15" t="str">
        <f aca="true" t="array" ref="AB1296:AB1296">LEFT(AA1296,LOOKUP(2^15,FIND(".",AA1296,ROW(INDIRECT("1:"&amp;LEN(AA1296)))))-1)</f>
        <v>NB_2023_016 - 20230425 - 1</v>
      </c>
      <c r="AC1296" s="6" t="s">
        <v>1326</v>
      </c>
      <c r="AD1296" s="15" t="str">
        <f aca="true" t="array" ref="AD1296:AD1296">LEFT(AC1296,LOOKUP(2^15,FIND(".",AC1296,ROW(INDIRECT("1:"&amp;LEN(AC1296)))))-1)</f>
        <v>NB_2023_016 - 20230425 - 2</v>
      </c>
      <c r="AE1296" s="6" t="str">
        <f aca="false">CONCATENATE(AB1296, "-",H1296, ".mzML")</f>
        <v>NB_2023_016 - 20230425 - 1-QC_P_3.mzML</v>
      </c>
      <c r="AF1296" s="6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3" t="s">
        <v>1396</v>
      </c>
      <c r="B1297" s="34"/>
      <c r="C1297" s="4" t="s">
        <v>1397</v>
      </c>
      <c r="D1297" s="6" t="s">
        <v>14</v>
      </c>
      <c r="E1297" s="6" t="s">
        <v>1319</v>
      </c>
      <c r="F1297" s="7" t="s">
        <v>1320</v>
      </c>
      <c r="G1297" s="6" t="s">
        <v>1319</v>
      </c>
      <c r="H1297" s="16" t="s">
        <v>224</v>
      </c>
      <c r="I1297" s="6" t="str">
        <f aca="false">CONCATENATE(E1297, "_",H1297)</f>
        <v>NLA_2023_018_QC_P_4</v>
      </c>
      <c r="J1297" s="4" t="s">
        <v>52</v>
      </c>
      <c r="K1297" s="18" t="s">
        <v>224</v>
      </c>
      <c r="L1297" s="7" t="s">
        <v>69</v>
      </c>
      <c r="M1297" s="3" t="s">
        <v>46</v>
      </c>
      <c r="N1297" s="6" t="s">
        <v>78</v>
      </c>
      <c r="O1297" s="6" t="s">
        <v>46</v>
      </c>
      <c r="P1297" s="6" t="s">
        <v>79</v>
      </c>
      <c r="Q1297" s="6" t="s">
        <v>80</v>
      </c>
      <c r="R1297" s="6" t="s">
        <v>81</v>
      </c>
      <c r="S1297" s="6" t="s">
        <v>46</v>
      </c>
      <c r="T1297" s="6" t="s">
        <v>46</v>
      </c>
      <c r="U1297" s="6" t="s">
        <v>82</v>
      </c>
      <c r="V1297" s="1" t="n">
        <v>4</v>
      </c>
      <c r="W1297" s="4"/>
      <c r="X1297" s="6" t="s">
        <v>83</v>
      </c>
      <c r="Y1297" s="14" t="n">
        <v>5500</v>
      </c>
      <c r="Z1297" s="6" t="s">
        <v>1324</v>
      </c>
      <c r="AA1297" s="6" t="s">
        <v>1325</v>
      </c>
      <c r="AB1297" s="15" t="str">
        <f aca="true" t="array" ref="AB1297:AB1297">LEFT(AA1297,LOOKUP(2^15,FIND(".",AA1297,ROW(INDIRECT("1:"&amp;LEN(AA1297)))))-1)</f>
        <v>NB_2023_016 - 20230425 - 1</v>
      </c>
      <c r="AC1297" s="6" t="s">
        <v>1326</v>
      </c>
      <c r="AD1297" s="15" t="str">
        <f aca="true" t="array" ref="AD1297:AD1297">LEFT(AC1297,LOOKUP(2^15,FIND(".",AC1297,ROW(INDIRECT("1:"&amp;LEN(AC1297)))))-1)</f>
        <v>NB_2023_016 - 20230425 - 2</v>
      </c>
      <c r="AE1297" s="6" t="str">
        <f aca="false">CONCATENATE(AB1297, "-",H1297, ".mzML")</f>
        <v>NB_2023_016 - 20230425 - 1-QC_P_4.mzML</v>
      </c>
      <c r="AF1297" s="6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3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6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6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3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6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6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3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6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6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3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6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6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3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6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6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3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6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6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3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6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6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3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6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6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3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6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6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3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6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6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3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6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6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3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6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6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3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6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6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3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6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6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3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6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6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3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6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6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3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6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6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3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6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6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3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6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6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3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6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6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3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6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6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3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6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6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3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6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6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3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6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6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3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6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6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3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6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6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3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6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6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3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6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6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3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6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6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3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6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6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3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6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6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3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6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6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3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6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6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3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6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6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3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6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6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3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6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6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3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6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6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3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6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6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3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6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6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3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6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6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3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6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6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3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6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6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3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6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6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3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6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6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3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6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6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3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6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6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3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6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6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3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6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6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3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6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6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3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6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6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3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6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6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3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6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6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3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6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6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3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6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6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3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6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6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3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6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6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3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6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6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3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6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6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3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6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6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3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6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6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3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6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6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3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6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6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3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6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6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3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6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6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3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6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6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3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6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6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3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6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6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3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6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6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3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6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6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3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6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6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3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6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6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3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6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6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3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6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6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3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6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6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3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6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6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3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6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6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3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6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6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3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6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6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3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6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6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3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6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6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3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6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6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3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6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6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3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6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6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3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6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6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3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6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6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3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6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6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3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6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6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3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6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6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3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6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6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3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6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6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3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6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6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3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6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6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3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6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6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3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6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6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3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6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6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3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6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6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3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6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6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3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6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6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3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6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6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3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6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6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3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6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6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3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6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6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3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6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6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3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6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6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3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6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6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3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6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6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3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6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6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3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6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6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3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6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6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3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6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6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3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6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6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3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6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6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3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6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6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3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6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6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3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6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6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3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6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6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3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6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6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3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6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6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3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6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6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3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6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6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3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6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6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3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6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6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3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6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6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3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6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6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3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6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6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3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6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6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3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6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6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3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6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6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3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6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6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3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6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6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3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6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6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3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6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6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3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6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6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3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6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6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3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6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6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3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6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6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3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6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6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3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6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6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3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6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6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3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6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6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3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6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6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3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6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6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3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6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6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3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6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6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3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6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6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3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6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6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3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6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6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3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6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6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3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6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6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3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6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6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3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6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6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3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6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6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3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6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6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3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6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6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3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6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6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3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6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6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3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6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6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3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6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6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3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6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6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3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6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6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3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6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6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3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6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6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3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6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6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3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6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6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3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6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6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3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6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6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3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6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6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3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6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6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3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6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6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3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6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6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3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6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6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3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6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6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3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6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6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3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6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6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3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6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6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3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6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6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3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6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6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3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6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6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3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6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6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3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6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6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3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6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6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3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6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6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3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6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6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3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6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6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3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6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6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3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6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6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3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6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6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3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6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6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3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6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6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3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6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6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3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6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6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3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6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6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3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6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6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3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6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6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3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6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6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3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6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6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3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6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6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3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6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6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3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6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6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3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6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6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3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6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6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3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6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6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3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6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6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3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6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6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3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6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6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3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6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6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3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6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6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3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6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6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3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6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6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3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6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6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3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6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6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3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6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6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3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6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6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3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6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6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3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6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6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3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6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6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3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6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6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3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6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6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3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6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6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3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6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6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3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6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6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3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6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6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3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6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6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3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6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6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3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6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6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3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6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6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3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6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6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3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6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6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3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6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6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3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6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6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3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6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6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3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6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6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3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6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6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3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6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6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3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6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6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3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6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6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3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6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6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3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6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6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3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6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6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3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6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6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3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6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6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3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6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6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3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6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6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3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6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6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3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6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6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3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6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6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3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6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6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3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6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6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3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6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6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3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6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6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3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6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6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3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6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6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3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6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6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3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6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6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3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6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6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3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6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6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3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6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6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3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6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6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3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6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6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3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6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6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3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6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6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3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6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6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3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6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6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3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6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6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3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6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6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3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6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6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3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6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6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3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6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6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3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6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6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3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6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6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3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6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6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3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6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6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3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6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6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3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6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6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3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6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6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3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6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6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3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6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6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3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6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6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3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6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6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3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6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6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3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6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6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3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6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6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3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6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6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3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6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6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3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6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6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3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6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6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3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6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6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3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6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6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3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6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6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3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6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6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3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6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6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3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6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6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3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6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6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3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6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6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3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6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6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3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6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6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3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6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6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3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6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6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3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6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6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3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6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6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3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6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6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3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6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6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3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6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6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3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6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6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3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6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6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3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6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6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3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6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6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3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6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6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3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6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6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3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6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6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3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6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6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3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6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6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3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6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6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3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6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6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3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6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6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3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6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6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3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6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6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3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6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6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3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6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6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3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6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6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3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6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6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3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6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6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3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6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6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3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6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6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3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6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6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3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6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6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3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6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6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3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6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6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3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6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6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3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6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6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3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6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6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3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6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6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3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6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6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3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6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6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3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6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6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3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6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6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3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6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6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3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6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6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3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6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6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3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6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6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3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6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6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3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6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6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3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6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6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3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6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6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3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6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6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3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6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6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3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6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6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3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6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6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3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6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6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3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6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6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3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6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6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3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6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6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3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6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6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3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6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6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3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6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6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3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6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6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3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6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6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3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6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6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3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6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6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3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6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6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3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6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6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3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6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6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3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6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6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3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6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6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3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6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6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3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6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6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3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6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6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3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6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6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3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6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6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3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6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6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3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6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6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3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6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6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3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6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6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3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6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6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3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6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6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3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6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6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3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6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6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3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6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6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3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6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6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3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6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6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3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6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6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3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6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6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3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6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6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3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6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6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3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6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6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3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6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6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3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6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6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3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6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6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3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6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6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3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6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6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3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6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6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3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6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6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3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6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6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3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6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6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3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6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6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3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6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6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3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6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6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3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6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6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3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6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6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3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6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6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3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6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6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3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6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6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3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6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6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3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6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6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3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6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6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3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6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6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3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6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6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3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6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6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3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6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6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3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6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6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3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6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6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3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6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6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3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6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6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3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6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6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3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6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6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3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6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6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3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6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6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3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6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6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3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6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6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3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6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6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3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6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6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3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6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6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3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6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6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3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6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6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3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6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6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3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6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6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3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6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6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3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6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6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3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6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6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3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6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6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3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6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6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3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6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6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3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6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6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3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6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6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3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6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6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3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6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6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3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6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6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3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6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6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3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6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6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3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6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6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3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6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6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3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6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6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3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6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6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3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6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6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3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6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6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3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6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6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3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6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6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3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6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6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3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6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6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3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6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6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3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6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6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3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6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6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3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6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6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3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6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6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3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6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6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3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6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6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3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6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6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3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6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6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3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6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6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3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6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6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3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6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6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3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6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6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3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6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6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3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6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6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3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6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6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3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6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6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3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6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6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3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6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6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3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6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6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3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6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6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3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6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6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3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6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6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3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6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6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3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6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6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3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6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6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3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6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6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3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6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6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3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6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6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3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6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6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3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6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6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3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6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6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3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6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6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3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6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6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3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6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6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3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6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6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3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6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6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3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6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6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3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6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6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3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6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6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3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6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6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3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6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6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3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6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6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3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6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6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3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6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6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3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6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6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3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6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6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3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6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6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3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6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6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3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6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6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3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6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6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3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6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6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3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6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6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3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6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6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3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6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6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3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6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6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3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6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6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3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6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6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3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6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6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3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6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6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3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6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6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3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6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6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3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6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6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3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6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6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3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6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6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3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6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6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3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6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6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3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6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6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3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6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6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3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6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6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3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6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6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3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6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6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3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6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6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3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6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6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3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6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6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3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6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6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3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6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6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3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6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6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3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6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6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3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6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6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3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6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6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3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6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6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3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6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6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3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6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6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3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6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6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3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6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6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3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6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6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3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6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6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3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6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6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3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6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6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3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6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6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3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6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6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3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6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6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3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6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6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3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6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6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3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6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6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3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6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6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3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6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6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3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6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6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3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6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6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3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6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6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3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6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6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3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6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6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3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6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6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3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6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6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3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6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6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3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6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6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3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6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6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3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6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6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3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6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6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3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6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6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3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6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6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3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6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6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3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6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6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3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6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6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3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6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6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3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6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6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3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6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6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3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6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6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3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6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6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3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6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6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3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6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6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3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6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6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3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6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6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3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6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6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3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6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6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3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6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6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3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6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6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3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6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6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3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6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6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3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6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6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3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6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6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3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6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6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3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6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6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3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6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6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3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6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6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3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6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6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3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6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6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3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6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6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3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6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6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3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6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6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3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6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6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3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6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6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3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6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6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3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6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6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3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6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6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3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6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6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3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6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6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3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6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6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3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6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6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3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6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6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3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6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6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3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6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6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3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6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6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3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6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6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3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6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6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3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6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6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3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6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6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3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6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6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3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6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6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3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6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6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3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6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6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3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6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6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3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6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6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3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6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6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3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6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6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3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6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6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3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6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6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3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6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6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3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6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6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3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6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6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3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6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6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3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6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6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3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6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6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3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6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6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3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6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6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3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6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6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3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6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6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3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6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6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3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6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6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3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6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6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3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6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6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3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6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6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3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6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6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3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6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6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3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6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6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3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6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6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3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6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6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3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6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6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3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6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6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3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6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6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3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6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6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3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6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6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3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6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6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3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6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6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3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6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6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3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6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6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3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6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6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3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6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6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3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6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6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3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6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6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3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6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6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3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6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6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3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6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6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3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6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6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3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6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6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3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6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6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3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6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6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3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6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6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3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6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6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3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6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6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3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6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6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3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6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6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3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6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6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3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6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6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3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6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6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3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6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6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3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6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6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3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6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6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3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6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6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3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6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6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3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6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6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3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6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6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3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6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6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6" t="s">
        <v>2629</v>
      </c>
      <c r="B1971" s="7" t="s">
        <v>2630</v>
      </c>
      <c r="C1971" s="6" t="s">
        <v>2631</v>
      </c>
      <c r="D1971" s="6" t="s">
        <v>14</v>
      </c>
      <c r="E1971" s="6" t="s">
        <v>2632</v>
      </c>
      <c r="F1971" s="6" t="s">
        <v>2633</v>
      </c>
      <c r="G1971" s="6" t="s">
        <v>2634</v>
      </c>
      <c r="H1971" s="7" t="s">
        <v>2635</v>
      </c>
      <c r="I1971" s="6" t="s">
        <v>2636</v>
      </c>
      <c r="J1971" s="6" t="s">
        <v>38</v>
      </c>
      <c r="K1971" s="6" t="s">
        <v>2637</v>
      </c>
      <c r="L1971" s="6" t="s">
        <v>69</v>
      </c>
      <c r="M1971" s="13" t="s">
        <v>69</v>
      </c>
      <c r="N1971" s="6" t="s">
        <v>325</v>
      </c>
      <c r="O1971" s="6" t="s">
        <v>419</v>
      </c>
      <c r="P1971" s="6"/>
      <c r="Q1971" s="6" t="s">
        <v>2638</v>
      </c>
      <c r="R1971" s="6" t="s">
        <v>69</v>
      </c>
      <c r="S1971" s="6"/>
      <c r="T1971" s="6"/>
      <c r="U1971" s="6" t="s">
        <v>2639</v>
      </c>
      <c r="V1971" s="6" t="n">
        <v>1</v>
      </c>
      <c r="W1971" s="6"/>
      <c r="X1971" s="6" t="s">
        <v>2640</v>
      </c>
      <c r="Y1971" s="6" t="s">
        <v>153</v>
      </c>
      <c r="Z1971" s="6" t="s">
        <v>2641</v>
      </c>
      <c r="AA1971" s="6" t="s">
        <v>2642</v>
      </c>
      <c r="AB1971" s="6" t="s">
        <v>2643</v>
      </c>
      <c r="AC1971" s="6" t="s">
        <v>2644</v>
      </c>
      <c r="AD1971" s="6" t="s">
        <v>2645</v>
      </c>
      <c r="AE1971" s="6" t="s">
        <v>2646</v>
      </c>
      <c r="AF1971" s="6" t="s">
        <v>2647</v>
      </c>
    </row>
    <row r="1972" s="1" customFormat="true" ht="13.8" hidden="false" customHeight="false" outlineLevel="0" collapsed="false">
      <c r="A1972" s="6" t="s">
        <v>2629</v>
      </c>
      <c r="B1972" s="7" t="s">
        <v>2630</v>
      </c>
      <c r="C1972" s="6" t="s">
        <v>2631</v>
      </c>
      <c r="D1972" s="6" t="s">
        <v>14</v>
      </c>
      <c r="E1972" s="6" t="s">
        <v>2632</v>
      </c>
      <c r="F1972" s="6" t="s">
        <v>2633</v>
      </c>
      <c r="G1972" s="6" t="s">
        <v>2634</v>
      </c>
      <c r="H1972" s="7" t="s">
        <v>2648</v>
      </c>
      <c r="I1972" s="6" t="s">
        <v>2649</v>
      </c>
      <c r="J1972" s="6" t="s">
        <v>38</v>
      </c>
      <c r="K1972" s="6" t="s">
        <v>2650</v>
      </c>
      <c r="L1972" s="6" t="s">
        <v>69</v>
      </c>
      <c r="M1972" s="13" t="s">
        <v>69</v>
      </c>
      <c r="N1972" s="6" t="s">
        <v>325</v>
      </c>
      <c r="O1972" s="6" t="s">
        <v>419</v>
      </c>
      <c r="P1972" s="6"/>
      <c r="Q1972" s="6" t="s">
        <v>2638</v>
      </c>
      <c r="R1972" s="6" t="s">
        <v>69</v>
      </c>
      <c r="S1972" s="6"/>
      <c r="T1972" s="6"/>
      <c r="U1972" s="6" t="s">
        <v>2639</v>
      </c>
      <c r="V1972" s="6" t="n">
        <v>2</v>
      </c>
      <c r="W1972" s="6"/>
      <c r="X1972" s="6" t="s">
        <v>2640</v>
      </c>
      <c r="Y1972" s="6" t="s">
        <v>153</v>
      </c>
      <c r="Z1972" s="6" t="s">
        <v>2641</v>
      </c>
      <c r="AA1972" s="6" t="s">
        <v>2642</v>
      </c>
      <c r="AB1972" s="6" t="s">
        <v>2643</v>
      </c>
      <c r="AC1972" s="6" t="s">
        <v>2644</v>
      </c>
      <c r="AD1972" s="6" t="s">
        <v>2645</v>
      </c>
      <c r="AE1972" s="6" t="s">
        <v>2651</v>
      </c>
      <c r="AF1972" s="6" t="s">
        <v>2652</v>
      </c>
    </row>
    <row r="1973" s="1" customFormat="true" ht="13.8" hidden="false" customHeight="false" outlineLevel="0" collapsed="false">
      <c r="A1973" s="6" t="s">
        <v>2629</v>
      </c>
      <c r="B1973" s="7" t="s">
        <v>2630</v>
      </c>
      <c r="C1973" s="6" t="s">
        <v>2631</v>
      </c>
      <c r="D1973" s="6" t="s">
        <v>14</v>
      </c>
      <c r="E1973" s="6" t="s">
        <v>2632</v>
      </c>
      <c r="F1973" s="6" t="s">
        <v>2633</v>
      </c>
      <c r="G1973" s="6" t="s">
        <v>2634</v>
      </c>
      <c r="H1973" s="7" t="s">
        <v>2653</v>
      </c>
      <c r="I1973" s="6" t="s">
        <v>2654</v>
      </c>
      <c r="J1973" s="6" t="s">
        <v>38</v>
      </c>
      <c r="K1973" s="6" t="s">
        <v>2655</v>
      </c>
      <c r="L1973" s="6" t="s">
        <v>69</v>
      </c>
      <c r="M1973" s="13" t="s">
        <v>69</v>
      </c>
      <c r="N1973" s="6" t="s">
        <v>325</v>
      </c>
      <c r="O1973" s="6" t="s">
        <v>419</v>
      </c>
      <c r="P1973" s="6"/>
      <c r="Q1973" s="6" t="s">
        <v>2638</v>
      </c>
      <c r="R1973" s="6" t="s">
        <v>69</v>
      </c>
      <c r="S1973" s="6"/>
      <c r="T1973" s="6"/>
      <c r="U1973" s="6" t="s">
        <v>2639</v>
      </c>
      <c r="V1973" s="6" t="n">
        <v>3</v>
      </c>
      <c r="W1973" s="6"/>
      <c r="X1973" s="6" t="s">
        <v>2640</v>
      </c>
      <c r="Y1973" s="6" t="s">
        <v>153</v>
      </c>
      <c r="Z1973" s="6" t="s">
        <v>2641</v>
      </c>
      <c r="AA1973" s="6" t="s">
        <v>2642</v>
      </c>
      <c r="AB1973" s="6" t="s">
        <v>2643</v>
      </c>
      <c r="AC1973" s="6" t="s">
        <v>2644</v>
      </c>
      <c r="AD1973" s="6" t="s">
        <v>2645</v>
      </c>
      <c r="AE1973" s="6" t="s">
        <v>2656</v>
      </c>
      <c r="AF1973" s="6" t="s">
        <v>2657</v>
      </c>
    </row>
    <row r="1974" s="1" customFormat="true" ht="13.8" hidden="false" customHeight="false" outlineLevel="0" collapsed="false">
      <c r="A1974" s="6" t="s">
        <v>2629</v>
      </c>
      <c r="B1974" s="7" t="s">
        <v>2630</v>
      </c>
      <c r="C1974" s="6" t="s">
        <v>2631</v>
      </c>
      <c r="D1974" s="6" t="s">
        <v>14</v>
      </c>
      <c r="E1974" s="6" t="s">
        <v>2632</v>
      </c>
      <c r="F1974" s="6" t="s">
        <v>2633</v>
      </c>
      <c r="G1974" s="6" t="s">
        <v>2634</v>
      </c>
      <c r="H1974" s="7" t="s">
        <v>2658</v>
      </c>
      <c r="I1974" s="6" t="s">
        <v>2659</v>
      </c>
      <c r="J1974" s="6" t="s">
        <v>38</v>
      </c>
      <c r="K1974" s="6" t="s">
        <v>2660</v>
      </c>
      <c r="L1974" s="6" t="s">
        <v>69</v>
      </c>
      <c r="M1974" s="13" t="s">
        <v>69</v>
      </c>
      <c r="N1974" s="6" t="s">
        <v>325</v>
      </c>
      <c r="O1974" s="6" t="s">
        <v>419</v>
      </c>
      <c r="P1974" s="6"/>
      <c r="Q1974" s="6" t="s">
        <v>2638</v>
      </c>
      <c r="R1974" s="6" t="s">
        <v>69</v>
      </c>
      <c r="S1974" s="6"/>
      <c r="T1974" s="6"/>
      <c r="U1974" s="6" t="s">
        <v>2639</v>
      </c>
      <c r="V1974" s="6" t="n">
        <v>1</v>
      </c>
      <c r="W1974" s="6"/>
      <c r="X1974" s="6" t="s">
        <v>2640</v>
      </c>
      <c r="Y1974" s="6" t="s">
        <v>153</v>
      </c>
      <c r="Z1974" s="6" t="s">
        <v>2641</v>
      </c>
      <c r="AA1974" s="6" t="s">
        <v>2642</v>
      </c>
      <c r="AB1974" s="6" t="s">
        <v>2643</v>
      </c>
      <c r="AC1974" s="6" t="s">
        <v>2644</v>
      </c>
      <c r="AD1974" s="6" t="s">
        <v>2645</v>
      </c>
      <c r="AE1974" s="6" t="s">
        <v>2661</v>
      </c>
      <c r="AF1974" s="6" t="s">
        <v>2662</v>
      </c>
    </row>
    <row r="1975" s="1" customFormat="true" ht="13.8" hidden="false" customHeight="false" outlineLevel="0" collapsed="false">
      <c r="A1975" s="6" t="s">
        <v>2629</v>
      </c>
      <c r="B1975" s="7" t="s">
        <v>2630</v>
      </c>
      <c r="C1975" s="6" t="s">
        <v>2631</v>
      </c>
      <c r="D1975" s="6" t="s">
        <v>14</v>
      </c>
      <c r="E1975" s="6" t="s">
        <v>2632</v>
      </c>
      <c r="F1975" s="6" t="s">
        <v>2633</v>
      </c>
      <c r="G1975" s="6" t="s">
        <v>2634</v>
      </c>
      <c r="H1975" s="7" t="s">
        <v>2663</v>
      </c>
      <c r="I1975" s="6" t="s">
        <v>2664</v>
      </c>
      <c r="J1975" s="6" t="s">
        <v>52</v>
      </c>
      <c r="K1975" s="6" t="s">
        <v>2665</v>
      </c>
      <c r="L1975" s="6" t="s">
        <v>69</v>
      </c>
      <c r="M1975" s="13" t="s">
        <v>69</v>
      </c>
      <c r="N1975" s="6" t="s">
        <v>325</v>
      </c>
      <c r="O1975" s="6" t="s">
        <v>2666</v>
      </c>
      <c r="P1975" s="6"/>
      <c r="Q1975" s="6" t="s">
        <v>2638</v>
      </c>
      <c r="R1975" s="6" t="s">
        <v>69</v>
      </c>
      <c r="S1975" s="6"/>
      <c r="T1975" s="6"/>
      <c r="U1975" s="6" t="s">
        <v>2639</v>
      </c>
      <c r="V1975" s="6" t="n">
        <v>2</v>
      </c>
      <c r="W1975" s="6"/>
      <c r="X1975" s="6" t="s">
        <v>2640</v>
      </c>
      <c r="Y1975" s="6" t="s">
        <v>153</v>
      </c>
      <c r="Z1975" s="6" t="s">
        <v>2641</v>
      </c>
      <c r="AA1975" s="6" t="s">
        <v>2642</v>
      </c>
      <c r="AB1975" s="6" t="s">
        <v>2643</v>
      </c>
      <c r="AC1975" s="6" t="s">
        <v>2644</v>
      </c>
      <c r="AD1975" s="6" t="s">
        <v>2645</v>
      </c>
      <c r="AE1975" s="6" t="s">
        <v>2667</v>
      </c>
      <c r="AF1975" s="6" t="s">
        <v>2668</v>
      </c>
    </row>
    <row r="1976" s="1" customFormat="true" ht="13.8" hidden="false" customHeight="false" outlineLevel="0" collapsed="false">
      <c r="A1976" s="6" t="s">
        <v>2629</v>
      </c>
      <c r="B1976" s="7" t="s">
        <v>2630</v>
      </c>
      <c r="C1976" s="6" t="s">
        <v>2631</v>
      </c>
      <c r="D1976" s="6" t="s">
        <v>14</v>
      </c>
      <c r="E1976" s="6" t="s">
        <v>2632</v>
      </c>
      <c r="F1976" s="6" t="s">
        <v>2633</v>
      </c>
      <c r="G1976" s="6" t="s">
        <v>2634</v>
      </c>
      <c r="H1976" s="7" t="s">
        <v>2669</v>
      </c>
      <c r="I1976" s="6" t="s">
        <v>2670</v>
      </c>
      <c r="J1976" s="6" t="s">
        <v>52</v>
      </c>
      <c r="K1976" s="6" t="s">
        <v>2671</v>
      </c>
      <c r="L1976" s="6" t="s">
        <v>69</v>
      </c>
      <c r="M1976" s="13" t="s">
        <v>69</v>
      </c>
      <c r="N1976" s="6" t="s">
        <v>325</v>
      </c>
      <c r="O1976" s="6" t="s">
        <v>2666</v>
      </c>
      <c r="P1976" s="6"/>
      <c r="Q1976" s="6" t="s">
        <v>2638</v>
      </c>
      <c r="R1976" s="6" t="s">
        <v>69</v>
      </c>
      <c r="S1976" s="6"/>
      <c r="T1976" s="6"/>
      <c r="U1976" s="6" t="s">
        <v>2639</v>
      </c>
      <c r="V1976" s="6" t="n">
        <v>3</v>
      </c>
      <c r="W1976" s="6"/>
      <c r="X1976" s="6" t="s">
        <v>2640</v>
      </c>
      <c r="Y1976" s="6" t="s">
        <v>153</v>
      </c>
      <c r="Z1976" s="6" t="s">
        <v>2641</v>
      </c>
      <c r="AA1976" s="6" t="s">
        <v>2642</v>
      </c>
      <c r="AB1976" s="6" t="s">
        <v>2643</v>
      </c>
      <c r="AC1976" s="6" t="s">
        <v>2644</v>
      </c>
      <c r="AD1976" s="6" t="s">
        <v>2645</v>
      </c>
      <c r="AE1976" s="6" t="s">
        <v>2672</v>
      </c>
      <c r="AF1976" s="6" t="s">
        <v>2673</v>
      </c>
    </row>
    <row r="1977" s="1" customFormat="true" ht="13.8" hidden="false" customHeight="false" outlineLevel="0" collapsed="false">
      <c r="A1977" s="6" t="s">
        <v>2629</v>
      </c>
      <c r="B1977" s="7" t="s">
        <v>2630</v>
      </c>
      <c r="C1977" s="6" t="s">
        <v>2631</v>
      </c>
      <c r="D1977" s="6" t="s">
        <v>14</v>
      </c>
      <c r="E1977" s="6" t="s">
        <v>2632</v>
      </c>
      <c r="F1977" s="6" t="s">
        <v>2633</v>
      </c>
      <c r="G1977" s="6" t="s">
        <v>2634</v>
      </c>
      <c r="H1977" s="7" t="s">
        <v>2674</v>
      </c>
      <c r="I1977" s="6" t="s">
        <v>2675</v>
      </c>
      <c r="J1977" s="6" t="s">
        <v>52</v>
      </c>
      <c r="K1977" s="6" t="s">
        <v>2676</v>
      </c>
      <c r="L1977" s="6" t="s">
        <v>69</v>
      </c>
      <c r="M1977" s="13" t="s">
        <v>69</v>
      </c>
      <c r="N1977" s="6" t="s">
        <v>325</v>
      </c>
      <c r="O1977" s="6" t="s">
        <v>2666</v>
      </c>
      <c r="P1977" s="6"/>
      <c r="Q1977" s="6" t="s">
        <v>2638</v>
      </c>
      <c r="R1977" s="6" t="s">
        <v>69</v>
      </c>
      <c r="S1977" s="6"/>
      <c r="T1977" s="6"/>
      <c r="U1977" s="6" t="s">
        <v>2639</v>
      </c>
      <c r="V1977" s="6" t="n">
        <v>1</v>
      </c>
      <c r="W1977" s="6"/>
      <c r="X1977" s="6" t="s">
        <v>2640</v>
      </c>
      <c r="Y1977" s="6" t="s">
        <v>153</v>
      </c>
      <c r="Z1977" s="6" t="s">
        <v>2641</v>
      </c>
      <c r="AA1977" s="6" t="s">
        <v>2642</v>
      </c>
      <c r="AB1977" s="6" t="s">
        <v>2643</v>
      </c>
      <c r="AC1977" s="6" t="s">
        <v>2644</v>
      </c>
      <c r="AD1977" s="6" t="s">
        <v>2645</v>
      </c>
      <c r="AE1977" s="6" t="s">
        <v>2677</v>
      </c>
      <c r="AF1977" s="6" t="s">
        <v>2678</v>
      </c>
    </row>
    <row r="1978" s="1" customFormat="true" ht="13.8" hidden="false" customHeight="false" outlineLevel="0" collapsed="false">
      <c r="A1978" s="6" t="s">
        <v>2629</v>
      </c>
      <c r="B1978" s="7" t="s">
        <v>2630</v>
      </c>
      <c r="C1978" s="6" t="s">
        <v>2631</v>
      </c>
      <c r="D1978" s="6" t="s">
        <v>14</v>
      </c>
      <c r="E1978" s="6" t="s">
        <v>2632</v>
      </c>
      <c r="F1978" s="6" t="s">
        <v>2633</v>
      </c>
      <c r="G1978" s="6" t="s">
        <v>2634</v>
      </c>
      <c r="H1978" s="7" t="n">
        <v>10</v>
      </c>
      <c r="I1978" s="6" t="s">
        <v>2679</v>
      </c>
      <c r="J1978" s="6" t="s">
        <v>52</v>
      </c>
      <c r="K1978" s="6" t="s">
        <v>2680</v>
      </c>
      <c r="L1978" s="6" t="s">
        <v>69</v>
      </c>
      <c r="M1978" s="13" t="s">
        <v>69</v>
      </c>
      <c r="N1978" s="6" t="s">
        <v>325</v>
      </c>
      <c r="O1978" s="6" t="s">
        <v>2666</v>
      </c>
      <c r="P1978" s="6"/>
      <c r="Q1978" s="6" t="s">
        <v>2638</v>
      </c>
      <c r="R1978" s="6" t="s">
        <v>69</v>
      </c>
      <c r="S1978" s="6"/>
      <c r="T1978" s="6"/>
      <c r="U1978" s="6" t="s">
        <v>2639</v>
      </c>
      <c r="V1978" s="6" t="n">
        <v>2</v>
      </c>
      <c r="W1978" s="6"/>
      <c r="X1978" s="6" t="s">
        <v>2640</v>
      </c>
      <c r="Y1978" s="6" t="s">
        <v>153</v>
      </c>
      <c r="Z1978" s="6" t="s">
        <v>2641</v>
      </c>
      <c r="AA1978" s="6" t="s">
        <v>2642</v>
      </c>
      <c r="AB1978" s="6" t="s">
        <v>2643</v>
      </c>
      <c r="AC1978" s="6" t="s">
        <v>2644</v>
      </c>
      <c r="AD1978" s="6" t="s">
        <v>2645</v>
      </c>
      <c r="AE1978" s="6" t="s">
        <v>2681</v>
      </c>
      <c r="AF1978" s="6" t="s">
        <v>2682</v>
      </c>
    </row>
    <row r="1979" s="1" customFormat="true" ht="13.8" hidden="false" customHeight="false" outlineLevel="0" collapsed="false">
      <c r="A1979" s="6" t="s">
        <v>2629</v>
      </c>
      <c r="B1979" s="7" t="s">
        <v>2630</v>
      </c>
      <c r="C1979" s="6" t="s">
        <v>2631</v>
      </c>
      <c r="D1979" s="6" t="s">
        <v>14</v>
      </c>
      <c r="E1979" s="6" t="s">
        <v>2632</v>
      </c>
      <c r="F1979" s="6" t="s">
        <v>2633</v>
      </c>
      <c r="G1979" s="6" t="s">
        <v>2634</v>
      </c>
      <c r="H1979" s="7" t="s">
        <v>2683</v>
      </c>
      <c r="I1979" s="6" t="s">
        <v>2684</v>
      </c>
      <c r="J1979" s="6" t="s">
        <v>52</v>
      </c>
      <c r="K1979" s="6" t="s">
        <v>157</v>
      </c>
      <c r="L1979" s="6" t="s">
        <v>69</v>
      </c>
      <c r="M1979" s="13" t="s">
        <v>46</v>
      </c>
      <c r="N1979" s="6" t="s">
        <v>65</v>
      </c>
      <c r="O1979" s="6" t="s">
        <v>46</v>
      </c>
      <c r="P1979" s="6" t="s">
        <v>46</v>
      </c>
      <c r="Q1979" s="6" t="s">
        <v>46</v>
      </c>
      <c r="R1979" s="6" t="s">
        <v>46</v>
      </c>
      <c r="S1979" s="6" t="s">
        <v>65</v>
      </c>
      <c r="T1979" s="6" t="s">
        <v>46</v>
      </c>
      <c r="U1979" s="6" t="s">
        <v>46</v>
      </c>
      <c r="V1979" s="6" t="n">
        <v>1</v>
      </c>
      <c r="W1979" s="6"/>
      <c r="X1979" s="6" t="s">
        <v>46</v>
      </c>
      <c r="Y1979" s="6" t="s">
        <v>153</v>
      </c>
      <c r="Z1979" s="6" t="s">
        <v>2641</v>
      </c>
      <c r="AA1979" s="6" t="s">
        <v>2642</v>
      </c>
      <c r="AB1979" s="6" t="s">
        <v>2643</v>
      </c>
      <c r="AC1979" s="6" t="s">
        <v>2644</v>
      </c>
      <c r="AD1979" s="6" t="s">
        <v>2645</v>
      </c>
      <c r="AE1979" s="6" t="s">
        <v>2685</v>
      </c>
      <c r="AF1979" s="6" t="s">
        <v>2686</v>
      </c>
    </row>
    <row r="1980" s="1" customFormat="true" ht="13.8" hidden="false" customHeight="false" outlineLevel="0" collapsed="false">
      <c r="A1980" s="6" t="s">
        <v>2629</v>
      </c>
      <c r="B1980" s="7" t="s">
        <v>2630</v>
      </c>
      <c r="C1980" s="6" t="s">
        <v>2631</v>
      </c>
      <c r="D1980" s="6" t="s">
        <v>14</v>
      </c>
      <c r="E1980" s="6" t="s">
        <v>2632</v>
      </c>
      <c r="F1980" s="6" t="s">
        <v>2633</v>
      </c>
      <c r="G1980" s="6" t="s">
        <v>2634</v>
      </c>
      <c r="H1980" s="7" t="n">
        <v>12</v>
      </c>
      <c r="I1980" s="6" t="s">
        <v>2687</v>
      </c>
      <c r="J1980" s="6" t="s">
        <v>52</v>
      </c>
      <c r="K1980" s="6" t="s">
        <v>165</v>
      </c>
      <c r="L1980" s="6" t="s">
        <v>69</v>
      </c>
      <c r="M1980" s="13" t="s">
        <v>46</v>
      </c>
      <c r="N1980" s="6" t="s">
        <v>65</v>
      </c>
      <c r="O1980" s="6" t="s">
        <v>46</v>
      </c>
      <c r="P1980" s="6" t="s">
        <v>46</v>
      </c>
      <c r="Q1980" s="6" t="s">
        <v>46</v>
      </c>
      <c r="R1980" s="6" t="s">
        <v>46</v>
      </c>
      <c r="S1980" s="6" t="s">
        <v>65</v>
      </c>
      <c r="T1980" s="6" t="s">
        <v>46</v>
      </c>
      <c r="U1980" s="6" t="s">
        <v>46</v>
      </c>
      <c r="V1980" s="6" t="n">
        <v>2</v>
      </c>
      <c r="W1980" s="6"/>
      <c r="X1980" s="6" t="s">
        <v>46</v>
      </c>
      <c r="Y1980" s="6" t="s">
        <v>153</v>
      </c>
      <c r="Z1980" s="6" t="s">
        <v>2641</v>
      </c>
      <c r="AA1980" s="6" t="s">
        <v>2642</v>
      </c>
      <c r="AB1980" s="6" t="s">
        <v>2643</v>
      </c>
      <c r="AC1980" s="6" t="s">
        <v>2644</v>
      </c>
      <c r="AD1980" s="6" t="s">
        <v>2645</v>
      </c>
      <c r="AE1980" s="6" t="s">
        <v>2688</v>
      </c>
      <c r="AF1980" s="6" t="s">
        <v>2689</v>
      </c>
    </row>
    <row r="1981" s="1" customFormat="true" ht="13.8" hidden="false" customHeight="false" outlineLevel="0" collapsed="false">
      <c r="A1981" s="6" t="s">
        <v>2629</v>
      </c>
      <c r="B1981" s="7" t="s">
        <v>2630</v>
      </c>
      <c r="C1981" s="6" t="s">
        <v>2631</v>
      </c>
      <c r="D1981" s="6" t="s">
        <v>14</v>
      </c>
      <c r="E1981" s="6" t="s">
        <v>2632</v>
      </c>
      <c r="F1981" s="6" t="s">
        <v>2633</v>
      </c>
      <c r="G1981" s="6" t="s">
        <v>2634</v>
      </c>
      <c r="H1981" s="7" t="n">
        <v>18</v>
      </c>
      <c r="I1981" s="6" t="s">
        <v>2690</v>
      </c>
      <c r="J1981" s="6" t="s">
        <v>52</v>
      </c>
      <c r="K1981" s="6" t="s">
        <v>171</v>
      </c>
      <c r="L1981" s="6" t="s">
        <v>69</v>
      </c>
      <c r="M1981" s="13" t="s">
        <v>46</v>
      </c>
      <c r="N1981" s="6" t="s">
        <v>65</v>
      </c>
      <c r="O1981" s="6" t="s">
        <v>46</v>
      </c>
      <c r="P1981" s="6" t="s">
        <v>46</v>
      </c>
      <c r="Q1981" s="6" t="s">
        <v>46</v>
      </c>
      <c r="R1981" s="6" t="s">
        <v>46</v>
      </c>
      <c r="S1981" s="6" t="s">
        <v>65</v>
      </c>
      <c r="T1981" s="6" t="s">
        <v>46</v>
      </c>
      <c r="U1981" s="6" t="s">
        <v>46</v>
      </c>
      <c r="V1981" s="6" t="n">
        <v>3</v>
      </c>
      <c r="W1981" s="6"/>
      <c r="X1981" s="6" t="s">
        <v>46</v>
      </c>
      <c r="Y1981" s="6" t="s">
        <v>153</v>
      </c>
      <c r="Z1981" s="6" t="s">
        <v>2641</v>
      </c>
      <c r="AA1981" s="6" t="s">
        <v>2642</v>
      </c>
      <c r="AB1981" s="6" t="s">
        <v>2643</v>
      </c>
      <c r="AC1981" s="6" t="s">
        <v>2644</v>
      </c>
      <c r="AD1981" s="6" t="s">
        <v>2645</v>
      </c>
      <c r="AE1981" s="6" t="s">
        <v>2691</v>
      </c>
      <c r="AF1981" s="6" t="s">
        <v>2692</v>
      </c>
    </row>
    <row r="1982" s="1" customFormat="true" ht="13.8" hidden="false" customHeight="false" outlineLevel="0" collapsed="false">
      <c r="A1982" s="6" t="s">
        <v>2629</v>
      </c>
      <c r="B1982" s="7" t="s">
        <v>2630</v>
      </c>
      <c r="C1982" s="6" t="s">
        <v>2631</v>
      </c>
      <c r="D1982" s="6" t="s">
        <v>14</v>
      </c>
      <c r="E1982" s="6" t="s">
        <v>2632</v>
      </c>
      <c r="F1982" s="6" t="s">
        <v>2633</v>
      </c>
      <c r="G1982" s="6" t="s">
        <v>2634</v>
      </c>
      <c r="H1982" s="7" t="s">
        <v>2693</v>
      </c>
      <c r="I1982" s="6" t="s">
        <v>2694</v>
      </c>
      <c r="J1982" s="6" t="s">
        <v>52</v>
      </c>
      <c r="K1982" s="6" t="s">
        <v>152</v>
      </c>
      <c r="L1982" s="6" t="s">
        <v>69</v>
      </c>
      <c r="M1982" s="13" t="s">
        <v>69</v>
      </c>
      <c r="N1982" s="6" t="s">
        <v>70</v>
      </c>
      <c r="O1982" s="6" t="s">
        <v>46</v>
      </c>
      <c r="P1982" s="6" t="s">
        <v>71</v>
      </c>
      <c r="Q1982" s="6" t="s">
        <v>71</v>
      </c>
      <c r="R1982" s="6" t="s">
        <v>72</v>
      </c>
      <c r="S1982" s="6" t="s">
        <v>2695</v>
      </c>
      <c r="T1982" s="6" t="s">
        <v>46</v>
      </c>
      <c r="U1982" s="6" t="n">
        <v>1000</v>
      </c>
      <c r="V1982" s="6" t="n">
        <v>1</v>
      </c>
      <c r="W1982" s="6"/>
      <c r="X1982" s="6" t="s">
        <v>74</v>
      </c>
      <c r="Y1982" s="6" t="s">
        <v>153</v>
      </c>
      <c r="Z1982" s="6" t="s">
        <v>2641</v>
      </c>
      <c r="AA1982" s="6" t="s">
        <v>2642</v>
      </c>
      <c r="AB1982" s="6" t="s">
        <v>2643</v>
      </c>
      <c r="AC1982" s="6" t="s">
        <v>2644</v>
      </c>
      <c r="AD1982" s="6" t="s">
        <v>2645</v>
      </c>
      <c r="AE1982" s="6" t="s">
        <v>2696</v>
      </c>
      <c r="AF1982" s="6" t="s">
        <v>2697</v>
      </c>
    </row>
    <row r="1983" s="1" customFormat="true" ht="13.8" hidden="false" customHeight="false" outlineLevel="0" collapsed="false">
      <c r="A1983" s="6" t="s">
        <v>2629</v>
      </c>
      <c r="B1983" s="7" t="s">
        <v>2630</v>
      </c>
      <c r="C1983" s="6" t="s">
        <v>2631</v>
      </c>
      <c r="D1983" s="6" t="s">
        <v>14</v>
      </c>
      <c r="E1983" s="6" t="s">
        <v>2632</v>
      </c>
      <c r="F1983" s="6" t="s">
        <v>2633</v>
      </c>
      <c r="G1983" s="6" t="s">
        <v>2634</v>
      </c>
      <c r="H1983" s="7" t="n">
        <v>11</v>
      </c>
      <c r="I1983" s="6" t="s">
        <v>2698</v>
      </c>
      <c r="J1983" s="6" t="s">
        <v>52</v>
      </c>
      <c r="K1983" s="6" t="s">
        <v>164</v>
      </c>
      <c r="L1983" s="6" t="s">
        <v>69</v>
      </c>
      <c r="M1983" s="13" t="s">
        <v>69</v>
      </c>
      <c r="N1983" s="6" t="s">
        <v>70</v>
      </c>
      <c r="O1983" s="6" t="s">
        <v>46</v>
      </c>
      <c r="P1983" s="6" t="s">
        <v>71</v>
      </c>
      <c r="Q1983" s="6" t="s">
        <v>71</v>
      </c>
      <c r="R1983" s="6" t="s">
        <v>72</v>
      </c>
      <c r="S1983" s="6" t="s">
        <v>2695</v>
      </c>
      <c r="T1983" s="6" t="s">
        <v>46</v>
      </c>
      <c r="U1983" s="6" t="n">
        <v>1000</v>
      </c>
      <c r="V1983" s="6" t="n">
        <v>2</v>
      </c>
      <c r="W1983" s="6"/>
      <c r="X1983" s="6" t="s">
        <v>74</v>
      </c>
      <c r="Y1983" s="6" t="s">
        <v>153</v>
      </c>
      <c r="Z1983" s="6" t="s">
        <v>2641</v>
      </c>
      <c r="AA1983" s="6" t="s">
        <v>2642</v>
      </c>
      <c r="AB1983" s="6" t="s">
        <v>2643</v>
      </c>
      <c r="AC1983" s="6" t="s">
        <v>2644</v>
      </c>
      <c r="AD1983" s="6" t="s">
        <v>2645</v>
      </c>
      <c r="AE1983" s="6" t="s">
        <v>2699</v>
      </c>
      <c r="AF1983" s="6" t="s">
        <v>2700</v>
      </c>
    </row>
    <row r="1984" s="1" customFormat="true" ht="13.8" hidden="false" customHeight="false" outlineLevel="0" collapsed="false">
      <c r="A1984" s="6" t="s">
        <v>2629</v>
      </c>
      <c r="B1984" s="7" t="s">
        <v>2630</v>
      </c>
      <c r="C1984" s="6" t="s">
        <v>2631</v>
      </c>
      <c r="D1984" s="6" t="s">
        <v>14</v>
      </c>
      <c r="E1984" s="6" t="s">
        <v>2632</v>
      </c>
      <c r="F1984" s="6" t="s">
        <v>2633</v>
      </c>
      <c r="G1984" s="6" t="s">
        <v>2634</v>
      </c>
      <c r="H1984" s="7" t="n">
        <v>17</v>
      </c>
      <c r="I1984" s="6" t="s">
        <v>2701</v>
      </c>
      <c r="J1984" s="6" t="s">
        <v>52</v>
      </c>
      <c r="K1984" s="6" t="s">
        <v>170</v>
      </c>
      <c r="L1984" s="6" t="s">
        <v>69</v>
      </c>
      <c r="M1984" s="13" t="s">
        <v>69</v>
      </c>
      <c r="N1984" s="6" t="s">
        <v>70</v>
      </c>
      <c r="O1984" s="6" t="s">
        <v>46</v>
      </c>
      <c r="P1984" s="6" t="s">
        <v>71</v>
      </c>
      <c r="Q1984" s="6" t="s">
        <v>71</v>
      </c>
      <c r="R1984" s="6" t="s">
        <v>72</v>
      </c>
      <c r="S1984" s="6" t="s">
        <v>2695</v>
      </c>
      <c r="T1984" s="6" t="s">
        <v>46</v>
      </c>
      <c r="U1984" s="6" t="n">
        <v>1000</v>
      </c>
      <c r="V1984" s="6" t="n">
        <v>3</v>
      </c>
      <c r="W1984" s="6"/>
      <c r="X1984" s="6" t="s">
        <v>74</v>
      </c>
      <c r="Y1984" s="6" t="s">
        <v>153</v>
      </c>
      <c r="Z1984" s="6" t="s">
        <v>2641</v>
      </c>
      <c r="AA1984" s="6" t="s">
        <v>2642</v>
      </c>
      <c r="AB1984" s="6" t="s">
        <v>2643</v>
      </c>
      <c r="AC1984" s="6" t="s">
        <v>2644</v>
      </c>
      <c r="AD1984" s="6" t="s">
        <v>2645</v>
      </c>
      <c r="AE1984" s="6" t="s">
        <v>2702</v>
      </c>
      <c r="AF1984" s="6" t="s">
        <v>2703</v>
      </c>
    </row>
    <row r="1985" customFormat="false" ht="13.8" hidden="false" customHeight="false" outlineLevel="0" collapsed="false">
      <c r="A1985" s="6" t="s">
        <v>2704</v>
      </c>
      <c r="C1985" s="6" t="s">
        <v>2705</v>
      </c>
      <c r="D1985" s="6" t="s">
        <v>14</v>
      </c>
      <c r="E1985" s="6" t="s">
        <v>2706</v>
      </c>
      <c r="F1985" s="6" t="s">
        <v>2707</v>
      </c>
      <c r="G1985" s="6" t="s">
        <v>2708</v>
      </c>
      <c r="H1985" s="2" t="s">
        <v>2648</v>
      </c>
      <c r="I1985" s="6" t="s">
        <v>2709</v>
      </c>
      <c r="J1985" s="6" t="s">
        <v>38</v>
      </c>
      <c r="K1985" s="6" t="s">
        <v>2710</v>
      </c>
      <c r="L1985" s="6" t="s">
        <v>46</v>
      </c>
      <c r="M1985" s="13" t="s">
        <v>46</v>
      </c>
      <c r="N1985" s="6" t="s">
        <v>41</v>
      </c>
      <c r="O1985" s="6" t="s">
        <v>42</v>
      </c>
      <c r="P1985" s="6" t="s">
        <v>43</v>
      </c>
      <c r="Q1985" s="6" t="s">
        <v>43</v>
      </c>
      <c r="R1985" s="6" t="s">
        <v>44</v>
      </c>
      <c r="S1985" s="6" t="s">
        <v>90</v>
      </c>
      <c r="T1985" s="6" t="s">
        <v>46</v>
      </c>
      <c r="U1985" s="6" t="n">
        <v>500</v>
      </c>
      <c r="V1985" s="6" t="n">
        <v>1</v>
      </c>
      <c r="W1985" s="6" t="s">
        <v>46</v>
      </c>
      <c r="X1985" s="6" t="s">
        <v>47</v>
      </c>
      <c r="Y1985" s="6" t="s">
        <v>153</v>
      </c>
      <c r="Z1985" s="6" t="s">
        <v>2711</v>
      </c>
      <c r="AA1985" s="6" t="s">
        <v>2712</v>
      </c>
      <c r="AB1985" s="6" t="s">
        <v>2713</v>
      </c>
      <c r="AC1985" s="6" t="s">
        <v>2714</v>
      </c>
      <c r="AD1985" s="6" t="s">
        <v>2715</v>
      </c>
      <c r="AE1985" s="6" t="s">
        <v>2716</v>
      </c>
      <c r="AF1985" s="6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6" t="s">
        <v>2719</v>
      </c>
      <c r="J1986" s="1" t="s">
        <v>38</v>
      </c>
      <c r="K1986" s="1" t="s">
        <v>2710</v>
      </c>
      <c r="L1986" s="1" t="s">
        <v>46</v>
      </c>
      <c r="M1986" s="3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6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6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6" t="s">
        <v>2723</v>
      </c>
      <c r="J1987" s="1" t="s">
        <v>38</v>
      </c>
      <c r="K1987" s="1" t="s">
        <v>2710</v>
      </c>
      <c r="L1987" s="1" t="s">
        <v>46</v>
      </c>
      <c r="M1987" s="3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6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6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6" t="s">
        <v>2726</v>
      </c>
      <c r="J1988" s="1" t="s">
        <v>52</v>
      </c>
      <c r="K1988" s="1" t="s">
        <v>2727</v>
      </c>
      <c r="L1988" s="1" t="s">
        <v>46</v>
      </c>
      <c r="M1988" s="3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6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6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6" t="s">
        <v>2732</v>
      </c>
      <c r="J1989" s="1" t="s">
        <v>52</v>
      </c>
      <c r="K1989" s="1" t="s">
        <v>2727</v>
      </c>
      <c r="L1989" s="1" t="s">
        <v>46</v>
      </c>
      <c r="M1989" s="3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6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6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6" t="s">
        <v>2736</v>
      </c>
      <c r="J1990" s="1" t="s">
        <v>52</v>
      </c>
      <c r="K1990" s="1" t="s">
        <v>2727</v>
      </c>
      <c r="L1990" s="1" t="s">
        <v>46</v>
      </c>
      <c r="M1990" s="3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6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6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6" t="s">
        <v>2739</v>
      </c>
      <c r="J1991" s="1" t="s">
        <v>52</v>
      </c>
      <c r="K1991" s="1" t="s">
        <v>1935</v>
      </c>
      <c r="L1991" s="1" t="s">
        <v>46</v>
      </c>
      <c r="M1991" s="3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6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6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6" t="s">
        <v>2744</v>
      </c>
      <c r="J1992" s="1" t="s">
        <v>52</v>
      </c>
      <c r="K1992" s="1" t="s">
        <v>1935</v>
      </c>
      <c r="L1992" s="1" t="s">
        <v>46</v>
      </c>
      <c r="M1992" s="3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6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6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6" t="s">
        <v>2748</v>
      </c>
      <c r="J1993" s="1" t="s">
        <v>52</v>
      </c>
      <c r="K1993" s="1" t="s">
        <v>1935</v>
      </c>
      <c r="L1993" s="1" t="s">
        <v>46</v>
      </c>
      <c r="M1993" s="3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6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6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6" t="s">
        <v>2752</v>
      </c>
      <c r="J1994" s="1" t="s">
        <v>52</v>
      </c>
      <c r="K1994" s="1" t="s">
        <v>1935</v>
      </c>
      <c r="L1994" s="1" t="s">
        <v>46</v>
      </c>
      <c r="M1994" s="3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6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6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6" t="s">
        <v>2755</v>
      </c>
      <c r="J1995" s="1" t="s">
        <v>52</v>
      </c>
      <c r="K1995" s="1" t="s">
        <v>65</v>
      </c>
      <c r="L1995" s="1" t="s">
        <v>46</v>
      </c>
      <c r="M1995" s="3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6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6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6" t="s">
        <v>2759</v>
      </c>
      <c r="J1996" s="1" t="s">
        <v>52</v>
      </c>
      <c r="K1996" s="1" t="s">
        <v>65</v>
      </c>
      <c r="L1996" s="1" t="s">
        <v>46</v>
      </c>
      <c r="M1996" s="3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6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6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6" t="s">
        <v>2763</v>
      </c>
      <c r="J1997" s="1" t="s">
        <v>52</v>
      </c>
      <c r="K1997" s="1" t="s">
        <v>65</v>
      </c>
      <c r="L1997" s="1" t="s">
        <v>46</v>
      </c>
      <c r="M1997" s="3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6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6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6" t="s">
        <v>2769</v>
      </c>
      <c r="J1998" s="1" t="s">
        <v>38</v>
      </c>
      <c r="K1998" s="1" t="s">
        <v>2770</v>
      </c>
      <c r="L1998" s="1" t="s">
        <v>46</v>
      </c>
      <c r="M1998" s="3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6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6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6" t="s">
        <v>2774</v>
      </c>
      <c r="J1999" s="1" t="s">
        <v>38</v>
      </c>
      <c r="K1999" s="1" t="s">
        <v>2770</v>
      </c>
      <c r="L1999" s="1" t="s">
        <v>46</v>
      </c>
      <c r="M1999" s="3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6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6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6" t="s">
        <v>2778</v>
      </c>
      <c r="J2000" s="1" t="s">
        <v>52</v>
      </c>
      <c r="K2000" s="1" t="s">
        <v>2779</v>
      </c>
      <c r="L2000" s="1" t="s">
        <v>46</v>
      </c>
      <c r="M2000" s="3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6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6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6" t="s">
        <v>2783</v>
      </c>
      <c r="J2001" s="1" t="s">
        <v>52</v>
      </c>
      <c r="K2001" s="1" t="s">
        <v>2779</v>
      </c>
      <c r="L2001" s="1" t="s">
        <v>46</v>
      </c>
      <c r="M2001" s="3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6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6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6" t="s">
        <v>2787</v>
      </c>
      <c r="J2002" s="1" t="s">
        <v>52</v>
      </c>
      <c r="K2002" s="1" t="s">
        <v>2779</v>
      </c>
      <c r="L2002" s="1" t="s">
        <v>46</v>
      </c>
      <c r="M2002" s="3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6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6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6" t="s">
        <v>2739</v>
      </c>
      <c r="J2003" s="1" t="s">
        <v>52</v>
      </c>
      <c r="K2003" s="1" t="s">
        <v>1935</v>
      </c>
      <c r="L2003" s="1" t="s">
        <v>46</v>
      </c>
      <c r="M2003" s="3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6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6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6" t="s">
        <v>2744</v>
      </c>
      <c r="J2004" s="1" t="s">
        <v>52</v>
      </c>
      <c r="K2004" s="1" t="s">
        <v>1935</v>
      </c>
      <c r="L2004" s="1" t="s">
        <v>46</v>
      </c>
      <c r="M2004" s="3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6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6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6" t="s">
        <v>2748</v>
      </c>
      <c r="J2005" s="1" t="s">
        <v>52</v>
      </c>
      <c r="K2005" s="1" t="s">
        <v>1935</v>
      </c>
      <c r="L2005" s="1" t="s">
        <v>46</v>
      </c>
      <c r="M2005" s="3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6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6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6" t="s">
        <v>2752</v>
      </c>
      <c r="J2006" s="1" t="s">
        <v>52</v>
      </c>
      <c r="K2006" s="1" t="s">
        <v>1935</v>
      </c>
      <c r="L2006" s="1" t="s">
        <v>46</v>
      </c>
      <c r="M2006" s="3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6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6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6" t="s">
        <v>2755</v>
      </c>
      <c r="J2007" s="1" t="s">
        <v>52</v>
      </c>
      <c r="K2007" s="1" t="s">
        <v>65</v>
      </c>
      <c r="L2007" s="1" t="s">
        <v>46</v>
      </c>
      <c r="M2007" s="3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6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6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6" t="s">
        <v>2759</v>
      </c>
      <c r="J2008" s="1" t="s">
        <v>52</v>
      </c>
      <c r="K2008" s="1" t="s">
        <v>65</v>
      </c>
      <c r="L2008" s="1" t="s">
        <v>46</v>
      </c>
      <c r="M2008" s="3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6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6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6" t="s">
        <v>2763</v>
      </c>
      <c r="J2009" s="1" t="s">
        <v>52</v>
      </c>
      <c r="K2009" s="1" t="s">
        <v>65</v>
      </c>
      <c r="L2009" s="1" t="s">
        <v>46</v>
      </c>
      <c r="M2009" s="3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6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6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6" t="s">
        <v>2793</v>
      </c>
      <c r="J2010" s="1" t="s">
        <v>38</v>
      </c>
      <c r="K2010" s="1" t="s">
        <v>2794</v>
      </c>
      <c r="L2010" s="1" t="s">
        <v>46</v>
      </c>
      <c r="M2010" s="3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6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6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6" t="s">
        <v>2798</v>
      </c>
      <c r="J2011" s="1" t="s">
        <v>38</v>
      </c>
      <c r="K2011" s="1" t="s">
        <v>2794</v>
      </c>
      <c r="L2011" s="1" t="s">
        <v>46</v>
      </c>
      <c r="M2011" s="3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6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6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6" t="s">
        <v>2802</v>
      </c>
      <c r="J2012" s="1" t="s">
        <v>52</v>
      </c>
      <c r="K2012" s="1" t="s">
        <v>2803</v>
      </c>
      <c r="L2012" s="1" t="s">
        <v>46</v>
      </c>
      <c r="M2012" s="3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6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6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6" t="s">
        <v>2808</v>
      </c>
      <c r="J2013" s="1" t="s">
        <v>52</v>
      </c>
      <c r="K2013" s="1" t="s">
        <v>2803</v>
      </c>
      <c r="L2013" s="1" t="s">
        <v>46</v>
      </c>
      <c r="M2013" s="3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6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6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6" t="s">
        <v>2812</v>
      </c>
      <c r="J2014" s="1" t="s">
        <v>52</v>
      </c>
      <c r="K2014" s="1" t="s">
        <v>2803</v>
      </c>
      <c r="L2014" s="1" t="s">
        <v>46</v>
      </c>
      <c r="M2014" s="3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6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6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6" t="s">
        <v>2739</v>
      </c>
      <c r="J2015" s="1" t="s">
        <v>52</v>
      </c>
      <c r="K2015" s="1" t="s">
        <v>1935</v>
      </c>
      <c r="L2015" s="1" t="s">
        <v>46</v>
      </c>
      <c r="M2015" s="3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6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6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6" t="s">
        <v>2744</v>
      </c>
      <c r="J2016" s="1" t="s">
        <v>52</v>
      </c>
      <c r="K2016" s="1" t="s">
        <v>1935</v>
      </c>
      <c r="L2016" s="1" t="s">
        <v>46</v>
      </c>
      <c r="M2016" s="3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6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6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6" t="s">
        <v>2748</v>
      </c>
      <c r="J2017" s="1" t="s">
        <v>52</v>
      </c>
      <c r="K2017" s="1" t="s">
        <v>1935</v>
      </c>
      <c r="L2017" s="1" t="s">
        <v>46</v>
      </c>
      <c r="M2017" s="3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6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6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6" t="s">
        <v>2752</v>
      </c>
      <c r="J2018" s="1" t="s">
        <v>52</v>
      </c>
      <c r="K2018" s="1" t="s">
        <v>1935</v>
      </c>
      <c r="L2018" s="1" t="s">
        <v>46</v>
      </c>
      <c r="M2018" s="3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6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6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6" t="s">
        <v>2755</v>
      </c>
      <c r="J2019" s="1" t="s">
        <v>52</v>
      </c>
      <c r="K2019" s="1" t="s">
        <v>65</v>
      </c>
      <c r="L2019" s="1" t="s">
        <v>46</v>
      </c>
      <c r="M2019" s="3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6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6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6" t="s">
        <v>2759</v>
      </c>
      <c r="J2020" s="1" t="s">
        <v>52</v>
      </c>
      <c r="K2020" s="1" t="s">
        <v>65</v>
      </c>
      <c r="L2020" s="1" t="s">
        <v>46</v>
      </c>
      <c r="M2020" s="3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6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6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6" t="s">
        <v>2763</v>
      </c>
      <c r="J2021" s="1" t="s">
        <v>52</v>
      </c>
      <c r="K2021" s="1" t="s">
        <v>65</v>
      </c>
      <c r="L2021" s="1" t="s">
        <v>46</v>
      </c>
      <c r="M2021" s="3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6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6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6" t="s">
        <v>2820</v>
      </c>
      <c r="J2022" s="1" t="s">
        <v>38</v>
      </c>
      <c r="K2022" s="1" t="s">
        <v>2821</v>
      </c>
      <c r="L2022" s="1" t="s">
        <v>46</v>
      </c>
      <c r="M2022" s="3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6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6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6" t="s">
        <v>2829</v>
      </c>
      <c r="J2023" s="1" t="s">
        <v>38</v>
      </c>
      <c r="K2023" s="1" t="s">
        <v>2821</v>
      </c>
      <c r="L2023" s="1" t="s">
        <v>46</v>
      </c>
      <c r="M2023" s="3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6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6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6" t="s">
        <v>2832</v>
      </c>
      <c r="J2024" s="1" t="s">
        <v>38</v>
      </c>
      <c r="K2024" s="1" t="s">
        <v>2821</v>
      </c>
      <c r="L2024" s="1" t="s">
        <v>46</v>
      </c>
      <c r="M2024" s="3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6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6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6" t="s">
        <v>2835</v>
      </c>
      <c r="J2025" s="1" t="s">
        <v>52</v>
      </c>
      <c r="K2025" s="1" t="s">
        <v>2836</v>
      </c>
      <c r="L2025" s="1" t="s">
        <v>46</v>
      </c>
      <c r="M2025" s="3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6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6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6" t="s">
        <v>2839</v>
      </c>
      <c r="J2026" s="1" t="s">
        <v>52</v>
      </c>
      <c r="K2026" s="1" t="s">
        <v>2836</v>
      </c>
      <c r="L2026" s="1" t="s">
        <v>46</v>
      </c>
      <c r="M2026" s="3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6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6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6" t="s">
        <v>2842</v>
      </c>
      <c r="J2027" s="1" t="s">
        <v>52</v>
      </c>
      <c r="K2027" s="1" t="s">
        <v>2836</v>
      </c>
      <c r="L2027" s="1" t="s">
        <v>46</v>
      </c>
      <c r="M2027" s="3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6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6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6" t="s">
        <v>2845</v>
      </c>
      <c r="J2028" s="1" t="s">
        <v>52</v>
      </c>
      <c r="K2028" s="1" t="s">
        <v>1935</v>
      </c>
      <c r="L2028" s="1" t="s">
        <v>46</v>
      </c>
      <c r="M2028" s="3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6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6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6" t="s">
        <v>2848</v>
      </c>
      <c r="J2029" s="1" t="s">
        <v>52</v>
      </c>
      <c r="K2029" s="1" t="s">
        <v>1935</v>
      </c>
      <c r="L2029" s="1" t="s">
        <v>46</v>
      </c>
      <c r="M2029" s="3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6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6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6" t="s">
        <v>2851</v>
      </c>
      <c r="J2030" s="1" t="s">
        <v>52</v>
      </c>
      <c r="K2030" s="1" t="s">
        <v>1935</v>
      </c>
      <c r="L2030" s="1" t="s">
        <v>46</v>
      </c>
      <c r="M2030" s="3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6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6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6" t="s">
        <v>2854</v>
      </c>
      <c r="J2031" s="1" t="s">
        <v>52</v>
      </c>
      <c r="K2031" s="1" t="s">
        <v>1935</v>
      </c>
      <c r="L2031" s="1" t="s">
        <v>46</v>
      </c>
      <c r="M2031" s="3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6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6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6" t="s">
        <v>2857</v>
      </c>
      <c r="J2032" s="1" t="s">
        <v>52</v>
      </c>
      <c r="K2032" s="1" t="s">
        <v>1935</v>
      </c>
      <c r="L2032" s="1" t="s">
        <v>46</v>
      </c>
      <c r="M2032" s="3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6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6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6" t="s">
        <v>2860</v>
      </c>
      <c r="J2033" s="1" t="s">
        <v>52</v>
      </c>
      <c r="K2033" s="1" t="s">
        <v>65</v>
      </c>
      <c r="L2033" s="1" t="s">
        <v>46</v>
      </c>
      <c r="M2033" s="3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6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6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6" t="s">
        <v>2863</v>
      </c>
      <c r="J2034" s="1" t="s">
        <v>52</v>
      </c>
      <c r="K2034" s="1" t="s">
        <v>65</v>
      </c>
      <c r="L2034" s="1" t="s">
        <v>46</v>
      </c>
      <c r="M2034" s="3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6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6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6" t="s">
        <v>2866</v>
      </c>
      <c r="J2035" s="1" t="s">
        <v>52</v>
      </c>
      <c r="K2035" s="1" t="s">
        <v>65</v>
      </c>
      <c r="L2035" s="1" t="s">
        <v>46</v>
      </c>
      <c r="M2035" s="3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6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6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6" t="s">
        <v>2871</v>
      </c>
      <c r="J2036" s="1" t="s">
        <v>38</v>
      </c>
      <c r="K2036" s="1" t="s">
        <v>2872</v>
      </c>
      <c r="L2036" s="1" t="s">
        <v>46</v>
      </c>
      <c r="M2036" s="3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6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6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6" t="s">
        <v>2875</v>
      </c>
      <c r="J2037" s="1" t="s">
        <v>38</v>
      </c>
      <c r="K2037" s="1" t="s">
        <v>2872</v>
      </c>
      <c r="L2037" s="1" t="s">
        <v>46</v>
      </c>
      <c r="M2037" s="3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6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6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6" t="s">
        <v>2878</v>
      </c>
      <c r="J2038" s="1" t="s">
        <v>38</v>
      </c>
      <c r="K2038" s="1" t="s">
        <v>2872</v>
      </c>
      <c r="L2038" s="1" t="s">
        <v>46</v>
      </c>
      <c r="M2038" s="3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6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6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6" t="s">
        <v>2881</v>
      </c>
      <c r="J2039" s="1" t="s">
        <v>52</v>
      </c>
      <c r="K2039" s="1" t="s">
        <v>2882</v>
      </c>
      <c r="L2039" s="1" t="s">
        <v>46</v>
      </c>
      <c r="M2039" s="3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6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6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6" t="s">
        <v>2885</v>
      </c>
      <c r="J2040" s="1" t="s">
        <v>52</v>
      </c>
      <c r="K2040" s="1" t="s">
        <v>2882</v>
      </c>
      <c r="L2040" s="1" t="s">
        <v>46</v>
      </c>
      <c r="M2040" s="3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6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6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6" t="s">
        <v>2888</v>
      </c>
      <c r="J2041" s="1" t="s">
        <v>52</v>
      </c>
      <c r="K2041" s="1" t="s">
        <v>2882</v>
      </c>
      <c r="L2041" s="1" t="s">
        <v>46</v>
      </c>
      <c r="M2041" s="3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6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6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6" t="s">
        <v>2845</v>
      </c>
      <c r="J2042" s="1" t="s">
        <v>52</v>
      </c>
      <c r="K2042" s="1" t="s">
        <v>1935</v>
      </c>
      <c r="L2042" s="1" t="s">
        <v>46</v>
      </c>
      <c r="M2042" s="3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6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6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6" t="s">
        <v>2848</v>
      </c>
      <c r="J2043" s="1" t="s">
        <v>52</v>
      </c>
      <c r="K2043" s="1" t="s">
        <v>1935</v>
      </c>
      <c r="L2043" s="1" t="s">
        <v>46</v>
      </c>
      <c r="M2043" s="3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6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6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6" t="s">
        <v>2851</v>
      </c>
      <c r="J2044" s="1" t="s">
        <v>52</v>
      </c>
      <c r="K2044" s="1" t="s">
        <v>1935</v>
      </c>
      <c r="L2044" s="1" t="s">
        <v>46</v>
      </c>
      <c r="M2044" s="3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6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6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6" t="s">
        <v>2854</v>
      </c>
      <c r="J2045" s="1" t="s">
        <v>52</v>
      </c>
      <c r="K2045" s="1" t="s">
        <v>1935</v>
      </c>
      <c r="L2045" s="1" t="s">
        <v>46</v>
      </c>
      <c r="M2045" s="3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6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6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6" t="s">
        <v>2857</v>
      </c>
      <c r="J2046" s="1" t="s">
        <v>52</v>
      </c>
      <c r="K2046" s="1" t="s">
        <v>1935</v>
      </c>
      <c r="L2046" s="1" t="s">
        <v>46</v>
      </c>
      <c r="M2046" s="3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6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6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6" t="s">
        <v>2860</v>
      </c>
      <c r="J2047" s="1" t="s">
        <v>52</v>
      </c>
      <c r="K2047" s="1" t="s">
        <v>65</v>
      </c>
      <c r="L2047" s="1" t="s">
        <v>46</v>
      </c>
      <c r="M2047" s="3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6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6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6" t="s">
        <v>2863</v>
      </c>
      <c r="J2048" s="1" t="s">
        <v>52</v>
      </c>
      <c r="K2048" s="1" t="s">
        <v>65</v>
      </c>
      <c r="L2048" s="1" t="s">
        <v>46</v>
      </c>
      <c r="M2048" s="3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6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6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6" t="s">
        <v>2866</v>
      </c>
      <c r="J2049" s="1" t="s">
        <v>52</v>
      </c>
      <c r="K2049" s="1" t="s">
        <v>65</v>
      </c>
      <c r="L2049" s="1" t="s">
        <v>46</v>
      </c>
      <c r="M2049" s="3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6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6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6" t="s">
        <v>2893</v>
      </c>
      <c r="J2050" s="1" t="s">
        <v>38</v>
      </c>
      <c r="K2050" s="1" t="s">
        <v>2894</v>
      </c>
      <c r="L2050" s="1" t="s">
        <v>46</v>
      </c>
      <c r="M2050" s="3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6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6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6" t="s">
        <v>2897</v>
      </c>
      <c r="J2051" s="1" t="s">
        <v>38</v>
      </c>
      <c r="K2051" s="1" t="s">
        <v>2894</v>
      </c>
      <c r="L2051" s="1" t="s">
        <v>46</v>
      </c>
      <c r="M2051" s="3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6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6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6" t="s">
        <v>2900</v>
      </c>
      <c r="J2052" s="1" t="s">
        <v>38</v>
      </c>
      <c r="K2052" s="1" t="s">
        <v>2894</v>
      </c>
      <c r="L2052" s="1" t="s">
        <v>46</v>
      </c>
      <c r="M2052" s="3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6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6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6" t="s">
        <v>2903</v>
      </c>
      <c r="J2053" s="1" t="s">
        <v>52</v>
      </c>
      <c r="K2053" s="1" t="s">
        <v>2904</v>
      </c>
      <c r="L2053" s="1" t="s">
        <v>46</v>
      </c>
      <c r="M2053" s="3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6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6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6" t="s">
        <v>2907</v>
      </c>
      <c r="J2054" s="1" t="s">
        <v>52</v>
      </c>
      <c r="K2054" s="1" t="s">
        <v>2904</v>
      </c>
      <c r="L2054" s="1" t="s">
        <v>46</v>
      </c>
      <c r="M2054" s="3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6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6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6" t="s">
        <v>2910</v>
      </c>
      <c r="J2055" s="1" t="s">
        <v>52</v>
      </c>
      <c r="K2055" s="1" t="s">
        <v>2904</v>
      </c>
      <c r="L2055" s="1" t="s">
        <v>46</v>
      </c>
      <c r="M2055" s="3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6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6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6" t="s">
        <v>2845</v>
      </c>
      <c r="J2056" s="1" t="s">
        <v>52</v>
      </c>
      <c r="K2056" s="1" t="s">
        <v>1935</v>
      </c>
      <c r="L2056" s="1" t="s">
        <v>46</v>
      </c>
      <c r="M2056" s="3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6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6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6" t="s">
        <v>2848</v>
      </c>
      <c r="J2057" s="1" t="s">
        <v>52</v>
      </c>
      <c r="K2057" s="1" t="s">
        <v>1935</v>
      </c>
      <c r="L2057" s="1" t="s">
        <v>46</v>
      </c>
      <c r="M2057" s="3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6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6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6" t="s">
        <v>2851</v>
      </c>
      <c r="J2058" s="1" t="s">
        <v>52</v>
      </c>
      <c r="K2058" s="1" t="s">
        <v>1935</v>
      </c>
      <c r="L2058" s="1" t="s">
        <v>46</v>
      </c>
      <c r="M2058" s="3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6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6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6" t="s">
        <v>2854</v>
      </c>
      <c r="J2059" s="1" t="s">
        <v>52</v>
      </c>
      <c r="K2059" s="1" t="s">
        <v>1935</v>
      </c>
      <c r="L2059" s="1" t="s">
        <v>46</v>
      </c>
      <c r="M2059" s="3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6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6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6" t="s">
        <v>2857</v>
      </c>
      <c r="J2060" s="1" t="s">
        <v>52</v>
      </c>
      <c r="K2060" s="1" t="s">
        <v>1935</v>
      </c>
      <c r="L2060" s="1" t="s">
        <v>46</v>
      </c>
      <c r="M2060" s="3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6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6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6" t="s">
        <v>2860</v>
      </c>
      <c r="J2061" s="1" t="s">
        <v>52</v>
      </c>
      <c r="K2061" s="1" t="s">
        <v>65</v>
      </c>
      <c r="L2061" s="1" t="s">
        <v>46</v>
      </c>
      <c r="M2061" s="3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6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6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6" t="s">
        <v>2863</v>
      </c>
      <c r="J2062" s="1" t="s">
        <v>52</v>
      </c>
      <c r="K2062" s="1" t="s">
        <v>65</v>
      </c>
      <c r="L2062" s="1" t="s">
        <v>46</v>
      </c>
      <c r="M2062" s="3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6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6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6" t="s">
        <v>2866</v>
      </c>
      <c r="J2063" s="1" t="s">
        <v>52</v>
      </c>
      <c r="K2063" s="1" t="s">
        <v>65</v>
      </c>
      <c r="L2063" s="1" t="s">
        <v>46</v>
      </c>
      <c r="M2063" s="3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6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6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6" t="s">
        <v>2915</v>
      </c>
      <c r="J2064" s="1" t="s">
        <v>38</v>
      </c>
      <c r="K2064" s="1" t="s">
        <v>2916</v>
      </c>
      <c r="L2064" s="1" t="s">
        <v>46</v>
      </c>
      <c r="M2064" s="3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6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6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6" t="s">
        <v>2919</v>
      </c>
      <c r="J2065" s="1" t="s">
        <v>38</v>
      </c>
      <c r="K2065" s="1" t="s">
        <v>2916</v>
      </c>
      <c r="L2065" s="1" t="s">
        <v>46</v>
      </c>
      <c r="M2065" s="3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6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6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6" t="s">
        <v>2922</v>
      </c>
      <c r="J2066" s="1" t="s">
        <v>38</v>
      </c>
      <c r="K2066" s="1" t="s">
        <v>2916</v>
      </c>
      <c r="L2066" s="1" t="s">
        <v>46</v>
      </c>
      <c r="M2066" s="3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6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6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6" t="s">
        <v>2925</v>
      </c>
      <c r="J2067" s="1" t="s">
        <v>52</v>
      </c>
      <c r="K2067" s="1" t="s">
        <v>2926</v>
      </c>
      <c r="L2067" s="1" t="s">
        <v>46</v>
      </c>
      <c r="M2067" s="3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6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6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6" t="s">
        <v>2929</v>
      </c>
      <c r="J2068" s="1" t="s">
        <v>52</v>
      </c>
      <c r="K2068" s="1" t="s">
        <v>2926</v>
      </c>
      <c r="L2068" s="1" t="s">
        <v>46</v>
      </c>
      <c r="M2068" s="3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6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6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6" t="s">
        <v>2932</v>
      </c>
      <c r="J2069" s="1" t="s">
        <v>52</v>
      </c>
      <c r="K2069" s="1" t="s">
        <v>2926</v>
      </c>
      <c r="L2069" s="1" t="s">
        <v>46</v>
      </c>
      <c r="M2069" s="3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6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6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6" t="s">
        <v>2845</v>
      </c>
      <c r="J2070" s="1" t="s">
        <v>52</v>
      </c>
      <c r="K2070" s="1" t="s">
        <v>1935</v>
      </c>
      <c r="L2070" s="1" t="s">
        <v>46</v>
      </c>
      <c r="M2070" s="3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6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6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6" t="s">
        <v>2848</v>
      </c>
      <c r="J2071" s="1" t="s">
        <v>52</v>
      </c>
      <c r="K2071" s="1" t="s">
        <v>1935</v>
      </c>
      <c r="L2071" s="1" t="s">
        <v>46</v>
      </c>
      <c r="M2071" s="3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6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6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6" t="s">
        <v>2851</v>
      </c>
      <c r="J2072" s="1" t="s">
        <v>52</v>
      </c>
      <c r="K2072" s="1" t="s">
        <v>1935</v>
      </c>
      <c r="L2072" s="1" t="s">
        <v>46</v>
      </c>
      <c r="M2072" s="3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6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6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6" t="s">
        <v>2854</v>
      </c>
      <c r="J2073" s="1" t="s">
        <v>52</v>
      </c>
      <c r="K2073" s="1" t="s">
        <v>1935</v>
      </c>
      <c r="L2073" s="1" t="s">
        <v>46</v>
      </c>
      <c r="M2073" s="3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6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6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6" t="s">
        <v>2857</v>
      </c>
      <c r="J2074" s="1" t="s">
        <v>52</v>
      </c>
      <c r="K2074" s="1" t="s">
        <v>1935</v>
      </c>
      <c r="L2074" s="1" t="s">
        <v>46</v>
      </c>
      <c r="M2074" s="3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6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6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6" t="s">
        <v>2860</v>
      </c>
      <c r="J2075" s="1" t="s">
        <v>52</v>
      </c>
      <c r="K2075" s="1" t="s">
        <v>65</v>
      </c>
      <c r="L2075" s="1" t="s">
        <v>46</v>
      </c>
      <c r="M2075" s="3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6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6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6" t="s">
        <v>2863</v>
      </c>
      <c r="J2076" s="1" t="s">
        <v>52</v>
      </c>
      <c r="K2076" s="1" t="s">
        <v>65</v>
      </c>
      <c r="L2076" s="1" t="s">
        <v>46</v>
      </c>
      <c r="M2076" s="3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6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6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6" t="s">
        <v>2866</v>
      </c>
      <c r="J2077" s="1" t="s">
        <v>52</v>
      </c>
      <c r="K2077" s="1" t="s">
        <v>65</v>
      </c>
      <c r="L2077" s="1" t="s">
        <v>46</v>
      </c>
      <c r="M2077" s="3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6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6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6" t="s">
        <v>2935</v>
      </c>
      <c r="C2078" s="6" t="s">
        <v>2936</v>
      </c>
      <c r="D2078" s="6" t="s">
        <v>19</v>
      </c>
      <c r="E2078" s="6" t="s">
        <v>2937</v>
      </c>
      <c r="F2078" s="6" t="s">
        <v>2938</v>
      </c>
      <c r="G2078" s="6" t="s">
        <v>2939</v>
      </c>
      <c r="H2078" s="2" t="s">
        <v>2635</v>
      </c>
      <c r="I2078" s="6" t="s">
        <v>2940</v>
      </c>
      <c r="J2078" s="6" t="s">
        <v>38</v>
      </c>
      <c r="K2078" s="6" t="s">
        <v>2821</v>
      </c>
      <c r="L2078" s="6" t="s">
        <v>46</v>
      </c>
      <c r="M2078" s="13" t="s">
        <v>2941</v>
      </c>
      <c r="N2078" s="6" t="s">
        <v>41</v>
      </c>
      <c r="O2078" s="6" t="s">
        <v>42</v>
      </c>
      <c r="P2078" s="6" t="s">
        <v>162</v>
      </c>
      <c r="Q2078" s="6" t="s">
        <v>162</v>
      </c>
      <c r="R2078" s="6" t="s">
        <v>72</v>
      </c>
      <c r="S2078" s="6" t="s">
        <v>90</v>
      </c>
      <c r="T2078" s="6" t="s">
        <v>168</v>
      </c>
      <c r="U2078" s="6" t="s">
        <v>46</v>
      </c>
      <c r="V2078" s="6" t="n">
        <v>1</v>
      </c>
      <c r="W2078" s="6" t="s">
        <v>46</v>
      </c>
      <c r="X2078" s="6" t="s">
        <v>47</v>
      </c>
      <c r="Y2078" s="6" t="s">
        <v>153</v>
      </c>
      <c r="Z2078" s="6" t="s">
        <v>2942</v>
      </c>
      <c r="AA2078" s="6" t="s">
        <v>2943</v>
      </c>
      <c r="AB2078" s="6" t="s">
        <v>2944</v>
      </c>
      <c r="AC2078" s="6" t="s">
        <v>2945</v>
      </c>
      <c r="AD2078" s="6" t="s">
        <v>2946</v>
      </c>
      <c r="AE2078" s="6" t="s">
        <v>2947</v>
      </c>
      <c r="AF2078" s="6" t="s">
        <v>2948</v>
      </c>
    </row>
    <row r="2079" customFormat="false" ht="13.8" hidden="false" customHeight="false" outlineLevel="0" collapsed="false">
      <c r="A2079" s="6" t="s">
        <v>2935</v>
      </c>
      <c r="C2079" s="6" t="s">
        <v>2936</v>
      </c>
      <c r="D2079" s="6" t="s">
        <v>19</v>
      </c>
      <c r="E2079" s="6" t="s">
        <v>2937</v>
      </c>
      <c r="F2079" s="6" t="s">
        <v>2938</v>
      </c>
      <c r="G2079" s="6" t="s">
        <v>2939</v>
      </c>
      <c r="H2079" s="2" t="s">
        <v>2949</v>
      </c>
      <c r="I2079" s="6" t="s">
        <v>2950</v>
      </c>
      <c r="J2079" s="6" t="s">
        <v>38</v>
      </c>
      <c r="K2079" s="6" t="s">
        <v>2821</v>
      </c>
      <c r="L2079" s="6" t="s">
        <v>46</v>
      </c>
      <c r="M2079" s="13" t="s">
        <v>2941</v>
      </c>
      <c r="N2079" s="6" t="s">
        <v>41</v>
      </c>
      <c r="O2079" s="6" t="s">
        <v>42</v>
      </c>
      <c r="P2079" s="6" t="s">
        <v>162</v>
      </c>
      <c r="Q2079" s="6" t="s">
        <v>162</v>
      </c>
      <c r="R2079" s="6" t="s">
        <v>72</v>
      </c>
      <c r="S2079" s="6" t="s">
        <v>90</v>
      </c>
      <c r="T2079" s="6" t="s">
        <v>168</v>
      </c>
      <c r="U2079" s="6" t="s">
        <v>46</v>
      </c>
      <c r="V2079" s="6" t="n">
        <v>2</v>
      </c>
      <c r="W2079" s="6" t="s">
        <v>46</v>
      </c>
      <c r="X2079" s="6" t="s">
        <v>47</v>
      </c>
      <c r="Y2079" s="6" t="s">
        <v>153</v>
      </c>
      <c r="Z2079" s="6" t="s">
        <v>2942</v>
      </c>
      <c r="AA2079" s="6" t="s">
        <v>2943</v>
      </c>
      <c r="AB2079" s="6" t="s">
        <v>2944</v>
      </c>
      <c r="AC2079" s="6" t="s">
        <v>2945</v>
      </c>
      <c r="AD2079" s="6" t="s">
        <v>2946</v>
      </c>
      <c r="AE2079" s="6" t="s">
        <v>2951</v>
      </c>
      <c r="AF2079" s="6" t="s">
        <v>2952</v>
      </c>
    </row>
    <row r="2080" customFormat="false" ht="13.8" hidden="false" customHeight="false" outlineLevel="0" collapsed="false">
      <c r="A2080" s="6" t="s">
        <v>2935</v>
      </c>
      <c r="C2080" s="6" t="s">
        <v>2936</v>
      </c>
      <c r="D2080" s="6" t="s">
        <v>19</v>
      </c>
      <c r="E2080" s="6" t="s">
        <v>2937</v>
      </c>
      <c r="F2080" s="6" t="s">
        <v>2938</v>
      </c>
      <c r="G2080" s="6" t="s">
        <v>2939</v>
      </c>
      <c r="H2080" s="2" t="s">
        <v>2722</v>
      </c>
      <c r="I2080" s="6" t="s">
        <v>2953</v>
      </c>
      <c r="J2080" s="6" t="s">
        <v>38</v>
      </c>
      <c r="K2080" s="6" t="s">
        <v>2821</v>
      </c>
      <c r="L2080" s="6" t="s">
        <v>46</v>
      </c>
      <c r="M2080" s="13" t="s">
        <v>2941</v>
      </c>
      <c r="N2080" s="6" t="s">
        <v>41</v>
      </c>
      <c r="O2080" s="6" t="s">
        <v>42</v>
      </c>
      <c r="P2080" s="6" t="s">
        <v>162</v>
      </c>
      <c r="Q2080" s="6" t="s">
        <v>162</v>
      </c>
      <c r="R2080" s="6" t="s">
        <v>72</v>
      </c>
      <c r="S2080" s="6" t="s">
        <v>90</v>
      </c>
      <c r="T2080" s="6" t="s">
        <v>168</v>
      </c>
      <c r="U2080" s="6" t="s">
        <v>46</v>
      </c>
      <c r="V2080" s="6" t="n">
        <v>3</v>
      </c>
      <c r="W2080" s="6" t="s">
        <v>46</v>
      </c>
      <c r="X2080" s="6" t="s">
        <v>47</v>
      </c>
      <c r="Y2080" s="6" t="s">
        <v>153</v>
      </c>
      <c r="Z2080" s="6" t="s">
        <v>2942</v>
      </c>
      <c r="AA2080" s="6" t="s">
        <v>2943</v>
      </c>
      <c r="AB2080" s="6" t="s">
        <v>2944</v>
      </c>
      <c r="AC2080" s="6" t="s">
        <v>2945</v>
      </c>
      <c r="AD2080" s="6" t="s">
        <v>2946</v>
      </c>
      <c r="AE2080" s="6" t="s">
        <v>2954</v>
      </c>
      <c r="AF2080" s="6" t="s">
        <v>2955</v>
      </c>
    </row>
    <row r="2081" customFormat="false" ht="13.8" hidden="false" customHeight="false" outlineLevel="0" collapsed="false">
      <c r="A2081" s="6" t="s">
        <v>2935</v>
      </c>
      <c r="C2081" s="6" t="s">
        <v>2936</v>
      </c>
      <c r="D2081" s="6" t="s">
        <v>19</v>
      </c>
      <c r="E2081" s="6" t="s">
        <v>2937</v>
      </c>
      <c r="F2081" s="6" t="s">
        <v>2938</v>
      </c>
      <c r="G2081" s="6" t="s">
        <v>2939</v>
      </c>
      <c r="H2081" s="2" t="s">
        <v>2663</v>
      </c>
      <c r="I2081" s="6" t="s">
        <v>2956</v>
      </c>
      <c r="J2081" s="6" t="s">
        <v>52</v>
      </c>
      <c r="K2081" s="6" t="s">
        <v>2836</v>
      </c>
      <c r="L2081" s="6" t="s">
        <v>46</v>
      </c>
      <c r="M2081" s="13" t="s">
        <v>2941</v>
      </c>
      <c r="N2081" s="6" t="s">
        <v>41</v>
      </c>
      <c r="O2081" s="6" t="s">
        <v>42</v>
      </c>
      <c r="P2081" s="6" t="s">
        <v>162</v>
      </c>
      <c r="Q2081" s="6" t="s">
        <v>162</v>
      </c>
      <c r="R2081" s="6" t="s">
        <v>72</v>
      </c>
      <c r="S2081" s="6" t="s">
        <v>90</v>
      </c>
      <c r="T2081" s="6" t="s">
        <v>163</v>
      </c>
      <c r="U2081" s="6" t="s">
        <v>46</v>
      </c>
      <c r="V2081" s="6" t="n">
        <v>1</v>
      </c>
      <c r="W2081" s="6" t="s">
        <v>46</v>
      </c>
      <c r="X2081" s="6" t="s">
        <v>47</v>
      </c>
      <c r="Y2081" s="6" t="s">
        <v>153</v>
      </c>
      <c r="Z2081" s="6" t="s">
        <v>2942</v>
      </c>
      <c r="AA2081" s="6" t="s">
        <v>2943</v>
      </c>
      <c r="AB2081" s="6" t="s">
        <v>2944</v>
      </c>
      <c r="AC2081" s="6" t="s">
        <v>2945</v>
      </c>
      <c r="AD2081" s="6" t="s">
        <v>2946</v>
      </c>
      <c r="AE2081" s="6" t="s">
        <v>2957</v>
      </c>
      <c r="AF2081" s="6" t="s">
        <v>2958</v>
      </c>
    </row>
    <row r="2082" customFormat="false" ht="13.8" hidden="false" customHeight="false" outlineLevel="0" collapsed="false">
      <c r="A2082" s="6" t="s">
        <v>2935</v>
      </c>
      <c r="C2082" s="6" t="s">
        <v>2936</v>
      </c>
      <c r="D2082" s="6" t="s">
        <v>19</v>
      </c>
      <c r="E2082" s="6" t="s">
        <v>2937</v>
      </c>
      <c r="F2082" s="6" t="s">
        <v>2938</v>
      </c>
      <c r="G2082" s="6" t="s">
        <v>2939</v>
      </c>
      <c r="H2082" s="2" t="s">
        <v>2718</v>
      </c>
      <c r="I2082" s="6" t="s">
        <v>2959</v>
      </c>
      <c r="J2082" s="6" t="s">
        <v>52</v>
      </c>
      <c r="K2082" s="6" t="s">
        <v>2836</v>
      </c>
      <c r="L2082" s="6" t="s">
        <v>46</v>
      </c>
      <c r="M2082" s="13" t="s">
        <v>2941</v>
      </c>
      <c r="N2082" s="6" t="s">
        <v>41</v>
      </c>
      <c r="O2082" s="6" t="s">
        <v>42</v>
      </c>
      <c r="P2082" s="6" t="s">
        <v>162</v>
      </c>
      <c r="Q2082" s="6" t="s">
        <v>162</v>
      </c>
      <c r="R2082" s="6" t="s">
        <v>72</v>
      </c>
      <c r="S2082" s="6" t="s">
        <v>90</v>
      </c>
      <c r="T2082" s="6" t="s">
        <v>163</v>
      </c>
      <c r="U2082" s="6" t="s">
        <v>46</v>
      </c>
      <c r="V2082" s="6" t="n">
        <v>2</v>
      </c>
      <c r="W2082" s="6" t="s">
        <v>46</v>
      </c>
      <c r="X2082" s="6" t="s">
        <v>47</v>
      </c>
      <c r="Y2082" s="6" t="s">
        <v>153</v>
      </c>
      <c r="Z2082" s="6" t="s">
        <v>2942</v>
      </c>
      <c r="AA2082" s="6" t="s">
        <v>2943</v>
      </c>
      <c r="AB2082" s="6" t="s">
        <v>2944</v>
      </c>
      <c r="AC2082" s="6" t="s">
        <v>2945</v>
      </c>
      <c r="AD2082" s="6" t="s">
        <v>2946</v>
      </c>
      <c r="AE2082" s="6" t="s">
        <v>2960</v>
      </c>
      <c r="AF2082" s="6" t="s">
        <v>2961</v>
      </c>
    </row>
    <row r="2083" customFormat="false" ht="13.8" hidden="false" customHeight="false" outlineLevel="0" collapsed="false">
      <c r="A2083" s="6" t="s">
        <v>2935</v>
      </c>
      <c r="C2083" s="6" t="s">
        <v>2936</v>
      </c>
      <c r="D2083" s="6" t="s">
        <v>19</v>
      </c>
      <c r="E2083" s="6" t="s">
        <v>2937</v>
      </c>
      <c r="F2083" s="6" t="s">
        <v>2938</v>
      </c>
      <c r="G2083" s="6" t="s">
        <v>2939</v>
      </c>
      <c r="H2083" s="2" t="s">
        <v>2735</v>
      </c>
      <c r="I2083" s="6" t="s">
        <v>2962</v>
      </c>
      <c r="J2083" s="6" t="s">
        <v>52</v>
      </c>
      <c r="K2083" s="6" t="s">
        <v>2836</v>
      </c>
      <c r="L2083" s="6" t="s">
        <v>46</v>
      </c>
      <c r="M2083" s="13" t="s">
        <v>2941</v>
      </c>
      <c r="N2083" s="6" t="s">
        <v>41</v>
      </c>
      <c r="O2083" s="6" t="s">
        <v>42</v>
      </c>
      <c r="P2083" s="6" t="s">
        <v>162</v>
      </c>
      <c r="Q2083" s="6" t="s">
        <v>162</v>
      </c>
      <c r="R2083" s="6" t="s">
        <v>72</v>
      </c>
      <c r="S2083" s="6" t="s">
        <v>90</v>
      </c>
      <c r="T2083" s="6" t="s">
        <v>163</v>
      </c>
      <c r="U2083" s="6" t="s">
        <v>46</v>
      </c>
      <c r="V2083" s="6" t="n">
        <v>3</v>
      </c>
      <c r="W2083" s="6" t="s">
        <v>46</v>
      </c>
      <c r="X2083" s="6" t="s">
        <v>47</v>
      </c>
      <c r="Y2083" s="6" t="s">
        <v>153</v>
      </c>
      <c r="Z2083" s="6" t="s">
        <v>2942</v>
      </c>
      <c r="AA2083" s="6" t="s">
        <v>2943</v>
      </c>
      <c r="AB2083" s="6" t="s">
        <v>2944</v>
      </c>
      <c r="AC2083" s="6" t="s">
        <v>2945</v>
      </c>
      <c r="AD2083" s="6" t="s">
        <v>2946</v>
      </c>
      <c r="AE2083" s="6" t="s">
        <v>2963</v>
      </c>
      <c r="AF2083" s="6" t="s">
        <v>2964</v>
      </c>
    </row>
    <row r="2084" customFormat="false" ht="13.8" hidden="false" customHeight="false" outlineLevel="0" collapsed="false">
      <c r="A2084" s="6" t="s">
        <v>2935</v>
      </c>
      <c r="C2084" s="6" t="s">
        <v>2936</v>
      </c>
      <c r="D2084" s="6" t="s">
        <v>19</v>
      </c>
      <c r="E2084" s="6" t="s">
        <v>2937</v>
      </c>
      <c r="F2084" s="6" t="s">
        <v>2938</v>
      </c>
      <c r="G2084" s="6" t="s">
        <v>2939</v>
      </c>
      <c r="H2084" s="2" t="s">
        <v>2693</v>
      </c>
      <c r="I2084" s="6" t="s">
        <v>2965</v>
      </c>
      <c r="J2084" s="6" t="s">
        <v>52</v>
      </c>
      <c r="K2084" s="6" t="s">
        <v>1935</v>
      </c>
      <c r="L2084" s="6" t="s">
        <v>69</v>
      </c>
      <c r="M2084" s="13" t="s">
        <v>69</v>
      </c>
      <c r="N2084" s="6" t="s">
        <v>1935</v>
      </c>
      <c r="O2084" s="6" t="s">
        <v>46</v>
      </c>
      <c r="P2084" s="6" t="s">
        <v>71</v>
      </c>
      <c r="Q2084" s="6" t="s">
        <v>71</v>
      </c>
      <c r="R2084" s="6" t="s">
        <v>72</v>
      </c>
      <c r="S2084" s="6" t="s">
        <v>73</v>
      </c>
      <c r="T2084" s="6" t="s">
        <v>46</v>
      </c>
      <c r="U2084" s="6" t="n">
        <v>1000</v>
      </c>
      <c r="V2084" s="6" t="n">
        <v>1</v>
      </c>
      <c r="W2084" s="6" t="s">
        <v>46</v>
      </c>
      <c r="X2084" s="6" t="s">
        <v>74</v>
      </c>
      <c r="Y2084" s="6" t="s">
        <v>153</v>
      </c>
      <c r="Z2084" s="6" t="s">
        <v>2942</v>
      </c>
      <c r="AA2084" s="6" t="s">
        <v>2943</v>
      </c>
      <c r="AB2084" s="6" t="s">
        <v>2944</v>
      </c>
      <c r="AC2084" s="6" t="s">
        <v>2945</v>
      </c>
      <c r="AD2084" s="6" t="s">
        <v>2946</v>
      </c>
      <c r="AE2084" s="6" t="s">
        <v>2966</v>
      </c>
      <c r="AF2084" s="6" t="s">
        <v>2967</v>
      </c>
    </row>
    <row r="2085" customFormat="false" ht="13.8" hidden="false" customHeight="false" outlineLevel="0" collapsed="false">
      <c r="A2085" s="6" t="s">
        <v>2935</v>
      </c>
      <c r="C2085" s="6" t="s">
        <v>2936</v>
      </c>
      <c r="D2085" s="6" t="s">
        <v>19</v>
      </c>
      <c r="E2085" s="6" t="s">
        <v>2937</v>
      </c>
      <c r="F2085" s="6" t="s">
        <v>2938</v>
      </c>
      <c r="G2085" s="6" t="s">
        <v>2939</v>
      </c>
      <c r="H2085" s="2" t="s">
        <v>2968</v>
      </c>
      <c r="I2085" s="6" t="s">
        <v>2969</v>
      </c>
      <c r="J2085" s="6" t="s">
        <v>52</v>
      </c>
      <c r="K2085" s="6" t="s">
        <v>1935</v>
      </c>
      <c r="L2085" s="6" t="s">
        <v>69</v>
      </c>
      <c r="M2085" s="13" t="s">
        <v>69</v>
      </c>
      <c r="N2085" s="6" t="s">
        <v>1935</v>
      </c>
      <c r="O2085" s="6" t="s">
        <v>46</v>
      </c>
      <c r="P2085" s="6" t="s">
        <v>71</v>
      </c>
      <c r="Q2085" s="6" t="s">
        <v>71</v>
      </c>
      <c r="R2085" s="6" t="s">
        <v>72</v>
      </c>
      <c r="S2085" s="6" t="s">
        <v>73</v>
      </c>
      <c r="T2085" s="6" t="s">
        <v>46</v>
      </c>
      <c r="U2085" s="6" t="n">
        <v>1000</v>
      </c>
      <c r="V2085" s="6" t="n">
        <v>2</v>
      </c>
      <c r="W2085" s="6" t="s">
        <v>46</v>
      </c>
      <c r="X2085" s="6" t="s">
        <v>74</v>
      </c>
      <c r="Y2085" s="6" t="s">
        <v>153</v>
      </c>
      <c r="Z2085" s="6" t="s">
        <v>2942</v>
      </c>
      <c r="AA2085" s="6" t="s">
        <v>2943</v>
      </c>
      <c r="AB2085" s="6" t="s">
        <v>2944</v>
      </c>
      <c r="AC2085" s="6" t="s">
        <v>2945</v>
      </c>
      <c r="AD2085" s="6" t="s">
        <v>2946</v>
      </c>
      <c r="AE2085" s="6" t="s">
        <v>2970</v>
      </c>
      <c r="AF2085" s="6" t="s">
        <v>2971</v>
      </c>
    </row>
    <row r="2086" customFormat="false" ht="13.8" hidden="false" customHeight="false" outlineLevel="0" collapsed="false">
      <c r="A2086" s="6" t="s">
        <v>2935</v>
      </c>
      <c r="C2086" s="6" t="s">
        <v>2936</v>
      </c>
      <c r="D2086" s="6" t="s">
        <v>19</v>
      </c>
      <c r="E2086" s="6" t="s">
        <v>2937</v>
      </c>
      <c r="F2086" s="6" t="s">
        <v>2938</v>
      </c>
      <c r="G2086" s="6" t="s">
        <v>2939</v>
      </c>
      <c r="H2086" s="2" t="s">
        <v>2758</v>
      </c>
      <c r="I2086" s="6" t="s">
        <v>2972</v>
      </c>
      <c r="J2086" s="6" t="s">
        <v>52</v>
      </c>
      <c r="K2086" s="6" t="s">
        <v>1935</v>
      </c>
      <c r="L2086" s="6" t="s">
        <v>69</v>
      </c>
      <c r="M2086" s="13" t="s">
        <v>69</v>
      </c>
      <c r="N2086" s="6" t="s">
        <v>1935</v>
      </c>
      <c r="O2086" s="6" t="s">
        <v>46</v>
      </c>
      <c r="P2086" s="6" t="s">
        <v>71</v>
      </c>
      <c r="Q2086" s="6" t="s">
        <v>71</v>
      </c>
      <c r="R2086" s="6" t="s">
        <v>72</v>
      </c>
      <c r="S2086" s="6" t="s">
        <v>73</v>
      </c>
      <c r="T2086" s="6" t="s">
        <v>46</v>
      </c>
      <c r="U2086" s="6" t="n">
        <v>1000</v>
      </c>
      <c r="V2086" s="6" t="n">
        <v>3</v>
      </c>
      <c r="W2086" s="6" t="s">
        <v>46</v>
      </c>
      <c r="X2086" s="6" t="s">
        <v>74</v>
      </c>
      <c r="Y2086" s="6" t="s">
        <v>153</v>
      </c>
      <c r="Z2086" s="6" t="s">
        <v>2942</v>
      </c>
      <c r="AA2086" s="6" t="s">
        <v>2943</v>
      </c>
      <c r="AB2086" s="6" t="s">
        <v>2944</v>
      </c>
      <c r="AC2086" s="6" t="s">
        <v>2945</v>
      </c>
      <c r="AD2086" s="6" t="s">
        <v>2946</v>
      </c>
      <c r="AE2086" s="6" t="s">
        <v>2973</v>
      </c>
      <c r="AF2086" s="6" t="s">
        <v>2974</v>
      </c>
    </row>
    <row r="2087" customFormat="false" ht="13.8" hidden="false" customHeight="false" outlineLevel="0" collapsed="false">
      <c r="A2087" s="6" t="s">
        <v>2935</v>
      </c>
      <c r="C2087" s="6" t="s">
        <v>2936</v>
      </c>
      <c r="D2087" s="6" t="s">
        <v>19</v>
      </c>
      <c r="E2087" s="6" t="s">
        <v>2937</v>
      </c>
      <c r="F2087" s="6" t="s">
        <v>2938</v>
      </c>
      <c r="G2087" s="6" t="s">
        <v>2939</v>
      </c>
      <c r="H2087" s="2" t="s">
        <v>2975</v>
      </c>
      <c r="I2087" s="6" t="s">
        <v>2976</v>
      </c>
      <c r="J2087" s="6" t="s">
        <v>52</v>
      </c>
      <c r="K2087" s="6" t="s">
        <v>1935</v>
      </c>
      <c r="L2087" s="6" t="s">
        <v>69</v>
      </c>
      <c r="M2087" s="13" t="s">
        <v>69</v>
      </c>
      <c r="N2087" s="6" t="s">
        <v>1935</v>
      </c>
      <c r="O2087" s="6" t="s">
        <v>46</v>
      </c>
      <c r="P2087" s="6" t="s">
        <v>71</v>
      </c>
      <c r="Q2087" s="6" t="s">
        <v>71</v>
      </c>
      <c r="R2087" s="6" t="s">
        <v>72</v>
      </c>
      <c r="S2087" s="6" t="s">
        <v>73</v>
      </c>
      <c r="T2087" s="6" t="s">
        <v>46</v>
      </c>
      <c r="U2087" s="6" t="n">
        <v>1000</v>
      </c>
      <c r="V2087" s="6" t="n">
        <v>4</v>
      </c>
      <c r="W2087" s="6" t="s">
        <v>46</v>
      </c>
      <c r="X2087" s="6" t="s">
        <v>74</v>
      </c>
      <c r="Y2087" s="6" t="s">
        <v>153</v>
      </c>
      <c r="Z2087" s="6" t="s">
        <v>2942</v>
      </c>
      <c r="AA2087" s="6" t="s">
        <v>2943</v>
      </c>
      <c r="AB2087" s="6" t="s">
        <v>2944</v>
      </c>
      <c r="AC2087" s="6" t="s">
        <v>2945</v>
      </c>
      <c r="AD2087" s="6" t="s">
        <v>2946</v>
      </c>
      <c r="AE2087" s="6" t="s">
        <v>2977</v>
      </c>
      <c r="AF2087" s="6" t="s">
        <v>2978</v>
      </c>
    </row>
    <row r="2088" customFormat="false" ht="13.8" hidden="false" customHeight="false" outlineLevel="0" collapsed="false">
      <c r="A2088" s="6" t="s">
        <v>2935</v>
      </c>
      <c r="C2088" s="6" t="s">
        <v>2936</v>
      </c>
      <c r="D2088" s="6" t="s">
        <v>19</v>
      </c>
      <c r="E2088" s="6" t="s">
        <v>2937</v>
      </c>
      <c r="F2088" s="6" t="s">
        <v>2938</v>
      </c>
      <c r="G2088" s="6" t="s">
        <v>2939</v>
      </c>
      <c r="H2088" s="2" t="s">
        <v>2979</v>
      </c>
      <c r="I2088" s="6" t="s">
        <v>2980</v>
      </c>
      <c r="J2088" s="6" t="s">
        <v>52</v>
      </c>
      <c r="K2088" s="6" t="s">
        <v>1935</v>
      </c>
      <c r="L2088" s="6" t="s">
        <v>69</v>
      </c>
      <c r="M2088" s="13" t="s">
        <v>69</v>
      </c>
      <c r="N2088" s="6" t="s">
        <v>1935</v>
      </c>
      <c r="O2088" s="6" t="s">
        <v>46</v>
      </c>
      <c r="P2088" s="6" t="s">
        <v>71</v>
      </c>
      <c r="Q2088" s="6" t="s">
        <v>71</v>
      </c>
      <c r="R2088" s="6" t="s">
        <v>72</v>
      </c>
      <c r="S2088" s="6" t="s">
        <v>73</v>
      </c>
      <c r="T2088" s="6" t="s">
        <v>46</v>
      </c>
      <c r="U2088" s="6" t="n">
        <v>1000</v>
      </c>
      <c r="V2088" s="6" t="n">
        <v>5</v>
      </c>
      <c r="W2088" s="6" t="s">
        <v>46</v>
      </c>
      <c r="X2088" s="6" t="s">
        <v>74</v>
      </c>
      <c r="Y2088" s="6" t="s">
        <v>153</v>
      </c>
      <c r="Z2088" s="6" t="s">
        <v>2942</v>
      </c>
      <c r="AA2088" s="6" t="s">
        <v>2943</v>
      </c>
      <c r="AB2088" s="6" t="s">
        <v>2944</v>
      </c>
      <c r="AC2088" s="6" t="s">
        <v>2945</v>
      </c>
      <c r="AD2088" s="6" t="s">
        <v>2946</v>
      </c>
      <c r="AE2088" s="6" t="s">
        <v>2981</v>
      </c>
      <c r="AF2088" s="6" t="s">
        <v>2982</v>
      </c>
    </row>
    <row r="2089" customFormat="false" ht="13.8" hidden="false" customHeight="false" outlineLevel="0" collapsed="false">
      <c r="A2089" s="6" t="s">
        <v>2935</v>
      </c>
      <c r="C2089" s="6" t="s">
        <v>2936</v>
      </c>
      <c r="D2089" s="6" t="s">
        <v>19</v>
      </c>
      <c r="E2089" s="6" t="s">
        <v>2937</v>
      </c>
      <c r="F2089" s="6" t="s">
        <v>2938</v>
      </c>
      <c r="G2089" s="6" t="s">
        <v>2939</v>
      </c>
      <c r="H2089" s="2" t="s">
        <v>2683</v>
      </c>
      <c r="I2089" s="6" t="s">
        <v>2983</v>
      </c>
      <c r="J2089" s="6" t="s">
        <v>52</v>
      </c>
      <c r="K2089" s="6" t="s">
        <v>65</v>
      </c>
      <c r="L2089" s="6" t="s">
        <v>46</v>
      </c>
      <c r="M2089" s="13" t="s">
        <v>46</v>
      </c>
      <c r="N2089" s="6" t="s">
        <v>65</v>
      </c>
      <c r="O2089" s="6" t="s">
        <v>46</v>
      </c>
      <c r="P2089" s="6" t="s">
        <v>46</v>
      </c>
      <c r="Q2089" s="6" t="s">
        <v>46</v>
      </c>
      <c r="R2089" s="6" t="s">
        <v>46</v>
      </c>
      <c r="S2089" s="6" t="s">
        <v>46</v>
      </c>
      <c r="T2089" s="6" t="s">
        <v>46</v>
      </c>
      <c r="U2089" s="6" t="s">
        <v>46</v>
      </c>
      <c r="V2089" s="6" t="n">
        <v>1</v>
      </c>
      <c r="W2089" s="6" t="s">
        <v>46</v>
      </c>
      <c r="X2089" s="6" t="s">
        <v>83</v>
      </c>
      <c r="Y2089" s="6" t="s">
        <v>153</v>
      </c>
      <c r="Z2089" s="6" t="s">
        <v>2942</v>
      </c>
      <c r="AA2089" s="6" t="s">
        <v>2943</v>
      </c>
      <c r="AB2089" s="6" t="s">
        <v>2944</v>
      </c>
      <c r="AC2089" s="6" t="s">
        <v>2945</v>
      </c>
      <c r="AD2089" s="6" t="s">
        <v>2946</v>
      </c>
      <c r="AE2089" s="6" t="s">
        <v>2984</v>
      </c>
      <c r="AF2089" s="6" t="s">
        <v>2985</v>
      </c>
    </row>
    <row r="2090" customFormat="false" ht="13.8" hidden="false" customHeight="false" outlineLevel="0" collapsed="false">
      <c r="A2090" s="6" t="s">
        <v>2935</v>
      </c>
      <c r="C2090" s="6" t="s">
        <v>2936</v>
      </c>
      <c r="D2090" s="6" t="s">
        <v>19</v>
      </c>
      <c r="E2090" s="6" t="s">
        <v>2937</v>
      </c>
      <c r="F2090" s="6" t="s">
        <v>2938</v>
      </c>
      <c r="G2090" s="6" t="s">
        <v>2939</v>
      </c>
      <c r="H2090" s="2" t="s">
        <v>2986</v>
      </c>
      <c r="I2090" s="6" t="s">
        <v>2987</v>
      </c>
      <c r="J2090" s="6" t="s">
        <v>52</v>
      </c>
      <c r="K2090" s="6" t="s">
        <v>65</v>
      </c>
      <c r="L2090" s="6" t="s">
        <v>46</v>
      </c>
      <c r="M2090" s="13" t="s">
        <v>46</v>
      </c>
      <c r="N2090" s="6" t="s">
        <v>65</v>
      </c>
      <c r="O2090" s="6" t="s">
        <v>46</v>
      </c>
      <c r="P2090" s="6" t="s">
        <v>46</v>
      </c>
      <c r="Q2090" s="6" t="s">
        <v>46</v>
      </c>
      <c r="R2090" s="6" t="s">
        <v>46</v>
      </c>
      <c r="S2090" s="6" t="s">
        <v>46</v>
      </c>
      <c r="T2090" s="6" t="s">
        <v>46</v>
      </c>
      <c r="U2090" s="6" t="s">
        <v>46</v>
      </c>
      <c r="V2090" s="6" t="n">
        <v>2</v>
      </c>
      <c r="W2090" s="6" t="s">
        <v>46</v>
      </c>
      <c r="X2090" s="6" t="s">
        <v>83</v>
      </c>
      <c r="Y2090" s="6" t="s">
        <v>153</v>
      </c>
      <c r="Z2090" s="6" t="s">
        <v>2942</v>
      </c>
      <c r="AA2090" s="6" t="s">
        <v>2943</v>
      </c>
      <c r="AB2090" s="6" t="s">
        <v>2944</v>
      </c>
      <c r="AC2090" s="6" t="s">
        <v>2945</v>
      </c>
      <c r="AD2090" s="6" t="s">
        <v>2946</v>
      </c>
      <c r="AE2090" s="6" t="s">
        <v>2988</v>
      </c>
      <c r="AF2090" s="6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6" t="s">
        <v>2992</v>
      </c>
      <c r="J2091" s="1" t="s">
        <v>38</v>
      </c>
      <c r="K2091" s="1" t="s">
        <v>2872</v>
      </c>
      <c r="L2091" s="1" t="s">
        <v>46</v>
      </c>
      <c r="M2091" s="3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6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6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6" t="s">
        <v>2995</v>
      </c>
      <c r="J2092" s="1" t="s">
        <v>38</v>
      </c>
      <c r="K2092" s="1" t="s">
        <v>2872</v>
      </c>
      <c r="L2092" s="1" t="s">
        <v>46</v>
      </c>
      <c r="M2092" s="3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6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6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6" t="s">
        <v>2999</v>
      </c>
      <c r="J2093" s="1" t="s">
        <v>38</v>
      </c>
      <c r="K2093" s="1" t="s">
        <v>2872</v>
      </c>
      <c r="L2093" s="1" t="s">
        <v>46</v>
      </c>
      <c r="M2093" s="3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6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6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6" t="s">
        <v>3002</v>
      </c>
      <c r="J2094" s="1" t="s">
        <v>52</v>
      </c>
      <c r="K2094" s="1" t="s">
        <v>2882</v>
      </c>
      <c r="L2094" s="1" t="s">
        <v>46</v>
      </c>
      <c r="M2094" s="3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6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6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6" t="s">
        <v>3006</v>
      </c>
      <c r="J2095" s="1" t="s">
        <v>52</v>
      </c>
      <c r="K2095" s="1" t="s">
        <v>2882</v>
      </c>
      <c r="L2095" s="1" t="s">
        <v>46</v>
      </c>
      <c r="M2095" s="3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6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6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6" t="s">
        <v>3010</v>
      </c>
      <c r="J2096" s="1" t="s">
        <v>52</v>
      </c>
      <c r="K2096" s="1" t="s">
        <v>2882</v>
      </c>
      <c r="L2096" s="1" t="s">
        <v>46</v>
      </c>
      <c r="M2096" s="3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6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6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6" t="s">
        <v>2965</v>
      </c>
      <c r="J2097" s="1" t="s">
        <v>52</v>
      </c>
      <c r="K2097" s="1" t="s">
        <v>1935</v>
      </c>
      <c r="L2097" s="1" t="s">
        <v>69</v>
      </c>
      <c r="M2097" s="3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6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6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6" t="s">
        <v>2969</v>
      </c>
      <c r="J2098" s="1" t="s">
        <v>52</v>
      </c>
      <c r="K2098" s="1" t="s">
        <v>1935</v>
      </c>
      <c r="L2098" s="1" t="s">
        <v>69</v>
      </c>
      <c r="M2098" s="3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6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6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6" t="s">
        <v>2972</v>
      </c>
      <c r="J2099" s="1" t="s">
        <v>52</v>
      </c>
      <c r="K2099" s="1" t="s">
        <v>1935</v>
      </c>
      <c r="L2099" s="1" t="s">
        <v>69</v>
      </c>
      <c r="M2099" s="3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6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6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6" t="s">
        <v>2976</v>
      </c>
      <c r="J2100" s="1" t="s">
        <v>52</v>
      </c>
      <c r="K2100" s="1" t="s">
        <v>1935</v>
      </c>
      <c r="L2100" s="1" t="s">
        <v>69</v>
      </c>
      <c r="M2100" s="3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6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6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6" t="s">
        <v>2980</v>
      </c>
      <c r="J2101" s="1" t="s">
        <v>52</v>
      </c>
      <c r="K2101" s="1" t="s">
        <v>1935</v>
      </c>
      <c r="L2101" s="1" t="s">
        <v>69</v>
      </c>
      <c r="M2101" s="3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6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6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6" t="s">
        <v>2983</v>
      </c>
      <c r="J2102" s="1" t="s">
        <v>52</v>
      </c>
      <c r="K2102" s="1" t="s">
        <v>65</v>
      </c>
      <c r="L2102" s="1" t="s">
        <v>46</v>
      </c>
      <c r="M2102" s="3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6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6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6" t="s">
        <v>2987</v>
      </c>
      <c r="J2103" s="1" t="s">
        <v>52</v>
      </c>
      <c r="K2103" s="1" t="s">
        <v>65</v>
      </c>
      <c r="L2103" s="1" t="s">
        <v>46</v>
      </c>
      <c r="M2103" s="3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6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6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6" t="s">
        <v>3015</v>
      </c>
      <c r="J2104" s="1" t="s">
        <v>38</v>
      </c>
      <c r="K2104" s="1" t="s">
        <v>2894</v>
      </c>
      <c r="L2104" s="1" t="s">
        <v>46</v>
      </c>
      <c r="M2104" s="3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6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6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6" t="s">
        <v>3019</v>
      </c>
      <c r="J2105" s="1" t="s">
        <v>38</v>
      </c>
      <c r="K2105" s="1" t="s">
        <v>2894</v>
      </c>
      <c r="L2105" s="1" t="s">
        <v>46</v>
      </c>
      <c r="M2105" s="3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6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6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6" t="s">
        <v>3023</v>
      </c>
      <c r="J2106" s="1" t="s">
        <v>38</v>
      </c>
      <c r="K2106" s="1" t="s">
        <v>2894</v>
      </c>
      <c r="L2106" s="1" t="s">
        <v>46</v>
      </c>
      <c r="M2106" s="3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6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6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6" t="s">
        <v>3026</v>
      </c>
      <c r="J2107" s="1" t="s">
        <v>52</v>
      </c>
      <c r="K2107" s="1" t="s">
        <v>2904</v>
      </c>
      <c r="L2107" s="1" t="s">
        <v>46</v>
      </c>
      <c r="M2107" s="3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6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6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6" t="s">
        <v>3030</v>
      </c>
      <c r="J2108" s="1" t="s">
        <v>52</v>
      </c>
      <c r="K2108" s="1" t="s">
        <v>2904</v>
      </c>
      <c r="L2108" s="1" t="s">
        <v>46</v>
      </c>
      <c r="M2108" s="3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6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6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6" t="s">
        <v>3034</v>
      </c>
      <c r="J2109" s="1" t="s">
        <v>52</v>
      </c>
      <c r="K2109" s="1" t="s">
        <v>2904</v>
      </c>
      <c r="L2109" s="1" t="s">
        <v>46</v>
      </c>
      <c r="M2109" s="3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6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6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6" t="s">
        <v>2965</v>
      </c>
      <c r="J2110" s="1" t="s">
        <v>52</v>
      </c>
      <c r="K2110" s="1" t="s">
        <v>1935</v>
      </c>
      <c r="L2110" s="1" t="s">
        <v>69</v>
      </c>
      <c r="M2110" s="3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6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6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6" t="s">
        <v>2969</v>
      </c>
      <c r="J2111" s="1" t="s">
        <v>52</v>
      </c>
      <c r="K2111" s="1" t="s">
        <v>1935</v>
      </c>
      <c r="L2111" s="1" t="s">
        <v>69</v>
      </c>
      <c r="M2111" s="3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6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6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6" t="s">
        <v>2972</v>
      </c>
      <c r="J2112" s="1" t="s">
        <v>52</v>
      </c>
      <c r="K2112" s="1" t="s">
        <v>1935</v>
      </c>
      <c r="L2112" s="1" t="s">
        <v>69</v>
      </c>
      <c r="M2112" s="3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6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6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6" t="s">
        <v>2976</v>
      </c>
      <c r="J2113" s="1" t="s">
        <v>52</v>
      </c>
      <c r="K2113" s="1" t="s">
        <v>1935</v>
      </c>
      <c r="L2113" s="1" t="s">
        <v>69</v>
      </c>
      <c r="M2113" s="3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6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6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6" t="s">
        <v>2980</v>
      </c>
      <c r="J2114" s="1" t="s">
        <v>52</v>
      </c>
      <c r="K2114" s="1" t="s">
        <v>1935</v>
      </c>
      <c r="L2114" s="1" t="s">
        <v>69</v>
      </c>
      <c r="M2114" s="3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6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6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6" t="s">
        <v>2983</v>
      </c>
      <c r="J2115" s="1" t="s">
        <v>52</v>
      </c>
      <c r="K2115" s="1" t="s">
        <v>65</v>
      </c>
      <c r="L2115" s="1" t="s">
        <v>46</v>
      </c>
      <c r="M2115" s="3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6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6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6" t="s">
        <v>2987</v>
      </c>
      <c r="J2116" s="1" t="s">
        <v>52</v>
      </c>
      <c r="K2116" s="1" t="s">
        <v>65</v>
      </c>
      <c r="L2116" s="1" t="s">
        <v>46</v>
      </c>
      <c r="M2116" s="3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6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6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6" t="s">
        <v>3037</v>
      </c>
      <c r="C2117" s="6" t="s">
        <v>3038</v>
      </c>
      <c r="D2117" s="6" t="s">
        <v>19</v>
      </c>
      <c r="E2117" s="6" t="s">
        <v>2937</v>
      </c>
      <c r="F2117" s="6" t="s">
        <v>2938</v>
      </c>
      <c r="G2117" s="6" t="s">
        <v>2939</v>
      </c>
      <c r="H2117" s="2" t="s">
        <v>2658</v>
      </c>
      <c r="I2117" s="6" t="s">
        <v>3039</v>
      </c>
      <c r="J2117" s="6" t="s">
        <v>38</v>
      </c>
      <c r="K2117" s="6" t="s">
        <v>2916</v>
      </c>
      <c r="L2117" s="6" t="s">
        <v>46</v>
      </c>
      <c r="M2117" s="13" t="s">
        <v>2941</v>
      </c>
      <c r="N2117" s="6" t="s">
        <v>41</v>
      </c>
      <c r="O2117" s="6" t="s">
        <v>54</v>
      </c>
      <c r="P2117" s="6" t="s">
        <v>43</v>
      </c>
      <c r="Q2117" s="6" t="s">
        <v>55</v>
      </c>
      <c r="R2117" s="6" t="s">
        <v>44</v>
      </c>
      <c r="S2117" s="6" t="s">
        <v>90</v>
      </c>
      <c r="T2117" s="6" t="s">
        <v>168</v>
      </c>
      <c r="U2117" s="6" t="s">
        <v>46</v>
      </c>
      <c r="V2117" s="6" t="n">
        <v>1</v>
      </c>
      <c r="W2117" s="6" t="s">
        <v>46</v>
      </c>
      <c r="X2117" s="6" t="s">
        <v>47</v>
      </c>
      <c r="Y2117" s="6" t="s">
        <v>153</v>
      </c>
      <c r="Z2117" s="6" t="s">
        <v>2942</v>
      </c>
      <c r="AA2117" s="6" t="s">
        <v>2943</v>
      </c>
      <c r="AB2117" s="6" t="s">
        <v>2944</v>
      </c>
      <c r="AC2117" s="6" t="s">
        <v>2945</v>
      </c>
      <c r="AD2117" s="6" t="s">
        <v>2946</v>
      </c>
      <c r="AE2117" s="6" t="s">
        <v>3040</v>
      </c>
      <c r="AF2117" s="6" t="s">
        <v>3041</v>
      </c>
    </row>
    <row r="2118" customFormat="false" ht="13.8" hidden="false" customHeight="false" outlineLevel="0" collapsed="false">
      <c r="A2118" s="6" t="s">
        <v>3037</v>
      </c>
      <c r="C2118" s="6" t="s">
        <v>3038</v>
      </c>
      <c r="D2118" s="6" t="s">
        <v>19</v>
      </c>
      <c r="E2118" s="6" t="s">
        <v>2937</v>
      </c>
      <c r="F2118" s="6" t="s">
        <v>2938</v>
      </c>
      <c r="G2118" s="6" t="s">
        <v>2939</v>
      </c>
      <c r="H2118" s="2" t="s">
        <v>2773</v>
      </c>
      <c r="I2118" s="6" t="s">
        <v>3042</v>
      </c>
      <c r="J2118" s="6" t="s">
        <v>38</v>
      </c>
      <c r="K2118" s="6" t="s">
        <v>2916</v>
      </c>
      <c r="L2118" s="6" t="s">
        <v>46</v>
      </c>
      <c r="M2118" s="13" t="s">
        <v>2941</v>
      </c>
      <c r="N2118" s="6" t="s">
        <v>41</v>
      </c>
      <c r="O2118" s="6" t="s">
        <v>54</v>
      </c>
      <c r="P2118" s="6" t="s">
        <v>43</v>
      </c>
      <c r="Q2118" s="6" t="s">
        <v>55</v>
      </c>
      <c r="R2118" s="6" t="s">
        <v>44</v>
      </c>
      <c r="S2118" s="6" t="s">
        <v>90</v>
      </c>
      <c r="T2118" s="6" t="s">
        <v>168</v>
      </c>
      <c r="U2118" s="6" t="s">
        <v>46</v>
      </c>
      <c r="V2118" s="6" t="n">
        <v>2</v>
      </c>
      <c r="W2118" s="6" t="s">
        <v>46</v>
      </c>
      <c r="X2118" s="6" t="s">
        <v>47</v>
      </c>
      <c r="Y2118" s="6" t="s">
        <v>153</v>
      </c>
      <c r="Z2118" s="6" t="s">
        <v>2942</v>
      </c>
      <c r="AA2118" s="6" t="s">
        <v>2943</v>
      </c>
      <c r="AB2118" s="6" t="s">
        <v>2944</v>
      </c>
      <c r="AC2118" s="6" t="s">
        <v>2945</v>
      </c>
      <c r="AD2118" s="6" t="s">
        <v>2946</v>
      </c>
      <c r="AE2118" s="6" t="s">
        <v>3043</v>
      </c>
      <c r="AF2118" s="6" t="s">
        <v>3044</v>
      </c>
    </row>
    <row r="2119" customFormat="false" ht="13.8" hidden="false" customHeight="false" outlineLevel="0" collapsed="false">
      <c r="A2119" s="6" t="s">
        <v>3037</v>
      </c>
      <c r="C2119" s="6" t="s">
        <v>3038</v>
      </c>
      <c r="D2119" s="6" t="s">
        <v>19</v>
      </c>
      <c r="E2119" s="6" t="s">
        <v>2937</v>
      </c>
      <c r="F2119" s="6" t="s">
        <v>2938</v>
      </c>
      <c r="G2119" s="6" t="s">
        <v>2939</v>
      </c>
      <c r="H2119" s="2" t="s">
        <v>2786</v>
      </c>
      <c r="I2119" s="6" t="s">
        <v>3045</v>
      </c>
      <c r="J2119" s="6" t="s">
        <v>38</v>
      </c>
      <c r="K2119" s="6" t="s">
        <v>2916</v>
      </c>
      <c r="L2119" s="6" t="s">
        <v>46</v>
      </c>
      <c r="M2119" s="13" t="s">
        <v>2941</v>
      </c>
      <c r="N2119" s="6" t="s">
        <v>41</v>
      </c>
      <c r="O2119" s="6" t="s">
        <v>54</v>
      </c>
      <c r="P2119" s="6" t="s">
        <v>43</v>
      </c>
      <c r="Q2119" s="6" t="s">
        <v>55</v>
      </c>
      <c r="R2119" s="6" t="s">
        <v>44</v>
      </c>
      <c r="S2119" s="6" t="s">
        <v>90</v>
      </c>
      <c r="T2119" s="6" t="s">
        <v>168</v>
      </c>
      <c r="U2119" s="6" t="s">
        <v>46</v>
      </c>
      <c r="V2119" s="6" t="n">
        <v>3</v>
      </c>
      <c r="W2119" s="6" t="s">
        <v>46</v>
      </c>
      <c r="X2119" s="6" t="s">
        <v>47</v>
      </c>
      <c r="Y2119" s="6" t="s">
        <v>153</v>
      </c>
      <c r="Z2119" s="6" t="s">
        <v>2942</v>
      </c>
      <c r="AA2119" s="6" t="s">
        <v>2943</v>
      </c>
      <c r="AB2119" s="6" t="s">
        <v>2944</v>
      </c>
      <c r="AC2119" s="6" t="s">
        <v>2945</v>
      </c>
      <c r="AD2119" s="6" t="s">
        <v>2946</v>
      </c>
      <c r="AE2119" s="6" t="s">
        <v>3046</v>
      </c>
      <c r="AF2119" s="6" t="s">
        <v>3047</v>
      </c>
    </row>
    <row r="2120" customFormat="false" ht="13.8" hidden="false" customHeight="false" outlineLevel="0" collapsed="false">
      <c r="A2120" s="6" t="s">
        <v>3037</v>
      </c>
      <c r="C2120" s="6" t="s">
        <v>3038</v>
      </c>
      <c r="D2120" s="6" t="s">
        <v>19</v>
      </c>
      <c r="E2120" s="6" t="s">
        <v>2937</v>
      </c>
      <c r="F2120" s="6" t="s">
        <v>2938</v>
      </c>
      <c r="G2120" s="6" t="s">
        <v>2939</v>
      </c>
      <c r="H2120" s="2" t="s">
        <v>2768</v>
      </c>
      <c r="I2120" s="6" t="s">
        <v>3048</v>
      </c>
      <c r="J2120" s="6" t="s">
        <v>52</v>
      </c>
      <c r="K2120" s="6" t="s">
        <v>2926</v>
      </c>
      <c r="L2120" s="6" t="s">
        <v>46</v>
      </c>
      <c r="M2120" s="13" t="s">
        <v>2941</v>
      </c>
      <c r="N2120" s="6" t="s">
        <v>41</v>
      </c>
      <c r="O2120" s="6" t="s">
        <v>54</v>
      </c>
      <c r="P2120" s="6" t="s">
        <v>43</v>
      </c>
      <c r="Q2120" s="6" t="s">
        <v>55</v>
      </c>
      <c r="R2120" s="6" t="s">
        <v>44</v>
      </c>
      <c r="S2120" s="6" t="s">
        <v>90</v>
      </c>
      <c r="T2120" s="6" t="s">
        <v>163</v>
      </c>
      <c r="U2120" s="6" t="s">
        <v>46</v>
      </c>
      <c r="V2120" s="6" t="n">
        <v>1</v>
      </c>
      <c r="W2120" s="6" t="s">
        <v>46</v>
      </c>
      <c r="X2120" s="6" t="s">
        <v>47</v>
      </c>
      <c r="Y2120" s="6" t="s">
        <v>153</v>
      </c>
      <c r="Z2120" s="6" t="s">
        <v>2942</v>
      </c>
      <c r="AA2120" s="6" t="s">
        <v>2943</v>
      </c>
      <c r="AB2120" s="6" t="s">
        <v>2944</v>
      </c>
      <c r="AC2120" s="6" t="s">
        <v>2945</v>
      </c>
      <c r="AD2120" s="6" t="s">
        <v>2946</v>
      </c>
      <c r="AE2120" s="6" t="s">
        <v>3049</v>
      </c>
      <c r="AF2120" s="6" t="s">
        <v>3050</v>
      </c>
    </row>
    <row r="2121" customFormat="false" ht="13.8" hidden="false" customHeight="false" outlineLevel="0" collapsed="false">
      <c r="A2121" s="6" t="s">
        <v>3037</v>
      </c>
      <c r="C2121" s="6" t="s">
        <v>3038</v>
      </c>
      <c r="D2121" s="6" t="s">
        <v>19</v>
      </c>
      <c r="E2121" s="6" t="s">
        <v>2937</v>
      </c>
      <c r="F2121" s="6" t="s">
        <v>2938</v>
      </c>
      <c r="G2121" s="6" t="s">
        <v>2939</v>
      </c>
      <c r="H2121" s="2" t="s">
        <v>2782</v>
      </c>
      <c r="I2121" s="6" t="s">
        <v>3051</v>
      </c>
      <c r="J2121" s="6" t="s">
        <v>52</v>
      </c>
      <c r="K2121" s="6" t="s">
        <v>2926</v>
      </c>
      <c r="L2121" s="6" t="s">
        <v>46</v>
      </c>
      <c r="M2121" s="13" t="s">
        <v>2941</v>
      </c>
      <c r="N2121" s="6" t="s">
        <v>41</v>
      </c>
      <c r="O2121" s="6" t="s">
        <v>54</v>
      </c>
      <c r="P2121" s="6" t="s">
        <v>43</v>
      </c>
      <c r="Q2121" s="6" t="s">
        <v>55</v>
      </c>
      <c r="R2121" s="6" t="s">
        <v>44</v>
      </c>
      <c r="S2121" s="6" t="s">
        <v>90</v>
      </c>
      <c r="T2121" s="6" t="s">
        <v>163</v>
      </c>
      <c r="U2121" s="6" t="s">
        <v>46</v>
      </c>
      <c r="V2121" s="6" t="n">
        <v>2</v>
      </c>
      <c r="W2121" s="6" t="s">
        <v>46</v>
      </c>
      <c r="X2121" s="6" t="s">
        <v>47</v>
      </c>
      <c r="Y2121" s="6" t="s">
        <v>153</v>
      </c>
      <c r="Z2121" s="6" t="s">
        <v>2942</v>
      </c>
      <c r="AA2121" s="6" t="s">
        <v>2943</v>
      </c>
      <c r="AB2121" s="6" t="s">
        <v>2944</v>
      </c>
      <c r="AC2121" s="6" t="s">
        <v>2945</v>
      </c>
      <c r="AD2121" s="6" t="s">
        <v>2946</v>
      </c>
      <c r="AE2121" s="6" t="s">
        <v>3052</v>
      </c>
      <c r="AF2121" s="6" t="s">
        <v>3053</v>
      </c>
    </row>
    <row r="2122" customFormat="false" ht="13.8" hidden="false" customHeight="false" outlineLevel="0" collapsed="false">
      <c r="A2122" s="6" t="s">
        <v>3037</v>
      </c>
      <c r="C2122" s="6" t="s">
        <v>3038</v>
      </c>
      <c r="D2122" s="6" t="s">
        <v>19</v>
      </c>
      <c r="E2122" s="6" t="s">
        <v>2937</v>
      </c>
      <c r="F2122" s="6" t="s">
        <v>2938</v>
      </c>
      <c r="G2122" s="6" t="s">
        <v>2939</v>
      </c>
      <c r="H2122" s="2" t="s">
        <v>2797</v>
      </c>
      <c r="I2122" s="6" t="s">
        <v>3054</v>
      </c>
      <c r="J2122" s="6" t="s">
        <v>52</v>
      </c>
      <c r="K2122" s="6" t="s">
        <v>2926</v>
      </c>
      <c r="L2122" s="6" t="s">
        <v>46</v>
      </c>
      <c r="M2122" s="13" t="s">
        <v>2941</v>
      </c>
      <c r="N2122" s="6" t="s">
        <v>41</v>
      </c>
      <c r="O2122" s="6" t="s">
        <v>54</v>
      </c>
      <c r="P2122" s="6" t="s">
        <v>43</v>
      </c>
      <c r="Q2122" s="6" t="s">
        <v>55</v>
      </c>
      <c r="R2122" s="6" t="s">
        <v>44</v>
      </c>
      <c r="S2122" s="6" t="s">
        <v>90</v>
      </c>
      <c r="T2122" s="6" t="s">
        <v>163</v>
      </c>
      <c r="U2122" s="6" t="s">
        <v>46</v>
      </c>
      <c r="V2122" s="6" t="n">
        <v>3</v>
      </c>
      <c r="W2122" s="6" t="s">
        <v>46</v>
      </c>
      <c r="X2122" s="6" t="s">
        <v>47</v>
      </c>
      <c r="Y2122" s="6" t="s">
        <v>153</v>
      </c>
      <c r="Z2122" s="6" t="s">
        <v>2942</v>
      </c>
      <c r="AA2122" s="6" t="s">
        <v>2943</v>
      </c>
      <c r="AB2122" s="6" t="s">
        <v>2944</v>
      </c>
      <c r="AC2122" s="6" t="s">
        <v>2945</v>
      </c>
      <c r="AD2122" s="6" t="s">
        <v>2946</v>
      </c>
      <c r="AE2122" s="6" t="s">
        <v>3055</v>
      </c>
      <c r="AF2122" s="6" t="s">
        <v>3056</v>
      </c>
    </row>
    <row r="2123" customFormat="false" ht="13.8" hidden="false" customHeight="false" outlineLevel="0" collapsed="false">
      <c r="A2123" s="6" t="s">
        <v>3037</v>
      </c>
      <c r="C2123" s="6" t="s">
        <v>3038</v>
      </c>
      <c r="D2123" s="6" t="s">
        <v>19</v>
      </c>
      <c r="E2123" s="6" t="s">
        <v>2937</v>
      </c>
      <c r="F2123" s="6" t="s">
        <v>2938</v>
      </c>
      <c r="G2123" s="6" t="s">
        <v>2939</v>
      </c>
      <c r="H2123" s="2" t="s">
        <v>2693</v>
      </c>
      <c r="I2123" s="6" t="s">
        <v>2965</v>
      </c>
      <c r="J2123" s="6" t="s">
        <v>52</v>
      </c>
      <c r="K2123" s="6" t="s">
        <v>1935</v>
      </c>
      <c r="L2123" s="6" t="s">
        <v>69</v>
      </c>
      <c r="M2123" s="13" t="s">
        <v>69</v>
      </c>
      <c r="N2123" s="6" t="s">
        <v>1935</v>
      </c>
      <c r="O2123" s="6" t="s">
        <v>46</v>
      </c>
      <c r="P2123" s="6" t="s">
        <v>71</v>
      </c>
      <c r="Q2123" s="6" t="s">
        <v>71</v>
      </c>
      <c r="R2123" s="6" t="s">
        <v>72</v>
      </c>
      <c r="S2123" s="6" t="s">
        <v>73</v>
      </c>
      <c r="T2123" s="6" t="s">
        <v>46</v>
      </c>
      <c r="U2123" s="6" t="n">
        <v>1000</v>
      </c>
      <c r="V2123" s="6" t="n">
        <v>1</v>
      </c>
      <c r="W2123" s="6" t="s">
        <v>46</v>
      </c>
      <c r="X2123" s="6" t="s">
        <v>74</v>
      </c>
      <c r="Y2123" s="6" t="s">
        <v>153</v>
      </c>
      <c r="Z2123" s="6" t="s">
        <v>2942</v>
      </c>
      <c r="AA2123" s="6" t="s">
        <v>2943</v>
      </c>
      <c r="AB2123" s="6" t="s">
        <v>2944</v>
      </c>
      <c r="AC2123" s="6" t="s">
        <v>2945</v>
      </c>
      <c r="AD2123" s="6" t="s">
        <v>2946</v>
      </c>
      <c r="AE2123" s="6" t="s">
        <v>2966</v>
      </c>
      <c r="AF2123" s="6" t="s">
        <v>2967</v>
      </c>
    </row>
    <row r="2124" customFormat="false" ht="13.8" hidden="false" customHeight="false" outlineLevel="0" collapsed="false">
      <c r="A2124" s="6" t="s">
        <v>3037</v>
      </c>
      <c r="C2124" s="6" t="s">
        <v>3038</v>
      </c>
      <c r="D2124" s="6" t="s">
        <v>19</v>
      </c>
      <c r="E2124" s="6" t="s">
        <v>2937</v>
      </c>
      <c r="F2124" s="6" t="s">
        <v>2938</v>
      </c>
      <c r="G2124" s="6" t="s">
        <v>2939</v>
      </c>
      <c r="H2124" s="2" t="s">
        <v>2968</v>
      </c>
      <c r="I2124" s="6" t="s">
        <v>2969</v>
      </c>
      <c r="J2124" s="6" t="s">
        <v>52</v>
      </c>
      <c r="K2124" s="6" t="s">
        <v>1935</v>
      </c>
      <c r="L2124" s="6" t="s">
        <v>69</v>
      </c>
      <c r="M2124" s="13" t="s">
        <v>69</v>
      </c>
      <c r="N2124" s="6" t="s">
        <v>1935</v>
      </c>
      <c r="O2124" s="6" t="s">
        <v>46</v>
      </c>
      <c r="P2124" s="6" t="s">
        <v>71</v>
      </c>
      <c r="Q2124" s="6" t="s">
        <v>71</v>
      </c>
      <c r="R2124" s="6" t="s">
        <v>72</v>
      </c>
      <c r="S2124" s="6" t="s">
        <v>73</v>
      </c>
      <c r="T2124" s="6" t="s">
        <v>46</v>
      </c>
      <c r="U2124" s="6" t="n">
        <v>1000</v>
      </c>
      <c r="V2124" s="6" t="n">
        <v>2</v>
      </c>
      <c r="W2124" s="6" t="s">
        <v>46</v>
      </c>
      <c r="X2124" s="6" t="s">
        <v>74</v>
      </c>
      <c r="Y2124" s="6" t="s">
        <v>153</v>
      </c>
      <c r="Z2124" s="6" t="s">
        <v>2942</v>
      </c>
      <c r="AA2124" s="6" t="s">
        <v>2943</v>
      </c>
      <c r="AB2124" s="6" t="s">
        <v>2944</v>
      </c>
      <c r="AC2124" s="6" t="s">
        <v>2945</v>
      </c>
      <c r="AD2124" s="6" t="s">
        <v>2946</v>
      </c>
      <c r="AE2124" s="6" t="s">
        <v>2970</v>
      </c>
      <c r="AF2124" s="6" t="s">
        <v>2971</v>
      </c>
    </row>
    <row r="2125" customFormat="false" ht="13.8" hidden="false" customHeight="false" outlineLevel="0" collapsed="false">
      <c r="A2125" s="6" t="s">
        <v>3037</v>
      </c>
      <c r="C2125" s="6" t="s">
        <v>3038</v>
      </c>
      <c r="D2125" s="6" t="s">
        <v>19</v>
      </c>
      <c r="E2125" s="6" t="s">
        <v>2937</v>
      </c>
      <c r="F2125" s="6" t="s">
        <v>2938</v>
      </c>
      <c r="G2125" s="6" t="s">
        <v>2939</v>
      </c>
      <c r="H2125" s="2" t="s">
        <v>2758</v>
      </c>
      <c r="I2125" s="6" t="s">
        <v>2972</v>
      </c>
      <c r="J2125" s="6" t="s">
        <v>52</v>
      </c>
      <c r="K2125" s="6" t="s">
        <v>1935</v>
      </c>
      <c r="L2125" s="6" t="s">
        <v>69</v>
      </c>
      <c r="M2125" s="13" t="s">
        <v>69</v>
      </c>
      <c r="N2125" s="6" t="s">
        <v>1935</v>
      </c>
      <c r="O2125" s="6" t="s">
        <v>46</v>
      </c>
      <c r="P2125" s="6" t="s">
        <v>71</v>
      </c>
      <c r="Q2125" s="6" t="s">
        <v>71</v>
      </c>
      <c r="R2125" s="6" t="s">
        <v>72</v>
      </c>
      <c r="S2125" s="6" t="s">
        <v>73</v>
      </c>
      <c r="T2125" s="6" t="s">
        <v>46</v>
      </c>
      <c r="U2125" s="6" t="n">
        <v>1000</v>
      </c>
      <c r="V2125" s="6" t="n">
        <v>3</v>
      </c>
      <c r="W2125" s="6" t="s">
        <v>46</v>
      </c>
      <c r="X2125" s="6" t="s">
        <v>74</v>
      </c>
      <c r="Y2125" s="6" t="s">
        <v>153</v>
      </c>
      <c r="Z2125" s="6" t="s">
        <v>2942</v>
      </c>
      <c r="AA2125" s="6" t="s">
        <v>2943</v>
      </c>
      <c r="AB2125" s="6" t="s">
        <v>2944</v>
      </c>
      <c r="AC2125" s="6" t="s">
        <v>2945</v>
      </c>
      <c r="AD2125" s="6" t="s">
        <v>2946</v>
      </c>
      <c r="AE2125" s="6" t="s">
        <v>2973</v>
      </c>
      <c r="AF2125" s="6" t="s">
        <v>2974</v>
      </c>
    </row>
    <row r="2126" customFormat="false" ht="13.8" hidden="false" customHeight="false" outlineLevel="0" collapsed="false">
      <c r="A2126" s="6" t="s">
        <v>3037</v>
      </c>
      <c r="C2126" s="6" t="s">
        <v>3038</v>
      </c>
      <c r="D2126" s="6" t="s">
        <v>19</v>
      </c>
      <c r="E2126" s="6" t="s">
        <v>2937</v>
      </c>
      <c r="F2126" s="6" t="s">
        <v>2938</v>
      </c>
      <c r="G2126" s="6" t="s">
        <v>2939</v>
      </c>
      <c r="H2126" s="2" t="s">
        <v>2975</v>
      </c>
      <c r="I2126" s="6" t="s">
        <v>2976</v>
      </c>
      <c r="J2126" s="6" t="s">
        <v>52</v>
      </c>
      <c r="K2126" s="6" t="s">
        <v>1935</v>
      </c>
      <c r="L2126" s="6" t="s">
        <v>69</v>
      </c>
      <c r="M2126" s="13" t="s">
        <v>69</v>
      </c>
      <c r="N2126" s="6" t="s">
        <v>1935</v>
      </c>
      <c r="O2126" s="6" t="s">
        <v>46</v>
      </c>
      <c r="P2126" s="6" t="s">
        <v>71</v>
      </c>
      <c r="Q2126" s="6" t="s">
        <v>71</v>
      </c>
      <c r="R2126" s="6" t="s">
        <v>72</v>
      </c>
      <c r="S2126" s="6" t="s">
        <v>73</v>
      </c>
      <c r="T2126" s="6" t="s">
        <v>46</v>
      </c>
      <c r="U2126" s="6" t="n">
        <v>1000</v>
      </c>
      <c r="V2126" s="6" t="n">
        <v>4</v>
      </c>
      <c r="W2126" s="6" t="s">
        <v>46</v>
      </c>
      <c r="X2126" s="6" t="s">
        <v>74</v>
      </c>
      <c r="Y2126" s="6" t="s">
        <v>153</v>
      </c>
      <c r="Z2126" s="6" t="s">
        <v>2942</v>
      </c>
      <c r="AA2126" s="6" t="s">
        <v>2943</v>
      </c>
      <c r="AB2126" s="6" t="s">
        <v>2944</v>
      </c>
      <c r="AC2126" s="6" t="s">
        <v>2945</v>
      </c>
      <c r="AD2126" s="6" t="s">
        <v>2946</v>
      </c>
      <c r="AE2126" s="6" t="s">
        <v>2977</v>
      </c>
      <c r="AF2126" s="6" t="s">
        <v>2978</v>
      </c>
    </row>
    <row r="2127" customFormat="false" ht="13.8" hidden="false" customHeight="false" outlineLevel="0" collapsed="false">
      <c r="A2127" s="6" t="s">
        <v>3037</v>
      </c>
      <c r="C2127" s="6" t="s">
        <v>3038</v>
      </c>
      <c r="D2127" s="6" t="s">
        <v>19</v>
      </c>
      <c r="E2127" s="6" t="s">
        <v>2937</v>
      </c>
      <c r="F2127" s="6" t="s">
        <v>2938</v>
      </c>
      <c r="G2127" s="6" t="s">
        <v>2939</v>
      </c>
      <c r="H2127" s="2" t="s">
        <v>2979</v>
      </c>
      <c r="I2127" s="6" t="s">
        <v>2980</v>
      </c>
      <c r="J2127" s="6" t="s">
        <v>52</v>
      </c>
      <c r="K2127" s="6" t="s">
        <v>1935</v>
      </c>
      <c r="L2127" s="6" t="s">
        <v>69</v>
      </c>
      <c r="M2127" s="13" t="s">
        <v>69</v>
      </c>
      <c r="N2127" s="6" t="s">
        <v>1935</v>
      </c>
      <c r="O2127" s="6" t="s">
        <v>46</v>
      </c>
      <c r="P2127" s="6" t="s">
        <v>71</v>
      </c>
      <c r="Q2127" s="6" t="s">
        <v>71</v>
      </c>
      <c r="R2127" s="6" t="s">
        <v>72</v>
      </c>
      <c r="S2127" s="6" t="s">
        <v>73</v>
      </c>
      <c r="T2127" s="6" t="s">
        <v>46</v>
      </c>
      <c r="U2127" s="6" t="n">
        <v>1000</v>
      </c>
      <c r="V2127" s="6" t="n">
        <v>5</v>
      </c>
      <c r="W2127" s="6" t="s">
        <v>46</v>
      </c>
      <c r="X2127" s="6" t="s">
        <v>74</v>
      </c>
      <c r="Y2127" s="6" t="s">
        <v>153</v>
      </c>
      <c r="Z2127" s="6" t="s">
        <v>2942</v>
      </c>
      <c r="AA2127" s="6" t="s">
        <v>2943</v>
      </c>
      <c r="AB2127" s="6" t="s">
        <v>2944</v>
      </c>
      <c r="AC2127" s="6" t="s">
        <v>2945</v>
      </c>
      <c r="AD2127" s="6" t="s">
        <v>2946</v>
      </c>
      <c r="AE2127" s="6" t="s">
        <v>2981</v>
      </c>
      <c r="AF2127" s="6" t="s">
        <v>2982</v>
      </c>
    </row>
    <row r="2128" customFormat="false" ht="13.8" hidden="false" customHeight="false" outlineLevel="0" collapsed="false">
      <c r="A2128" s="6" t="s">
        <v>3037</v>
      </c>
      <c r="C2128" s="6" t="s">
        <v>3038</v>
      </c>
      <c r="D2128" s="6" t="s">
        <v>19</v>
      </c>
      <c r="E2128" s="6" t="s">
        <v>2937</v>
      </c>
      <c r="F2128" s="6" t="s">
        <v>2938</v>
      </c>
      <c r="G2128" s="6" t="s">
        <v>2939</v>
      </c>
      <c r="H2128" s="2" t="s">
        <v>2683</v>
      </c>
      <c r="I2128" s="6" t="s">
        <v>2983</v>
      </c>
      <c r="J2128" s="6" t="s">
        <v>52</v>
      </c>
      <c r="K2128" s="6" t="s">
        <v>65</v>
      </c>
      <c r="L2128" s="6" t="s">
        <v>46</v>
      </c>
      <c r="M2128" s="13" t="s">
        <v>46</v>
      </c>
      <c r="N2128" s="6" t="s">
        <v>65</v>
      </c>
      <c r="O2128" s="6" t="s">
        <v>46</v>
      </c>
      <c r="P2128" s="6" t="s">
        <v>46</v>
      </c>
      <c r="Q2128" s="6" t="s">
        <v>46</v>
      </c>
      <c r="R2128" s="6" t="s">
        <v>46</v>
      </c>
      <c r="S2128" s="6" t="s">
        <v>46</v>
      </c>
      <c r="T2128" s="6" t="s">
        <v>46</v>
      </c>
      <c r="U2128" s="6" t="s">
        <v>46</v>
      </c>
      <c r="V2128" s="6" t="n">
        <v>1</v>
      </c>
      <c r="W2128" s="6" t="s">
        <v>46</v>
      </c>
      <c r="X2128" s="6" t="s">
        <v>83</v>
      </c>
      <c r="Y2128" s="6" t="s">
        <v>153</v>
      </c>
      <c r="Z2128" s="6" t="s">
        <v>2942</v>
      </c>
      <c r="AA2128" s="6" t="s">
        <v>2943</v>
      </c>
      <c r="AB2128" s="6" t="s">
        <v>2944</v>
      </c>
      <c r="AC2128" s="6" t="s">
        <v>2945</v>
      </c>
      <c r="AD2128" s="6" t="s">
        <v>2946</v>
      </c>
      <c r="AE2128" s="6" t="s">
        <v>2984</v>
      </c>
      <c r="AF2128" s="6" t="s">
        <v>2985</v>
      </c>
    </row>
    <row r="2129" customFormat="false" ht="13.8" hidden="false" customHeight="false" outlineLevel="0" collapsed="false">
      <c r="A2129" s="6" t="s">
        <v>3037</v>
      </c>
      <c r="C2129" s="6" t="s">
        <v>3038</v>
      </c>
      <c r="D2129" s="6" t="s">
        <v>19</v>
      </c>
      <c r="E2129" s="6" t="s">
        <v>2937</v>
      </c>
      <c r="F2129" s="6" t="s">
        <v>2938</v>
      </c>
      <c r="G2129" s="6" t="s">
        <v>2939</v>
      </c>
      <c r="H2129" s="2" t="s">
        <v>2986</v>
      </c>
      <c r="I2129" s="6" t="s">
        <v>2987</v>
      </c>
      <c r="J2129" s="6" t="s">
        <v>52</v>
      </c>
      <c r="K2129" s="6" t="s">
        <v>65</v>
      </c>
      <c r="L2129" s="6" t="s">
        <v>46</v>
      </c>
      <c r="M2129" s="13" t="s">
        <v>46</v>
      </c>
      <c r="N2129" s="6" t="s">
        <v>65</v>
      </c>
      <c r="O2129" s="6" t="s">
        <v>46</v>
      </c>
      <c r="P2129" s="6" t="s">
        <v>46</v>
      </c>
      <c r="Q2129" s="6" t="s">
        <v>46</v>
      </c>
      <c r="R2129" s="6" t="s">
        <v>46</v>
      </c>
      <c r="S2129" s="6" t="s">
        <v>46</v>
      </c>
      <c r="T2129" s="6" t="s">
        <v>46</v>
      </c>
      <c r="U2129" s="6" t="s">
        <v>46</v>
      </c>
      <c r="V2129" s="6" t="n">
        <v>2</v>
      </c>
      <c r="W2129" s="6" t="s">
        <v>46</v>
      </c>
      <c r="X2129" s="6" t="s">
        <v>83</v>
      </c>
      <c r="Y2129" s="6" t="s">
        <v>153</v>
      </c>
      <c r="Z2129" s="6" t="s">
        <v>2942</v>
      </c>
      <c r="AA2129" s="6" t="s">
        <v>2943</v>
      </c>
      <c r="AB2129" s="6" t="s">
        <v>2944</v>
      </c>
      <c r="AC2129" s="6" t="s">
        <v>2945</v>
      </c>
      <c r="AD2129" s="6" t="s">
        <v>2946</v>
      </c>
      <c r="AE2129" s="6" t="s">
        <v>2988</v>
      </c>
      <c r="AF2129" s="6" t="s">
        <v>2989</v>
      </c>
    </row>
    <row r="2130" customFormat="false" ht="13.8" hidden="false" customHeight="false" outlineLevel="0" collapsed="false">
      <c r="A2130" s="6" t="s">
        <v>3057</v>
      </c>
      <c r="C2130" s="6" t="s">
        <v>3058</v>
      </c>
      <c r="D2130" s="6" t="s">
        <v>14</v>
      </c>
      <c r="E2130" s="6" t="s">
        <v>2937</v>
      </c>
      <c r="F2130" s="6" t="s">
        <v>2938</v>
      </c>
      <c r="G2130" s="6" t="s">
        <v>2939</v>
      </c>
      <c r="H2130" s="2" t="s">
        <v>2777</v>
      </c>
      <c r="I2130" s="6" t="s">
        <v>3059</v>
      </c>
      <c r="J2130" s="6" t="s">
        <v>38</v>
      </c>
      <c r="K2130" s="6" t="s">
        <v>3060</v>
      </c>
      <c r="L2130" s="6" t="s">
        <v>46</v>
      </c>
      <c r="M2130" s="13" t="s">
        <v>3061</v>
      </c>
      <c r="N2130" s="6" t="s">
        <v>41</v>
      </c>
      <c r="O2130" s="6" t="s">
        <v>42</v>
      </c>
      <c r="P2130" s="6" t="s">
        <v>43</v>
      </c>
      <c r="Q2130" s="6" t="s">
        <v>43</v>
      </c>
      <c r="R2130" s="6" t="s">
        <v>44</v>
      </c>
      <c r="S2130" s="6" t="s">
        <v>90</v>
      </c>
      <c r="T2130" s="6" t="s">
        <v>46</v>
      </c>
      <c r="U2130" s="6" t="s">
        <v>46</v>
      </c>
      <c r="V2130" s="6" t="n">
        <v>1</v>
      </c>
      <c r="W2130" s="6" t="s">
        <v>46</v>
      </c>
      <c r="X2130" s="6" t="s">
        <v>47</v>
      </c>
      <c r="Y2130" s="6" t="s">
        <v>153</v>
      </c>
      <c r="Z2130" s="6" t="s">
        <v>2942</v>
      </c>
      <c r="AA2130" s="6" t="s">
        <v>2943</v>
      </c>
      <c r="AB2130" s="6" t="s">
        <v>2944</v>
      </c>
      <c r="AC2130" s="6" t="s">
        <v>2945</v>
      </c>
      <c r="AD2130" s="6" t="s">
        <v>2946</v>
      </c>
      <c r="AE2130" s="6" t="s">
        <v>3062</v>
      </c>
      <c r="AF2130" s="6" t="s">
        <v>3063</v>
      </c>
    </row>
    <row r="2131" customFormat="false" ht="13.8" hidden="false" customHeight="false" outlineLevel="0" collapsed="false">
      <c r="A2131" s="6" t="s">
        <v>3057</v>
      </c>
      <c r="C2131" s="6" t="s">
        <v>3058</v>
      </c>
      <c r="D2131" s="6" t="s">
        <v>14</v>
      </c>
      <c r="E2131" s="6" t="s">
        <v>2937</v>
      </c>
      <c r="F2131" s="6" t="s">
        <v>2938</v>
      </c>
      <c r="G2131" s="6" t="s">
        <v>2939</v>
      </c>
      <c r="H2131" s="2" t="s">
        <v>3064</v>
      </c>
      <c r="I2131" s="6" t="s">
        <v>3065</v>
      </c>
      <c r="J2131" s="6" t="s">
        <v>38</v>
      </c>
      <c r="K2131" s="6" t="s">
        <v>3060</v>
      </c>
      <c r="L2131" s="6" t="s">
        <v>46</v>
      </c>
      <c r="M2131" s="13" t="s">
        <v>3061</v>
      </c>
      <c r="N2131" s="6" t="s">
        <v>41</v>
      </c>
      <c r="O2131" s="6" t="s">
        <v>42</v>
      </c>
      <c r="P2131" s="6" t="s">
        <v>43</v>
      </c>
      <c r="Q2131" s="6" t="s">
        <v>43</v>
      </c>
      <c r="R2131" s="6" t="s">
        <v>44</v>
      </c>
      <c r="S2131" s="6" t="s">
        <v>90</v>
      </c>
      <c r="T2131" s="6" t="s">
        <v>46</v>
      </c>
      <c r="U2131" s="6" t="s">
        <v>46</v>
      </c>
      <c r="V2131" s="6" t="n">
        <v>2</v>
      </c>
      <c r="W2131" s="6" t="s">
        <v>46</v>
      </c>
      <c r="X2131" s="6" t="s">
        <v>47</v>
      </c>
      <c r="Y2131" s="6" t="s">
        <v>153</v>
      </c>
      <c r="Z2131" s="6" t="s">
        <v>2942</v>
      </c>
      <c r="AA2131" s="6" t="s">
        <v>2943</v>
      </c>
      <c r="AB2131" s="6" t="s">
        <v>2944</v>
      </c>
      <c r="AC2131" s="6" t="s">
        <v>2945</v>
      </c>
      <c r="AD2131" s="6" t="s">
        <v>2946</v>
      </c>
      <c r="AE2131" s="6" t="s">
        <v>3066</v>
      </c>
      <c r="AF2131" s="6" t="s">
        <v>3067</v>
      </c>
    </row>
    <row r="2132" customFormat="false" ht="13.8" hidden="false" customHeight="false" outlineLevel="0" collapsed="false">
      <c r="A2132" s="6" t="s">
        <v>3057</v>
      </c>
      <c r="C2132" s="6" t="s">
        <v>3058</v>
      </c>
      <c r="D2132" s="6" t="s">
        <v>14</v>
      </c>
      <c r="E2132" s="6" t="s">
        <v>2937</v>
      </c>
      <c r="F2132" s="6" t="s">
        <v>2938</v>
      </c>
      <c r="G2132" s="6" t="s">
        <v>2939</v>
      </c>
      <c r="H2132" s="2" t="s">
        <v>2811</v>
      </c>
      <c r="I2132" s="6" t="s">
        <v>3068</v>
      </c>
      <c r="J2132" s="6" t="s">
        <v>38</v>
      </c>
      <c r="K2132" s="6" t="s">
        <v>3060</v>
      </c>
      <c r="L2132" s="6" t="s">
        <v>46</v>
      </c>
      <c r="M2132" s="13" t="s">
        <v>3061</v>
      </c>
      <c r="N2132" s="6" t="s">
        <v>41</v>
      </c>
      <c r="O2132" s="6" t="s">
        <v>42</v>
      </c>
      <c r="P2132" s="6" t="s">
        <v>43</v>
      </c>
      <c r="Q2132" s="6" t="s">
        <v>43</v>
      </c>
      <c r="R2132" s="6" t="s">
        <v>44</v>
      </c>
      <c r="S2132" s="6" t="s">
        <v>90</v>
      </c>
      <c r="T2132" s="6" t="s">
        <v>46</v>
      </c>
      <c r="U2132" s="6" t="s">
        <v>46</v>
      </c>
      <c r="V2132" s="6" t="n">
        <v>3</v>
      </c>
      <c r="W2132" s="6" t="s">
        <v>46</v>
      </c>
      <c r="X2132" s="6" t="s">
        <v>47</v>
      </c>
      <c r="Y2132" s="6" t="s">
        <v>153</v>
      </c>
      <c r="Z2132" s="6" t="s">
        <v>2942</v>
      </c>
      <c r="AA2132" s="6" t="s">
        <v>2943</v>
      </c>
      <c r="AB2132" s="6" t="s">
        <v>2944</v>
      </c>
      <c r="AC2132" s="6" t="s">
        <v>2945</v>
      </c>
      <c r="AD2132" s="6" t="s">
        <v>2946</v>
      </c>
      <c r="AE2132" s="6" t="s">
        <v>3069</v>
      </c>
      <c r="AF2132" s="6" t="s">
        <v>3070</v>
      </c>
    </row>
    <row r="2133" customFormat="false" ht="13.8" hidden="false" customHeight="false" outlineLevel="0" collapsed="false">
      <c r="A2133" s="6" t="s">
        <v>3057</v>
      </c>
      <c r="C2133" s="6" t="s">
        <v>3058</v>
      </c>
      <c r="D2133" s="6" t="s">
        <v>14</v>
      </c>
      <c r="E2133" s="6" t="s">
        <v>2937</v>
      </c>
      <c r="F2133" s="6" t="s">
        <v>2938</v>
      </c>
      <c r="G2133" s="6" t="s">
        <v>2939</v>
      </c>
      <c r="H2133" s="2" t="s">
        <v>2792</v>
      </c>
      <c r="I2133" s="6" t="s">
        <v>3071</v>
      </c>
      <c r="J2133" s="6" t="s">
        <v>52</v>
      </c>
      <c r="K2133" s="6" t="s">
        <v>3072</v>
      </c>
      <c r="L2133" s="6" t="s">
        <v>46</v>
      </c>
      <c r="M2133" s="13" t="s">
        <v>3061</v>
      </c>
      <c r="N2133" s="6" t="s">
        <v>41</v>
      </c>
      <c r="O2133" s="6" t="s">
        <v>54</v>
      </c>
      <c r="P2133" s="6" t="s">
        <v>43</v>
      </c>
      <c r="Q2133" s="6" t="s">
        <v>3073</v>
      </c>
      <c r="R2133" s="6" t="s">
        <v>44</v>
      </c>
      <c r="S2133" s="6" t="s">
        <v>90</v>
      </c>
      <c r="T2133" s="6" t="s">
        <v>46</v>
      </c>
      <c r="U2133" s="6" t="s">
        <v>46</v>
      </c>
      <c r="V2133" s="6" t="n">
        <v>1</v>
      </c>
      <c r="W2133" s="6" t="s">
        <v>46</v>
      </c>
      <c r="X2133" s="6" t="s">
        <v>47</v>
      </c>
      <c r="Y2133" s="6" t="s">
        <v>153</v>
      </c>
      <c r="Z2133" s="6" t="s">
        <v>2942</v>
      </c>
      <c r="AA2133" s="6" t="s">
        <v>2943</v>
      </c>
      <c r="AB2133" s="6" t="s">
        <v>2944</v>
      </c>
      <c r="AC2133" s="6" t="s">
        <v>2945</v>
      </c>
      <c r="AD2133" s="6" t="s">
        <v>2946</v>
      </c>
      <c r="AE2133" s="6" t="s">
        <v>3074</v>
      </c>
      <c r="AF2133" s="6" t="s">
        <v>3075</v>
      </c>
    </row>
    <row r="2134" customFormat="false" ht="13.8" hidden="false" customHeight="false" outlineLevel="0" collapsed="false">
      <c r="A2134" s="6" t="s">
        <v>3057</v>
      </c>
      <c r="C2134" s="6" t="s">
        <v>3058</v>
      </c>
      <c r="D2134" s="6" t="s">
        <v>14</v>
      </c>
      <c r="E2134" s="6" t="s">
        <v>2937</v>
      </c>
      <c r="F2134" s="6" t="s">
        <v>2938</v>
      </c>
      <c r="G2134" s="6" t="s">
        <v>2939</v>
      </c>
      <c r="H2134" s="2" t="s">
        <v>2807</v>
      </c>
      <c r="I2134" s="6" t="s">
        <v>3076</v>
      </c>
      <c r="J2134" s="6" t="s">
        <v>52</v>
      </c>
      <c r="K2134" s="6" t="s">
        <v>3072</v>
      </c>
      <c r="L2134" s="6" t="s">
        <v>46</v>
      </c>
      <c r="M2134" s="13" t="s">
        <v>3061</v>
      </c>
      <c r="N2134" s="6" t="s">
        <v>41</v>
      </c>
      <c r="O2134" s="6" t="s">
        <v>54</v>
      </c>
      <c r="P2134" s="6" t="s">
        <v>43</v>
      </c>
      <c r="Q2134" s="6" t="s">
        <v>3073</v>
      </c>
      <c r="R2134" s="6" t="s">
        <v>44</v>
      </c>
      <c r="S2134" s="6" t="s">
        <v>90</v>
      </c>
      <c r="T2134" s="6" t="s">
        <v>46</v>
      </c>
      <c r="U2134" s="6" t="s">
        <v>46</v>
      </c>
      <c r="V2134" s="6" t="n">
        <v>2</v>
      </c>
      <c r="W2134" s="6" t="s">
        <v>46</v>
      </c>
      <c r="X2134" s="6" t="s">
        <v>47</v>
      </c>
      <c r="Y2134" s="6" t="s">
        <v>153</v>
      </c>
      <c r="Z2134" s="6" t="s">
        <v>2942</v>
      </c>
      <c r="AA2134" s="6" t="s">
        <v>2943</v>
      </c>
      <c r="AB2134" s="6" t="s">
        <v>2944</v>
      </c>
      <c r="AC2134" s="6" t="s">
        <v>2945</v>
      </c>
      <c r="AD2134" s="6" t="s">
        <v>2946</v>
      </c>
      <c r="AE2134" s="6" t="s">
        <v>3077</v>
      </c>
      <c r="AF2134" s="6" t="s">
        <v>3078</v>
      </c>
    </row>
    <row r="2135" customFormat="false" ht="13.8" hidden="false" customHeight="false" outlineLevel="0" collapsed="false">
      <c r="A2135" s="6" t="s">
        <v>3057</v>
      </c>
      <c r="C2135" s="6" t="s">
        <v>3058</v>
      </c>
      <c r="D2135" s="6" t="s">
        <v>14</v>
      </c>
      <c r="E2135" s="6" t="s">
        <v>2937</v>
      </c>
      <c r="F2135" s="6" t="s">
        <v>2938</v>
      </c>
      <c r="G2135" s="6" t="s">
        <v>2939</v>
      </c>
      <c r="H2135" s="2" t="s">
        <v>3079</v>
      </c>
      <c r="I2135" s="6" t="s">
        <v>3080</v>
      </c>
      <c r="J2135" s="6" t="s">
        <v>52</v>
      </c>
      <c r="K2135" s="6" t="s">
        <v>3072</v>
      </c>
      <c r="L2135" s="6" t="s">
        <v>46</v>
      </c>
      <c r="M2135" s="13" t="s">
        <v>3061</v>
      </c>
      <c r="N2135" s="6" t="s">
        <v>41</v>
      </c>
      <c r="O2135" s="6" t="s">
        <v>54</v>
      </c>
      <c r="P2135" s="6" t="s">
        <v>43</v>
      </c>
      <c r="Q2135" s="6" t="s">
        <v>3073</v>
      </c>
      <c r="R2135" s="6" t="s">
        <v>44</v>
      </c>
      <c r="S2135" s="6" t="s">
        <v>90</v>
      </c>
      <c r="T2135" s="6" t="s">
        <v>46</v>
      </c>
      <c r="U2135" s="6" t="s">
        <v>46</v>
      </c>
      <c r="V2135" s="6" t="n">
        <v>3</v>
      </c>
      <c r="W2135" s="6" t="s">
        <v>46</v>
      </c>
      <c r="X2135" s="6" t="s">
        <v>47</v>
      </c>
      <c r="Y2135" s="6" t="s">
        <v>153</v>
      </c>
      <c r="Z2135" s="6" t="s">
        <v>2942</v>
      </c>
      <c r="AA2135" s="6" t="s">
        <v>2943</v>
      </c>
      <c r="AB2135" s="6" t="s">
        <v>2944</v>
      </c>
      <c r="AC2135" s="6" t="s">
        <v>2945</v>
      </c>
      <c r="AD2135" s="6" t="s">
        <v>2946</v>
      </c>
      <c r="AE2135" s="6" t="s">
        <v>3081</v>
      </c>
      <c r="AF2135" s="6" t="s">
        <v>3082</v>
      </c>
    </row>
    <row r="2136" customFormat="false" ht="13.8" hidden="false" customHeight="false" outlineLevel="0" collapsed="false">
      <c r="A2136" s="6" t="s">
        <v>3057</v>
      </c>
      <c r="C2136" s="6" t="s">
        <v>3058</v>
      </c>
      <c r="D2136" s="6" t="s">
        <v>14</v>
      </c>
      <c r="E2136" s="6" t="s">
        <v>2937</v>
      </c>
      <c r="F2136" s="6" t="s">
        <v>2938</v>
      </c>
      <c r="G2136" s="6" t="s">
        <v>2939</v>
      </c>
      <c r="H2136" s="2" t="s">
        <v>2693</v>
      </c>
      <c r="I2136" s="6" t="s">
        <v>2965</v>
      </c>
      <c r="J2136" s="6" t="s">
        <v>52</v>
      </c>
      <c r="K2136" s="6" t="s">
        <v>1935</v>
      </c>
      <c r="L2136" s="6" t="s">
        <v>69</v>
      </c>
      <c r="M2136" s="13" t="s">
        <v>69</v>
      </c>
      <c r="N2136" s="6" t="s">
        <v>1935</v>
      </c>
      <c r="O2136" s="6" t="s">
        <v>46</v>
      </c>
      <c r="P2136" s="6" t="s">
        <v>71</v>
      </c>
      <c r="Q2136" s="6" t="s">
        <v>71</v>
      </c>
      <c r="R2136" s="6" t="s">
        <v>72</v>
      </c>
      <c r="S2136" s="6" t="s">
        <v>73</v>
      </c>
      <c r="T2136" s="6" t="s">
        <v>46</v>
      </c>
      <c r="U2136" s="6" t="n">
        <v>1000</v>
      </c>
      <c r="V2136" s="6" t="n">
        <v>1</v>
      </c>
      <c r="W2136" s="6" t="s">
        <v>46</v>
      </c>
      <c r="X2136" s="6" t="s">
        <v>74</v>
      </c>
      <c r="Y2136" s="6" t="s">
        <v>153</v>
      </c>
      <c r="Z2136" s="6" t="s">
        <v>2942</v>
      </c>
      <c r="AA2136" s="6" t="s">
        <v>2943</v>
      </c>
      <c r="AB2136" s="6" t="s">
        <v>2944</v>
      </c>
      <c r="AC2136" s="6" t="s">
        <v>2945</v>
      </c>
      <c r="AD2136" s="6" t="s">
        <v>2946</v>
      </c>
      <c r="AE2136" s="6" t="s">
        <v>2966</v>
      </c>
      <c r="AF2136" s="6" t="s">
        <v>2967</v>
      </c>
    </row>
    <row r="2137" customFormat="false" ht="13.8" hidden="false" customHeight="false" outlineLevel="0" collapsed="false">
      <c r="A2137" s="6" t="s">
        <v>3057</v>
      </c>
      <c r="C2137" s="6" t="s">
        <v>3058</v>
      </c>
      <c r="D2137" s="6" t="s">
        <v>14</v>
      </c>
      <c r="E2137" s="6" t="s">
        <v>2937</v>
      </c>
      <c r="F2137" s="6" t="s">
        <v>2938</v>
      </c>
      <c r="G2137" s="6" t="s">
        <v>2939</v>
      </c>
      <c r="H2137" s="2" t="s">
        <v>2968</v>
      </c>
      <c r="I2137" s="6" t="s">
        <v>2969</v>
      </c>
      <c r="J2137" s="6" t="s">
        <v>52</v>
      </c>
      <c r="K2137" s="6" t="s">
        <v>1935</v>
      </c>
      <c r="L2137" s="6" t="s">
        <v>69</v>
      </c>
      <c r="M2137" s="13" t="s">
        <v>69</v>
      </c>
      <c r="N2137" s="6" t="s">
        <v>1935</v>
      </c>
      <c r="O2137" s="6" t="s">
        <v>46</v>
      </c>
      <c r="P2137" s="6" t="s">
        <v>71</v>
      </c>
      <c r="Q2137" s="6" t="s">
        <v>71</v>
      </c>
      <c r="R2137" s="6" t="s">
        <v>72</v>
      </c>
      <c r="S2137" s="6" t="s">
        <v>73</v>
      </c>
      <c r="T2137" s="6" t="s">
        <v>46</v>
      </c>
      <c r="U2137" s="6" t="n">
        <v>1000</v>
      </c>
      <c r="V2137" s="6" t="n">
        <v>2</v>
      </c>
      <c r="W2137" s="6" t="s">
        <v>46</v>
      </c>
      <c r="X2137" s="6" t="s">
        <v>74</v>
      </c>
      <c r="Y2137" s="6" t="s">
        <v>153</v>
      </c>
      <c r="Z2137" s="6" t="s">
        <v>2942</v>
      </c>
      <c r="AA2137" s="6" t="s">
        <v>2943</v>
      </c>
      <c r="AB2137" s="6" t="s">
        <v>2944</v>
      </c>
      <c r="AC2137" s="6" t="s">
        <v>2945</v>
      </c>
      <c r="AD2137" s="6" t="s">
        <v>2946</v>
      </c>
      <c r="AE2137" s="6" t="s">
        <v>2970</v>
      </c>
      <c r="AF2137" s="6" t="s">
        <v>2971</v>
      </c>
    </row>
    <row r="2138" customFormat="false" ht="13.8" hidden="false" customHeight="false" outlineLevel="0" collapsed="false">
      <c r="A2138" s="6" t="s">
        <v>3057</v>
      </c>
      <c r="C2138" s="6" t="s">
        <v>3058</v>
      </c>
      <c r="D2138" s="6" t="s">
        <v>14</v>
      </c>
      <c r="E2138" s="6" t="s">
        <v>2937</v>
      </c>
      <c r="F2138" s="6" t="s">
        <v>2938</v>
      </c>
      <c r="G2138" s="6" t="s">
        <v>2939</v>
      </c>
      <c r="H2138" s="2" t="s">
        <v>2758</v>
      </c>
      <c r="I2138" s="6" t="s">
        <v>2972</v>
      </c>
      <c r="J2138" s="6" t="s">
        <v>52</v>
      </c>
      <c r="K2138" s="6" t="s">
        <v>1935</v>
      </c>
      <c r="L2138" s="6" t="s">
        <v>69</v>
      </c>
      <c r="M2138" s="13" t="s">
        <v>69</v>
      </c>
      <c r="N2138" s="6" t="s">
        <v>1935</v>
      </c>
      <c r="O2138" s="6" t="s">
        <v>46</v>
      </c>
      <c r="P2138" s="6" t="s">
        <v>71</v>
      </c>
      <c r="Q2138" s="6" t="s">
        <v>71</v>
      </c>
      <c r="R2138" s="6" t="s">
        <v>72</v>
      </c>
      <c r="S2138" s="6" t="s">
        <v>73</v>
      </c>
      <c r="T2138" s="6" t="s">
        <v>46</v>
      </c>
      <c r="U2138" s="6" t="n">
        <v>1000</v>
      </c>
      <c r="V2138" s="6" t="n">
        <v>3</v>
      </c>
      <c r="W2138" s="6" t="s">
        <v>46</v>
      </c>
      <c r="X2138" s="6" t="s">
        <v>74</v>
      </c>
      <c r="Y2138" s="6" t="s">
        <v>153</v>
      </c>
      <c r="Z2138" s="6" t="s">
        <v>2942</v>
      </c>
      <c r="AA2138" s="6" t="s">
        <v>2943</v>
      </c>
      <c r="AB2138" s="6" t="s">
        <v>2944</v>
      </c>
      <c r="AC2138" s="6" t="s">
        <v>2945</v>
      </c>
      <c r="AD2138" s="6" t="s">
        <v>2946</v>
      </c>
      <c r="AE2138" s="6" t="s">
        <v>2973</v>
      </c>
      <c r="AF2138" s="6" t="s">
        <v>2974</v>
      </c>
    </row>
    <row r="2139" customFormat="false" ht="13.8" hidden="false" customHeight="false" outlineLevel="0" collapsed="false">
      <c r="A2139" s="6" t="s">
        <v>3057</v>
      </c>
      <c r="C2139" s="6" t="s">
        <v>3058</v>
      </c>
      <c r="D2139" s="6" t="s">
        <v>14</v>
      </c>
      <c r="E2139" s="6" t="s">
        <v>2937</v>
      </c>
      <c r="F2139" s="6" t="s">
        <v>2938</v>
      </c>
      <c r="G2139" s="6" t="s">
        <v>2939</v>
      </c>
      <c r="H2139" s="2" t="s">
        <v>2975</v>
      </c>
      <c r="I2139" s="6" t="s">
        <v>2976</v>
      </c>
      <c r="J2139" s="6" t="s">
        <v>52</v>
      </c>
      <c r="K2139" s="6" t="s">
        <v>1935</v>
      </c>
      <c r="L2139" s="6" t="s">
        <v>69</v>
      </c>
      <c r="M2139" s="13" t="s">
        <v>69</v>
      </c>
      <c r="N2139" s="6" t="s">
        <v>1935</v>
      </c>
      <c r="O2139" s="6" t="s">
        <v>46</v>
      </c>
      <c r="P2139" s="6" t="s">
        <v>71</v>
      </c>
      <c r="Q2139" s="6" t="s">
        <v>71</v>
      </c>
      <c r="R2139" s="6" t="s">
        <v>72</v>
      </c>
      <c r="S2139" s="6" t="s">
        <v>73</v>
      </c>
      <c r="T2139" s="6" t="s">
        <v>46</v>
      </c>
      <c r="U2139" s="6" t="n">
        <v>1000</v>
      </c>
      <c r="V2139" s="6" t="n">
        <v>4</v>
      </c>
      <c r="W2139" s="6" t="s">
        <v>46</v>
      </c>
      <c r="X2139" s="6" t="s">
        <v>74</v>
      </c>
      <c r="Y2139" s="6" t="s">
        <v>153</v>
      </c>
      <c r="Z2139" s="6" t="s">
        <v>2942</v>
      </c>
      <c r="AA2139" s="6" t="s">
        <v>2943</v>
      </c>
      <c r="AB2139" s="6" t="s">
        <v>2944</v>
      </c>
      <c r="AC2139" s="6" t="s">
        <v>2945</v>
      </c>
      <c r="AD2139" s="6" t="s">
        <v>2946</v>
      </c>
      <c r="AE2139" s="6" t="s">
        <v>2977</v>
      </c>
      <c r="AF2139" s="6" t="s">
        <v>2978</v>
      </c>
    </row>
    <row r="2140" customFormat="false" ht="13.8" hidden="false" customHeight="false" outlineLevel="0" collapsed="false">
      <c r="A2140" s="6" t="s">
        <v>3057</v>
      </c>
      <c r="C2140" s="6" t="s">
        <v>3058</v>
      </c>
      <c r="D2140" s="6" t="s">
        <v>14</v>
      </c>
      <c r="E2140" s="6" t="s">
        <v>2937</v>
      </c>
      <c r="F2140" s="6" t="s">
        <v>2938</v>
      </c>
      <c r="G2140" s="6" t="s">
        <v>2939</v>
      </c>
      <c r="H2140" s="2" t="s">
        <v>2979</v>
      </c>
      <c r="I2140" s="6" t="s">
        <v>2980</v>
      </c>
      <c r="J2140" s="6" t="s">
        <v>52</v>
      </c>
      <c r="K2140" s="6" t="s">
        <v>1935</v>
      </c>
      <c r="L2140" s="6" t="s">
        <v>69</v>
      </c>
      <c r="M2140" s="13" t="s">
        <v>69</v>
      </c>
      <c r="N2140" s="6" t="s">
        <v>1935</v>
      </c>
      <c r="O2140" s="6" t="s">
        <v>46</v>
      </c>
      <c r="P2140" s="6" t="s">
        <v>71</v>
      </c>
      <c r="Q2140" s="6" t="s">
        <v>71</v>
      </c>
      <c r="R2140" s="6" t="s">
        <v>72</v>
      </c>
      <c r="S2140" s="6" t="s">
        <v>73</v>
      </c>
      <c r="T2140" s="6" t="s">
        <v>46</v>
      </c>
      <c r="U2140" s="6" t="n">
        <v>1000</v>
      </c>
      <c r="V2140" s="6" t="n">
        <v>5</v>
      </c>
      <c r="W2140" s="6" t="s">
        <v>46</v>
      </c>
      <c r="X2140" s="6" t="s">
        <v>74</v>
      </c>
      <c r="Y2140" s="6" t="s">
        <v>153</v>
      </c>
      <c r="Z2140" s="6" t="s">
        <v>2942</v>
      </c>
      <c r="AA2140" s="6" t="s">
        <v>2943</v>
      </c>
      <c r="AB2140" s="6" t="s">
        <v>2944</v>
      </c>
      <c r="AC2140" s="6" t="s">
        <v>2945</v>
      </c>
      <c r="AD2140" s="6" t="s">
        <v>2946</v>
      </c>
      <c r="AE2140" s="6" t="s">
        <v>2981</v>
      </c>
      <c r="AF2140" s="6" t="s">
        <v>2982</v>
      </c>
    </row>
    <row r="2141" customFormat="false" ht="13.8" hidden="false" customHeight="false" outlineLevel="0" collapsed="false">
      <c r="A2141" s="6" t="s">
        <v>3057</v>
      </c>
      <c r="C2141" s="6" t="s">
        <v>3058</v>
      </c>
      <c r="D2141" s="6" t="s">
        <v>14</v>
      </c>
      <c r="E2141" s="6" t="s">
        <v>2937</v>
      </c>
      <c r="F2141" s="6" t="s">
        <v>2938</v>
      </c>
      <c r="G2141" s="6" t="s">
        <v>2939</v>
      </c>
      <c r="H2141" s="2" t="s">
        <v>2683</v>
      </c>
      <c r="I2141" s="6" t="s">
        <v>2983</v>
      </c>
      <c r="J2141" s="6" t="s">
        <v>52</v>
      </c>
      <c r="K2141" s="6" t="s">
        <v>65</v>
      </c>
      <c r="L2141" s="6" t="s">
        <v>46</v>
      </c>
      <c r="M2141" s="13" t="s">
        <v>46</v>
      </c>
      <c r="N2141" s="6" t="s">
        <v>65</v>
      </c>
      <c r="O2141" s="6" t="s">
        <v>46</v>
      </c>
      <c r="P2141" s="6" t="s">
        <v>46</v>
      </c>
      <c r="Q2141" s="6" t="s">
        <v>46</v>
      </c>
      <c r="R2141" s="6" t="s">
        <v>46</v>
      </c>
      <c r="S2141" s="6" t="s">
        <v>46</v>
      </c>
      <c r="T2141" s="6" t="s">
        <v>46</v>
      </c>
      <c r="U2141" s="6" t="s">
        <v>46</v>
      </c>
      <c r="V2141" s="6" t="n">
        <v>1</v>
      </c>
      <c r="W2141" s="6" t="s">
        <v>46</v>
      </c>
      <c r="X2141" s="6" t="s">
        <v>83</v>
      </c>
      <c r="Y2141" s="6" t="s">
        <v>153</v>
      </c>
      <c r="Z2141" s="6" t="s">
        <v>2942</v>
      </c>
      <c r="AA2141" s="6" t="s">
        <v>2943</v>
      </c>
      <c r="AB2141" s="6" t="s">
        <v>2944</v>
      </c>
      <c r="AC2141" s="6" t="s">
        <v>2945</v>
      </c>
      <c r="AD2141" s="6" t="s">
        <v>2946</v>
      </c>
      <c r="AE2141" s="6" t="s">
        <v>2984</v>
      </c>
      <c r="AF2141" s="6" t="s">
        <v>2985</v>
      </c>
    </row>
    <row r="2142" customFormat="false" ht="13.8" hidden="false" customHeight="false" outlineLevel="0" collapsed="false">
      <c r="A2142" s="6" t="s">
        <v>3057</v>
      </c>
      <c r="C2142" s="6" t="s">
        <v>3058</v>
      </c>
      <c r="D2142" s="6" t="s">
        <v>14</v>
      </c>
      <c r="E2142" s="6" t="s">
        <v>2937</v>
      </c>
      <c r="F2142" s="6" t="s">
        <v>2938</v>
      </c>
      <c r="G2142" s="6" t="s">
        <v>2939</v>
      </c>
      <c r="H2142" s="2" t="s">
        <v>2986</v>
      </c>
      <c r="I2142" s="6" t="s">
        <v>2987</v>
      </c>
      <c r="J2142" s="6" t="s">
        <v>52</v>
      </c>
      <c r="K2142" s="6" t="s">
        <v>65</v>
      </c>
      <c r="L2142" s="6" t="s">
        <v>46</v>
      </c>
      <c r="M2142" s="13" t="s">
        <v>46</v>
      </c>
      <c r="N2142" s="6" t="s">
        <v>65</v>
      </c>
      <c r="O2142" s="6" t="s">
        <v>46</v>
      </c>
      <c r="P2142" s="6" t="s">
        <v>46</v>
      </c>
      <c r="Q2142" s="6" t="s">
        <v>46</v>
      </c>
      <c r="R2142" s="6" t="s">
        <v>46</v>
      </c>
      <c r="S2142" s="6" t="s">
        <v>46</v>
      </c>
      <c r="T2142" s="6" t="s">
        <v>46</v>
      </c>
      <c r="U2142" s="6" t="s">
        <v>46</v>
      </c>
      <c r="V2142" s="6" t="n">
        <v>2</v>
      </c>
      <c r="W2142" s="6" t="s">
        <v>46</v>
      </c>
      <c r="X2142" s="6" t="s">
        <v>83</v>
      </c>
      <c r="Y2142" s="6" t="s">
        <v>153</v>
      </c>
      <c r="Z2142" s="6" t="s">
        <v>2942</v>
      </c>
      <c r="AA2142" s="6" t="s">
        <v>2943</v>
      </c>
      <c r="AB2142" s="6" t="s">
        <v>2944</v>
      </c>
      <c r="AC2142" s="6" t="s">
        <v>2945</v>
      </c>
      <c r="AD2142" s="6" t="s">
        <v>2946</v>
      </c>
      <c r="AE2142" s="6" t="s">
        <v>2988</v>
      </c>
      <c r="AF2142" s="6" t="s">
        <v>2989</v>
      </c>
    </row>
    <row r="2143" customFormat="false" ht="13.8" hidden="false" customHeight="false" outlineLevel="0" collapsed="false">
      <c r="A2143" s="6" t="s">
        <v>3083</v>
      </c>
      <c r="C2143" s="6" t="s">
        <v>3084</v>
      </c>
      <c r="D2143" s="6" t="s">
        <v>14</v>
      </c>
      <c r="E2143" s="6" t="s">
        <v>2937</v>
      </c>
      <c r="F2143" s="6" t="s">
        <v>2938</v>
      </c>
      <c r="G2143" s="6" t="s">
        <v>2939</v>
      </c>
      <c r="H2143" s="2" t="s">
        <v>2801</v>
      </c>
      <c r="I2143" s="6" t="s">
        <v>3085</v>
      </c>
      <c r="J2143" s="6" t="s">
        <v>38</v>
      </c>
      <c r="K2143" s="6" t="s">
        <v>3086</v>
      </c>
      <c r="L2143" s="6" t="s">
        <v>46</v>
      </c>
      <c r="M2143" s="13" t="s">
        <v>3087</v>
      </c>
      <c r="N2143" s="6" t="s">
        <v>41</v>
      </c>
      <c r="O2143" s="6" t="s">
        <v>42</v>
      </c>
      <c r="P2143" s="6" t="s">
        <v>3088</v>
      </c>
      <c r="Q2143" s="6" t="s">
        <v>3089</v>
      </c>
      <c r="R2143" s="6" t="s">
        <v>44</v>
      </c>
      <c r="S2143" s="6" t="s">
        <v>90</v>
      </c>
      <c r="T2143" s="6" t="s">
        <v>46</v>
      </c>
      <c r="U2143" s="6" t="n">
        <v>500</v>
      </c>
      <c r="V2143" s="6" t="n">
        <v>1</v>
      </c>
      <c r="W2143" s="6" t="s">
        <v>46</v>
      </c>
      <c r="X2143" s="6" t="s">
        <v>47</v>
      </c>
      <c r="Y2143" s="6" t="s">
        <v>153</v>
      </c>
      <c r="Z2143" s="6" t="s">
        <v>2942</v>
      </c>
      <c r="AA2143" s="6" t="s">
        <v>2943</v>
      </c>
      <c r="AB2143" s="6" t="s">
        <v>2944</v>
      </c>
      <c r="AC2143" s="6" t="s">
        <v>2945</v>
      </c>
      <c r="AD2143" s="6" t="s">
        <v>2946</v>
      </c>
      <c r="AE2143" s="6" t="s">
        <v>3090</v>
      </c>
      <c r="AF2143" s="6" t="s">
        <v>3091</v>
      </c>
    </row>
    <row r="2144" customFormat="false" ht="13.8" hidden="false" customHeight="false" outlineLevel="0" collapsed="false">
      <c r="A2144" s="6" t="s">
        <v>3083</v>
      </c>
      <c r="C2144" s="6" t="s">
        <v>3084</v>
      </c>
      <c r="D2144" s="6" t="s">
        <v>14</v>
      </c>
      <c r="E2144" s="6" t="s">
        <v>2937</v>
      </c>
      <c r="F2144" s="6" t="s">
        <v>2938</v>
      </c>
      <c r="G2144" s="6" t="s">
        <v>2939</v>
      </c>
      <c r="H2144" s="2" t="s">
        <v>3092</v>
      </c>
      <c r="I2144" s="6" t="s">
        <v>3093</v>
      </c>
      <c r="J2144" s="6" t="s">
        <v>38</v>
      </c>
      <c r="K2144" s="6" t="s">
        <v>3086</v>
      </c>
      <c r="L2144" s="6" t="s">
        <v>46</v>
      </c>
      <c r="M2144" s="13" t="s">
        <v>3087</v>
      </c>
      <c r="N2144" s="6" t="s">
        <v>41</v>
      </c>
      <c r="O2144" s="6" t="s">
        <v>42</v>
      </c>
      <c r="P2144" s="6" t="s">
        <v>3088</v>
      </c>
      <c r="Q2144" s="6" t="s">
        <v>3089</v>
      </c>
      <c r="R2144" s="6" t="s">
        <v>44</v>
      </c>
      <c r="S2144" s="6" t="s">
        <v>90</v>
      </c>
      <c r="T2144" s="6" t="s">
        <v>46</v>
      </c>
      <c r="U2144" s="6" t="n">
        <v>500</v>
      </c>
      <c r="V2144" s="6" t="n">
        <v>2</v>
      </c>
      <c r="W2144" s="6" t="s">
        <v>46</v>
      </c>
      <c r="X2144" s="6" t="s">
        <v>47</v>
      </c>
      <c r="Y2144" s="6" t="s">
        <v>153</v>
      </c>
      <c r="Z2144" s="6" t="s">
        <v>2942</v>
      </c>
      <c r="AA2144" s="6" t="s">
        <v>2943</v>
      </c>
      <c r="AB2144" s="6" t="s">
        <v>2944</v>
      </c>
      <c r="AC2144" s="6" t="s">
        <v>2945</v>
      </c>
      <c r="AD2144" s="6" t="s">
        <v>2946</v>
      </c>
      <c r="AE2144" s="6" t="s">
        <v>3094</v>
      </c>
      <c r="AF2144" s="6" t="s">
        <v>3095</v>
      </c>
    </row>
    <row r="2145" customFormat="false" ht="13.8" hidden="false" customHeight="false" outlineLevel="0" collapsed="false">
      <c r="A2145" s="6" t="s">
        <v>3083</v>
      </c>
      <c r="C2145" s="6" t="s">
        <v>3084</v>
      </c>
      <c r="D2145" s="6" t="s">
        <v>14</v>
      </c>
      <c r="E2145" s="6" t="s">
        <v>2937</v>
      </c>
      <c r="F2145" s="6" t="s">
        <v>2938</v>
      </c>
      <c r="G2145" s="6" t="s">
        <v>2939</v>
      </c>
      <c r="H2145" s="2" t="s">
        <v>3096</v>
      </c>
      <c r="I2145" s="6" t="s">
        <v>3097</v>
      </c>
      <c r="J2145" s="6" t="s">
        <v>38</v>
      </c>
      <c r="K2145" s="6" t="s">
        <v>3086</v>
      </c>
      <c r="L2145" s="6" t="s">
        <v>46</v>
      </c>
      <c r="M2145" s="13" t="s">
        <v>3087</v>
      </c>
      <c r="N2145" s="6" t="s">
        <v>41</v>
      </c>
      <c r="O2145" s="6" t="s">
        <v>42</v>
      </c>
      <c r="P2145" s="6" t="s">
        <v>3088</v>
      </c>
      <c r="Q2145" s="6" t="s">
        <v>3089</v>
      </c>
      <c r="R2145" s="6" t="s">
        <v>44</v>
      </c>
      <c r="S2145" s="6" t="s">
        <v>90</v>
      </c>
      <c r="T2145" s="6" t="s">
        <v>46</v>
      </c>
      <c r="U2145" s="6" t="n">
        <v>500</v>
      </c>
      <c r="V2145" s="6" t="n">
        <v>3</v>
      </c>
      <c r="W2145" s="6" t="s">
        <v>46</v>
      </c>
      <c r="X2145" s="6" t="s">
        <v>47</v>
      </c>
      <c r="Y2145" s="6" t="s">
        <v>153</v>
      </c>
      <c r="Z2145" s="6" t="s">
        <v>2942</v>
      </c>
      <c r="AA2145" s="6" t="s">
        <v>2943</v>
      </c>
      <c r="AB2145" s="6" t="s">
        <v>2944</v>
      </c>
      <c r="AC2145" s="6" t="s">
        <v>2945</v>
      </c>
      <c r="AD2145" s="6" t="s">
        <v>2946</v>
      </c>
      <c r="AE2145" s="6" t="s">
        <v>3098</v>
      </c>
      <c r="AF2145" s="6" t="s">
        <v>3099</v>
      </c>
    </row>
    <row r="2146" customFormat="false" ht="13.8" hidden="false" customHeight="false" outlineLevel="0" collapsed="false">
      <c r="A2146" s="6" t="s">
        <v>3083</v>
      </c>
      <c r="C2146" s="6" t="s">
        <v>3084</v>
      </c>
      <c r="D2146" s="6" t="s">
        <v>14</v>
      </c>
      <c r="E2146" s="6" t="s">
        <v>2937</v>
      </c>
      <c r="F2146" s="6" t="s">
        <v>2938</v>
      </c>
      <c r="G2146" s="6" t="s">
        <v>2939</v>
      </c>
      <c r="H2146" s="2" t="s">
        <v>3100</v>
      </c>
      <c r="I2146" s="6" t="s">
        <v>3101</v>
      </c>
      <c r="J2146" s="6" t="s">
        <v>52</v>
      </c>
      <c r="K2146" s="6" t="s">
        <v>3102</v>
      </c>
      <c r="L2146" s="6" t="s">
        <v>46</v>
      </c>
      <c r="M2146" s="13" t="s">
        <v>3087</v>
      </c>
      <c r="N2146" s="6" t="s">
        <v>41</v>
      </c>
      <c r="O2146" s="6" t="s">
        <v>54</v>
      </c>
      <c r="P2146" s="6" t="s">
        <v>3088</v>
      </c>
      <c r="Q2146" s="6" t="s">
        <v>3103</v>
      </c>
      <c r="R2146" s="6" t="s">
        <v>44</v>
      </c>
      <c r="S2146" s="6" t="s">
        <v>90</v>
      </c>
      <c r="T2146" s="6" t="s">
        <v>46</v>
      </c>
      <c r="U2146" s="6" t="n">
        <v>500</v>
      </c>
      <c r="V2146" s="6" t="n">
        <v>1</v>
      </c>
      <c r="W2146" s="6" t="s">
        <v>46</v>
      </c>
      <c r="X2146" s="6" t="s">
        <v>47</v>
      </c>
      <c r="Y2146" s="6" t="s">
        <v>153</v>
      </c>
      <c r="Z2146" s="6" t="s">
        <v>2942</v>
      </c>
      <c r="AA2146" s="6" t="s">
        <v>2943</v>
      </c>
      <c r="AB2146" s="6" t="s">
        <v>2944</v>
      </c>
      <c r="AC2146" s="6" t="s">
        <v>2945</v>
      </c>
      <c r="AD2146" s="6" t="s">
        <v>2946</v>
      </c>
      <c r="AE2146" s="6" t="s">
        <v>3104</v>
      </c>
      <c r="AF2146" s="6" t="s">
        <v>3105</v>
      </c>
    </row>
    <row r="2147" customFormat="false" ht="13.8" hidden="false" customHeight="false" outlineLevel="0" collapsed="false">
      <c r="A2147" s="6" t="s">
        <v>3083</v>
      </c>
      <c r="C2147" s="6" t="s">
        <v>3084</v>
      </c>
      <c r="D2147" s="6" t="s">
        <v>14</v>
      </c>
      <c r="E2147" s="6" t="s">
        <v>2937</v>
      </c>
      <c r="F2147" s="6" t="s">
        <v>2938</v>
      </c>
      <c r="G2147" s="6" t="s">
        <v>2939</v>
      </c>
      <c r="H2147" s="2" t="s">
        <v>3106</v>
      </c>
      <c r="I2147" s="6" t="s">
        <v>3107</v>
      </c>
      <c r="J2147" s="6" t="s">
        <v>52</v>
      </c>
      <c r="K2147" s="6" t="s">
        <v>3102</v>
      </c>
      <c r="L2147" s="6" t="s">
        <v>46</v>
      </c>
      <c r="M2147" s="13" t="s">
        <v>3087</v>
      </c>
      <c r="N2147" s="6" t="s">
        <v>41</v>
      </c>
      <c r="O2147" s="6" t="s">
        <v>54</v>
      </c>
      <c r="P2147" s="6" t="s">
        <v>3088</v>
      </c>
      <c r="Q2147" s="6" t="s">
        <v>3103</v>
      </c>
      <c r="R2147" s="6" t="s">
        <v>44</v>
      </c>
      <c r="S2147" s="6" t="s">
        <v>90</v>
      </c>
      <c r="T2147" s="6" t="s">
        <v>46</v>
      </c>
      <c r="U2147" s="6" t="n">
        <v>500</v>
      </c>
      <c r="V2147" s="6" t="n">
        <v>2</v>
      </c>
      <c r="W2147" s="6" t="s">
        <v>46</v>
      </c>
      <c r="X2147" s="6" t="s">
        <v>47</v>
      </c>
      <c r="Y2147" s="6" t="s">
        <v>153</v>
      </c>
      <c r="Z2147" s="6" t="s">
        <v>2942</v>
      </c>
      <c r="AA2147" s="6" t="s">
        <v>2943</v>
      </c>
      <c r="AB2147" s="6" t="s">
        <v>2944</v>
      </c>
      <c r="AC2147" s="6" t="s">
        <v>2945</v>
      </c>
      <c r="AD2147" s="6" t="s">
        <v>2946</v>
      </c>
      <c r="AE2147" s="6" t="s">
        <v>3108</v>
      </c>
      <c r="AF2147" s="6" t="s">
        <v>3109</v>
      </c>
    </row>
    <row r="2148" customFormat="false" ht="13.8" hidden="false" customHeight="false" outlineLevel="0" collapsed="false">
      <c r="A2148" s="6" t="s">
        <v>3083</v>
      </c>
      <c r="C2148" s="6" t="s">
        <v>3084</v>
      </c>
      <c r="D2148" s="6" t="s">
        <v>14</v>
      </c>
      <c r="E2148" s="6" t="s">
        <v>2937</v>
      </c>
      <c r="F2148" s="6" t="s">
        <v>2938</v>
      </c>
      <c r="G2148" s="6" t="s">
        <v>2939</v>
      </c>
      <c r="H2148" s="2" t="s">
        <v>2751</v>
      </c>
      <c r="I2148" s="6" t="s">
        <v>3110</v>
      </c>
      <c r="J2148" s="6" t="s">
        <v>52</v>
      </c>
      <c r="K2148" s="6" t="s">
        <v>3102</v>
      </c>
      <c r="L2148" s="6" t="s">
        <v>46</v>
      </c>
      <c r="M2148" s="13" t="s">
        <v>3087</v>
      </c>
      <c r="N2148" s="6" t="s">
        <v>41</v>
      </c>
      <c r="O2148" s="6" t="s">
        <v>54</v>
      </c>
      <c r="P2148" s="6" t="s">
        <v>3088</v>
      </c>
      <c r="Q2148" s="6" t="s">
        <v>3103</v>
      </c>
      <c r="R2148" s="6" t="s">
        <v>44</v>
      </c>
      <c r="S2148" s="6" t="s">
        <v>90</v>
      </c>
      <c r="T2148" s="6" t="s">
        <v>46</v>
      </c>
      <c r="U2148" s="6" t="n">
        <v>500</v>
      </c>
      <c r="V2148" s="6" t="n">
        <v>3</v>
      </c>
      <c r="W2148" s="6" t="s">
        <v>46</v>
      </c>
      <c r="X2148" s="6" t="s">
        <v>47</v>
      </c>
      <c r="Y2148" s="6" t="s">
        <v>153</v>
      </c>
      <c r="Z2148" s="6" t="s">
        <v>2942</v>
      </c>
      <c r="AA2148" s="6" t="s">
        <v>2943</v>
      </c>
      <c r="AB2148" s="6" t="s">
        <v>2944</v>
      </c>
      <c r="AC2148" s="6" t="s">
        <v>2945</v>
      </c>
      <c r="AD2148" s="6" t="s">
        <v>2946</v>
      </c>
      <c r="AE2148" s="6" t="s">
        <v>3111</v>
      </c>
      <c r="AF2148" s="6" t="s">
        <v>3112</v>
      </c>
    </row>
    <row r="2149" customFormat="false" ht="13.8" hidden="false" customHeight="false" outlineLevel="0" collapsed="false">
      <c r="A2149" s="6" t="s">
        <v>3083</v>
      </c>
      <c r="C2149" s="6" t="s">
        <v>3084</v>
      </c>
      <c r="D2149" s="6" t="s">
        <v>14</v>
      </c>
      <c r="E2149" s="6" t="s">
        <v>2937</v>
      </c>
      <c r="F2149" s="6" t="s">
        <v>2938</v>
      </c>
      <c r="G2149" s="6" t="s">
        <v>2939</v>
      </c>
      <c r="H2149" s="2" t="s">
        <v>2693</v>
      </c>
      <c r="I2149" s="6" t="s">
        <v>2965</v>
      </c>
      <c r="J2149" s="6" t="s">
        <v>52</v>
      </c>
      <c r="K2149" s="6" t="s">
        <v>1935</v>
      </c>
      <c r="L2149" s="6" t="s">
        <v>69</v>
      </c>
      <c r="M2149" s="13" t="s">
        <v>69</v>
      </c>
      <c r="N2149" s="6" t="s">
        <v>1935</v>
      </c>
      <c r="O2149" s="6" t="s">
        <v>46</v>
      </c>
      <c r="P2149" s="6" t="s">
        <v>71</v>
      </c>
      <c r="Q2149" s="6" t="s">
        <v>71</v>
      </c>
      <c r="R2149" s="6" t="s">
        <v>72</v>
      </c>
      <c r="S2149" s="6" t="s">
        <v>73</v>
      </c>
      <c r="T2149" s="6" t="s">
        <v>46</v>
      </c>
      <c r="U2149" s="6" t="n">
        <v>1000</v>
      </c>
      <c r="V2149" s="6" t="n">
        <v>1</v>
      </c>
      <c r="W2149" s="6" t="s">
        <v>46</v>
      </c>
      <c r="X2149" s="6" t="s">
        <v>74</v>
      </c>
      <c r="Y2149" s="6" t="s">
        <v>153</v>
      </c>
      <c r="Z2149" s="6" t="s">
        <v>2942</v>
      </c>
      <c r="AA2149" s="6" t="s">
        <v>2943</v>
      </c>
      <c r="AB2149" s="6" t="s">
        <v>2944</v>
      </c>
      <c r="AC2149" s="6" t="s">
        <v>2945</v>
      </c>
      <c r="AD2149" s="6" t="s">
        <v>2946</v>
      </c>
      <c r="AE2149" s="6" t="s">
        <v>2966</v>
      </c>
      <c r="AF2149" s="6" t="s">
        <v>2967</v>
      </c>
    </row>
    <row r="2150" customFormat="false" ht="13.8" hidden="false" customHeight="false" outlineLevel="0" collapsed="false">
      <c r="A2150" s="6" t="s">
        <v>3083</v>
      </c>
      <c r="C2150" s="6" t="s">
        <v>3084</v>
      </c>
      <c r="D2150" s="6" t="s">
        <v>14</v>
      </c>
      <c r="E2150" s="6" t="s">
        <v>2937</v>
      </c>
      <c r="F2150" s="6" t="s">
        <v>2938</v>
      </c>
      <c r="G2150" s="6" t="s">
        <v>2939</v>
      </c>
      <c r="H2150" s="2" t="s">
        <v>2968</v>
      </c>
      <c r="I2150" s="6" t="s">
        <v>2969</v>
      </c>
      <c r="J2150" s="6" t="s">
        <v>52</v>
      </c>
      <c r="K2150" s="6" t="s">
        <v>1935</v>
      </c>
      <c r="L2150" s="6" t="s">
        <v>69</v>
      </c>
      <c r="M2150" s="13" t="s">
        <v>69</v>
      </c>
      <c r="N2150" s="6" t="s">
        <v>1935</v>
      </c>
      <c r="O2150" s="6" t="s">
        <v>46</v>
      </c>
      <c r="P2150" s="6" t="s">
        <v>71</v>
      </c>
      <c r="Q2150" s="6" t="s">
        <v>71</v>
      </c>
      <c r="R2150" s="6" t="s">
        <v>72</v>
      </c>
      <c r="S2150" s="6" t="s">
        <v>73</v>
      </c>
      <c r="T2150" s="6" t="s">
        <v>46</v>
      </c>
      <c r="U2150" s="6" t="n">
        <v>1000</v>
      </c>
      <c r="V2150" s="6" t="n">
        <v>2</v>
      </c>
      <c r="W2150" s="6" t="s">
        <v>46</v>
      </c>
      <c r="X2150" s="6" t="s">
        <v>74</v>
      </c>
      <c r="Y2150" s="6" t="s">
        <v>153</v>
      </c>
      <c r="Z2150" s="6" t="s">
        <v>2942</v>
      </c>
      <c r="AA2150" s="6" t="s">
        <v>2943</v>
      </c>
      <c r="AB2150" s="6" t="s">
        <v>2944</v>
      </c>
      <c r="AC2150" s="6" t="s">
        <v>2945</v>
      </c>
      <c r="AD2150" s="6" t="s">
        <v>2946</v>
      </c>
      <c r="AE2150" s="6" t="s">
        <v>2970</v>
      </c>
      <c r="AF2150" s="6" t="s">
        <v>2971</v>
      </c>
    </row>
    <row r="2151" customFormat="false" ht="13.8" hidden="false" customHeight="false" outlineLevel="0" collapsed="false">
      <c r="A2151" s="6" t="s">
        <v>3083</v>
      </c>
      <c r="C2151" s="6" t="s">
        <v>3084</v>
      </c>
      <c r="D2151" s="6" t="s">
        <v>14</v>
      </c>
      <c r="E2151" s="6" t="s">
        <v>2937</v>
      </c>
      <c r="F2151" s="6" t="s">
        <v>2938</v>
      </c>
      <c r="G2151" s="6" t="s">
        <v>2939</v>
      </c>
      <c r="H2151" s="2" t="s">
        <v>2758</v>
      </c>
      <c r="I2151" s="6" t="s">
        <v>2972</v>
      </c>
      <c r="J2151" s="6" t="s">
        <v>52</v>
      </c>
      <c r="K2151" s="6" t="s">
        <v>1935</v>
      </c>
      <c r="L2151" s="6" t="s">
        <v>69</v>
      </c>
      <c r="M2151" s="13" t="s">
        <v>69</v>
      </c>
      <c r="N2151" s="6" t="s">
        <v>1935</v>
      </c>
      <c r="O2151" s="6" t="s">
        <v>46</v>
      </c>
      <c r="P2151" s="6" t="s">
        <v>71</v>
      </c>
      <c r="Q2151" s="6" t="s">
        <v>71</v>
      </c>
      <c r="R2151" s="6" t="s">
        <v>72</v>
      </c>
      <c r="S2151" s="6" t="s">
        <v>73</v>
      </c>
      <c r="T2151" s="6" t="s">
        <v>46</v>
      </c>
      <c r="U2151" s="6" t="n">
        <v>1000</v>
      </c>
      <c r="V2151" s="6" t="n">
        <v>3</v>
      </c>
      <c r="W2151" s="6" t="s">
        <v>46</v>
      </c>
      <c r="X2151" s="6" t="s">
        <v>74</v>
      </c>
      <c r="Y2151" s="6" t="s">
        <v>153</v>
      </c>
      <c r="Z2151" s="6" t="s">
        <v>2942</v>
      </c>
      <c r="AA2151" s="6" t="s">
        <v>2943</v>
      </c>
      <c r="AB2151" s="6" t="s">
        <v>2944</v>
      </c>
      <c r="AC2151" s="6" t="s">
        <v>2945</v>
      </c>
      <c r="AD2151" s="6" t="s">
        <v>2946</v>
      </c>
      <c r="AE2151" s="6" t="s">
        <v>2973</v>
      </c>
      <c r="AF2151" s="6" t="s">
        <v>2974</v>
      </c>
    </row>
    <row r="2152" customFormat="false" ht="13.8" hidden="false" customHeight="false" outlineLevel="0" collapsed="false">
      <c r="A2152" s="6" t="s">
        <v>3083</v>
      </c>
      <c r="C2152" s="6" t="s">
        <v>3084</v>
      </c>
      <c r="D2152" s="6" t="s">
        <v>14</v>
      </c>
      <c r="E2152" s="6" t="s">
        <v>2937</v>
      </c>
      <c r="F2152" s="6" t="s">
        <v>2938</v>
      </c>
      <c r="G2152" s="6" t="s">
        <v>2939</v>
      </c>
      <c r="H2152" s="2" t="s">
        <v>2975</v>
      </c>
      <c r="I2152" s="6" t="s">
        <v>2976</v>
      </c>
      <c r="J2152" s="6" t="s">
        <v>52</v>
      </c>
      <c r="K2152" s="6" t="s">
        <v>1935</v>
      </c>
      <c r="L2152" s="6" t="s">
        <v>69</v>
      </c>
      <c r="M2152" s="13" t="s">
        <v>69</v>
      </c>
      <c r="N2152" s="6" t="s">
        <v>1935</v>
      </c>
      <c r="O2152" s="6" t="s">
        <v>46</v>
      </c>
      <c r="P2152" s="6" t="s">
        <v>71</v>
      </c>
      <c r="Q2152" s="6" t="s">
        <v>71</v>
      </c>
      <c r="R2152" s="6" t="s">
        <v>72</v>
      </c>
      <c r="S2152" s="6" t="s">
        <v>73</v>
      </c>
      <c r="T2152" s="6" t="s">
        <v>46</v>
      </c>
      <c r="U2152" s="6" t="n">
        <v>1000</v>
      </c>
      <c r="V2152" s="6" t="n">
        <v>4</v>
      </c>
      <c r="W2152" s="6" t="s">
        <v>46</v>
      </c>
      <c r="X2152" s="6" t="s">
        <v>74</v>
      </c>
      <c r="Y2152" s="6" t="s">
        <v>153</v>
      </c>
      <c r="Z2152" s="6" t="s">
        <v>2942</v>
      </c>
      <c r="AA2152" s="6" t="s">
        <v>2943</v>
      </c>
      <c r="AB2152" s="6" t="s">
        <v>2944</v>
      </c>
      <c r="AC2152" s="6" t="s">
        <v>2945</v>
      </c>
      <c r="AD2152" s="6" t="s">
        <v>2946</v>
      </c>
      <c r="AE2152" s="6" t="s">
        <v>2977</v>
      </c>
      <c r="AF2152" s="6" t="s">
        <v>2978</v>
      </c>
    </row>
    <row r="2153" customFormat="false" ht="13.8" hidden="false" customHeight="false" outlineLevel="0" collapsed="false">
      <c r="A2153" s="6" t="s">
        <v>3083</v>
      </c>
      <c r="C2153" s="6" t="s">
        <v>3084</v>
      </c>
      <c r="D2153" s="6" t="s">
        <v>14</v>
      </c>
      <c r="E2153" s="6" t="s">
        <v>2937</v>
      </c>
      <c r="F2153" s="6" t="s">
        <v>2938</v>
      </c>
      <c r="G2153" s="6" t="s">
        <v>2939</v>
      </c>
      <c r="H2153" s="2" t="s">
        <v>2979</v>
      </c>
      <c r="I2153" s="6" t="s">
        <v>2980</v>
      </c>
      <c r="J2153" s="6" t="s">
        <v>52</v>
      </c>
      <c r="K2153" s="6" t="s">
        <v>1935</v>
      </c>
      <c r="L2153" s="6" t="s">
        <v>69</v>
      </c>
      <c r="M2153" s="13" t="s">
        <v>69</v>
      </c>
      <c r="N2153" s="6" t="s">
        <v>1935</v>
      </c>
      <c r="O2153" s="6" t="s">
        <v>46</v>
      </c>
      <c r="P2153" s="6" t="s">
        <v>71</v>
      </c>
      <c r="Q2153" s="6" t="s">
        <v>71</v>
      </c>
      <c r="R2153" s="6" t="s">
        <v>72</v>
      </c>
      <c r="S2153" s="6" t="s">
        <v>73</v>
      </c>
      <c r="T2153" s="6" t="s">
        <v>46</v>
      </c>
      <c r="U2153" s="6" t="n">
        <v>1000</v>
      </c>
      <c r="V2153" s="6" t="n">
        <v>5</v>
      </c>
      <c r="W2153" s="6" t="s">
        <v>46</v>
      </c>
      <c r="X2153" s="6" t="s">
        <v>74</v>
      </c>
      <c r="Y2153" s="6" t="s">
        <v>153</v>
      </c>
      <c r="Z2153" s="6" t="s">
        <v>2942</v>
      </c>
      <c r="AA2153" s="6" t="s">
        <v>2943</v>
      </c>
      <c r="AB2153" s="6" t="s">
        <v>2944</v>
      </c>
      <c r="AC2153" s="6" t="s">
        <v>2945</v>
      </c>
      <c r="AD2153" s="6" t="s">
        <v>2946</v>
      </c>
      <c r="AE2153" s="6" t="s">
        <v>2981</v>
      </c>
      <c r="AF2153" s="6" t="s">
        <v>2982</v>
      </c>
    </row>
    <row r="2154" customFormat="false" ht="13.8" hidden="false" customHeight="false" outlineLevel="0" collapsed="false">
      <c r="A2154" s="6" t="s">
        <v>3083</v>
      </c>
      <c r="C2154" s="6" t="s">
        <v>3084</v>
      </c>
      <c r="D2154" s="6" t="s">
        <v>14</v>
      </c>
      <c r="E2154" s="6" t="s">
        <v>2937</v>
      </c>
      <c r="F2154" s="6" t="s">
        <v>2938</v>
      </c>
      <c r="G2154" s="6" t="s">
        <v>2939</v>
      </c>
      <c r="H2154" s="2" t="s">
        <v>2683</v>
      </c>
      <c r="I2154" s="6" t="s">
        <v>2983</v>
      </c>
      <c r="J2154" s="6" t="s">
        <v>52</v>
      </c>
      <c r="K2154" s="6" t="s">
        <v>65</v>
      </c>
      <c r="L2154" s="6" t="s">
        <v>46</v>
      </c>
      <c r="M2154" s="13" t="s">
        <v>46</v>
      </c>
      <c r="N2154" s="6" t="s">
        <v>65</v>
      </c>
      <c r="O2154" s="6" t="s">
        <v>46</v>
      </c>
      <c r="P2154" s="6" t="s">
        <v>46</v>
      </c>
      <c r="Q2154" s="6" t="s">
        <v>46</v>
      </c>
      <c r="R2154" s="6" t="s">
        <v>46</v>
      </c>
      <c r="S2154" s="6" t="s">
        <v>46</v>
      </c>
      <c r="T2154" s="6" t="s">
        <v>46</v>
      </c>
      <c r="U2154" s="6" t="s">
        <v>46</v>
      </c>
      <c r="V2154" s="6" t="n">
        <v>1</v>
      </c>
      <c r="W2154" s="6" t="s">
        <v>46</v>
      </c>
      <c r="X2154" s="6" t="s">
        <v>83</v>
      </c>
      <c r="Y2154" s="6" t="s">
        <v>153</v>
      </c>
      <c r="Z2154" s="6" t="s">
        <v>2942</v>
      </c>
      <c r="AA2154" s="6" t="s">
        <v>2943</v>
      </c>
      <c r="AB2154" s="6" t="s">
        <v>2944</v>
      </c>
      <c r="AC2154" s="6" t="s">
        <v>2945</v>
      </c>
      <c r="AD2154" s="6" t="s">
        <v>2946</v>
      </c>
      <c r="AE2154" s="6" t="s">
        <v>2984</v>
      </c>
      <c r="AF2154" s="6" t="s">
        <v>2985</v>
      </c>
    </row>
    <row r="2155" customFormat="false" ht="13.8" hidden="false" customHeight="false" outlineLevel="0" collapsed="false">
      <c r="A2155" s="6" t="s">
        <v>3083</v>
      </c>
      <c r="C2155" s="6" t="s">
        <v>3084</v>
      </c>
      <c r="D2155" s="6" t="s">
        <v>14</v>
      </c>
      <c r="E2155" s="6" t="s">
        <v>2937</v>
      </c>
      <c r="F2155" s="6" t="s">
        <v>2938</v>
      </c>
      <c r="G2155" s="6" t="s">
        <v>2939</v>
      </c>
      <c r="H2155" s="2" t="s">
        <v>2986</v>
      </c>
      <c r="I2155" s="6" t="s">
        <v>2987</v>
      </c>
      <c r="J2155" s="6" t="s">
        <v>52</v>
      </c>
      <c r="K2155" s="6" t="s">
        <v>65</v>
      </c>
      <c r="L2155" s="6" t="s">
        <v>46</v>
      </c>
      <c r="M2155" s="13" t="s">
        <v>46</v>
      </c>
      <c r="N2155" s="6" t="s">
        <v>65</v>
      </c>
      <c r="O2155" s="6" t="s">
        <v>46</v>
      </c>
      <c r="P2155" s="6" t="s">
        <v>46</v>
      </c>
      <c r="Q2155" s="6" t="s">
        <v>46</v>
      </c>
      <c r="R2155" s="6" t="s">
        <v>46</v>
      </c>
      <c r="S2155" s="6" t="s">
        <v>46</v>
      </c>
      <c r="T2155" s="6" t="s">
        <v>46</v>
      </c>
      <c r="U2155" s="6" t="s">
        <v>46</v>
      </c>
      <c r="V2155" s="6" t="n">
        <v>2</v>
      </c>
      <c r="W2155" s="6" t="s">
        <v>46</v>
      </c>
      <c r="X2155" s="6" t="s">
        <v>83</v>
      </c>
      <c r="Y2155" s="6" t="s">
        <v>153</v>
      </c>
      <c r="Z2155" s="6" t="s">
        <v>2942</v>
      </c>
      <c r="AA2155" s="6" t="s">
        <v>2943</v>
      </c>
      <c r="AB2155" s="6" t="s">
        <v>2944</v>
      </c>
      <c r="AC2155" s="6" t="s">
        <v>2945</v>
      </c>
      <c r="AD2155" s="6" t="s">
        <v>2946</v>
      </c>
      <c r="AE2155" s="6" t="s">
        <v>2988</v>
      </c>
      <c r="AF2155" s="6" t="s">
        <v>2989</v>
      </c>
    </row>
    <row r="2156" customFormat="false" ht="13.8" hidden="false" customHeight="false" outlineLevel="0" collapsed="false">
      <c r="A2156" s="6" t="s">
        <v>3113</v>
      </c>
      <c r="C2156" s="6" t="s">
        <v>3114</v>
      </c>
      <c r="D2156" s="6" t="s">
        <v>19</v>
      </c>
      <c r="E2156" s="6" t="s">
        <v>3115</v>
      </c>
      <c r="F2156" s="6" t="s">
        <v>3116</v>
      </c>
      <c r="G2156" s="6" t="s">
        <v>3117</v>
      </c>
      <c r="H2156" s="2" t="s">
        <v>108</v>
      </c>
      <c r="I2156" s="6" t="s">
        <v>3118</v>
      </c>
      <c r="J2156" s="6" t="s">
        <v>52</v>
      </c>
      <c r="K2156" s="6" t="s">
        <v>3119</v>
      </c>
      <c r="L2156" s="6" t="s">
        <v>46</v>
      </c>
      <c r="M2156" s="13" t="s">
        <v>3120</v>
      </c>
      <c r="N2156" s="6" t="s">
        <v>325</v>
      </c>
      <c r="O2156" s="6" t="s">
        <v>46</v>
      </c>
      <c r="P2156" s="6" t="s">
        <v>41</v>
      </c>
      <c r="Q2156" s="6" t="s">
        <v>41</v>
      </c>
      <c r="R2156" s="6" t="s">
        <v>46</v>
      </c>
      <c r="S2156" s="6" t="s">
        <v>90</v>
      </c>
      <c r="T2156" s="6" t="s">
        <v>3121</v>
      </c>
      <c r="U2156" s="6" t="n">
        <v>400</v>
      </c>
      <c r="V2156" s="6" t="n">
        <v>1</v>
      </c>
      <c r="W2156" s="6" t="s">
        <v>3122</v>
      </c>
      <c r="X2156" s="6" t="s">
        <v>47</v>
      </c>
      <c r="Y2156" s="6" t="s">
        <v>153</v>
      </c>
      <c r="Z2156" s="6" t="s">
        <v>3123</v>
      </c>
      <c r="AA2156" s="6" t="s">
        <v>3124</v>
      </c>
      <c r="AB2156" s="6" t="s">
        <v>3125</v>
      </c>
      <c r="AC2156" s="6" t="s">
        <v>3126</v>
      </c>
      <c r="AD2156" s="6" t="s">
        <v>3127</v>
      </c>
      <c r="AE2156" s="6" t="s">
        <v>3128</v>
      </c>
      <c r="AF2156" s="6" t="s">
        <v>3129</v>
      </c>
    </row>
    <row r="2157" customFormat="false" ht="13.8" hidden="false" customHeight="false" outlineLevel="0" collapsed="false">
      <c r="A2157" s="6" t="s">
        <v>3113</v>
      </c>
      <c r="C2157" s="6" t="s">
        <v>3114</v>
      </c>
      <c r="D2157" s="6" t="s">
        <v>19</v>
      </c>
      <c r="E2157" s="6" t="s">
        <v>3115</v>
      </c>
      <c r="F2157" s="6" t="s">
        <v>3116</v>
      </c>
      <c r="G2157" s="6" t="s">
        <v>3117</v>
      </c>
      <c r="H2157" s="2" t="s">
        <v>88</v>
      </c>
      <c r="I2157" s="6" t="s">
        <v>3130</v>
      </c>
      <c r="J2157" s="6" t="s">
        <v>52</v>
      </c>
      <c r="K2157" s="6" t="s">
        <v>3119</v>
      </c>
      <c r="L2157" s="6" t="s">
        <v>46</v>
      </c>
      <c r="M2157" s="13" t="s">
        <v>3120</v>
      </c>
      <c r="N2157" s="6" t="s">
        <v>325</v>
      </c>
      <c r="O2157" s="6" t="s">
        <v>46</v>
      </c>
      <c r="P2157" s="6" t="s">
        <v>41</v>
      </c>
      <c r="Q2157" s="6" t="s">
        <v>41</v>
      </c>
      <c r="R2157" s="6" t="s">
        <v>46</v>
      </c>
      <c r="S2157" s="6" t="s">
        <v>90</v>
      </c>
      <c r="T2157" s="6" t="s">
        <v>3121</v>
      </c>
      <c r="U2157" s="6" t="n">
        <v>400</v>
      </c>
      <c r="V2157" s="6" t="n">
        <v>2</v>
      </c>
      <c r="W2157" s="6" t="s">
        <v>3131</v>
      </c>
      <c r="X2157" s="6" t="s">
        <v>47</v>
      </c>
      <c r="Y2157" s="6" t="s">
        <v>153</v>
      </c>
      <c r="Z2157" s="6" t="s">
        <v>3123</v>
      </c>
      <c r="AA2157" s="6" t="s">
        <v>3124</v>
      </c>
      <c r="AB2157" s="6" t="s">
        <v>3125</v>
      </c>
      <c r="AC2157" s="6" t="s">
        <v>3126</v>
      </c>
      <c r="AD2157" s="6" t="s">
        <v>3127</v>
      </c>
      <c r="AE2157" s="6" t="s">
        <v>3132</v>
      </c>
      <c r="AF2157" s="6" t="s">
        <v>3133</v>
      </c>
    </row>
    <row r="2158" customFormat="false" ht="13.8" hidden="false" customHeight="false" outlineLevel="0" collapsed="false">
      <c r="A2158" s="6" t="s">
        <v>3113</v>
      </c>
      <c r="C2158" s="6" t="s">
        <v>3114</v>
      </c>
      <c r="D2158" s="6" t="s">
        <v>19</v>
      </c>
      <c r="E2158" s="6" t="s">
        <v>3115</v>
      </c>
      <c r="F2158" s="6" t="s">
        <v>3116</v>
      </c>
      <c r="G2158" s="6" t="s">
        <v>3117</v>
      </c>
      <c r="H2158" s="2" t="s">
        <v>97</v>
      </c>
      <c r="I2158" s="6" t="s">
        <v>3134</v>
      </c>
      <c r="J2158" s="6" t="s">
        <v>52</v>
      </c>
      <c r="K2158" s="6" t="s">
        <v>3119</v>
      </c>
      <c r="L2158" s="6" t="s">
        <v>46</v>
      </c>
      <c r="M2158" s="13" t="s">
        <v>3120</v>
      </c>
      <c r="N2158" s="6" t="s">
        <v>325</v>
      </c>
      <c r="O2158" s="6" t="s">
        <v>46</v>
      </c>
      <c r="P2158" s="6" t="s">
        <v>41</v>
      </c>
      <c r="Q2158" s="6" t="s">
        <v>41</v>
      </c>
      <c r="R2158" s="6" t="s">
        <v>46</v>
      </c>
      <c r="S2158" s="6" t="s">
        <v>90</v>
      </c>
      <c r="T2158" s="6" t="s">
        <v>3121</v>
      </c>
      <c r="U2158" s="6" t="n">
        <v>400</v>
      </c>
      <c r="V2158" s="6" t="n">
        <v>3</v>
      </c>
      <c r="W2158" s="6" t="s">
        <v>3135</v>
      </c>
      <c r="X2158" s="6" t="s">
        <v>47</v>
      </c>
      <c r="Y2158" s="6" t="s">
        <v>153</v>
      </c>
      <c r="Z2158" s="6" t="s">
        <v>3123</v>
      </c>
      <c r="AA2158" s="6" t="s">
        <v>3124</v>
      </c>
      <c r="AB2158" s="6" t="s">
        <v>3125</v>
      </c>
      <c r="AC2158" s="6" t="s">
        <v>3126</v>
      </c>
      <c r="AD2158" s="6" t="s">
        <v>3127</v>
      </c>
      <c r="AE2158" s="6" t="s">
        <v>3136</v>
      </c>
      <c r="AF2158" s="6" t="s">
        <v>3137</v>
      </c>
    </row>
    <row r="2159" customFormat="false" ht="13.8" hidden="false" customHeight="false" outlineLevel="0" collapsed="false">
      <c r="A2159" s="6" t="s">
        <v>3113</v>
      </c>
      <c r="C2159" s="6" t="s">
        <v>3114</v>
      </c>
      <c r="D2159" s="6" t="s">
        <v>19</v>
      </c>
      <c r="E2159" s="6" t="s">
        <v>3115</v>
      </c>
      <c r="F2159" s="6" t="s">
        <v>3116</v>
      </c>
      <c r="G2159" s="6" t="s">
        <v>3117</v>
      </c>
      <c r="H2159" s="2" t="s">
        <v>99</v>
      </c>
      <c r="I2159" s="6" t="s">
        <v>3138</v>
      </c>
      <c r="J2159" s="6" t="s">
        <v>52</v>
      </c>
      <c r="K2159" s="6" t="s">
        <v>3119</v>
      </c>
      <c r="L2159" s="6" t="s">
        <v>46</v>
      </c>
      <c r="M2159" s="13" t="s">
        <v>3120</v>
      </c>
      <c r="N2159" s="6" t="s">
        <v>325</v>
      </c>
      <c r="O2159" s="6" t="s">
        <v>46</v>
      </c>
      <c r="P2159" s="6" t="s">
        <v>41</v>
      </c>
      <c r="Q2159" s="6" t="s">
        <v>41</v>
      </c>
      <c r="R2159" s="6" t="s">
        <v>46</v>
      </c>
      <c r="S2159" s="6" t="s">
        <v>90</v>
      </c>
      <c r="T2159" s="6" t="s">
        <v>3121</v>
      </c>
      <c r="U2159" s="6" t="n">
        <v>400</v>
      </c>
      <c r="V2159" s="6" t="n">
        <v>4</v>
      </c>
      <c r="W2159" s="6" t="s">
        <v>3139</v>
      </c>
      <c r="X2159" s="6" t="s">
        <v>47</v>
      </c>
      <c r="Y2159" s="6" t="s">
        <v>153</v>
      </c>
      <c r="Z2159" s="6" t="s">
        <v>3123</v>
      </c>
      <c r="AA2159" s="6" t="s">
        <v>3124</v>
      </c>
      <c r="AB2159" s="6" t="s">
        <v>3125</v>
      </c>
      <c r="AC2159" s="6" t="s">
        <v>3126</v>
      </c>
      <c r="AD2159" s="6" t="s">
        <v>3127</v>
      </c>
      <c r="AE2159" s="6" t="s">
        <v>3140</v>
      </c>
      <c r="AF2159" s="6" t="s">
        <v>3141</v>
      </c>
    </row>
    <row r="2160" customFormat="false" ht="13.8" hidden="false" customHeight="false" outlineLevel="0" collapsed="false">
      <c r="A2160" s="6" t="s">
        <v>3113</v>
      </c>
      <c r="C2160" s="6" t="s">
        <v>3114</v>
      </c>
      <c r="D2160" s="6" t="s">
        <v>19</v>
      </c>
      <c r="E2160" s="6" t="s">
        <v>3115</v>
      </c>
      <c r="F2160" s="6" t="s">
        <v>3116</v>
      </c>
      <c r="G2160" s="6" t="s">
        <v>3117</v>
      </c>
      <c r="H2160" s="2" t="s">
        <v>91</v>
      </c>
      <c r="I2160" s="6" t="s">
        <v>3142</v>
      </c>
      <c r="J2160" s="6" t="s">
        <v>52</v>
      </c>
      <c r="K2160" s="6" t="s">
        <v>3143</v>
      </c>
      <c r="L2160" s="6" t="s">
        <v>46</v>
      </c>
      <c r="M2160" s="13" t="s">
        <v>3120</v>
      </c>
      <c r="N2160" s="6" t="s">
        <v>325</v>
      </c>
      <c r="O2160" s="6" t="s">
        <v>46</v>
      </c>
      <c r="P2160" s="6" t="s">
        <v>41</v>
      </c>
      <c r="Q2160" s="6" t="s">
        <v>41</v>
      </c>
      <c r="R2160" s="6" t="s">
        <v>46</v>
      </c>
      <c r="S2160" s="6" t="s">
        <v>3144</v>
      </c>
      <c r="T2160" s="6" t="s">
        <v>3145</v>
      </c>
      <c r="U2160" s="6" t="n">
        <v>400</v>
      </c>
      <c r="V2160" s="6" t="n">
        <v>1</v>
      </c>
      <c r="W2160" s="6" t="s">
        <v>3122</v>
      </c>
      <c r="X2160" s="6" t="s">
        <v>47</v>
      </c>
      <c r="Y2160" s="6" t="s">
        <v>153</v>
      </c>
      <c r="Z2160" s="6" t="s">
        <v>3123</v>
      </c>
      <c r="AA2160" s="6" t="s">
        <v>3124</v>
      </c>
      <c r="AB2160" s="6" t="s">
        <v>3125</v>
      </c>
      <c r="AC2160" s="6" t="s">
        <v>3126</v>
      </c>
      <c r="AD2160" s="6" t="s">
        <v>3127</v>
      </c>
      <c r="AE2160" s="6" t="s">
        <v>3146</v>
      </c>
      <c r="AF2160" s="6" t="s">
        <v>3147</v>
      </c>
    </row>
    <row r="2161" customFormat="false" ht="13.8" hidden="false" customHeight="false" outlineLevel="0" collapsed="false">
      <c r="A2161" s="6" t="s">
        <v>3113</v>
      </c>
      <c r="C2161" s="6" t="s">
        <v>3114</v>
      </c>
      <c r="D2161" s="6" t="s">
        <v>19</v>
      </c>
      <c r="E2161" s="6" t="s">
        <v>3115</v>
      </c>
      <c r="F2161" s="6" t="s">
        <v>3116</v>
      </c>
      <c r="G2161" s="6" t="s">
        <v>3117</v>
      </c>
      <c r="H2161" s="2" t="s">
        <v>101</v>
      </c>
      <c r="I2161" s="6" t="s">
        <v>3148</v>
      </c>
      <c r="J2161" s="6" t="s">
        <v>52</v>
      </c>
      <c r="K2161" s="6" t="s">
        <v>3143</v>
      </c>
      <c r="L2161" s="6" t="s">
        <v>46</v>
      </c>
      <c r="M2161" s="13" t="s">
        <v>3120</v>
      </c>
      <c r="N2161" s="6" t="s">
        <v>325</v>
      </c>
      <c r="O2161" s="6" t="s">
        <v>46</v>
      </c>
      <c r="P2161" s="6" t="s">
        <v>41</v>
      </c>
      <c r="Q2161" s="6" t="s">
        <v>41</v>
      </c>
      <c r="R2161" s="6" t="s">
        <v>46</v>
      </c>
      <c r="S2161" s="6" t="s">
        <v>3144</v>
      </c>
      <c r="T2161" s="6" t="s">
        <v>3145</v>
      </c>
      <c r="U2161" s="6" t="n">
        <v>400</v>
      </c>
      <c r="V2161" s="6" t="n">
        <v>2</v>
      </c>
      <c r="W2161" s="6" t="s">
        <v>3131</v>
      </c>
      <c r="X2161" s="6" t="s">
        <v>47</v>
      </c>
      <c r="Y2161" s="6" t="s">
        <v>153</v>
      </c>
      <c r="Z2161" s="6" t="s">
        <v>3123</v>
      </c>
      <c r="AA2161" s="6" t="s">
        <v>3124</v>
      </c>
      <c r="AB2161" s="6" t="s">
        <v>3125</v>
      </c>
      <c r="AC2161" s="6" t="s">
        <v>3126</v>
      </c>
      <c r="AD2161" s="6" t="s">
        <v>3127</v>
      </c>
      <c r="AE2161" s="6" t="s">
        <v>3149</v>
      </c>
      <c r="AF2161" s="6" t="s">
        <v>3150</v>
      </c>
    </row>
    <row r="2162" customFormat="false" ht="13.8" hidden="false" customHeight="false" outlineLevel="0" collapsed="false">
      <c r="A2162" s="6" t="s">
        <v>3113</v>
      </c>
      <c r="C2162" s="6" t="s">
        <v>3114</v>
      </c>
      <c r="D2162" s="6" t="s">
        <v>19</v>
      </c>
      <c r="E2162" s="6" t="s">
        <v>3115</v>
      </c>
      <c r="F2162" s="6" t="s">
        <v>3116</v>
      </c>
      <c r="G2162" s="6" t="s">
        <v>3117</v>
      </c>
      <c r="H2162" s="2" t="s">
        <v>139</v>
      </c>
      <c r="I2162" s="6" t="s">
        <v>3151</v>
      </c>
      <c r="J2162" s="6" t="s">
        <v>52</v>
      </c>
      <c r="K2162" s="6" t="s">
        <v>3143</v>
      </c>
      <c r="L2162" s="6" t="s">
        <v>46</v>
      </c>
      <c r="M2162" s="13" t="s">
        <v>3120</v>
      </c>
      <c r="N2162" s="6" t="s">
        <v>325</v>
      </c>
      <c r="O2162" s="6" t="s">
        <v>46</v>
      </c>
      <c r="P2162" s="6" t="s">
        <v>41</v>
      </c>
      <c r="Q2162" s="6" t="s">
        <v>41</v>
      </c>
      <c r="R2162" s="6" t="s">
        <v>46</v>
      </c>
      <c r="S2162" s="6" t="s">
        <v>3144</v>
      </c>
      <c r="T2162" s="6" t="s">
        <v>3145</v>
      </c>
      <c r="U2162" s="6" t="n">
        <v>400</v>
      </c>
      <c r="V2162" s="6" t="n">
        <v>3</v>
      </c>
      <c r="W2162" s="6" t="s">
        <v>3135</v>
      </c>
      <c r="X2162" s="6" t="s">
        <v>47</v>
      </c>
      <c r="Y2162" s="6" t="s">
        <v>153</v>
      </c>
      <c r="Z2162" s="6" t="s">
        <v>3123</v>
      </c>
      <c r="AA2162" s="6" t="s">
        <v>3124</v>
      </c>
      <c r="AB2162" s="6" t="s">
        <v>3125</v>
      </c>
      <c r="AC2162" s="6" t="s">
        <v>3126</v>
      </c>
      <c r="AD2162" s="6" t="s">
        <v>3127</v>
      </c>
      <c r="AE2162" s="6" t="s">
        <v>3152</v>
      </c>
      <c r="AF2162" s="6" t="s">
        <v>3153</v>
      </c>
    </row>
    <row r="2163" customFormat="false" ht="13.8" hidden="false" customHeight="false" outlineLevel="0" collapsed="false">
      <c r="A2163" s="6" t="s">
        <v>3113</v>
      </c>
      <c r="C2163" s="6" t="s">
        <v>3114</v>
      </c>
      <c r="D2163" s="6" t="s">
        <v>19</v>
      </c>
      <c r="E2163" s="6" t="s">
        <v>3115</v>
      </c>
      <c r="F2163" s="6" t="s">
        <v>3116</v>
      </c>
      <c r="G2163" s="6" t="s">
        <v>3117</v>
      </c>
      <c r="H2163" s="2" t="s">
        <v>142</v>
      </c>
      <c r="I2163" s="6" t="s">
        <v>3154</v>
      </c>
      <c r="J2163" s="6" t="s">
        <v>52</v>
      </c>
      <c r="K2163" s="6" t="s">
        <v>3143</v>
      </c>
      <c r="L2163" s="6" t="s">
        <v>46</v>
      </c>
      <c r="M2163" s="13" t="s">
        <v>3120</v>
      </c>
      <c r="N2163" s="6" t="s">
        <v>325</v>
      </c>
      <c r="O2163" s="6" t="s">
        <v>46</v>
      </c>
      <c r="P2163" s="6" t="s">
        <v>41</v>
      </c>
      <c r="Q2163" s="6" t="s">
        <v>41</v>
      </c>
      <c r="R2163" s="6" t="s">
        <v>46</v>
      </c>
      <c r="S2163" s="6" t="s">
        <v>3144</v>
      </c>
      <c r="T2163" s="6" t="s">
        <v>3145</v>
      </c>
      <c r="U2163" s="6" t="n">
        <v>400</v>
      </c>
      <c r="V2163" s="6" t="n">
        <v>4</v>
      </c>
      <c r="W2163" s="6" t="s">
        <v>3139</v>
      </c>
      <c r="X2163" s="6" t="s">
        <v>47</v>
      </c>
      <c r="Y2163" s="6" t="s">
        <v>153</v>
      </c>
      <c r="Z2163" s="6" t="s">
        <v>3123</v>
      </c>
      <c r="AA2163" s="6" t="s">
        <v>3124</v>
      </c>
      <c r="AB2163" s="6" t="s">
        <v>3125</v>
      </c>
      <c r="AC2163" s="6" t="s">
        <v>3126</v>
      </c>
      <c r="AD2163" s="6" t="s">
        <v>3127</v>
      </c>
      <c r="AE2163" s="6" t="s">
        <v>3155</v>
      </c>
      <c r="AF2163" s="6" t="s">
        <v>3156</v>
      </c>
    </row>
    <row r="2164" customFormat="false" ht="13.8" hidden="false" customHeight="false" outlineLevel="0" collapsed="false">
      <c r="A2164" s="6" t="s">
        <v>3113</v>
      </c>
      <c r="C2164" s="6" t="s">
        <v>3114</v>
      </c>
      <c r="D2164" s="6" t="s">
        <v>19</v>
      </c>
      <c r="E2164" s="6" t="s">
        <v>3115</v>
      </c>
      <c r="F2164" s="6" t="s">
        <v>3116</v>
      </c>
      <c r="G2164" s="6" t="s">
        <v>3117</v>
      </c>
      <c r="H2164" s="2" t="s">
        <v>37</v>
      </c>
      <c r="I2164" s="6" t="s">
        <v>3157</v>
      </c>
      <c r="J2164" s="6" t="s">
        <v>52</v>
      </c>
      <c r="K2164" s="6" t="s">
        <v>3158</v>
      </c>
      <c r="L2164" s="6" t="s">
        <v>46</v>
      </c>
      <c r="M2164" s="13" t="s">
        <v>3120</v>
      </c>
      <c r="N2164" s="6" t="s">
        <v>325</v>
      </c>
      <c r="O2164" s="6" t="s">
        <v>46</v>
      </c>
      <c r="P2164" s="6" t="s">
        <v>41</v>
      </c>
      <c r="Q2164" s="6" t="s">
        <v>41</v>
      </c>
      <c r="R2164" s="6" t="s">
        <v>46</v>
      </c>
      <c r="S2164" s="6" t="s">
        <v>90</v>
      </c>
      <c r="T2164" s="6" t="s">
        <v>3159</v>
      </c>
      <c r="U2164" s="6" t="n">
        <v>400</v>
      </c>
      <c r="V2164" s="6" t="n">
        <v>1</v>
      </c>
      <c r="W2164" s="6" t="s">
        <v>3122</v>
      </c>
      <c r="X2164" s="6" t="s">
        <v>47</v>
      </c>
      <c r="Y2164" s="6" t="s">
        <v>153</v>
      </c>
      <c r="Z2164" s="6" t="s">
        <v>3123</v>
      </c>
      <c r="AA2164" s="6" t="s">
        <v>3124</v>
      </c>
      <c r="AB2164" s="6" t="s">
        <v>3125</v>
      </c>
      <c r="AC2164" s="6" t="s">
        <v>3126</v>
      </c>
      <c r="AD2164" s="6" t="s">
        <v>3127</v>
      </c>
      <c r="AE2164" s="6" t="s">
        <v>3160</v>
      </c>
      <c r="AF2164" s="6" t="s">
        <v>3161</v>
      </c>
    </row>
    <row r="2165" customFormat="false" ht="13.8" hidden="false" customHeight="false" outlineLevel="0" collapsed="false">
      <c r="A2165" s="6" t="s">
        <v>3113</v>
      </c>
      <c r="C2165" s="6" t="s">
        <v>3114</v>
      </c>
      <c r="D2165" s="6" t="s">
        <v>19</v>
      </c>
      <c r="E2165" s="6" t="s">
        <v>3115</v>
      </c>
      <c r="F2165" s="6" t="s">
        <v>3116</v>
      </c>
      <c r="G2165" s="6" t="s">
        <v>3117</v>
      </c>
      <c r="H2165" s="2" t="s">
        <v>129</v>
      </c>
      <c r="I2165" s="6" t="s">
        <v>3162</v>
      </c>
      <c r="J2165" s="6" t="s">
        <v>52</v>
      </c>
      <c r="K2165" s="6" t="s">
        <v>3158</v>
      </c>
      <c r="L2165" s="6" t="s">
        <v>46</v>
      </c>
      <c r="M2165" s="13" t="s">
        <v>3120</v>
      </c>
      <c r="N2165" s="6" t="s">
        <v>325</v>
      </c>
      <c r="O2165" s="6" t="s">
        <v>46</v>
      </c>
      <c r="P2165" s="6" t="s">
        <v>41</v>
      </c>
      <c r="Q2165" s="6" t="s">
        <v>41</v>
      </c>
      <c r="R2165" s="6" t="s">
        <v>46</v>
      </c>
      <c r="S2165" s="6" t="s">
        <v>90</v>
      </c>
      <c r="T2165" s="6" t="s">
        <v>3159</v>
      </c>
      <c r="U2165" s="6" t="n">
        <v>400</v>
      </c>
      <c r="V2165" s="6" t="n">
        <v>2</v>
      </c>
      <c r="W2165" s="6" t="s">
        <v>3131</v>
      </c>
      <c r="X2165" s="6" t="s">
        <v>47</v>
      </c>
      <c r="Y2165" s="6" t="s">
        <v>153</v>
      </c>
      <c r="Z2165" s="6" t="s">
        <v>3123</v>
      </c>
      <c r="AA2165" s="6" t="s">
        <v>3124</v>
      </c>
      <c r="AB2165" s="6" t="s">
        <v>3125</v>
      </c>
      <c r="AC2165" s="6" t="s">
        <v>3126</v>
      </c>
      <c r="AD2165" s="6" t="s">
        <v>3127</v>
      </c>
      <c r="AE2165" s="6" t="s">
        <v>3163</v>
      </c>
      <c r="AF2165" s="6" t="s">
        <v>3164</v>
      </c>
    </row>
    <row r="2166" customFormat="false" ht="13.8" hidden="false" customHeight="false" outlineLevel="0" collapsed="false">
      <c r="A2166" s="6" t="s">
        <v>3113</v>
      </c>
      <c r="C2166" s="6" t="s">
        <v>3114</v>
      </c>
      <c r="D2166" s="6" t="s">
        <v>19</v>
      </c>
      <c r="E2166" s="6" t="s">
        <v>3115</v>
      </c>
      <c r="F2166" s="6" t="s">
        <v>3116</v>
      </c>
      <c r="G2166" s="6" t="s">
        <v>3117</v>
      </c>
      <c r="H2166" s="2" t="s">
        <v>132</v>
      </c>
      <c r="I2166" s="6" t="s">
        <v>3165</v>
      </c>
      <c r="J2166" s="6" t="s">
        <v>52</v>
      </c>
      <c r="K2166" s="6" t="s">
        <v>3158</v>
      </c>
      <c r="L2166" s="6" t="s">
        <v>46</v>
      </c>
      <c r="M2166" s="13" t="s">
        <v>3120</v>
      </c>
      <c r="N2166" s="6" t="s">
        <v>325</v>
      </c>
      <c r="O2166" s="6" t="s">
        <v>46</v>
      </c>
      <c r="P2166" s="6" t="s">
        <v>41</v>
      </c>
      <c r="Q2166" s="6" t="s">
        <v>41</v>
      </c>
      <c r="R2166" s="6" t="s">
        <v>46</v>
      </c>
      <c r="S2166" s="6" t="s">
        <v>90</v>
      </c>
      <c r="T2166" s="6" t="s">
        <v>3159</v>
      </c>
      <c r="U2166" s="6" t="n">
        <v>400</v>
      </c>
      <c r="V2166" s="6" t="n">
        <v>3</v>
      </c>
      <c r="W2166" s="6" t="s">
        <v>3135</v>
      </c>
      <c r="X2166" s="6" t="s">
        <v>47</v>
      </c>
      <c r="Y2166" s="6" t="s">
        <v>153</v>
      </c>
      <c r="Z2166" s="6" t="s">
        <v>3123</v>
      </c>
      <c r="AA2166" s="6" t="s">
        <v>3124</v>
      </c>
      <c r="AB2166" s="6" t="s">
        <v>3125</v>
      </c>
      <c r="AC2166" s="6" t="s">
        <v>3126</v>
      </c>
      <c r="AD2166" s="6" t="s">
        <v>3127</v>
      </c>
      <c r="AE2166" s="6" t="s">
        <v>3166</v>
      </c>
      <c r="AF2166" s="6" t="s">
        <v>3167</v>
      </c>
    </row>
    <row r="2167" customFormat="false" ht="13.8" hidden="false" customHeight="false" outlineLevel="0" collapsed="false">
      <c r="A2167" s="6" t="s">
        <v>3113</v>
      </c>
      <c r="C2167" s="6" t="s">
        <v>3114</v>
      </c>
      <c r="D2167" s="6" t="s">
        <v>19</v>
      </c>
      <c r="E2167" s="6" t="s">
        <v>3115</v>
      </c>
      <c r="F2167" s="6" t="s">
        <v>3116</v>
      </c>
      <c r="G2167" s="6" t="s">
        <v>3117</v>
      </c>
      <c r="H2167" s="2" t="s">
        <v>51</v>
      </c>
      <c r="I2167" s="6" t="s">
        <v>3168</v>
      </c>
      <c r="J2167" s="6" t="s">
        <v>52</v>
      </c>
      <c r="K2167" s="6" t="s">
        <v>3158</v>
      </c>
      <c r="L2167" s="6" t="s">
        <v>46</v>
      </c>
      <c r="M2167" s="13" t="s">
        <v>3120</v>
      </c>
      <c r="N2167" s="6" t="s">
        <v>325</v>
      </c>
      <c r="O2167" s="6" t="s">
        <v>46</v>
      </c>
      <c r="P2167" s="6" t="s">
        <v>41</v>
      </c>
      <c r="Q2167" s="6" t="s">
        <v>41</v>
      </c>
      <c r="R2167" s="6" t="s">
        <v>46</v>
      </c>
      <c r="S2167" s="6" t="s">
        <v>90</v>
      </c>
      <c r="T2167" s="6" t="s">
        <v>3159</v>
      </c>
      <c r="U2167" s="6" t="n">
        <v>400</v>
      </c>
      <c r="V2167" s="6" t="n">
        <v>4</v>
      </c>
      <c r="W2167" s="6" t="s">
        <v>3139</v>
      </c>
      <c r="X2167" s="6" t="s">
        <v>47</v>
      </c>
      <c r="Y2167" s="6" t="s">
        <v>153</v>
      </c>
      <c r="Z2167" s="6" t="s">
        <v>3123</v>
      </c>
      <c r="AA2167" s="6" t="s">
        <v>3124</v>
      </c>
      <c r="AB2167" s="6" t="s">
        <v>3125</v>
      </c>
      <c r="AC2167" s="6" t="s">
        <v>3126</v>
      </c>
      <c r="AD2167" s="6" t="s">
        <v>3127</v>
      </c>
      <c r="AE2167" s="6" t="s">
        <v>3169</v>
      </c>
      <c r="AF2167" s="6" t="s">
        <v>3170</v>
      </c>
    </row>
    <row r="2168" customFormat="false" ht="13.8" hidden="false" customHeight="false" outlineLevel="0" collapsed="false">
      <c r="A2168" s="6" t="s">
        <v>3113</v>
      </c>
      <c r="C2168" s="6" t="s">
        <v>3114</v>
      </c>
      <c r="D2168" s="6" t="s">
        <v>19</v>
      </c>
      <c r="E2168" s="6" t="s">
        <v>3115</v>
      </c>
      <c r="F2168" s="6" t="s">
        <v>3116</v>
      </c>
      <c r="G2168" s="6" t="s">
        <v>3117</v>
      </c>
      <c r="H2168" s="2" t="s">
        <v>56</v>
      </c>
      <c r="I2168" s="6" t="s">
        <v>3171</v>
      </c>
      <c r="J2168" s="6" t="s">
        <v>52</v>
      </c>
      <c r="K2168" s="6" t="s">
        <v>3172</v>
      </c>
      <c r="L2168" s="6" t="s">
        <v>46</v>
      </c>
      <c r="M2168" s="13" t="s">
        <v>3120</v>
      </c>
      <c r="N2168" s="6" t="s">
        <v>325</v>
      </c>
      <c r="O2168" s="6" t="s">
        <v>46</v>
      </c>
      <c r="P2168" s="6" t="s">
        <v>41</v>
      </c>
      <c r="Q2168" s="6" t="s">
        <v>41</v>
      </c>
      <c r="R2168" s="6" t="s">
        <v>46</v>
      </c>
      <c r="S2168" s="6" t="s">
        <v>3144</v>
      </c>
      <c r="T2168" s="6" t="s">
        <v>3173</v>
      </c>
      <c r="U2168" s="6" t="n">
        <v>400</v>
      </c>
      <c r="V2168" s="6" t="n">
        <v>1</v>
      </c>
      <c r="W2168" s="6" t="s">
        <v>3122</v>
      </c>
      <c r="X2168" s="6" t="s">
        <v>47</v>
      </c>
      <c r="Y2168" s="6" t="s">
        <v>153</v>
      </c>
      <c r="Z2168" s="6" t="s">
        <v>3123</v>
      </c>
      <c r="AA2168" s="6" t="s">
        <v>3124</v>
      </c>
      <c r="AB2168" s="6" t="s">
        <v>3125</v>
      </c>
      <c r="AC2168" s="6" t="s">
        <v>3126</v>
      </c>
      <c r="AD2168" s="6" t="s">
        <v>3127</v>
      </c>
      <c r="AE2168" s="6" t="s">
        <v>3174</v>
      </c>
      <c r="AF2168" s="6" t="s">
        <v>3175</v>
      </c>
    </row>
    <row r="2169" customFormat="false" ht="13.8" hidden="false" customHeight="false" outlineLevel="0" collapsed="false">
      <c r="A2169" s="6" t="s">
        <v>3113</v>
      </c>
      <c r="C2169" s="6" t="s">
        <v>3114</v>
      </c>
      <c r="D2169" s="6" t="s">
        <v>19</v>
      </c>
      <c r="E2169" s="6" t="s">
        <v>3115</v>
      </c>
      <c r="F2169" s="6" t="s">
        <v>3116</v>
      </c>
      <c r="G2169" s="6" t="s">
        <v>3117</v>
      </c>
      <c r="H2169" s="2" t="s">
        <v>58</v>
      </c>
      <c r="I2169" s="6" t="s">
        <v>3176</v>
      </c>
      <c r="J2169" s="6" t="s">
        <v>52</v>
      </c>
      <c r="K2169" s="6" t="s">
        <v>3172</v>
      </c>
      <c r="L2169" s="6" t="s">
        <v>46</v>
      </c>
      <c r="M2169" s="13" t="s">
        <v>3120</v>
      </c>
      <c r="N2169" s="6" t="s">
        <v>325</v>
      </c>
      <c r="O2169" s="6" t="s">
        <v>46</v>
      </c>
      <c r="P2169" s="6" t="s">
        <v>41</v>
      </c>
      <c r="Q2169" s="6" t="s">
        <v>41</v>
      </c>
      <c r="R2169" s="6" t="s">
        <v>46</v>
      </c>
      <c r="S2169" s="6" t="s">
        <v>3144</v>
      </c>
      <c r="T2169" s="6" t="s">
        <v>3173</v>
      </c>
      <c r="U2169" s="6" t="n">
        <v>400</v>
      </c>
      <c r="V2169" s="6" t="n">
        <v>2</v>
      </c>
      <c r="W2169" s="6" t="s">
        <v>3131</v>
      </c>
      <c r="X2169" s="6" t="s">
        <v>47</v>
      </c>
      <c r="Y2169" s="6" t="s">
        <v>153</v>
      </c>
      <c r="Z2169" s="6" t="s">
        <v>3123</v>
      </c>
      <c r="AA2169" s="6" t="s">
        <v>3124</v>
      </c>
      <c r="AB2169" s="6" t="s">
        <v>3125</v>
      </c>
      <c r="AC2169" s="6" t="s">
        <v>3126</v>
      </c>
      <c r="AD2169" s="6" t="s">
        <v>3127</v>
      </c>
      <c r="AE2169" s="6" t="s">
        <v>3177</v>
      </c>
      <c r="AF2169" s="6" t="s">
        <v>3178</v>
      </c>
    </row>
    <row r="2170" customFormat="false" ht="13.8" hidden="false" customHeight="false" outlineLevel="0" collapsed="false">
      <c r="A2170" s="6" t="s">
        <v>3113</v>
      </c>
      <c r="C2170" s="6" t="s">
        <v>3114</v>
      </c>
      <c r="D2170" s="6" t="s">
        <v>19</v>
      </c>
      <c r="E2170" s="6" t="s">
        <v>3115</v>
      </c>
      <c r="F2170" s="6" t="s">
        <v>3116</v>
      </c>
      <c r="G2170" s="6" t="s">
        <v>3117</v>
      </c>
      <c r="H2170" s="2" t="s">
        <v>172</v>
      </c>
      <c r="I2170" s="6" t="s">
        <v>3179</v>
      </c>
      <c r="J2170" s="6" t="s">
        <v>52</v>
      </c>
      <c r="K2170" s="6" t="s">
        <v>3172</v>
      </c>
      <c r="L2170" s="6" t="s">
        <v>46</v>
      </c>
      <c r="M2170" s="13" t="s">
        <v>3120</v>
      </c>
      <c r="N2170" s="6" t="s">
        <v>325</v>
      </c>
      <c r="O2170" s="6" t="s">
        <v>46</v>
      </c>
      <c r="P2170" s="6" t="s">
        <v>41</v>
      </c>
      <c r="Q2170" s="6" t="s">
        <v>41</v>
      </c>
      <c r="R2170" s="6" t="s">
        <v>46</v>
      </c>
      <c r="S2170" s="6" t="s">
        <v>3144</v>
      </c>
      <c r="T2170" s="6" t="s">
        <v>3173</v>
      </c>
      <c r="U2170" s="6" t="n">
        <v>400</v>
      </c>
      <c r="V2170" s="6" t="n">
        <v>3</v>
      </c>
      <c r="W2170" s="6" t="s">
        <v>3135</v>
      </c>
      <c r="X2170" s="6" t="s">
        <v>47</v>
      </c>
      <c r="Y2170" s="6" t="s">
        <v>153</v>
      </c>
      <c r="Z2170" s="6" t="s">
        <v>3123</v>
      </c>
      <c r="AA2170" s="6" t="s">
        <v>3124</v>
      </c>
      <c r="AB2170" s="6" t="s">
        <v>3125</v>
      </c>
      <c r="AC2170" s="6" t="s">
        <v>3126</v>
      </c>
      <c r="AD2170" s="6" t="s">
        <v>3127</v>
      </c>
      <c r="AE2170" s="6" t="s">
        <v>3180</v>
      </c>
      <c r="AF2170" s="6" t="s">
        <v>3181</v>
      </c>
    </row>
    <row r="2171" customFormat="false" ht="13.8" hidden="false" customHeight="false" outlineLevel="0" collapsed="false">
      <c r="A2171" s="6" t="s">
        <v>3113</v>
      </c>
      <c r="C2171" s="6" t="s">
        <v>3114</v>
      </c>
      <c r="D2171" s="6" t="s">
        <v>19</v>
      </c>
      <c r="E2171" s="6" t="s">
        <v>3115</v>
      </c>
      <c r="F2171" s="6" t="s">
        <v>3116</v>
      </c>
      <c r="G2171" s="6" t="s">
        <v>3117</v>
      </c>
      <c r="H2171" s="2" t="s">
        <v>60</v>
      </c>
      <c r="I2171" s="6" t="s">
        <v>3182</v>
      </c>
      <c r="J2171" s="6" t="s">
        <v>52</v>
      </c>
      <c r="K2171" s="6" t="s">
        <v>3172</v>
      </c>
      <c r="L2171" s="6" t="s">
        <v>46</v>
      </c>
      <c r="M2171" s="13" t="s">
        <v>3120</v>
      </c>
      <c r="N2171" s="6" t="s">
        <v>325</v>
      </c>
      <c r="O2171" s="6" t="s">
        <v>46</v>
      </c>
      <c r="P2171" s="6" t="s">
        <v>41</v>
      </c>
      <c r="Q2171" s="6" t="s">
        <v>41</v>
      </c>
      <c r="R2171" s="6" t="s">
        <v>46</v>
      </c>
      <c r="S2171" s="6" t="s">
        <v>3144</v>
      </c>
      <c r="T2171" s="6" t="s">
        <v>3173</v>
      </c>
      <c r="U2171" s="6" t="n">
        <v>400</v>
      </c>
      <c r="V2171" s="6" t="n">
        <v>4</v>
      </c>
      <c r="W2171" s="6" t="s">
        <v>3139</v>
      </c>
      <c r="X2171" s="6" t="s">
        <v>47</v>
      </c>
      <c r="Y2171" s="6" t="s">
        <v>153</v>
      </c>
      <c r="Z2171" s="6" t="s">
        <v>3123</v>
      </c>
      <c r="AA2171" s="6" t="s">
        <v>3124</v>
      </c>
      <c r="AB2171" s="6" t="s">
        <v>3125</v>
      </c>
      <c r="AC2171" s="6" t="s">
        <v>3126</v>
      </c>
      <c r="AD2171" s="6" t="s">
        <v>3127</v>
      </c>
      <c r="AE2171" s="6" t="s">
        <v>3183</v>
      </c>
      <c r="AF2171" s="6" t="s">
        <v>3184</v>
      </c>
    </row>
    <row r="2172" customFormat="false" ht="13.8" hidden="false" customHeight="false" outlineLevel="0" collapsed="false">
      <c r="A2172" s="6" t="s">
        <v>3113</v>
      </c>
      <c r="C2172" s="6" t="s">
        <v>3114</v>
      </c>
      <c r="D2172" s="6" t="s">
        <v>19</v>
      </c>
      <c r="E2172" s="6" t="s">
        <v>3115</v>
      </c>
      <c r="F2172" s="6" t="s">
        <v>3116</v>
      </c>
      <c r="G2172" s="6" t="s">
        <v>3117</v>
      </c>
      <c r="H2172" s="2" t="s">
        <v>227</v>
      </c>
      <c r="I2172" s="6" t="s">
        <v>3185</v>
      </c>
      <c r="J2172" s="6" t="s">
        <v>38</v>
      </c>
      <c r="K2172" s="6" t="s">
        <v>3186</v>
      </c>
      <c r="L2172" s="6" t="s">
        <v>46</v>
      </c>
      <c r="M2172" s="13" t="s">
        <v>3120</v>
      </c>
      <c r="N2172" s="6" t="s">
        <v>41</v>
      </c>
      <c r="O2172" s="6" t="s">
        <v>42</v>
      </c>
      <c r="P2172" s="6" t="s">
        <v>43</v>
      </c>
      <c r="Q2172" s="6" t="s">
        <v>43</v>
      </c>
      <c r="R2172" s="6" t="s">
        <v>44</v>
      </c>
      <c r="S2172" s="6" t="s">
        <v>3144</v>
      </c>
      <c r="T2172" s="6" t="s">
        <v>3187</v>
      </c>
      <c r="U2172" s="6" t="n">
        <v>400</v>
      </c>
      <c r="V2172" s="6" t="n">
        <v>1</v>
      </c>
      <c r="W2172" s="6" t="s">
        <v>46</v>
      </c>
      <c r="X2172" s="6" t="s">
        <v>47</v>
      </c>
      <c r="Y2172" s="6" t="s">
        <v>153</v>
      </c>
      <c r="Z2172" s="6" t="s">
        <v>3123</v>
      </c>
      <c r="AA2172" s="6" t="s">
        <v>3124</v>
      </c>
      <c r="AB2172" s="6" t="s">
        <v>3125</v>
      </c>
      <c r="AC2172" s="6" t="s">
        <v>3126</v>
      </c>
      <c r="AD2172" s="6" t="s">
        <v>3127</v>
      </c>
      <c r="AE2172" s="6" t="s">
        <v>3188</v>
      </c>
      <c r="AF2172" s="6" t="s">
        <v>3189</v>
      </c>
    </row>
    <row r="2173" customFormat="false" ht="13.8" hidden="false" customHeight="false" outlineLevel="0" collapsed="false">
      <c r="A2173" s="6" t="s">
        <v>3113</v>
      </c>
      <c r="C2173" s="6" t="s">
        <v>3114</v>
      </c>
      <c r="D2173" s="6" t="s">
        <v>19</v>
      </c>
      <c r="E2173" s="6" t="s">
        <v>3115</v>
      </c>
      <c r="F2173" s="6" t="s">
        <v>3116</v>
      </c>
      <c r="G2173" s="6" t="s">
        <v>3117</v>
      </c>
      <c r="H2173" s="2" t="s">
        <v>230</v>
      </c>
      <c r="I2173" s="6" t="s">
        <v>3190</v>
      </c>
      <c r="J2173" s="6" t="s">
        <v>38</v>
      </c>
      <c r="K2173" s="6" t="s">
        <v>3186</v>
      </c>
      <c r="L2173" s="6" t="s">
        <v>46</v>
      </c>
      <c r="M2173" s="13" t="s">
        <v>3120</v>
      </c>
      <c r="N2173" s="6" t="s">
        <v>41</v>
      </c>
      <c r="O2173" s="6" t="s">
        <v>42</v>
      </c>
      <c r="P2173" s="6" t="s">
        <v>43</v>
      </c>
      <c r="Q2173" s="6" t="s">
        <v>43</v>
      </c>
      <c r="R2173" s="6" t="s">
        <v>44</v>
      </c>
      <c r="S2173" s="6" t="s">
        <v>3144</v>
      </c>
      <c r="T2173" s="6" t="s">
        <v>3187</v>
      </c>
      <c r="U2173" s="6" t="n">
        <v>400</v>
      </c>
      <c r="V2173" s="6" t="n">
        <v>2</v>
      </c>
      <c r="W2173" s="6" t="s">
        <v>46</v>
      </c>
      <c r="X2173" s="6" t="s">
        <v>47</v>
      </c>
      <c r="Y2173" s="6" t="s">
        <v>153</v>
      </c>
      <c r="Z2173" s="6" t="s">
        <v>3123</v>
      </c>
      <c r="AA2173" s="6" t="s">
        <v>3124</v>
      </c>
      <c r="AB2173" s="6" t="s">
        <v>3125</v>
      </c>
      <c r="AC2173" s="6" t="s">
        <v>3126</v>
      </c>
      <c r="AD2173" s="6" t="s">
        <v>3127</v>
      </c>
      <c r="AE2173" s="6" t="s">
        <v>3191</v>
      </c>
      <c r="AF2173" s="6" t="s">
        <v>3192</v>
      </c>
    </row>
    <row r="2174" customFormat="false" ht="13.8" hidden="false" customHeight="false" outlineLevel="0" collapsed="false">
      <c r="A2174" s="6" t="s">
        <v>3113</v>
      </c>
      <c r="C2174" s="6" t="s">
        <v>3114</v>
      </c>
      <c r="D2174" s="6" t="s">
        <v>19</v>
      </c>
      <c r="E2174" s="6" t="s">
        <v>3115</v>
      </c>
      <c r="F2174" s="6" t="s">
        <v>3116</v>
      </c>
      <c r="G2174" s="6" t="s">
        <v>3117</v>
      </c>
      <c r="H2174" s="2" t="s">
        <v>62</v>
      </c>
      <c r="I2174" s="6" t="s">
        <v>3193</v>
      </c>
      <c r="J2174" s="6" t="s">
        <v>38</v>
      </c>
      <c r="K2174" s="6" t="s">
        <v>3186</v>
      </c>
      <c r="L2174" s="6" t="s">
        <v>46</v>
      </c>
      <c r="M2174" s="13" t="s">
        <v>3120</v>
      </c>
      <c r="N2174" s="6" t="s">
        <v>41</v>
      </c>
      <c r="O2174" s="6" t="s">
        <v>42</v>
      </c>
      <c r="P2174" s="6" t="s">
        <v>43</v>
      </c>
      <c r="Q2174" s="6" t="s">
        <v>43</v>
      </c>
      <c r="R2174" s="6" t="s">
        <v>44</v>
      </c>
      <c r="S2174" s="6" t="s">
        <v>3144</v>
      </c>
      <c r="T2174" s="6" t="s">
        <v>3187</v>
      </c>
      <c r="U2174" s="6" t="n">
        <v>400</v>
      </c>
      <c r="V2174" s="6" t="n">
        <v>3</v>
      </c>
      <c r="W2174" s="6" t="s">
        <v>46</v>
      </c>
      <c r="X2174" s="6" t="s">
        <v>47</v>
      </c>
      <c r="Y2174" s="6" t="s">
        <v>153</v>
      </c>
      <c r="Z2174" s="6" t="s">
        <v>3123</v>
      </c>
      <c r="AA2174" s="6" t="s">
        <v>3124</v>
      </c>
      <c r="AB2174" s="6" t="s">
        <v>3125</v>
      </c>
      <c r="AC2174" s="6" t="s">
        <v>3126</v>
      </c>
      <c r="AD2174" s="6" t="s">
        <v>3127</v>
      </c>
      <c r="AE2174" s="6" t="s">
        <v>3194</v>
      </c>
      <c r="AF2174" s="6" t="s">
        <v>3195</v>
      </c>
    </row>
    <row r="2175" customFormat="false" ht="13.8" hidden="false" customHeight="false" outlineLevel="0" collapsed="false">
      <c r="A2175" s="6" t="s">
        <v>3113</v>
      </c>
      <c r="C2175" s="6" t="s">
        <v>3114</v>
      </c>
      <c r="D2175" s="6" t="s">
        <v>19</v>
      </c>
      <c r="E2175" s="6" t="s">
        <v>3115</v>
      </c>
      <c r="F2175" s="6" t="s">
        <v>3116</v>
      </c>
      <c r="G2175" s="6" t="s">
        <v>3117</v>
      </c>
      <c r="H2175" s="2" t="s">
        <v>288</v>
      </c>
      <c r="I2175" s="6" t="s">
        <v>3196</v>
      </c>
      <c r="J2175" s="6" t="s">
        <v>52</v>
      </c>
      <c r="K2175" s="6" t="s">
        <v>3197</v>
      </c>
      <c r="L2175" s="6" t="s">
        <v>46</v>
      </c>
      <c r="M2175" s="13" t="s">
        <v>3120</v>
      </c>
      <c r="N2175" s="6" t="s">
        <v>41</v>
      </c>
      <c r="O2175" s="6" t="s">
        <v>42</v>
      </c>
      <c r="P2175" s="6" t="s">
        <v>43</v>
      </c>
      <c r="Q2175" s="6" t="s">
        <v>43</v>
      </c>
      <c r="R2175" s="6" t="s">
        <v>44</v>
      </c>
      <c r="S2175" s="6" t="s">
        <v>3144</v>
      </c>
      <c r="T2175" s="6" t="s">
        <v>3198</v>
      </c>
      <c r="U2175" s="6" t="n">
        <v>400</v>
      </c>
      <c r="V2175" s="6" t="n">
        <v>1</v>
      </c>
      <c r="W2175" s="6" t="s">
        <v>46</v>
      </c>
      <c r="X2175" s="6" t="s">
        <v>47</v>
      </c>
      <c r="Y2175" s="6" t="s">
        <v>153</v>
      </c>
      <c r="Z2175" s="6" t="s">
        <v>3123</v>
      </c>
      <c r="AA2175" s="6" t="s">
        <v>3124</v>
      </c>
      <c r="AB2175" s="6" t="s">
        <v>3125</v>
      </c>
      <c r="AC2175" s="6" t="s">
        <v>3126</v>
      </c>
      <c r="AD2175" s="6" t="s">
        <v>3127</v>
      </c>
      <c r="AE2175" s="6" t="s">
        <v>3199</v>
      </c>
      <c r="AF2175" s="6" t="s">
        <v>3200</v>
      </c>
    </row>
    <row r="2176" customFormat="false" ht="13.8" hidden="false" customHeight="false" outlineLevel="0" collapsed="false">
      <c r="A2176" s="6" t="s">
        <v>3113</v>
      </c>
      <c r="C2176" s="6" t="s">
        <v>3114</v>
      </c>
      <c r="D2176" s="6" t="s">
        <v>19</v>
      </c>
      <c r="E2176" s="6" t="s">
        <v>3115</v>
      </c>
      <c r="F2176" s="6" t="s">
        <v>3116</v>
      </c>
      <c r="G2176" s="6" t="s">
        <v>3117</v>
      </c>
      <c r="H2176" s="2" t="s">
        <v>235</v>
      </c>
      <c r="I2176" s="6" t="s">
        <v>3201</v>
      </c>
      <c r="J2176" s="6" t="s">
        <v>52</v>
      </c>
      <c r="K2176" s="6" t="s">
        <v>3197</v>
      </c>
      <c r="L2176" s="6" t="s">
        <v>46</v>
      </c>
      <c r="M2176" s="13" t="s">
        <v>3120</v>
      </c>
      <c r="N2176" s="6" t="s">
        <v>41</v>
      </c>
      <c r="O2176" s="6" t="s">
        <v>42</v>
      </c>
      <c r="P2176" s="6" t="s">
        <v>43</v>
      </c>
      <c r="Q2176" s="6" t="s">
        <v>43</v>
      </c>
      <c r="R2176" s="6" t="s">
        <v>44</v>
      </c>
      <c r="S2176" s="6" t="s">
        <v>3144</v>
      </c>
      <c r="T2176" s="6" t="s">
        <v>3198</v>
      </c>
      <c r="U2176" s="6" t="n">
        <v>400</v>
      </c>
      <c r="V2176" s="6" t="n">
        <v>2</v>
      </c>
      <c r="W2176" s="6" t="s">
        <v>46</v>
      </c>
      <c r="X2176" s="6" t="s">
        <v>47</v>
      </c>
      <c r="Y2176" s="6" t="s">
        <v>153</v>
      </c>
      <c r="Z2176" s="6" t="s">
        <v>3123</v>
      </c>
      <c r="AA2176" s="6" t="s">
        <v>3124</v>
      </c>
      <c r="AB2176" s="6" t="s">
        <v>3125</v>
      </c>
      <c r="AC2176" s="6" t="s">
        <v>3126</v>
      </c>
      <c r="AD2176" s="6" t="s">
        <v>3127</v>
      </c>
      <c r="AE2176" s="6" t="s">
        <v>3202</v>
      </c>
      <c r="AF2176" s="6" t="s">
        <v>3203</v>
      </c>
    </row>
    <row r="2177" customFormat="false" ht="13.8" hidden="false" customHeight="false" outlineLevel="0" collapsed="false">
      <c r="A2177" s="6" t="s">
        <v>3113</v>
      </c>
      <c r="C2177" s="6" t="s">
        <v>3114</v>
      </c>
      <c r="D2177" s="6" t="s">
        <v>19</v>
      </c>
      <c r="E2177" s="6" t="s">
        <v>3115</v>
      </c>
      <c r="F2177" s="6" t="s">
        <v>3116</v>
      </c>
      <c r="G2177" s="6" t="s">
        <v>3117</v>
      </c>
      <c r="H2177" s="2" t="s">
        <v>237</v>
      </c>
      <c r="I2177" s="6" t="s">
        <v>3204</v>
      </c>
      <c r="J2177" s="6" t="s">
        <v>52</v>
      </c>
      <c r="K2177" s="6" t="s">
        <v>3197</v>
      </c>
      <c r="L2177" s="6" t="s">
        <v>46</v>
      </c>
      <c r="M2177" s="13" t="s">
        <v>3120</v>
      </c>
      <c r="N2177" s="6" t="s">
        <v>41</v>
      </c>
      <c r="O2177" s="6" t="s">
        <v>42</v>
      </c>
      <c r="P2177" s="6" t="s">
        <v>43</v>
      </c>
      <c r="Q2177" s="6" t="s">
        <v>43</v>
      </c>
      <c r="R2177" s="6" t="s">
        <v>44</v>
      </c>
      <c r="S2177" s="6" t="s">
        <v>3144</v>
      </c>
      <c r="T2177" s="6" t="s">
        <v>3198</v>
      </c>
      <c r="U2177" s="6" t="n">
        <v>400</v>
      </c>
      <c r="V2177" s="6" t="n">
        <v>3</v>
      </c>
      <c r="W2177" s="6" t="s">
        <v>46</v>
      </c>
      <c r="X2177" s="6" t="s">
        <v>47</v>
      </c>
      <c r="Y2177" s="6" t="s">
        <v>153</v>
      </c>
      <c r="Z2177" s="6" t="s">
        <v>3123</v>
      </c>
      <c r="AA2177" s="6" t="s">
        <v>3124</v>
      </c>
      <c r="AB2177" s="6" t="s">
        <v>3125</v>
      </c>
      <c r="AC2177" s="6" t="s">
        <v>3126</v>
      </c>
      <c r="AD2177" s="6" t="s">
        <v>3127</v>
      </c>
      <c r="AE2177" s="6" t="s">
        <v>3205</v>
      </c>
      <c r="AF2177" s="6" t="s">
        <v>3206</v>
      </c>
    </row>
    <row r="2178" customFormat="false" ht="13.8" hidden="false" customHeight="false" outlineLevel="0" collapsed="false">
      <c r="A2178" s="6" t="s">
        <v>3113</v>
      </c>
      <c r="C2178" s="6" t="s">
        <v>3114</v>
      </c>
      <c r="D2178" s="6" t="s">
        <v>19</v>
      </c>
      <c r="E2178" s="6" t="s">
        <v>3115</v>
      </c>
      <c r="F2178" s="6" t="s">
        <v>3116</v>
      </c>
      <c r="G2178" s="6" t="s">
        <v>3117</v>
      </c>
      <c r="H2178" s="2" t="s">
        <v>68</v>
      </c>
      <c r="I2178" s="6" t="s">
        <v>3207</v>
      </c>
      <c r="J2178" s="6" t="s">
        <v>52</v>
      </c>
      <c r="K2178" s="6" t="s">
        <v>3208</v>
      </c>
      <c r="L2178" s="6" t="s">
        <v>46</v>
      </c>
      <c r="M2178" s="13" t="s">
        <v>46</v>
      </c>
      <c r="N2178" s="6" t="s">
        <v>1935</v>
      </c>
      <c r="O2178" s="6" t="s">
        <v>46</v>
      </c>
      <c r="P2178" s="6" t="s">
        <v>46</v>
      </c>
      <c r="Q2178" s="6" t="s">
        <v>46</v>
      </c>
      <c r="R2178" s="6" t="s">
        <v>46</v>
      </c>
      <c r="S2178" s="6" t="s">
        <v>46</v>
      </c>
      <c r="T2178" s="6" t="s">
        <v>46</v>
      </c>
      <c r="U2178" s="6" t="s">
        <v>46</v>
      </c>
      <c r="V2178" s="6" t="n">
        <v>1</v>
      </c>
      <c r="W2178" s="6" t="s">
        <v>46</v>
      </c>
      <c r="X2178" s="6" t="s">
        <v>2740</v>
      </c>
      <c r="Y2178" s="6" t="s">
        <v>153</v>
      </c>
      <c r="Z2178" s="6" t="s">
        <v>3123</v>
      </c>
      <c r="AA2178" s="6" t="s">
        <v>3124</v>
      </c>
      <c r="AB2178" s="6" t="s">
        <v>3125</v>
      </c>
      <c r="AC2178" s="6" t="s">
        <v>3126</v>
      </c>
      <c r="AD2178" s="6" t="s">
        <v>3127</v>
      </c>
      <c r="AE2178" s="6" t="s">
        <v>3209</v>
      </c>
      <c r="AF2178" s="6" t="s">
        <v>3210</v>
      </c>
    </row>
    <row r="2179" customFormat="false" ht="13.8" hidden="false" customHeight="false" outlineLevel="0" collapsed="false">
      <c r="A2179" s="6" t="s">
        <v>3113</v>
      </c>
      <c r="C2179" s="6" t="s">
        <v>3114</v>
      </c>
      <c r="D2179" s="6" t="s">
        <v>19</v>
      </c>
      <c r="E2179" s="6" t="s">
        <v>3115</v>
      </c>
      <c r="F2179" s="6" t="s">
        <v>3116</v>
      </c>
      <c r="G2179" s="6" t="s">
        <v>3117</v>
      </c>
      <c r="H2179" s="2" t="s">
        <v>75</v>
      </c>
      <c r="I2179" s="6" t="s">
        <v>3211</v>
      </c>
      <c r="J2179" s="6" t="s">
        <v>52</v>
      </c>
      <c r="K2179" s="6" t="s">
        <v>3212</v>
      </c>
      <c r="L2179" s="6" t="s">
        <v>46</v>
      </c>
      <c r="M2179" s="13" t="s">
        <v>46</v>
      </c>
      <c r="N2179" s="6" t="s">
        <v>1935</v>
      </c>
      <c r="O2179" s="6" t="s">
        <v>46</v>
      </c>
      <c r="P2179" s="6" t="s">
        <v>46</v>
      </c>
      <c r="Q2179" s="6" t="s">
        <v>46</v>
      </c>
      <c r="R2179" s="6" t="s">
        <v>46</v>
      </c>
      <c r="S2179" s="6" t="s">
        <v>46</v>
      </c>
      <c r="T2179" s="6" t="s">
        <v>46</v>
      </c>
      <c r="U2179" s="6" t="s">
        <v>46</v>
      </c>
      <c r="V2179" s="6" t="n">
        <v>2</v>
      </c>
      <c r="W2179" s="6" t="s">
        <v>46</v>
      </c>
      <c r="X2179" s="6" t="s">
        <v>2740</v>
      </c>
      <c r="Y2179" s="6" t="s">
        <v>153</v>
      </c>
      <c r="Z2179" s="6" t="s">
        <v>3123</v>
      </c>
      <c r="AA2179" s="6" t="s">
        <v>3124</v>
      </c>
      <c r="AB2179" s="6" t="s">
        <v>3125</v>
      </c>
      <c r="AC2179" s="6" t="s">
        <v>3126</v>
      </c>
      <c r="AD2179" s="6" t="s">
        <v>3127</v>
      </c>
      <c r="AE2179" s="6" t="s">
        <v>3213</v>
      </c>
      <c r="AF2179" s="6" t="s">
        <v>3214</v>
      </c>
    </row>
    <row r="2180" customFormat="false" ht="13.8" hidden="false" customHeight="false" outlineLevel="0" collapsed="false">
      <c r="A2180" s="6" t="s">
        <v>3113</v>
      </c>
      <c r="C2180" s="6" t="s">
        <v>3114</v>
      </c>
      <c r="D2180" s="6" t="s">
        <v>19</v>
      </c>
      <c r="E2180" s="6" t="s">
        <v>3115</v>
      </c>
      <c r="F2180" s="6" t="s">
        <v>3116</v>
      </c>
      <c r="G2180" s="6" t="s">
        <v>3117</v>
      </c>
      <c r="H2180" s="2" t="s">
        <v>76</v>
      </c>
      <c r="I2180" s="6" t="s">
        <v>3215</v>
      </c>
      <c r="J2180" s="6" t="s">
        <v>52</v>
      </c>
      <c r="K2180" s="6" t="s">
        <v>3216</v>
      </c>
      <c r="L2180" s="6" t="s">
        <v>46</v>
      </c>
      <c r="M2180" s="13" t="s">
        <v>46</v>
      </c>
      <c r="N2180" s="6" t="s">
        <v>1935</v>
      </c>
      <c r="O2180" s="6" t="s">
        <v>46</v>
      </c>
      <c r="P2180" s="6" t="s">
        <v>46</v>
      </c>
      <c r="Q2180" s="6" t="s">
        <v>46</v>
      </c>
      <c r="R2180" s="6" t="s">
        <v>46</v>
      </c>
      <c r="S2180" s="6" t="s">
        <v>46</v>
      </c>
      <c r="T2180" s="6" t="s">
        <v>46</v>
      </c>
      <c r="U2180" s="6" t="s">
        <v>46</v>
      </c>
      <c r="V2180" s="6" t="n">
        <v>3</v>
      </c>
      <c r="W2180" s="6" t="s">
        <v>46</v>
      </c>
      <c r="X2180" s="6" t="s">
        <v>2740</v>
      </c>
      <c r="Y2180" s="6" t="s">
        <v>153</v>
      </c>
      <c r="Z2180" s="6" t="s">
        <v>3123</v>
      </c>
      <c r="AA2180" s="6" t="s">
        <v>3124</v>
      </c>
      <c r="AB2180" s="6" t="s">
        <v>3125</v>
      </c>
      <c r="AC2180" s="6" t="s">
        <v>3126</v>
      </c>
      <c r="AD2180" s="6" t="s">
        <v>3127</v>
      </c>
      <c r="AE2180" s="6" t="s">
        <v>3217</v>
      </c>
      <c r="AF2180" s="6" t="s">
        <v>3218</v>
      </c>
    </row>
    <row r="2181" customFormat="false" ht="13.8" hidden="false" customHeight="false" outlineLevel="0" collapsed="false">
      <c r="A2181" s="6" t="s">
        <v>3113</v>
      </c>
      <c r="C2181" s="6" t="s">
        <v>3114</v>
      </c>
      <c r="D2181" s="6" t="s">
        <v>19</v>
      </c>
      <c r="E2181" s="6" t="s">
        <v>3115</v>
      </c>
      <c r="F2181" s="6" t="s">
        <v>3116</v>
      </c>
      <c r="G2181" s="6" t="s">
        <v>3117</v>
      </c>
      <c r="H2181" s="2" t="s">
        <v>222</v>
      </c>
      <c r="I2181" s="6" t="s">
        <v>3219</v>
      </c>
      <c r="J2181" s="6" t="s">
        <v>52</v>
      </c>
      <c r="K2181" s="6" t="s">
        <v>3220</v>
      </c>
      <c r="L2181" s="6" t="s">
        <v>46</v>
      </c>
      <c r="M2181" s="13" t="s">
        <v>46</v>
      </c>
      <c r="N2181" s="6" t="s">
        <v>1935</v>
      </c>
      <c r="O2181" s="6" t="s">
        <v>46</v>
      </c>
      <c r="P2181" s="6" t="s">
        <v>46</v>
      </c>
      <c r="Q2181" s="6" t="s">
        <v>46</v>
      </c>
      <c r="R2181" s="6" t="s">
        <v>46</v>
      </c>
      <c r="S2181" s="6" t="s">
        <v>46</v>
      </c>
      <c r="T2181" s="6" t="s">
        <v>46</v>
      </c>
      <c r="U2181" s="6" t="s">
        <v>46</v>
      </c>
      <c r="V2181" s="6" t="n">
        <v>4</v>
      </c>
      <c r="W2181" s="6" t="s">
        <v>46</v>
      </c>
      <c r="X2181" s="6" t="s">
        <v>2740</v>
      </c>
      <c r="Y2181" s="6" t="s">
        <v>153</v>
      </c>
      <c r="Z2181" s="6" t="s">
        <v>3123</v>
      </c>
      <c r="AA2181" s="6" t="s">
        <v>3124</v>
      </c>
      <c r="AB2181" s="6" t="s">
        <v>3125</v>
      </c>
      <c r="AC2181" s="6" t="s">
        <v>3126</v>
      </c>
      <c r="AD2181" s="6" t="s">
        <v>3127</v>
      </c>
      <c r="AE2181" s="6" t="s">
        <v>3221</v>
      </c>
      <c r="AF2181" s="6" t="s">
        <v>3222</v>
      </c>
    </row>
    <row r="2182" customFormat="false" ht="13.8" hidden="false" customHeight="false" outlineLevel="0" collapsed="false">
      <c r="A2182" s="6" t="s">
        <v>3113</v>
      </c>
      <c r="C2182" s="6" t="s">
        <v>3114</v>
      </c>
      <c r="D2182" s="6" t="s">
        <v>19</v>
      </c>
      <c r="E2182" s="6" t="s">
        <v>3115</v>
      </c>
      <c r="F2182" s="6" t="s">
        <v>3116</v>
      </c>
      <c r="G2182" s="6" t="s">
        <v>3117</v>
      </c>
      <c r="H2182" s="2" t="s">
        <v>64</v>
      </c>
      <c r="I2182" s="6" t="s">
        <v>3223</v>
      </c>
      <c r="J2182" s="6" t="s">
        <v>52</v>
      </c>
      <c r="K2182" s="6" t="s">
        <v>64</v>
      </c>
      <c r="L2182" s="6" t="s">
        <v>46</v>
      </c>
      <c r="M2182" s="13" t="s">
        <v>46</v>
      </c>
      <c r="N2182" s="6" t="s">
        <v>280</v>
      </c>
      <c r="O2182" s="6" t="s">
        <v>46</v>
      </c>
      <c r="P2182" s="6" t="s">
        <v>46</v>
      </c>
      <c r="Q2182" s="6" t="s">
        <v>46</v>
      </c>
      <c r="R2182" s="6" t="s">
        <v>46</v>
      </c>
      <c r="S2182" s="6" t="s">
        <v>46</v>
      </c>
      <c r="T2182" s="6" t="s">
        <v>46</v>
      </c>
      <c r="U2182" s="6" t="s">
        <v>46</v>
      </c>
      <c r="V2182" s="6" t="n">
        <v>1</v>
      </c>
      <c r="W2182" s="6" t="s">
        <v>46</v>
      </c>
      <c r="X2182" s="6" t="s">
        <v>83</v>
      </c>
      <c r="Y2182" s="6" t="s">
        <v>153</v>
      </c>
      <c r="Z2182" s="6" t="s">
        <v>3123</v>
      </c>
      <c r="AA2182" s="6" t="s">
        <v>3124</v>
      </c>
      <c r="AB2182" s="6" t="s">
        <v>3125</v>
      </c>
      <c r="AC2182" s="6" t="s">
        <v>3126</v>
      </c>
      <c r="AD2182" s="6" t="s">
        <v>3127</v>
      </c>
      <c r="AE2182" s="6" t="s">
        <v>3224</v>
      </c>
      <c r="AF2182" s="6" t="s">
        <v>3225</v>
      </c>
    </row>
    <row r="2183" customFormat="false" ht="13.8" hidden="false" customHeight="false" outlineLevel="0" collapsed="false">
      <c r="A2183" s="6" t="s">
        <v>3113</v>
      </c>
      <c r="C2183" s="6" t="s">
        <v>3114</v>
      </c>
      <c r="D2183" s="6" t="s">
        <v>19</v>
      </c>
      <c r="E2183" s="6" t="s">
        <v>3115</v>
      </c>
      <c r="F2183" s="6" t="s">
        <v>3116</v>
      </c>
      <c r="G2183" s="6" t="s">
        <v>3117</v>
      </c>
      <c r="H2183" s="2" t="s">
        <v>66</v>
      </c>
      <c r="I2183" s="6" t="s">
        <v>3226</v>
      </c>
      <c r="J2183" s="6" t="s">
        <v>52</v>
      </c>
      <c r="K2183" s="6" t="s">
        <v>66</v>
      </c>
      <c r="L2183" s="6" t="s">
        <v>46</v>
      </c>
      <c r="M2183" s="13" t="s">
        <v>46</v>
      </c>
      <c r="N2183" s="6" t="s">
        <v>280</v>
      </c>
      <c r="O2183" s="6" t="s">
        <v>46</v>
      </c>
      <c r="P2183" s="6" t="s">
        <v>46</v>
      </c>
      <c r="Q2183" s="6" t="s">
        <v>46</v>
      </c>
      <c r="R2183" s="6" t="s">
        <v>46</v>
      </c>
      <c r="S2183" s="6" t="s">
        <v>46</v>
      </c>
      <c r="T2183" s="6" t="s">
        <v>46</v>
      </c>
      <c r="U2183" s="6" t="s">
        <v>46</v>
      </c>
      <c r="V2183" s="6" t="n">
        <v>2</v>
      </c>
      <c r="W2183" s="6" t="s">
        <v>46</v>
      </c>
      <c r="X2183" s="6" t="s">
        <v>83</v>
      </c>
      <c r="Y2183" s="6" t="s">
        <v>153</v>
      </c>
      <c r="Z2183" s="6" t="s">
        <v>3123</v>
      </c>
      <c r="AA2183" s="6" t="s">
        <v>3124</v>
      </c>
      <c r="AB2183" s="6" t="s">
        <v>3125</v>
      </c>
      <c r="AC2183" s="6" t="s">
        <v>3126</v>
      </c>
      <c r="AD2183" s="6" t="s">
        <v>3127</v>
      </c>
      <c r="AE2183" s="6" t="s">
        <v>3227</v>
      </c>
      <c r="AF2183" s="6" t="s">
        <v>3228</v>
      </c>
    </row>
    <row r="2184" customFormat="false" ht="13.8" hidden="false" customHeight="false" outlineLevel="0" collapsed="false">
      <c r="A2184" s="6" t="s">
        <v>3113</v>
      </c>
      <c r="C2184" s="6" t="s">
        <v>3114</v>
      </c>
      <c r="D2184" s="6" t="s">
        <v>19</v>
      </c>
      <c r="E2184" s="6" t="s">
        <v>3115</v>
      </c>
      <c r="F2184" s="6" t="s">
        <v>3116</v>
      </c>
      <c r="G2184" s="6" t="s">
        <v>3117</v>
      </c>
      <c r="H2184" s="2" t="s">
        <v>67</v>
      </c>
      <c r="I2184" s="6" t="s">
        <v>3229</v>
      </c>
      <c r="J2184" s="6" t="s">
        <v>52</v>
      </c>
      <c r="K2184" s="6" t="s">
        <v>67</v>
      </c>
      <c r="L2184" s="6" t="s">
        <v>46</v>
      </c>
      <c r="M2184" s="13" t="s">
        <v>46</v>
      </c>
      <c r="N2184" s="6" t="s">
        <v>280</v>
      </c>
      <c r="O2184" s="6" t="s">
        <v>46</v>
      </c>
      <c r="P2184" s="6" t="s">
        <v>46</v>
      </c>
      <c r="Q2184" s="6" t="s">
        <v>46</v>
      </c>
      <c r="R2184" s="6" t="s">
        <v>46</v>
      </c>
      <c r="S2184" s="6" t="s">
        <v>46</v>
      </c>
      <c r="T2184" s="6" t="s">
        <v>46</v>
      </c>
      <c r="U2184" s="6" t="s">
        <v>46</v>
      </c>
      <c r="V2184" s="6" t="n">
        <v>3</v>
      </c>
      <c r="W2184" s="6" t="s">
        <v>46</v>
      </c>
      <c r="X2184" s="6" t="s">
        <v>83</v>
      </c>
      <c r="Y2184" s="6" t="s">
        <v>153</v>
      </c>
      <c r="Z2184" s="6" t="s">
        <v>3123</v>
      </c>
      <c r="AA2184" s="6" t="s">
        <v>3124</v>
      </c>
      <c r="AB2184" s="6" t="s">
        <v>3125</v>
      </c>
      <c r="AC2184" s="6" t="s">
        <v>3126</v>
      </c>
      <c r="AD2184" s="6" t="s">
        <v>3127</v>
      </c>
      <c r="AE2184" s="6" t="s">
        <v>3230</v>
      </c>
      <c r="AF2184" s="6" t="s">
        <v>3231</v>
      </c>
    </row>
    <row r="2185" customFormat="false" ht="13.8" hidden="false" customHeight="false" outlineLevel="0" collapsed="false">
      <c r="A2185" s="6" t="s">
        <v>3113</v>
      </c>
      <c r="C2185" s="6" t="s">
        <v>3114</v>
      </c>
      <c r="D2185" s="6" t="s">
        <v>19</v>
      </c>
      <c r="E2185" s="6" t="s">
        <v>3115</v>
      </c>
      <c r="F2185" s="6" t="s">
        <v>3116</v>
      </c>
      <c r="G2185" s="6" t="s">
        <v>3117</v>
      </c>
      <c r="H2185" s="2" t="s">
        <v>221</v>
      </c>
      <c r="I2185" s="6" t="s">
        <v>3232</v>
      </c>
      <c r="J2185" s="6" t="s">
        <v>52</v>
      </c>
      <c r="K2185" s="6" t="s">
        <v>221</v>
      </c>
      <c r="L2185" s="6" t="s">
        <v>46</v>
      </c>
      <c r="M2185" s="13" t="s">
        <v>46</v>
      </c>
      <c r="N2185" s="6" t="s">
        <v>280</v>
      </c>
      <c r="O2185" s="6" t="s">
        <v>46</v>
      </c>
      <c r="P2185" s="6" t="s">
        <v>46</v>
      </c>
      <c r="Q2185" s="6" t="s">
        <v>46</v>
      </c>
      <c r="R2185" s="6" t="s">
        <v>46</v>
      </c>
      <c r="S2185" s="6" t="s">
        <v>46</v>
      </c>
      <c r="T2185" s="6" t="s">
        <v>46</v>
      </c>
      <c r="U2185" s="6" t="s">
        <v>46</v>
      </c>
      <c r="V2185" s="6" t="n">
        <v>4</v>
      </c>
      <c r="W2185" s="6" t="s">
        <v>46</v>
      </c>
      <c r="X2185" s="6" t="s">
        <v>83</v>
      </c>
      <c r="Y2185" s="6" t="s">
        <v>153</v>
      </c>
      <c r="Z2185" s="6" t="s">
        <v>3123</v>
      </c>
      <c r="AA2185" s="6" t="s">
        <v>3124</v>
      </c>
      <c r="AB2185" s="6" t="s">
        <v>3125</v>
      </c>
      <c r="AC2185" s="6" t="s">
        <v>3126</v>
      </c>
      <c r="AD2185" s="6" t="s">
        <v>3127</v>
      </c>
      <c r="AE2185" s="6" t="s">
        <v>3233</v>
      </c>
      <c r="AF2185" s="6" t="s">
        <v>3234</v>
      </c>
    </row>
    <row r="2186" customFormat="false" ht="13.8" hidden="false" customHeight="false" outlineLevel="0" collapsed="false">
      <c r="A2186" s="6" t="s">
        <v>3235</v>
      </c>
      <c r="C2186" s="6" t="s">
        <v>3236</v>
      </c>
      <c r="D2186" s="6" t="s">
        <v>19</v>
      </c>
      <c r="E2186" s="6" t="s">
        <v>3237</v>
      </c>
      <c r="F2186" s="6" t="s">
        <v>3238</v>
      </c>
      <c r="G2186" s="6" t="s">
        <v>3239</v>
      </c>
      <c r="H2186" s="2" t="s">
        <v>97</v>
      </c>
      <c r="I2186" s="6" t="s">
        <v>3240</v>
      </c>
      <c r="J2186" s="6" t="s">
        <v>38</v>
      </c>
      <c r="K2186" s="6" t="s">
        <v>3241</v>
      </c>
      <c r="L2186" s="6" t="s">
        <v>46</v>
      </c>
      <c r="M2186" s="13" t="s">
        <v>3242</v>
      </c>
      <c r="N2186" s="6" t="s">
        <v>41</v>
      </c>
      <c r="O2186" s="6" t="s">
        <v>3243</v>
      </c>
      <c r="P2186" s="6" t="s">
        <v>162</v>
      </c>
      <c r="Q2186" s="6" t="s">
        <v>162</v>
      </c>
      <c r="R2186" s="6" t="s">
        <v>72</v>
      </c>
      <c r="S2186" s="6" t="s">
        <v>3244</v>
      </c>
      <c r="T2186" s="6" t="s">
        <v>419</v>
      </c>
      <c r="U2186" s="6" t="n">
        <v>250</v>
      </c>
      <c r="V2186" s="6" t="n">
        <v>1</v>
      </c>
      <c r="W2186" s="6" t="s">
        <v>46</v>
      </c>
      <c r="X2186" s="6" t="s">
        <v>47</v>
      </c>
      <c r="Y2186" s="6" t="s">
        <v>153</v>
      </c>
      <c r="Z2186" s="6" t="s">
        <v>3245</v>
      </c>
      <c r="AA2186" s="6" t="s">
        <v>3246</v>
      </c>
      <c r="AB2186" s="6" t="s">
        <v>3247</v>
      </c>
      <c r="AC2186" s="6" t="s">
        <v>3248</v>
      </c>
      <c r="AD2186" s="6" t="s">
        <v>3249</v>
      </c>
      <c r="AE2186" s="6" t="s">
        <v>3250</v>
      </c>
      <c r="AF2186" s="6" t="s">
        <v>3251</v>
      </c>
    </row>
    <row r="2187" customFormat="false" ht="13.8" hidden="false" customHeight="false" outlineLevel="0" collapsed="false">
      <c r="A2187" s="6" t="s">
        <v>3235</v>
      </c>
      <c r="C2187" s="6" t="s">
        <v>3236</v>
      </c>
      <c r="D2187" s="6" t="s">
        <v>19</v>
      </c>
      <c r="E2187" s="6" t="s">
        <v>3237</v>
      </c>
      <c r="F2187" s="6" t="s">
        <v>3238</v>
      </c>
      <c r="G2187" s="6" t="s">
        <v>3252</v>
      </c>
      <c r="H2187" s="2" t="s">
        <v>139</v>
      </c>
      <c r="I2187" s="6" t="s">
        <v>3253</v>
      </c>
      <c r="J2187" s="6" t="s">
        <v>38</v>
      </c>
      <c r="K2187" s="6" t="s">
        <v>3254</v>
      </c>
      <c r="L2187" s="6" t="s">
        <v>46</v>
      </c>
      <c r="M2187" s="13" t="s">
        <v>3242</v>
      </c>
      <c r="N2187" s="6" t="s">
        <v>41</v>
      </c>
      <c r="O2187" s="6" t="s">
        <v>3243</v>
      </c>
      <c r="P2187" s="6" t="s">
        <v>162</v>
      </c>
      <c r="Q2187" s="6" t="s">
        <v>162</v>
      </c>
      <c r="R2187" s="6" t="s">
        <v>72</v>
      </c>
      <c r="S2187" s="6" t="s">
        <v>3244</v>
      </c>
      <c r="T2187" s="6" t="s">
        <v>419</v>
      </c>
      <c r="U2187" s="6" t="n">
        <v>250</v>
      </c>
      <c r="V2187" s="6" t="n">
        <v>2</v>
      </c>
      <c r="W2187" s="6" t="s">
        <v>46</v>
      </c>
      <c r="X2187" s="6" t="s">
        <v>47</v>
      </c>
      <c r="Y2187" s="6" t="s">
        <v>153</v>
      </c>
      <c r="Z2187" s="6" t="s">
        <v>3245</v>
      </c>
      <c r="AA2187" s="6" t="s">
        <v>3246</v>
      </c>
      <c r="AB2187" s="6" t="s">
        <v>3247</v>
      </c>
      <c r="AC2187" s="6" t="s">
        <v>3248</v>
      </c>
      <c r="AD2187" s="6" t="s">
        <v>3249</v>
      </c>
      <c r="AE2187" s="6" t="s">
        <v>3255</v>
      </c>
      <c r="AF2187" s="6" t="s">
        <v>3256</v>
      </c>
    </row>
    <row r="2188" customFormat="false" ht="13.8" hidden="false" customHeight="false" outlineLevel="0" collapsed="false">
      <c r="A2188" s="6" t="s">
        <v>3235</v>
      </c>
      <c r="C2188" s="6" t="s">
        <v>3236</v>
      </c>
      <c r="D2188" s="6" t="s">
        <v>19</v>
      </c>
      <c r="E2188" s="6" t="s">
        <v>3237</v>
      </c>
      <c r="F2188" s="6" t="s">
        <v>3238</v>
      </c>
      <c r="G2188" s="6" t="s">
        <v>3257</v>
      </c>
      <c r="H2188" s="2" t="s">
        <v>91</v>
      </c>
      <c r="I2188" s="6" t="s">
        <v>3258</v>
      </c>
      <c r="J2188" s="6" t="s">
        <v>52</v>
      </c>
      <c r="K2188" s="6" t="s">
        <v>3259</v>
      </c>
      <c r="L2188" s="6" t="s">
        <v>46</v>
      </c>
      <c r="M2188" s="13" t="s">
        <v>3242</v>
      </c>
      <c r="N2188" s="6" t="s">
        <v>41</v>
      </c>
      <c r="O2188" s="6" t="s">
        <v>3243</v>
      </c>
      <c r="P2188" s="6" t="s">
        <v>162</v>
      </c>
      <c r="Q2188" s="6" t="s">
        <v>162</v>
      </c>
      <c r="R2188" s="6" t="s">
        <v>72</v>
      </c>
      <c r="S2188" s="6" t="s">
        <v>3244</v>
      </c>
      <c r="T2188" s="6" t="s">
        <v>3260</v>
      </c>
      <c r="U2188" s="6" t="n">
        <v>250</v>
      </c>
      <c r="V2188" s="6" t="n">
        <v>1</v>
      </c>
      <c r="W2188" s="6" t="s">
        <v>46</v>
      </c>
      <c r="X2188" s="6" t="s">
        <v>47</v>
      </c>
      <c r="Y2188" s="6" t="s">
        <v>153</v>
      </c>
      <c r="Z2188" s="6" t="s">
        <v>3245</v>
      </c>
      <c r="AA2188" s="6" t="s">
        <v>3246</v>
      </c>
      <c r="AB2188" s="6" t="s">
        <v>3247</v>
      </c>
      <c r="AC2188" s="6" t="s">
        <v>3248</v>
      </c>
      <c r="AD2188" s="6" t="s">
        <v>3249</v>
      </c>
      <c r="AE2188" s="6" t="s">
        <v>3261</v>
      </c>
      <c r="AF2188" s="6" t="s">
        <v>3262</v>
      </c>
    </row>
    <row r="2189" customFormat="false" ht="13.8" hidden="false" customHeight="false" outlineLevel="0" collapsed="false">
      <c r="A2189" s="6" t="s">
        <v>3235</v>
      </c>
      <c r="C2189" s="6" t="s">
        <v>3236</v>
      </c>
      <c r="D2189" s="6" t="s">
        <v>19</v>
      </c>
      <c r="E2189" s="6" t="s">
        <v>3237</v>
      </c>
      <c r="F2189" s="6" t="s">
        <v>3238</v>
      </c>
      <c r="G2189" s="6" t="s">
        <v>3263</v>
      </c>
      <c r="H2189" s="2" t="s">
        <v>37</v>
      </c>
      <c r="I2189" s="6" t="s">
        <v>3264</v>
      </c>
      <c r="J2189" s="6" t="s">
        <v>52</v>
      </c>
      <c r="K2189" s="6" t="s">
        <v>3265</v>
      </c>
      <c r="L2189" s="6" t="s">
        <v>46</v>
      </c>
      <c r="M2189" s="13" t="s">
        <v>3242</v>
      </c>
      <c r="N2189" s="6" t="s">
        <v>41</v>
      </c>
      <c r="O2189" s="6" t="s">
        <v>3243</v>
      </c>
      <c r="P2189" s="6" t="s">
        <v>162</v>
      </c>
      <c r="Q2189" s="6" t="s">
        <v>162</v>
      </c>
      <c r="R2189" s="6" t="s">
        <v>72</v>
      </c>
      <c r="S2189" s="6" t="s">
        <v>3244</v>
      </c>
      <c r="T2189" s="6" t="s">
        <v>3260</v>
      </c>
      <c r="U2189" s="6" t="n">
        <v>250</v>
      </c>
      <c r="V2189" s="6" t="n">
        <v>2</v>
      </c>
      <c r="W2189" s="6" t="s">
        <v>46</v>
      </c>
      <c r="X2189" s="6" t="s">
        <v>47</v>
      </c>
      <c r="Y2189" s="6" t="s">
        <v>153</v>
      </c>
      <c r="Z2189" s="6" t="s">
        <v>3245</v>
      </c>
      <c r="AA2189" s="6" t="s">
        <v>3246</v>
      </c>
      <c r="AB2189" s="6" t="s">
        <v>3247</v>
      </c>
      <c r="AC2189" s="6" t="s">
        <v>3248</v>
      </c>
      <c r="AD2189" s="6" t="s">
        <v>3249</v>
      </c>
      <c r="AE2189" s="6" t="s">
        <v>3266</v>
      </c>
      <c r="AF2189" s="6" t="s">
        <v>3267</v>
      </c>
    </row>
    <row r="2190" customFormat="false" ht="13.8" hidden="false" customHeight="false" outlineLevel="0" collapsed="false">
      <c r="A2190" s="6" t="s">
        <v>3235</v>
      </c>
      <c r="C2190" s="6" t="s">
        <v>3236</v>
      </c>
      <c r="D2190" s="6" t="s">
        <v>19</v>
      </c>
      <c r="E2190" s="6" t="s">
        <v>3237</v>
      </c>
      <c r="F2190" s="6" t="s">
        <v>3238</v>
      </c>
      <c r="G2190" s="6" t="s">
        <v>3268</v>
      </c>
      <c r="H2190" s="2" t="s">
        <v>51</v>
      </c>
      <c r="I2190" s="6" t="s">
        <v>3269</v>
      </c>
      <c r="J2190" s="6" t="s">
        <v>52</v>
      </c>
      <c r="K2190" s="6" t="s">
        <v>3270</v>
      </c>
      <c r="L2190" s="6" t="s">
        <v>46</v>
      </c>
      <c r="M2190" s="13" t="s">
        <v>3242</v>
      </c>
      <c r="N2190" s="6" t="s">
        <v>41</v>
      </c>
      <c r="O2190" s="6" t="s">
        <v>3243</v>
      </c>
      <c r="P2190" s="6" t="s">
        <v>162</v>
      </c>
      <c r="Q2190" s="6" t="s">
        <v>162</v>
      </c>
      <c r="R2190" s="6" t="s">
        <v>72</v>
      </c>
      <c r="S2190" s="6" t="s">
        <v>3244</v>
      </c>
      <c r="T2190" s="6" t="s">
        <v>3260</v>
      </c>
      <c r="U2190" s="6" t="n">
        <v>250</v>
      </c>
      <c r="V2190" s="6" t="n">
        <v>3</v>
      </c>
      <c r="W2190" s="6" t="s">
        <v>46</v>
      </c>
      <c r="X2190" s="6" t="s">
        <v>47</v>
      </c>
      <c r="Y2190" s="6" t="s">
        <v>153</v>
      </c>
      <c r="Z2190" s="6" t="s">
        <v>3245</v>
      </c>
      <c r="AA2190" s="6" t="s">
        <v>3246</v>
      </c>
      <c r="AB2190" s="6" t="s">
        <v>3247</v>
      </c>
      <c r="AC2190" s="6" t="s">
        <v>3248</v>
      </c>
      <c r="AD2190" s="6" t="s">
        <v>3249</v>
      </c>
      <c r="AE2190" s="6" t="s">
        <v>3271</v>
      </c>
      <c r="AF2190" s="6" t="s">
        <v>3272</v>
      </c>
    </row>
    <row r="2191" customFormat="false" ht="13.8" hidden="false" customHeight="false" outlineLevel="0" collapsed="false">
      <c r="A2191" s="6" t="s">
        <v>3235</v>
      </c>
      <c r="C2191" s="6" t="s">
        <v>3236</v>
      </c>
      <c r="D2191" s="6" t="s">
        <v>19</v>
      </c>
      <c r="E2191" s="6" t="s">
        <v>3237</v>
      </c>
      <c r="F2191" s="6" t="s">
        <v>3238</v>
      </c>
      <c r="G2191" s="6" t="s">
        <v>3273</v>
      </c>
      <c r="H2191" s="2" t="s">
        <v>88</v>
      </c>
      <c r="I2191" s="6" t="s">
        <v>3274</v>
      </c>
      <c r="J2191" s="6" t="s">
        <v>52</v>
      </c>
      <c r="K2191" s="6" t="s">
        <v>157</v>
      </c>
      <c r="L2191" s="6" t="s">
        <v>46</v>
      </c>
      <c r="M2191" s="13" t="s">
        <v>46</v>
      </c>
      <c r="N2191" s="6" t="s">
        <v>280</v>
      </c>
      <c r="O2191" s="6" t="s">
        <v>46</v>
      </c>
      <c r="P2191" s="6" t="s">
        <v>46</v>
      </c>
      <c r="Q2191" s="6" t="s">
        <v>46</v>
      </c>
      <c r="R2191" s="6" t="s">
        <v>46</v>
      </c>
      <c r="S2191" s="6" t="s">
        <v>46</v>
      </c>
      <c r="T2191" s="6" t="s">
        <v>46</v>
      </c>
      <c r="U2191" s="6" t="s">
        <v>46</v>
      </c>
      <c r="V2191" s="6" t="n">
        <v>1</v>
      </c>
      <c r="W2191" s="6" t="s">
        <v>46</v>
      </c>
      <c r="X2191" s="6" t="s">
        <v>83</v>
      </c>
      <c r="Y2191" s="6" t="s">
        <v>153</v>
      </c>
      <c r="Z2191" s="6" t="s">
        <v>3245</v>
      </c>
      <c r="AA2191" s="6" t="s">
        <v>3246</v>
      </c>
      <c r="AB2191" s="6" t="s">
        <v>3247</v>
      </c>
      <c r="AC2191" s="6" t="s">
        <v>3248</v>
      </c>
      <c r="AD2191" s="6" t="s">
        <v>3249</v>
      </c>
      <c r="AE2191" s="6" t="s">
        <v>3275</v>
      </c>
      <c r="AF2191" s="6" t="s">
        <v>3276</v>
      </c>
    </row>
    <row r="2192" customFormat="false" ht="13.8" hidden="false" customHeight="false" outlineLevel="0" collapsed="false">
      <c r="A2192" s="6" t="s">
        <v>3235</v>
      </c>
      <c r="C2192" s="6" t="s">
        <v>3236</v>
      </c>
      <c r="D2192" s="6" t="s">
        <v>19</v>
      </c>
      <c r="E2192" s="6" t="s">
        <v>3237</v>
      </c>
      <c r="F2192" s="6" t="s">
        <v>3238</v>
      </c>
      <c r="G2192" s="6" t="s">
        <v>3277</v>
      </c>
      <c r="H2192" s="2" t="s">
        <v>60</v>
      </c>
      <c r="I2192" s="6" t="s">
        <v>3278</v>
      </c>
      <c r="J2192" s="6" t="s">
        <v>52</v>
      </c>
      <c r="K2192" s="6" t="s">
        <v>165</v>
      </c>
      <c r="L2192" s="6" t="s">
        <v>46</v>
      </c>
      <c r="M2192" s="13" t="s">
        <v>46</v>
      </c>
      <c r="N2192" s="6" t="s">
        <v>280</v>
      </c>
      <c r="O2192" s="6" t="s">
        <v>46</v>
      </c>
      <c r="P2192" s="6" t="s">
        <v>46</v>
      </c>
      <c r="Q2192" s="6" t="s">
        <v>46</v>
      </c>
      <c r="R2192" s="6" t="s">
        <v>46</v>
      </c>
      <c r="S2192" s="6" t="s">
        <v>46</v>
      </c>
      <c r="T2192" s="6" t="s">
        <v>46</v>
      </c>
      <c r="U2192" s="6" t="s">
        <v>46</v>
      </c>
      <c r="V2192" s="6" t="n">
        <v>2</v>
      </c>
      <c r="W2192" s="6" t="s">
        <v>46</v>
      </c>
      <c r="X2192" s="6" t="s">
        <v>83</v>
      </c>
      <c r="Y2192" s="6" t="s">
        <v>153</v>
      </c>
      <c r="Z2192" s="6" t="s">
        <v>3245</v>
      </c>
      <c r="AA2192" s="6" t="s">
        <v>3246</v>
      </c>
      <c r="AB2192" s="6" t="s">
        <v>3247</v>
      </c>
      <c r="AC2192" s="6" t="s">
        <v>3248</v>
      </c>
      <c r="AD2192" s="6" t="s">
        <v>3249</v>
      </c>
      <c r="AE2192" s="6" t="s">
        <v>3279</v>
      </c>
      <c r="AF2192" s="6" t="s">
        <v>3280</v>
      </c>
    </row>
    <row r="2193" customFormat="false" ht="13.8" hidden="false" customHeight="false" outlineLevel="0" collapsed="false">
      <c r="A2193" s="6" t="s">
        <v>3235</v>
      </c>
      <c r="C2193" s="6" t="s">
        <v>3236</v>
      </c>
      <c r="D2193" s="6" t="s">
        <v>19</v>
      </c>
      <c r="E2193" s="6" t="s">
        <v>3237</v>
      </c>
      <c r="F2193" s="6" t="s">
        <v>3238</v>
      </c>
      <c r="G2193" s="6" t="s">
        <v>3281</v>
      </c>
      <c r="H2193" s="2" t="s">
        <v>1241</v>
      </c>
      <c r="I2193" s="6" t="s">
        <v>3282</v>
      </c>
      <c r="J2193" s="6" t="s">
        <v>52</v>
      </c>
      <c r="K2193" s="6" t="s">
        <v>171</v>
      </c>
      <c r="L2193" s="6" t="s">
        <v>46</v>
      </c>
      <c r="M2193" s="13" t="s">
        <v>46</v>
      </c>
      <c r="N2193" s="6" t="s">
        <v>280</v>
      </c>
      <c r="O2193" s="6" t="s">
        <v>46</v>
      </c>
      <c r="P2193" s="6" t="s">
        <v>46</v>
      </c>
      <c r="Q2193" s="6" t="s">
        <v>46</v>
      </c>
      <c r="R2193" s="6" t="s">
        <v>46</v>
      </c>
      <c r="S2193" s="6" t="s">
        <v>46</v>
      </c>
      <c r="T2193" s="6" t="s">
        <v>46</v>
      </c>
      <c r="U2193" s="6" t="s">
        <v>46</v>
      </c>
      <c r="V2193" s="6" t="n">
        <v>3</v>
      </c>
      <c r="W2193" s="6" t="s">
        <v>46</v>
      </c>
      <c r="X2193" s="6" t="s">
        <v>83</v>
      </c>
      <c r="Y2193" s="6" t="s">
        <v>153</v>
      </c>
      <c r="Z2193" s="6" t="s">
        <v>3245</v>
      </c>
      <c r="AA2193" s="6" t="s">
        <v>3246</v>
      </c>
      <c r="AB2193" s="6" t="s">
        <v>3247</v>
      </c>
      <c r="AC2193" s="6" t="s">
        <v>3248</v>
      </c>
      <c r="AD2193" s="6" t="s">
        <v>3249</v>
      </c>
      <c r="AE2193" s="6" t="s">
        <v>3283</v>
      </c>
      <c r="AF2193" s="6" t="s">
        <v>3284</v>
      </c>
    </row>
    <row r="2194" customFormat="false" ht="13.8" hidden="false" customHeight="false" outlineLevel="0" collapsed="false">
      <c r="A2194" s="6" t="s">
        <v>3235</v>
      </c>
      <c r="C2194" s="6" t="s">
        <v>3236</v>
      </c>
      <c r="D2194" s="6" t="s">
        <v>19</v>
      </c>
      <c r="E2194" s="6" t="s">
        <v>3237</v>
      </c>
      <c r="F2194" s="6" t="s">
        <v>3238</v>
      </c>
      <c r="G2194" s="6" t="s">
        <v>3285</v>
      </c>
      <c r="H2194" s="2" t="s">
        <v>108</v>
      </c>
      <c r="I2194" s="6" t="s">
        <v>3286</v>
      </c>
      <c r="J2194" s="6" t="s">
        <v>52</v>
      </c>
      <c r="K2194" s="6" t="s">
        <v>152</v>
      </c>
      <c r="L2194" s="6" t="s">
        <v>46</v>
      </c>
      <c r="M2194" s="13" t="s">
        <v>46</v>
      </c>
      <c r="N2194" s="6" t="s">
        <v>1935</v>
      </c>
      <c r="O2194" s="6" t="s">
        <v>46</v>
      </c>
      <c r="P2194" s="6" t="s">
        <v>46</v>
      </c>
      <c r="Q2194" s="6" t="s">
        <v>46</v>
      </c>
      <c r="R2194" s="6" t="s">
        <v>46</v>
      </c>
      <c r="S2194" s="6" t="s">
        <v>46</v>
      </c>
      <c r="T2194" s="6" t="s">
        <v>46</v>
      </c>
      <c r="U2194" s="6" t="s">
        <v>46</v>
      </c>
      <c r="V2194" s="6" t="n">
        <v>1</v>
      </c>
      <c r="W2194" s="6" t="s">
        <v>46</v>
      </c>
      <c r="X2194" s="6" t="s">
        <v>2740</v>
      </c>
      <c r="Y2194" s="6" t="s">
        <v>153</v>
      </c>
      <c r="Z2194" s="6" t="s">
        <v>3245</v>
      </c>
      <c r="AA2194" s="6" t="s">
        <v>3246</v>
      </c>
      <c r="AB2194" s="6" t="s">
        <v>3247</v>
      </c>
      <c r="AC2194" s="6" t="s">
        <v>3248</v>
      </c>
      <c r="AD2194" s="6" t="s">
        <v>3249</v>
      </c>
      <c r="AE2194" s="6" t="s">
        <v>3287</v>
      </c>
      <c r="AF2194" s="6" t="s">
        <v>3288</v>
      </c>
    </row>
    <row r="2195" customFormat="false" ht="13.8" hidden="false" customHeight="false" outlineLevel="0" collapsed="false">
      <c r="A2195" s="6" t="s">
        <v>3235</v>
      </c>
      <c r="C2195" s="6" t="s">
        <v>3236</v>
      </c>
      <c r="D2195" s="6" t="s">
        <v>19</v>
      </c>
      <c r="E2195" s="6" t="s">
        <v>3237</v>
      </c>
      <c r="F2195" s="6" t="s">
        <v>3238</v>
      </c>
      <c r="G2195" s="6" t="s">
        <v>3289</v>
      </c>
      <c r="H2195" s="2" t="s">
        <v>58</v>
      </c>
      <c r="I2195" s="6" t="s">
        <v>3290</v>
      </c>
      <c r="J2195" s="6" t="s">
        <v>52</v>
      </c>
      <c r="K2195" s="6" t="s">
        <v>164</v>
      </c>
      <c r="L2195" s="6" t="s">
        <v>46</v>
      </c>
      <c r="M2195" s="13" t="s">
        <v>46</v>
      </c>
      <c r="N2195" s="6" t="s">
        <v>1935</v>
      </c>
      <c r="O2195" s="6" t="s">
        <v>46</v>
      </c>
      <c r="P2195" s="6" t="s">
        <v>46</v>
      </c>
      <c r="Q2195" s="6" t="s">
        <v>46</v>
      </c>
      <c r="R2195" s="6" t="s">
        <v>46</v>
      </c>
      <c r="S2195" s="6" t="s">
        <v>46</v>
      </c>
      <c r="T2195" s="6" t="s">
        <v>46</v>
      </c>
      <c r="U2195" s="6" t="s">
        <v>46</v>
      </c>
      <c r="V2195" s="6" t="n">
        <v>2</v>
      </c>
      <c r="W2195" s="6" t="s">
        <v>46</v>
      </c>
      <c r="X2195" s="6" t="s">
        <v>2740</v>
      </c>
      <c r="Y2195" s="6" t="s">
        <v>153</v>
      </c>
      <c r="Z2195" s="6" t="s">
        <v>3245</v>
      </c>
      <c r="AA2195" s="6" t="s">
        <v>3246</v>
      </c>
      <c r="AB2195" s="6" t="s">
        <v>3247</v>
      </c>
      <c r="AC2195" s="6" t="s">
        <v>3248</v>
      </c>
      <c r="AD2195" s="6" t="s">
        <v>3249</v>
      </c>
      <c r="AE2195" s="6" t="s">
        <v>3291</v>
      </c>
      <c r="AF2195" s="6" t="s">
        <v>3292</v>
      </c>
    </row>
    <row r="2196" customFormat="false" ht="13.8" hidden="false" customHeight="false" outlineLevel="0" collapsed="false">
      <c r="A2196" s="6" t="s">
        <v>3235</v>
      </c>
      <c r="C2196" s="6" t="s">
        <v>3236</v>
      </c>
      <c r="D2196" s="6" t="s">
        <v>19</v>
      </c>
      <c r="E2196" s="6" t="s">
        <v>3237</v>
      </c>
      <c r="F2196" s="6" t="s">
        <v>3238</v>
      </c>
      <c r="G2196" s="6" t="s">
        <v>3293</v>
      </c>
      <c r="H2196" s="2" t="s">
        <v>385</v>
      </c>
      <c r="I2196" s="6" t="s">
        <v>3294</v>
      </c>
      <c r="J2196" s="6" t="s">
        <v>52</v>
      </c>
      <c r="K2196" s="6" t="s">
        <v>170</v>
      </c>
      <c r="L2196" s="6" t="s">
        <v>46</v>
      </c>
      <c r="M2196" s="13" t="s">
        <v>46</v>
      </c>
      <c r="N2196" s="6" t="s">
        <v>1935</v>
      </c>
      <c r="O2196" s="6" t="s">
        <v>46</v>
      </c>
      <c r="P2196" s="6" t="s">
        <v>46</v>
      </c>
      <c r="Q2196" s="6" t="s">
        <v>46</v>
      </c>
      <c r="R2196" s="6" t="s">
        <v>46</v>
      </c>
      <c r="S2196" s="6" t="s">
        <v>46</v>
      </c>
      <c r="T2196" s="6" t="s">
        <v>46</v>
      </c>
      <c r="U2196" s="6" t="s">
        <v>46</v>
      </c>
      <c r="V2196" s="6" t="n">
        <v>3</v>
      </c>
      <c r="W2196" s="6" t="s">
        <v>46</v>
      </c>
      <c r="X2196" s="6" t="s">
        <v>2740</v>
      </c>
      <c r="Y2196" s="6" t="s">
        <v>153</v>
      </c>
      <c r="Z2196" s="6" t="s">
        <v>3245</v>
      </c>
      <c r="AA2196" s="6" t="s">
        <v>3246</v>
      </c>
      <c r="AB2196" s="6" t="s">
        <v>3247</v>
      </c>
      <c r="AC2196" s="6" t="s">
        <v>3248</v>
      </c>
      <c r="AD2196" s="6" t="s">
        <v>3249</v>
      </c>
      <c r="AE2196" s="6" t="s">
        <v>3295</v>
      </c>
      <c r="AF2196" s="6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6" t="s">
        <v>3302</v>
      </c>
      <c r="J2197" s="1" t="s">
        <v>38</v>
      </c>
      <c r="K2197" s="1" t="s">
        <v>3241</v>
      </c>
      <c r="L2197" s="1" t="s">
        <v>46</v>
      </c>
      <c r="M2197" s="3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6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6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6" t="s">
        <v>3311</v>
      </c>
      <c r="J2198" s="1" t="s">
        <v>38</v>
      </c>
      <c r="K2198" s="1" t="s">
        <v>3254</v>
      </c>
      <c r="L2198" s="1" t="s">
        <v>46</v>
      </c>
      <c r="M2198" s="3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6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6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6" t="s">
        <v>3314</v>
      </c>
      <c r="J2199" s="1" t="s">
        <v>38</v>
      </c>
      <c r="K2199" s="1" t="s">
        <v>3315</v>
      </c>
      <c r="L2199" s="1" t="s">
        <v>46</v>
      </c>
      <c r="M2199" s="3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6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6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6" t="s">
        <v>3318</v>
      </c>
      <c r="J2200" s="1" t="s">
        <v>52</v>
      </c>
      <c r="K2200" s="1" t="s">
        <v>3265</v>
      </c>
      <c r="L2200" s="1" t="s">
        <v>46</v>
      </c>
      <c r="M2200" s="3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6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6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6" t="s">
        <v>3321</v>
      </c>
      <c r="J2201" s="1" t="s">
        <v>52</v>
      </c>
      <c r="K2201" s="1" t="s">
        <v>3270</v>
      </c>
      <c r="L2201" s="1" t="s">
        <v>46</v>
      </c>
      <c r="M2201" s="3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6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6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6" t="s">
        <v>3324</v>
      </c>
      <c r="J2202" s="1" t="s">
        <v>52</v>
      </c>
      <c r="K2202" s="1" t="s">
        <v>3325</v>
      </c>
      <c r="L2202" s="1" t="s">
        <v>46</v>
      </c>
      <c r="M2202" s="3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6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6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6" t="s">
        <v>3328</v>
      </c>
      <c r="J2203" s="1" t="s">
        <v>52</v>
      </c>
      <c r="K2203" s="1" t="s">
        <v>152</v>
      </c>
      <c r="L2203" s="1" t="s">
        <v>46</v>
      </c>
      <c r="M2203" s="3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6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6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6" t="s">
        <v>3331</v>
      </c>
      <c r="J2204" s="1" t="s">
        <v>52</v>
      </c>
      <c r="K2204" s="1" t="s">
        <v>164</v>
      </c>
      <c r="L2204" s="1" t="s">
        <v>46</v>
      </c>
      <c r="M2204" s="3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6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6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6" t="s">
        <v>3334</v>
      </c>
      <c r="J2205" s="1" t="s">
        <v>52</v>
      </c>
      <c r="K2205" s="1" t="s">
        <v>170</v>
      </c>
      <c r="L2205" s="1" t="s">
        <v>46</v>
      </c>
      <c r="M2205" s="3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6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6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6" t="s">
        <v>3337</v>
      </c>
      <c r="J2206" s="1" t="s">
        <v>52</v>
      </c>
      <c r="K2206" s="1" t="s">
        <v>157</v>
      </c>
      <c r="L2206" s="1" t="s">
        <v>46</v>
      </c>
      <c r="M2206" s="3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6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6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6" t="s">
        <v>3340</v>
      </c>
      <c r="J2207" s="1" t="s">
        <v>52</v>
      </c>
      <c r="K2207" s="1" t="s">
        <v>165</v>
      </c>
      <c r="L2207" s="1" t="s">
        <v>46</v>
      </c>
      <c r="M2207" s="3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6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6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6" t="s">
        <v>3343</v>
      </c>
      <c r="J2208" s="1" t="s">
        <v>52</v>
      </c>
      <c r="K2208" s="1" t="s">
        <v>171</v>
      </c>
      <c r="L2208" s="1" t="s">
        <v>46</v>
      </c>
      <c r="M2208" s="3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6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6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6" t="s">
        <v>3351</v>
      </c>
      <c r="J2209" s="1" t="s">
        <v>38</v>
      </c>
      <c r="K2209" s="1" t="s">
        <v>3352</v>
      </c>
      <c r="L2209" s="1" t="s">
        <v>46</v>
      </c>
      <c r="M2209" s="3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6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6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6" t="s">
        <v>3359</v>
      </c>
      <c r="J2210" s="1" t="s">
        <v>38</v>
      </c>
      <c r="K2210" s="1" t="s">
        <v>3360</v>
      </c>
      <c r="L2210" s="1" t="s">
        <v>46</v>
      </c>
      <c r="M2210" s="3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6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6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6" t="s">
        <v>3362</v>
      </c>
      <c r="J2211" s="1" t="s">
        <v>52</v>
      </c>
      <c r="K2211" s="1" t="s">
        <v>3363</v>
      </c>
      <c r="L2211" s="1" t="s">
        <v>46</v>
      </c>
      <c r="M2211" s="3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6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6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6" t="s">
        <v>3365</v>
      </c>
      <c r="J2212" s="1" t="s">
        <v>52</v>
      </c>
      <c r="K2212" s="1" t="s">
        <v>3366</v>
      </c>
      <c r="L2212" s="1" t="s">
        <v>46</v>
      </c>
      <c r="M2212" s="3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6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6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6" t="s">
        <v>3368</v>
      </c>
      <c r="J2213" s="1" t="s">
        <v>52</v>
      </c>
      <c r="K2213" s="1" t="s">
        <v>3369</v>
      </c>
      <c r="L2213" s="1" t="s">
        <v>46</v>
      </c>
      <c r="M2213" s="3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6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6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6" t="s">
        <v>3371</v>
      </c>
      <c r="J2214" s="1" t="s">
        <v>52</v>
      </c>
      <c r="K2214" s="1" t="s">
        <v>3372</v>
      </c>
      <c r="L2214" s="1" t="s">
        <v>46</v>
      </c>
      <c r="M2214" s="3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6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6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6" t="s">
        <v>3374</v>
      </c>
      <c r="J2215" s="1" t="s">
        <v>52</v>
      </c>
      <c r="K2215" s="1" t="s">
        <v>3375</v>
      </c>
      <c r="L2215" s="1" t="s">
        <v>46</v>
      </c>
      <c r="M2215" s="3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6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6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6" t="s">
        <v>69</v>
      </c>
      <c r="M2216" s="13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6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6" t="s">
        <v>69</v>
      </c>
      <c r="M2217" s="13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6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6" t="s">
        <v>69</v>
      </c>
      <c r="M2218" s="13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6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6" t="s">
        <v>69</v>
      </c>
      <c r="M2219" s="13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6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6" t="s">
        <v>69</v>
      </c>
      <c r="M2220" s="13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6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6" t="s">
        <v>69</v>
      </c>
      <c r="M2221" s="13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6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6" t="s">
        <v>69</v>
      </c>
      <c r="M2222" s="13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6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6" t="s">
        <v>69</v>
      </c>
      <c r="M2223" s="13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6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6" t="s">
        <v>69</v>
      </c>
      <c r="M2224" s="13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6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6" t="s">
        <v>69</v>
      </c>
      <c r="M2225" s="13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6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6" t="s">
        <v>69</v>
      </c>
      <c r="M2226" s="13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6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6" t="s">
        <v>69</v>
      </c>
      <c r="M2227" s="13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6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6" t="s">
        <v>69</v>
      </c>
      <c r="M2228" s="13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6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6" t="s">
        <v>69</v>
      </c>
      <c r="M2229" s="13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6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6" t="s">
        <v>69</v>
      </c>
      <c r="M2230" s="13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6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6" t="s">
        <v>69</v>
      </c>
      <c r="M2231" s="13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6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6" t="s">
        <v>69</v>
      </c>
      <c r="M2232" s="13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6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6" t="s">
        <v>69</v>
      </c>
      <c r="M2233" s="13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6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6" t="s">
        <v>69</v>
      </c>
      <c r="M2234" s="13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6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6" t="s">
        <v>69</v>
      </c>
      <c r="M2235" s="13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6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6" t="s">
        <v>69</v>
      </c>
      <c r="M2236" s="13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6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6" t="s">
        <v>69</v>
      </c>
      <c r="M2237" s="13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6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6" t="s">
        <v>69</v>
      </c>
      <c r="M2238" s="13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6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6" t="s">
        <v>69</v>
      </c>
      <c r="M2239" s="13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6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6" t="s">
        <v>69</v>
      </c>
      <c r="M2240" s="13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6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6" t="s">
        <v>69</v>
      </c>
      <c r="M2241" s="13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6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6" t="s">
        <v>69</v>
      </c>
      <c r="M2242" s="13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6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6" t="s">
        <v>69</v>
      </c>
      <c r="M2243" s="13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6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6" t="s">
        <v>69</v>
      </c>
      <c r="M2244" s="13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6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6" t="s">
        <v>69</v>
      </c>
      <c r="M2245" s="13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6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6" t="s">
        <v>69</v>
      </c>
      <c r="M2246" s="13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6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6" t="s">
        <v>69</v>
      </c>
      <c r="M2247" s="13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6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6" t="s">
        <v>69</v>
      </c>
      <c r="M2248" s="13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6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6" t="s">
        <v>69</v>
      </c>
      <c r="M2249" s="13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6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6" t="s">
        <v>69</v>
      </c>
      <c r="M2250" s="13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6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6" t="s">
        <v>69</v>
      </c>
      <c r="M2251" s="13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6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6" t="s">
        <v>69</v>
      </c>
      <c r="M2252" s="13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6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6" t="s">
        <v>69</v>
      </c>
      <c r="M2253" s="13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6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6" t="s">
        <v>69</v>
      </c>
      <c r="M2254" s="13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6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6" t="s">
        <v>69</v>
      </c>
      <c r="M2255" s="13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6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6" t="s">
        <v>69</v>
      </c>
      <c r="M2256" s="13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6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6" t="s">
        <v>69</v>
      </c>
      <c r="M2257" s="13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6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6" t="s">
        <v>69</v>
      </c>
      <c r="M2258" s="13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6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6" t="s">
        <v>69</v>
      </c>
      <c r="M2259" s="13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6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6" t="s">
        <v>69</v>
      </c>
      <c r="M2260" s="13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6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6" t="s">
        <v>69</v>
      </c>
      <c r="M2261" s="13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6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6" t="s">
        <v>69</v>
      </c>
      <c r="M2262" s="13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6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6" t="s">
        <v>69</v>
      </c>
      <c r="M2263" s="13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6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6" t="s">
        <v>69</v>
      </c>
      <c r="M2264" s="13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6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6" t="s">
        <v>69</v>
      </c>
      <c r="M2265" s="13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6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6" t="s">
        <v>69</v>
      </c>
      <c r="M2266" s="13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6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6" t="s">
        <v>69</v>
      </c>
      <c r="M2267" s="13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6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6" t="s">
        <v>69</v>
      </c>
      <c r="M2268" s="13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6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6" t="s">
        <v>69</v>
      </c>
      <c r="M2269" s="13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6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9" t="s">
        <v>69</v>
      </c>
      <c r="M2270" s="3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9" t="s">
        <v>69</v>
      </c>
      <c r="M2271" s="3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9" t="s">
        <v>69</v>
      </c>
      <c r="M2272" s="3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9" t="s">
        <v>69</v>
      </c>
      <c r="M2273" s="3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9" t="s">
        <v>69</v>
      </c>
      <c r="M2274" s="3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9" t="s">
        <v>69</v>
      </c>
      <c r="M2275" s="3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9" t="s">
        <v>69</v>
      </c>
      <c r="M2276" s="3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9" t="s">
        <v>69</v>
      </c>
      <c r="M2277" s="3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9" t="s">
        <v>69</v>
      </c>
      <c r="M2278" s="3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9" t="s">
        <v>69</v>
      </c>
      <c r="M2279" s="3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9" t="s">
        <v>69</v>
      </c>
      <c r="M2280" s="3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9" t="s">
        <v>69</v>
      </c>
      <c r="M2281" s="3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9" t="s">
        <v>69</v>
      </c>
      <c r="M2282" s="3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9" t="s">
        <v>69</v>
      </c>
      <c r="M2283" s="3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9" t="s">
        <v>69</v>
      </c>
      <c r="M2284" s="3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9" t="s">
        <v>69</v>
      </c>
      <c r="M2285" s="3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9" t="s">
        <v>69</v>
      </c>
      <c r="M2286" s="3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9" t="s">
        <v>69</v>
      </c>
      <c r="M2287" s="3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9" t="s">
        <v>69</v>
      </c>
      <c r="M2288" s="3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9" t="s">
        <v>69</v>
      </c>
      <c r="M2289" s="3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9" t="s">
        <v>69</v>
      </c>
      <c r="M2290" s="3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9" t="s">
        <v>69</v>
      </c>
      <c r="M2291" s="3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9" t="s">
        <v>69</v>
      </c>
      <c r="M2292" s="3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9" t="s">
        <v>69</v>
      </c>
      <c r="M2293" s="3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6" t="s">
        <v>69</v>
      </c>
      <c r="M2294" s="13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6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6" t="s">
        <v>69</v>
      </c>
      <c r="M2295" s="13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6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6" t="s">
        <v>69</v>
      </c>
      <c r="M2296" s="13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6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6" t="s">
        <v>69</v>
      </c>
      <c r="M2297" s="13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6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6" t="s">
        <v>69</v>
      </c>
      <c r="M2298" s="13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6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6" t="s">
        <v>69</v>
      </c>
      <c r="M2299" s="13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6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6" t="s">
        <v>69</v>
      </c>
      <c r="M2300" s="13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6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6" t="s">
        <v>69</v>
      </c>
      <c r="M2301" s="13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6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6" t="s">
        <v>69</v>
      </c>
      <c r="M2302" s="13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6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6" t="s">
        <v>69</v>
      </c>
      <c r="M2303" s="13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6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6" t="s">
        <v>69</v>
      </c>
      <c r="M2304" s="13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6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6" t="s">
        <v>69</v>
      </c>
      <c r="M2305" s="13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6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6" t="s">
        <v>69</v>
      </c>
      <c r="M2306" s="13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6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6" t="s">
        <v>69</v>
      </c>
      <c r="M2307" s="13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6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6" t="s">
        <v>69</v>
      </c>
      <c r="M2308" s="13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6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6" t="s">
        <v>69</v>
      </c>
      <c r="M2309" s="13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6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6" t="s">
        <v>69</v>
      </c>
      <c r="M2310" s="13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6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6" t="s">
        <v>69</v>
      </c>
      <c r="M2311" s="13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6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6" t="s">
        <v>69</v>
      </c>
      <c r="M2312" s="13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6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6" t="s">
        <v>69</v>
      </c>
      <c r="M2313" s="13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6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6" t="s">
        <v>69</v>
      </c>
      <c r="M2314" s="13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6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6" t="s">
        <v>69</v>
      </c>
      <c r="M2315" s="13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6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6" t="s">
        <v>69</v>
      </c>
      <c r="M2316" s="13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6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6" t="s">
        <v>69</v>
      </c>
      <c r="M2317" s="13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6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6" t="s">
        <v>69</v>
      </c>
      <c r="M2318" s="13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6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6" t="s">
        <v>69</v>
      </c>
      <c r="M2319" s="13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6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6" t="s">
        <v>69</v>
      </c>
      <c r="M2320" s="13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6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6" t="s">
        <v>69</v>
      </c>
      <c r="M2321" s="13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6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6" t="s">
        <v>69</v>
      </c>
      <c r="M2322" s="13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6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6" t="s">
        <v>69</v>
      </c>
      <c r="M2323" s="13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6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6" t="s">
        <v>69</v>
      </c>
      <c r="M2324" s="13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6" t="s">
        <v>69</v>
      </c>
      <c r="M2325" s="13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6" t="s">
        <v>69</v>
      </c>
      <c r="M2326" s="13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6" t="s">
        <v>69</v>
      </c>
      <c r="M2327" s="13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6" t="s">
        <v>69</v>
      </c>
      <c r="M2328" s="13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6" t="s">
        <v>69</v>
      </c>
      <c r="M2329" s="13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6" t="s">
        <v>69</v>
      </c>
      <c r="M2330" s="13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6" t="s">
        <v>69</v>
      </c>
      <c r="M2331" s="13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6" t="s">
        <v>69</v>
      </c>
      <c r="M2332" s="13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6" t="s">
        <v>69</v>
      </c>
      <c r="M2333" s="13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6" t="s">
        <v>69</v>
      </c>
      <c r="M2334" s="13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6" t="s">
        <v>69</v>
      </c>
      <c r="M2335" s="13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6" t="s">
        <v>69</v>
      </c>
      <c r="M2336" s="13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6" t="s">
        <v>69</v>
      </c>
      <c r="M2337" s="13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6" t="s">
        <v>69</v>
      </c>
      <c r="M2338" s="13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6" t="s">
        <v>69</v>
      </c>
      <c r="M2339" s="13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6" t="s">
        <v>69</v>
      </c>
      <c r="M2340" s="13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6" t="s">
        <v>69</v>
      </c>
      <c r="M2341" s="13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6" t="s">
        <v>69</v>
      </c>
      <c r="M2342" s="13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6" t="s">
        <v>69</v>
      </c>
      <c r="M2343" s="13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6" t="s">
        <v>69</v>
      </c>
      <c r="M2344" s="13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6" t="s">
        <v>69</v>
      </c>
      <c r="M2345" s="13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6" t="s">
        <v>69</v>
      </c>
      <c r="M2346" s="13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6" t="s">
        <v>69</v>
      </c>
      <c r="M2347" s="13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6" t="s">
        <v>69</v>
      </c>
      <c r="M2348" s="13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6" t="s">
        <v>69</v>
      </c>
      <c r="M2349" s="13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6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6" t="s">
        <v>69</v>
      </c>
      <c r="M2350" s="13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6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6" t="s">
        <v>69</v>
      </c>
      <c r="M2351" s="13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6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6" t="s">
        <v>69</v>
      </c>
      <c r="M2352" s="13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6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6" t="s">
        <v>69</v>
      </c>
      <c r="M2353" s="13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6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6" t="s">
        <v>69</v>
      </c>
      <c r="M2354" s="13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6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6" t="s">
        <v>69</v>
      </c>
      <c r="M2355" s="13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6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6" t="s">
        <v>69</v>
      </c>
      <c r="M2356" s="13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6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6" t="s">
        <v>69</v>
      </c>
      <c r="M2357" s="13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6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6" t="s">
        <v>69</v>
      </c>
      <c r="M2358" s="13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6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6" t="s">
        <v>69</v>
      </c>
      <c r="M2359" s="13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6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6" t="s">
        <v>69</v>
      </c>
      <c r="M2360" s="13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6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6" t="s">
        <v>69</v>
      </c>
      <c r="M2361" s="13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6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6" t="s">
        <v>69</v>
      </c>
      <c r="M2362" s="13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6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6" t="s">
        <v>69</v>
      </c>
      <c r="M2363" s="13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6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6" t="s">
        <v>69</v>
      </c>
      <c r="M2364" s="13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6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6" t="s">
        <v>69</v>
      </c>
      <c r="M2365" s="13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6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6" t="s">
        <v>69</v>
      </c>
      <c r="M2366" s="13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6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6" t="s">
        <v>69</v>
      </c>
      <c r="M2367" s="13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6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6" t="s">
        <v>69</v>
      </c>
      <c r="M2368" s="13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6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6" t="s">
        <v>69</v>
      </c>
      <c r="M2369" s="13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6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6" t="s">
        <v>69</v>
      </c>
      <c r="M2370" s="13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6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6" t="s">
        <v>69</v>
      </c>
      <c r="M2371" s="13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6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6" t="s">
        <v>69</v>
      </c>
      <c r="M2372" s="13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6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6" t="s">
        <v>69</v>
      </c>
      <c r="M2373" s="13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6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9" t="s">
        <v>69</v>
      </c>
      <c r="M2374" s="3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9" t="s">
        <v>69</v>
      </c>
      <c r="M2375" s="3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9" t="s">
        <v>69</v>
      </c>
      <c r="M2376" s="3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9" t="s">
        <v>69</v>
      </c>
      <c r="M2377" s="3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9" t="s">
        <v>69</v>
      </c>
      <c r="M2378" s="3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9" t="s">
        <v>69</v>
      </c>
      <c r="M2379" s="3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9" t="s">
        <v>69</v>
      </c>
      <c r="M2380" s="3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9" t="s">
        <v>69</v>
      </c>
      <c r="M2381" s="3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9" t="s">
        <v>69</v>
      </c>
      <c r="M2382" s="3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9" t="s">
        <v>69</v>
      </c>
      <c r="M2383" s="3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9" t="s">
        <v>69</v>
      </c>
      <c r="M2384" s="3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9" t="s">
        <v>69</v>
      </c>
      <c r="M2385" s="3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9" t="s">
        <v>69</v>
      </c>
      <c r="M2386" s="3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9" t="s">
        <v>69</v>
      </c>
      <c r="M2387" s="3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9" t="s">
        <v>69</v>
      </c>
      <c r="M2388" s="3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9" t="s">
        <v>69</v>
      </c>
      <c r="M2389" s="3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9" t="s">
        <v>69</v>
      </c>
      <c r="M2390" s="3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9" t="s">
        <v>69</v>
      </c>
      <c r="M2391" s="3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9" t="s">
        <v>69</v>
      </c>
      <c r="M2392" s="3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9" t="s">
        <v>69</v>
      </c>
      <c r="M2393" s="3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9" t="s">
        <v>69</v>
      </c>
      <c r="M2394" s="3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9" t="s">
        <v>69</v>
      </c>
      <c r="M2395" s="3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9" t="s">
        <v>69</v>
      </c>
      <c r="M2396" s="3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9" t="s">
        <v>69</v>
      </c>
      <c r="M2397" s="3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9" t="s">
        <v>69</v>
      </c>
      <c r="M2398" s="3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9" t="s">
        <v>69</v>
      </c>
      <c r="M2399" s="3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9" t="s">
        <v>69</v>
      </c>
      <c r="M2400" s="3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9" t="s">
        <v>69</v>
      </c>
      <c r="M2401" s="3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9" t="s">
        <v>69</v>
      </c>
      <c r="M2402" s="3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9" t="s">
        <v>69</v>
      </c>
      <c r="M2403" s="3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6" t="s">
        <v>69</v>
      </c>
      <c r="M2404" s="13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6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6" t="s">
        <v>69</v>
      </c>
      <c r="M2405" s="13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6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6" t="s">
        <v>69</v>
      </c>
      <c r="M2406" s="13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6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6" t="s">
        <v>69</v>
      </c>
      <c r="M2407" s="13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6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6" t="s">
        <v>69</v>
      </c>
      <c r="M2408" s="13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6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6" t="s">
        <v>69</v>
      </c>
      <c r="M2409" s="13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6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6" t="s">
        <v>69</v>
      </c>
      <c r="M2410" s="13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6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6" t="s">
        <v>69</v>
      </c>
      <c r="M2411" s="13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6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6" t="s">
        <v>69</v>
      </c>
      <c r="M2412" s="13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6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6" t="s">
        <v>69</v>
      </c>
      <c r="M2413" s="13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6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6" t="s">
        <v>69</v>
      </c>
      <c r="M2414" s="13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6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6" t="s">
        <v>69</v>
      </c>
      <c r="M2415" s="13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6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6" t="s">
        <v>69</v>
      </c>
      <c r="M2416" s="13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6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6" t="s">
        <v>69</v>
      </c>
      <c r="M2417" s="13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6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6" t="s">
        <v>69</v>
      </c>
      <c r="M2418" s="13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6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6" t="s">
        <v>69</v>
      </c>
      <c r="M2419" s="13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6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6" t="s">
        <v>69</v>
      </c>
      <c r="M2420" s="13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6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6" t="s">
        <v>69</v>
      </c>
      <c r="M2421" s="13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6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6" t="s">
        <v>69</v>
      </c>
      <c r="M2422" s="13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6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6" t="s">
        <v>69</v>
      </c>
      <c r="M2423" s="13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6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6" t="s">
        <v>69</v>
      </c>
      <c r="M2424" s="13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6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6" t="s">
        <v>69</v>
      </c>
      <c r="M2425" s="13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6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6" t="s">
        <v>69</v>
      </c>
      <c r="M2426" s="13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6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6" t="s">
        <v>69</v>
      </c>
      <c r="M2427" s="13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6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6" t="s">
        <v>69</v>
      </c>
      <c r="M2428" s="13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6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6" t="s">
        <v>69</v>
      </c>
      <c r="M2429" s="13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6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6" t="s">
        <v>69</v>
      </c>
      <c r="M2430" s="13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6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6" t="s">
        <v>69</v>
      </c>
      <c r="M2431" s="13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6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6" t="s">
        <v>69</v>
      </c>
      <c r="M2432" s="13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6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6" t="s">
        <v>69</v>
      </c>
      <c r="M2433" s="13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6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9" t="s">
        <v>69</v>
      </c>
      <c r="M2434" s="3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9" t="s">
        <v>69</v>
      </c>
      <c r="M2435" s="3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9" t="s">
        <v>69</v>
      </c>
      <c r="M2436" s="3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9" t="s">
        <v>69</v>
      </c>
      <c r="M2437" s="3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9" t="s">
        <v>69</v>
      </c>
      <c r="M2438" s="3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9" t="s">
        <v>69</v>
      </c>
      <c r="M2439" s="3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9" t="s">
        <v>69</v>
      </c>
      <c r="M2440" s="3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9" t="s">
        <v>69</v>
      </c>
      <c r="M2441" s="3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9" t="s">
        <v>69</v>
      </c>
      <c r="M2442" s="3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9" t="s">
        <v>69</v>
      </c>
      <c r="M2443" s="3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9" t="s">
        <v>69</v>
      </c>
      <c r="M2444" s="3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9" t="s">
        <v>69</v>
      </c>
      <c r="M2445" s="3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9" t="s">
        <v>69</v>
      </c>
      <c r="M2446" s="3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9" t="s">
        <v>69</v>
      </c>
      <c r="M2447" s="3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9" t="s">
        <v>69</v>
      </c>
      <c r="M2448" s="3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9" t="s">
        <v>69</v>
      </c>
      <c r="M2449" s="3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9" t="s">
        <v>69</v>
      </c>
      <c r="M2450" s="3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9" t="s">
        <v>69</v>
      </c>
      <c r="M2451" s="3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9" t="s">
        <v>69</v>
      </c>
      <c r="M2452" s="3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9" t="s">
        <v>69</v>
      </c>
      <c r="M2453" s="3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9" t="s">
        <v>69</v>
      </c>
      <c r="M2454" s="3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9" t="s">
        <v>69</v>
      </c>
      <c r="M2455" s="3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9" t="s">
        <v>69</v>
      </c>
      <c r="M2456" s="3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9" t="s">
        <v>69</v>
      </c>
      <c r="M2457" s="3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6" t="s">
        <v>69</v>
      </c>
      <c r="M2458" s="13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6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6" t="s">
        <v>69</v>
      </c>
      <c r="M2459" s="13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6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6" t="s">
        <v>69</v>
      </c>
      <c r="M2460" s="13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6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6" t="s">
        <v>69</v>
      </c>
      <c r="M2461" s="13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6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6" t="s">
        <v>69</v>
      </c>
      <c r="M2462" s="13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6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6" t="s">
        <v>69</v>
      </c>
      <c r="M2463" s="13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6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6" t="s">
        <v>69</v>
      </c>
      <c r="M2464" s="13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6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6" t="s">
        <v>69</v>
      </c>
      <c r="M2465" s="13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6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6" t="s">
        <v>69</v>
      </c>
      <c r="M2466" s="13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6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6" t="s">
        <v>69</v>
      </c>
      <c r="M2467" s="13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6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6" t="s">
        <v>69</v>
      </c>
      <c r="M2468" s="13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6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6" t="s">
        <v>69</v>
      </c>
      <c r="M2469" s="13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6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6" t="s">
        <v>69</v>
      </c>
      <c r="M2470" s="13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6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6" t="s">
        <v>69</v>
      </c>
      <c r="M2471" s="13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6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6" t="s">
        <v>69</v>
      </c>
      <c r="M2472" s="13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6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6" t="s">
        <v>69</v>
      </c>
      <c r="M2473" s="13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6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6" t="s">
        <v>69</v>
      </c>
      <c r="M2474" s="13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6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6" t="s">
        <v>69</v>
      </c>
      <c r="M2475" s="13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6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6" t="s">
        <v>69</v>
      </c>
      <c r="M2476" s="13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6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6" t="s">
        <v>69</v>
      </c>
      <c r="M2477" s="13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6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6" t="s">
        <v>69</v>
      </c>
      <c r="M2478" s="13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6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6" t="s">
        <v>69</v>
      </c>
      <c r="M2479" s="13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6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6" t="s">
        <v>69</v>
      </c>
      <c r="M2480" s="13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6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6" t="s">
        <v>69</v>
      </c>
      <c r="M2481" s="13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6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6" t="s">
        <v>69</v>
      </c>
      <c r="M2482" s="13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6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6" t="s">
        <v>69</v>
      </c>
      <c r="M2483" s="13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6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6" t="s">
        <v>69</v>
      </c>
      <c r="M2484" s="13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6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6" t="s">
        <v>69</v>
      </c>
      <c r="M2485" s="13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6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6" t="s">
        <v>69</v>
      </c>
      <c r="M2486" s="13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6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6" t="s">
        <v>69</v>
      </c>
      <c r="M2487" s="13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6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9" t="s">
        <v>69</v>
      </c>
      <c r="M2488" s="3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9" t="s">
        <v>69</v>
      </c>
      <c r="M2489" s="3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9" t="s">
        <v>69</v>
      </c>
      <c r="M2490" s="3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9" t="s">
        <v>69</v>
      </c>
      <c r="M2491" s="3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9" t="s">
        <v>69</v>
      </c>
      <c r="M2492" s="3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9" t="s">
        <v>69</v>
      </c>
      <c r="M2493" s="3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9" t="s">
        <v>69</v>
      </c>
      <c r="M2494" s="3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9" t="s">
        <v>69</v>
      </c>
      <c r="M2495" s="3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9" t="s">
        <v>69</v>
      </c>
      <c r="M2496" s="3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9" t="s">
        <v>69</v>
      </c>
      <c r="M2497" s="3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9" t="s">
        <v>69</v>
      </c>
      <c r="M2498" s="3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9" t="s">
        <v>69</v>
      </c>
      <c r="M2499" s="3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9" t="s">
        <v>69</v>
      </c>
      <c r="M2500" s="3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9" t="s">
        <v>69</v>
      </c>
      <c r="M2501" s="3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9" t="s">
        <v>69</v>
      </c>
      <c r="M2502" s="3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9" t="s">
        <v>69</v>
      </c>
      <c r="M2503" s="3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9" t="s">
        <v>69</v>
      </c>
      <c r="M2504" s="3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9" t="s">
        <v>69</v>
      </c>
      <c r="M2505" s="3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9" t="s">
        <v>69</v>
      </c>
      <c r="M2506" s="3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9" t="s">
        <v>69</v>
      </c>
      <c r="M2507" s="3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9" t="s">
        <v>69</v>
      </c>
      <c r="M2508" s="3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9" t="s">
        <v>69</v>
      </c>
      <c r="M2509" s="3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9" t="s">
        <v>69</v>
      </c>
      <c r="M2510" s="3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9" t="s">
        <v>69</v>
      </c>
      <c r="M2511" s="3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6" t="s">
        <v>69</v>
      </c>
      <c r="M2512" s="13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6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6" t="s">
        <v>69</v>
      </c>
      <c r="M2513" s="13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6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6" t="s">
        <v>69</v>
      </c>
      <c r="M2514" s="13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6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6" t="s">
        <v>69</v>
      </c>
      <c r="M2515" s="13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6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6" t="s">
        <v>69</v>
      </c>
      <c r="M2516" s="13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6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6" t="s">
        <v>69</v>
      </c>
      <c r="M2517" s="13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6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6" t="s">
        <v>69</v>
      </c>
      <c r="M2518" s="13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6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6" t="s">
        <v>69</v>
      </c>
      <c r="M2519" s="13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6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6" t="s">
        <v>69</v>
      </c>
      <c r="M2520" s="13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6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6" t="s">
        <v>69</v>
      </c>
      <c r="M2521" s="13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6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6" t="s">
        <v>69</v>
      </c>
      <c r="M2522" s="13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6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6" t="s">
        <v>69</v>
      </c>
      <c r="M2523" s="13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6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6" t="s">
        <v>69</v>
      </c>
      <c r="M2524" s="13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6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6" t="s">
        <v>69</v>
      </c>
      <c r="M2525" s="13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6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6" t="s">
        <v>69</v>
      </c>
      <c r="M2526" s="13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6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6" t="s">
        <v>69</v>
      </c>
      <c r="M2527" s="13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6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6" t="s">
        <v>69</v>
      </c>
      <c r="M2528" s="13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6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6" t="s">
        <v>69</v>
      </c>
      <c r="M2529" s="13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6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6" t="s">
        <v>69</v>
      </c>
      <c r="M2530" s="13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6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6" t="s">
        <v>69</v>
      </c>
      <c r="M2531" s="13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6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6" t="s">
        <v>69</v>
      </c>
      <c r="M2532" s="13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6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6" t="s">
        <v>69</v>
      </c>
      <c r="M2533" s="13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6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6" t="s">
        <v>69</v>
      </c>
      <c r="M2534" s="13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6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6" t="s">
        <v>69</v>
      </c>
      <c r="M2535" s="13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6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6" t="s">
        <v>69</v>
      </c>
      <c r="M2536" s="13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6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6" t="s">
        <v>69</v>
      </c>
      <c r="M2537" s="13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6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6" t="s">
        <v>69</v>
      </c>
      <c r="M2538" s="13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6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6" t="s">
        <v>69</v>
      </c>
      <c r="M2539" s="13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6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6" t="s">
        <v>69</v>
      </c>
      <c r="M2540" s="13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6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6" t="s">
        <v>69</v>
      </c>
      <c r="M2541" s="13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6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6" t="s">
        <v>69</v>
      </c>
      <c r="M2542" s="13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6" t="s">
        <v>69</v>
      </c>
      <c r="M2543" s="13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6" t="s">
        <v>69</v>
      </c>
      <c r="M2544" s="13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6" t="s">
        <v>69</v>
      </c>
      <c r="M2545" s="13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6" t="s">
        <v>69</v>
      </c>
      <c r="M2546" s="13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6" t="s">
        <v>69</v>
      </c>
      <c r="M2547" s="13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6" t="s">
        <v>69</v>
      </c>
      <c r="M2548" s="13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6" t="s">
        <v>69</v>
      </c>
      <c r="M2549" s="13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6" t="s">
        <v>69</v>
      </c>
      <c r="M2550" s="13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6" t="s">
        <v>69</v>
      </c>
      <c r="M2551" s="13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6" t="s">
        <v>69</v>
      </c>
      <c r="M2552" s="13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6" t="s">
        <v>69</v>
      </c>
      <c r="M2553" s="13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6" t="s">
        <v>69</v>
      </c>
      <c r="M2554" s="13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6" t="s">
        <v>69</v>
      </c>
      <c r="M2555" s="13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6" t="s">
        <v>69</v>
      </c>
      <c r="M2556" s="13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6" t="s">
        <v>69</v>
      </c>
      <c r="M2557" s="13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6" t="s">
        <v>69</v>
      </c>
      <c r="M2558" s="13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6" t="s">
        <v>69</v>
      </c>
      <c r="M2559" s="13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6" t="s">
        <v>69</v>
      </c>
      <c r="M2560" s="13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6" t="s">
        <v>69</v>
      </c>
      <c r="M2561" s="13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6" t="s">
        <v>69</v>
      </c>
      <c r="M2562" s="13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6" t="s">
        <v>69</v>
      </c>
      <c r="M2563" s="13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6" t="s">
        <v>69</v>
      </c>
      <c r="M2564" s="13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6" t="s">
        <v>69</v>
      </c>
      <c r="M2565" s="13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6" t="s">
        <v>69</v>
      </c>
      <c r="M2566" s="13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6" t="s">
        <v>69</v>
      </c>
      <c r="M2567" s="13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6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6" t="s">
        <v>69</v>
      </c>
      <c r="M2568" s="13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6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6" t="s">
        <v>69</v>
      </c>
      <c r="M2569" s="13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6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6" t="s">
        <v>69</v>
      </c>
      <c r="M2570" s="13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6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6" t="s">
        <v>69</v>
      </c>
      <c r="M2571" s="13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6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6" t="s">
        <v>69</v>
      </c>
      <c r="M2572" s="13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6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6" t="s">
        <v>69</v>
      </c>
      <c r="M2573" s="13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6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6" t="s">
        <v>69</v>
      </c>
      <c r="M2574" s="13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6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6" t="s">
        <v>69</v>
      </c>
      <c r="M2575" s="13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6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6" t="s">
        <v>69</v>
      </c>
      <c r="M2576" s="13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6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6" t="s">
        <v>69</v>
      </c>
      <c r="M2577" s="13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6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6" t="s">
        <v>69</v>
      </c>
      <c r="M2578" s="13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6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6" t="s">
        <v>69</v>
      </c>
      <c r="M2579" s="13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6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6" t="s">
        <v>69</v>
      </c>
      <c r="M2580" s="13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6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6" t="s">
        <v>69</v>
      </c>
      <c r="M2581" s="13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6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6" t="s">
        <v>69</v>
      </c>
      <c r="M2582" s="13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6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6" t="s">
        <v>69</v>
      </c>
      <c r="M2583" s="13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6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6" t="s">
        <v>69</v>
      </c>
      <c r="M2584" s="13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6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6" t="s">
        <v>69</v>
      </c>
      <c r="M2585" s="13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6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6" t="s">
        <v>69</v>
      </c>
      <c r="M2586" s="13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6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6" t="s">
        <v>69</v>
      </c>
      <c r="M2587" s="13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6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6" t="s">
        <v>69</v>
      </c>
      <c r="M2588" s="13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6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6" t="s">
        <v>69</v>
      </c>
      <c r="M2589" s="13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6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6" t="s">
        <v>69</v>
      </c>
      <c r="M2590" s="13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6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6" t="s">
        <v>69</v>
      </c>
      <c r="M2591" s="13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6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6" t="s">
        <v>69</v>
      </c>
      <c r="M2592" s="13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6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6" t="s">
        <v>69</v>
      </c>
      <c r="M2593" s="13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6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6" t="s">
        <v>69</v>
      </c>
      <c r="M2594" s="13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6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6" t="s">
        <v>69</v>
      </c>
      <c r="M2595" s="13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6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6" t="s">
        <v>69</v>
      </c>
      <c r="M2596" s="13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6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9" t="s">
        <v>69</v>
      </c>
      <c r="M2597" s="3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9" t="s">
        <v>69</v>
      </c>
      <c r="M2598" s="3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9" t="s">
        <v>69</v>
      </c>
      <c r="M2599" s="3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9" t="s">
        <v>69</v>
      </c>
      <c r="M2600" s="3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9" t="s">
        <v>69</v>
      </c>
      <c r="M2601" s="3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9" t="s">
        <v>69</v>
      </c>
      <c r="M2602" s="3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9" t="s">
        <v>69</v>
      </c>
      <c r="M2603" s="3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9" t="s">
        <v>69</v>
      </c>
      <c r="M2604" s="3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9" t="s">
        <v>69</v>
      </c>
      <c r="M2605" s="3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9" t="s">
        <v>69</v>
      </c>
      <c r="M2606" s="3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9" t="s">
        <v>69</v>
      </c>
      <c r="M2607" s="3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9" t="s">
        <v>69</v>
      </c>
      <c r="M2608" s="3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9" t="s">
        <v>69</v>
      </c>
      <c r="M2609" s="3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9" t="s">
        <v>69</v>
      </c>
      <c r="M2610" s="3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9" t="s">
        <v>69</v>
      </c>
      <c r="M2611" s="3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9" t="s">
        <v>69</v>
      </c>
      <c r="M2612" s="3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9" t="s">
        <v>69</v>
      </c>
      <c r="M2613" s="3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9" t="s">
        <v>69</v>
      </c>
      <c r="M2614" s="3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9" t="s">
        <v>69</v>
      </c>
      <c r="M2615" s="3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9" t="s">
        <v>69</v>
      </c>
      <c r="M2616" s="3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9" t="s">
        <v>69</v>
      </c>
      <c r="M2617" s="3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9" t="s">
        <v>69</v>
      </c>
      <c r="M2618" s="3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9" t="s">
        <v>69</v>
      </c>
      <c r="M2619" s="3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9" t="s">
        <v>69</v>
      </c>
      <c r="M2620" s="3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9" t="s">
        <v>69</v>
      </c>
      <c r="M2621" s="3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6" t="s">
        <v>69</v>
      </c>
      <c r="M2622" s="13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6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6" t="s">
        <v>69</v>
      </c>
      <c r="M2623" s="13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6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6" t="s">
        <v>69</v>
      </c>
      <c r="M2624" s="13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6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6" t="s">
        <v>69</v>
      </c>
      <c r="M2625" s="13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6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6" t="s">
        <v>69</v>
      </c>
      <c r="M2626" s="13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6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6" t="s">
        <v>69</v>
      </c>
      <c r="M2627" s="13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6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6" t="s">
        <v>69</v>
      </c>
      <c r="M2628" s="13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6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6" t="s">
        <v>69</v>
      </c>
      <c r="M2629" s="13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6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6" t="s">
        <v>69</v>
      </c>
      <c r="M2630" s="13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6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6" t="s">
        <v>69</v>
      </c>
      <c r="M2631" s="13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6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6" t="s">
        <v>69</v>
      </c>
      <c r="M2632" s="13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6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6" t="s">
        <v>69</v>
      </c>
      <c r="M2633" s="13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6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6" t="s">
        <v>69</v>
      </c>
      <c r="M2634" s="13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6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6" t="s">
        <v>69</v>
      </c>
      <c r="M2635" s="13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6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6" t="s">
        <v>69</v>
      </c>
      <c r="M2636" s="13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6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6" t="s">
        <v>69</v>
      </c>
      <c r="M2637" s="13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6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6" t="s">
        <v>69</v>
      </c>
      <c r="M2638" s="13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6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6" t="s">
        <v>69</v>
      </c>
      <c r="M2639" s="13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6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6" t="s">
        <v>69</v>
      </c>
      <c r="M2640" s="13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6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6" t="s">
        <v>69</v>
      </c>
      <c r="M2641" s="13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6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6" t="s">
        <v>69</v>
      </c>
      <c r="M2642" s="13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6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6" t="s">
        <v>69</v>
      </c>
      <c r="M2643" s="13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6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6" t="s">
        <v>69</v>
      </c>
      <c r="M2644" s="13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6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6" t="s">
        <v>69</v>
      </c>
      <c r="M2645" s="13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6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6" t="s">
        <v>69</v>
      </c>
      <c r="M2646" s="13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6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6" t="s">
        <v>69</v>
      </c>
      <c r="M2647" s="13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6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6" t="s">
        <v>69</v>
      </c>
      <c r="M2648" s="13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6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6" t="s">
        <v>69</v>
      </c>
      <c r="M2649" s="13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6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6" t="s">
        <v>69</v>
      </c>
      <c r="M2650" s="13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6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6" t="s">
        <v>69</v>
      </c>
      <c r="M2651" s="13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6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6" t="s">
        <v>69</v>
      </c>
      <c r="M2652" s="13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6" t="s">
        <v>69</v>
      </c>
      <c r="M2653" s="13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6" t="s">
        <v>69</v>
      </c>
      <c r="M2654" s="13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6" t="s">
        <v>69</v>
      </c>
      <c r="M2655" s="13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6" t="s">
        <v>69</v>
      </c>
      <c r="M2656" s="13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6" t="s">
        <v>69</v>
      </c>
      <c r="M2657" s="13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6" t="s">
        <v>69</v>
      </c>
      <c r="M2658" s="13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6" t="s">
        <v>69</v>
      </c>
      <c r="M2659" s="13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6" t="s">
        <v>69</v>
      </c>
      <c r="M2660" s="13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6" t="s">
        <v>69</v>
      </c>
      <c r="M2661" s="13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6" t="s">
        <v>69</v>
      </c>
      <c r="M2662" s="13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6" t="s">
        <v>69</v>
      </c>
      <c r="M2663" s="13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6" t="s">
        <v>69</v>
      </c>
      <c r="M2664" s="13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6" t="s">
        <v>69</v>
      </c>
      <c r="M2665" s="13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6" t="s">
        <v>69</v>
      </c>
      <c r="M2666" s="13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6" t="s">
        <v>69</v>
      </c>
      <c r="M2667" s="13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6" t="s">
        <v>69</v>
      </c>
      <c r="M2668" s="13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6" t="s">
        <v>69</v>
      </c>
      <c r="M2669" s="13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6" t="s">
        <v>69</v>
      </c>
      <c r="M2670" s="13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6" t="s">
        <v>69</v>
      </c>
      <c r="M2671" s="13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6" t="s">
        <v>69</v>
      </c>
      <c r="M2672" s="13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6" t="s">
        <v>69</v>
      </c>
      <c r="M2673" s="13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6" t="s">
        <v>69</v>
      </c>
      <c r="M2674" s="13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6" t="s">
        <v>69</v>
      </c>
      <c r="M2675" s="13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9" t="s">
        <v>69</v>
      </c>
      <c r="M2676" s="3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9" t="s">
        <v>69</v>
      </c>
      <c r="M2677" s="3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9" t="s">
        <v>69</v>
      </c>
      <c r="M2678" s="3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9" t="s">
        <v>69</v>
      </c>
      <c r="M2679" s="3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9" t="s">
        <v>69</v>
      </c>
      <c r="M2680" s="3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9" t="s">
        <v>69</v>
      </c>
      <c r="M2681" s="3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9" t="s">
        <v>69</v>
      </c>
      <c r="M2682" s="3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9" t="s">
        <v>69</v>
      </c>
      <c r="M2683" s="3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9" t="s">
        <v>69</v>
      </c>
      <c r="M2684" s="3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9" t="s">
        <v>69</v>
      </c>
      <c r="M2685" s="3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9" t="s">
        <v>69</v>
      </c>
      <c r="M2686" s="3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9" t="s">
        <v>69</v>
      </c>
      <c r="M2687" s="3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9" t="s">
        <v>69</v>
      </c>
      <c r="M2688" s="3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9" t="s">
        <v>69</v>
      </c>
      <c r="M2689" s="3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9" t="s">
        <v>69</v>
      </c>
      <c r="M2690" s="3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9" t="s">
        <v>69</v>
      </c>
      <c r="M2691" s="3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9" t="s">
        <v>69</v>
      </c>
      <c r="M2692" s="3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9" t="s">
        <v>69</v>
      </c>
      <c r="M2693" s="3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9" t="s">
        <v>69</v>
      </c>
      <c r="M2694" s="3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9" t="s">
        <v>69</v>
      </c>
      <c r="M2695" s="3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9" t="s">
        <v>69</v>
      </c>
      <c r="M2696" s="3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9" t="s">
        <v>69</v>
      </c>
      <c r="M2697" s="3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9" t="s">
        <v>69</v>
      </c>
      <c r="M2698" s="3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9" t="s">
        <v>69</v>
      </c>
      <c r="M2699" s="3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6" t="s">
        <v>69</v>
      </c>
      <c r="M2700" s="13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6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6" t="s">
        <v>69</v>
      </c>
      <c r="M2701" s="13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6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6" t="s">
        <v>69</v>
      </c>
      <c r="M2702" s="13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6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6" t="s">
        <v>69</v>
      </c>
      <c r="M2703" s="13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6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6" t="s">
        <v>69</v>
      </c>
      <c r="M2704" s="13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6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6" t="s">
        <v>69</v>
      </c>
      <c r="M2705" s="13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6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6" t="s">
        <v>69</v>
      </c>
      <c r="M2706" s="13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6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6" t="s">
        <v>69</v>
      </c>
      <c r="M2707" s="13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6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6" t="s">
        <v>69</v>
      </c>
      <c r="M2708" s="13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6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6" t="s">
        <v>69</v>
      </c>
      <c r="M2709" s="13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6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6" t="s">
        <v>69</v>
      </c>
      <c r="M2710" s="13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6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6" t="s">
        <v>69</v>
      </c>
      <c r="M2711" s="13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6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6" t="s">
        <v>69</v>
      </c>
      <c r="M2712" s="13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6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6" t="s">
        <v>69</v>
      </c>
      <c r="M2713" s="13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6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6" t="s">
        <v>69</v>
      </c>
      <c r="M2714" s="13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6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6" t="s">
        <v>69</v>
      </c>
      <c r="M2715" s="13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6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6" t="s">
        <v>69</v>
      </c>
      <c r="M2716" s="13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6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6" t="s">
        <v>69</v>
      </c>
      <c r="M2717" s="13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6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6" t="s">
        <v>69</v>
      </c>
      <c r="M2718" s="13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6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6" t="s">
        <v>69</v>
      </c>
      <c r="M2719" s="13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6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6" t="s">
        <v>69</v>
      </c>
      <c r="M2720" s="13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6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6" t="s">
        <v>69</v>
      </c>
      <c r="M2721" s="13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6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6" t="s">
        <v>69</v>
      </c>
      <c r="M2722" s="13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6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6" t="s">
        <v>69</v>
      </c>
      <c r="M2723" s="13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6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6" t="s">
        <v>69</v>
      </c>
      <c r="M2724" s="13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6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6" t="s">
        <v>69</v>
      </c>
      <c r="M2725" s="13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6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6" t="s">
        <v>69</v>
      </c>
      <c r="M2726" s="13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6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6" t="s">
        <v>69</v>
      </c>
      <c r="M2727" s="13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6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6" t="s">
        <v>69</v>
      </c>
      <c r="M2728" s="13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6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6" t="s">
        <v>69</v>
      </c>
      <c r="M2729" s="13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6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6" t="s">
        <v>69</v>
      </c>
      <c r="M2730" s="13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6" t="s">
        <v>69</v>
      </c>
      <c r="M2731" s="13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6" t="s">
        <v>69</v>
      </c>
      <c r="M2732" s="13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6" t="s">
        <v>69</v>
      </c>
      <c r="M2733" s="13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6" t="s">
        <v>69</v>
      </c>
      <c r="M2734" s="13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6" t="s">
        <v>69</v>
      </c>
      <c r="M2735" s="13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6" t="s">
        <v>69</v>
      </c>
      <c r="M2736" s="13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6" t="s">
        <v>69</v>
      </c>
      <c r="M2737" s="13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6" t="s">
        <v>69</v>
      </c>
      <c r="M2738" s="13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6" t="s">
        <v>69</v>
      </c>
      <c r="M2739" s="13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6" t="s">
        <v>69</v>
      </c>
      <c r="M2740" s="13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6" t="s">
        <v>69</v>
      </c>
      <c r="M2741" s="13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6" t="s">
        <v>69</v>
      </c>
      <c r="M2742" s="13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6" t="s">
        <v>69</v>
      </c>
      <c r="M2743" s="13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6" t="s">
        <v>69</v>
      </c>
      <c r="M2744" s="13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6" t="s">
        <v>69</v>
      </c>
      <c r="M2745" s="13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6" t="s">
        <v>69</v>
      </c>
      <c r="M2746" s="13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6" t="s">
        <v>69</v>
      </c>
      <c r="M2747" s="13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6" t="s">
        <v>69</v>
      </c>
      <c r="M2748" s="13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6" t="s">
        <v>69</v>
      </c>
      <c r="M2749" s="13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6" t="s">
        <v>69</v>
      </c>
      <c r="M2750" s="13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6" t="s">
        <v>69</v>
      </c>
      <c r="M2751" s="13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6" t="s">
        <v>69</v>
      </c>
      <c r="M2752" s="13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6" t="s">
        <v>69</v>
      </c>
      <c r="M2753" s="13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6" t="s">
        <v>69</v>
      </c>
      <c r="M2754" s="13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9" t="s">
        <v>69</v>
      </c>
      <c r="M2755" s="3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9" t="s">
        <v>69</v>
      </c>
      <c r="M2756" s="3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9" t="s">
        <v>69</v>
      </c>
      <c r="M2757" s="3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9" t="s">
        <v>69</v>
      </c>
      <c r="M2758" s="3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9" t="s">
        <v>69</v>
      </c>
      <c r="M2759" s="3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9" t="s">
        <v>69</v>
      </c>
      <c r="M2760" s="3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9" t="s">
        <v>69</v>
      </c>
      <c r="M2761" s="3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9" t="s">
        <v>69</v>
      </c>
      <c r="M2762" s="3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9" t="s">
        <v>69</v>
      </c>
      <c r="M2763" s="3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9" t="s">
        <v>69</v>
      </c>
      <c r="M2764" s="3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9" t="s">
        <v>69</v>
      </c>
      <c r="M2765" s="3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9" t="s">
        <v>69</v>
      </c>
      <c r="M2766" s="3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9" t="s">
        <v>69</v>
      </c>
      <c r="M2767" s="3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9" t="s">
        <v>69</v>
      </c>
      <c r="M2768" s="3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9" t="s">
        <v>69</v>
      </c>
      <c r="M2769" s="3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9" t="s">
        <v>69</v>
      </c>
      <c r="M2770" s="3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9" t="s">
        <v>69</v>
      </c>
      <c r="M2771" s="3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9" t="s">
        <v>69</v>
      </c>
      <c r="M2772" s="3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9" t="s">
        <v>69</v>
      </c>
      <c r="M2773" s="3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9" t="s">
        <v>69</v>
      </c>
      <c r="M2774" s="3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9" t="s">
        <v>69</v>
      </c>
      <c r="M2775" s="3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9" t="s">
        <v>69</v>
      </c>
      <c r="M2776" s="3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9" t="s">
        <v>69</v>
      </c>
      <c r="M2777" s="3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9" t="s">
        <v>69</v>
      </c>
      <c r="M2778" s="3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9" t="s">
        <v>69</v>
      </c>
      <c r="M2779" s="3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6" t="s">
        <v>69</v>
      </c>
      <c r="M2780" s="13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6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6" t="s">
        <v>69</v>
      </c>
      <c r="M2781" s="13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6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6" t="s">
        <v>69</v>
      </c>
      <c r="M2782" s="13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6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6" t="s">
        <v>69</v>
      </c>
      <c r="M2783" s="13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6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6" t="s">
        <v>69</v>
      </c>
      <c r="M2784" s="13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6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6" t="s">
        <v>69</v>
      </c>
      <c r="M2785" s="13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6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6" t="s">
        <v>69</v>
      </c>
      <c r="M2786" s="13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6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6" t="s">
        <v>69</v>
      </c>
      <c r="M2787" s="13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6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6" t="s">
        <v>69</v>
      </c>
      <c r="M2788" s="13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6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6" t="s">
        <v>69</v>
      </c>
      <c r="M2789" s="13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6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6" t="s">
        <v>69</v>
      </c>
      <c r="M2790" s="13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6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6" t="s">
        <v>69</v>
      </c>
      <c r="M2791" s="13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6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6" t="s">
        <v>69</v>
      </c>
      <c r="M2792" s="13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6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6" t="s">
        <v>69</v>
      </c>
      <c r="M2793" s="13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6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6" t="s">
        <v>69</v>
      </c>
      <c r="M2794" s="13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6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6" t="s">
        <v>69</v>
      </c>
      <c r="M2795" s="13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6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6" t="s">
        <v>69</v>
      </c>
      <c r="M2796" s="13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6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6" t="s">
        <v>69</v>
      </c>
      <c r="M2797" s="13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6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6" t="s">
        <v>69</v>
      </c>
      <c r="M2798" s="13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6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6" t="s">
        <v>69</v>
      </c>
      <c r="M2799" s="13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6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6" t="s">
        <v>69</v>
      </c>
      <c r="M2800" s="13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6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6" t="s">
        <v>69</v>
      </c>
      <c r="M2801" s="13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6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6" t="s">
        <v>69</v>
      </c>
      <c r="M2802" s="13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6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6" t="s">
        <v>69</v>
      </c>
      <c r="M2803" s="13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6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6" t="s">
        <v>69</v>
      </c>
      <c r="M2804" s="13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6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6" t="s">
        <v>69</v>
      </c>
      <c r="M2805" s="13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6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6" t="s">
        <v>69</v>
      </c>
      <c r="M2806" s="13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6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6" t="s">
        <v>69</v>
      </c>
      <c r="M2807" s="13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6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6" t="s">
        <v>69</v>
      </c>
      <c r="M2808" s="13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6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6" t="s">
        <v>69</v>
      </c>
      <c r="M2809" s="13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6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6" t="s">
        <v>69</v>
      </c>
      <c r="M2810" s="13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6" t="s">
        <v>69</v>
      </c>
      <c r="M2811" s="13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6" t="s">
        <v>69</v>
      </c>
      <c r="M2812" s="13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6" t="s">
        <v>69</v>
      </c>
      <c r="M2813" s="13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6" t="s">
        <v>69</v>
      </c>
      <c r="M2814" s="13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6" t="s">
        <v>69</v>
      </c>
      <c r="M2815" s="13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6" t="s">
        <v>69</v>
      </c>
      <c r="M2816" s="13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6" t="s">
        <v>69</v>
      </c>
      <c r="M2817" s="13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6" t="s">
        <v>69</v>
      </c>
      <c r="M2818" s="13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6" t="s">
        <v>69</v>
      </c>
      <c r="M2819" s="13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6" t="s">
        <v>69</v>
      </c>
      <c r="M2820" s="13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6" t="s">
        <v>69</v>
      </c>
      <c r="M2821" s="13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6" t="s">
        <v>69</v>
      </c>
      <c r="M2822" s="13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6" t="s">
        <v>69</v>
      </c>
      <c r="M2823" s="13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6" t="s">
        <v>69</v>
      </c>
      <c r="M2824" s="13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6" t="s">
        <v>69</v>
      </c>
      <c r="M2825" s="13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6" t="s">
        <v>69</v>
      </c>
      <c r="M2826" s="13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6" t="s">
        <v>69</v>
      </c>
      <c r="M2827" s="13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6" t="s">
        <v>69</v>
      </c>
      <c r="M2828" s="13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6" t="s">
        <v>69</v>
      </c>
      <c r="M2829" s="13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6" t="s">
        <v>69</v>
      </c>
      <c r="M2830" s="13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6" t="s">
        <v>69</v>
      </c>
      <c r="M2831" s="13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6" t="s">
        <v>69</v>
      </c>
      <c r="M2832" s="13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6" t="s">
        <v>69</v>
      </c>
      <c r="M2833" s="13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9" t="s">
        <v>69</v>
      </c>
      <c r="M2834" s="3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9" t="s">
        <v>69</v>
      </c>
      <c r="M2835" s="3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9" t="s">
        <v>69</v>
      </c>
      <c r="M2836" s="3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9" t="s">
        <v>69</v>
      </c>
      <c r="M2837" s="3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9" t="s">
        <v>69</v>
      </c>
      <c r="M2838" s="3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9" t="s">
        <v>69</v>
      </c>
      <c r="M2839" s="3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9" t="s">
        <v>69</v>
      </c>
      <c r="M2840" s="3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9" t="s">
        <v>69</v>
      </c>
      <c r="M2841" s="3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9" t="s">
        <v>69</v>
      </c>
      <c r="M2842" s="3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9" t="s">
        <v>69</v>
      </c>
      <c r="M2843" s="3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9" t="s">
        <v>69</v>
      </c>
      <c r="M2844" s="3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9" t="s">
        <v>69</v>
      </c>
      <c r="M2845" s="3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9" t="s">
        <v>69</v>
      </c>
      <c r="M2846" s="3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9" t="s">
        <v>69</v>
      </c>
      <c r="M2847" s="3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9" t="s">
        <v>69</v>
      </c>
      <c r="M2848" s="3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9" t="s">
        <v>69</v>
      </c>
      <c r="M2849" s="3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9" t="s">
        <v>69</v>
      </c>
      <c r="M2850" s="3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9" t="s">
        <v>69</v>
      </c>
      <c r="M2851" s="3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9" t="s">
        <v>69</v>
      </c>
      <c r="M2852" s="3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9" t="s">
        <v>69</v>
      </c>
      <c r="M2853" s="3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9" t="s">
        <v>69</v>
      </c>
      <c r="M2854" s="3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9" t="s">
        <v>69</v>
      </c>
      <c r="M2855" s="3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9" t="s">
        <v>69</v>
      </c>
      <c r="M2856" s="3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9" t="s">
        <v>69</v>
      </c>
      <c r="M2857" s="3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6" t="s">
        <v>69</v>
      </c>
      <c r="M2858" s="13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6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6" t="s">
        <v>69</v>
      </c>
      <c r="M2859" s="13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6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6" t="s">
        <v>69</v>
      </c>
      <c r="M2860" s="13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6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6" t="s">
        <v>69</v>
      </c>
      <c r="M2861" s="13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6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6" t="s">
        <v>69</v>
      </c>
      <c r="M2862" s="13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6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6" t="s">
        <v>69</v>
      </c>
      <c r="M2863" s="13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6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6" t="s">
        <v>69</v>
      </c>
      <c r="M2864" s="13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6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6" t="s">
        <v>69</v>
      </c>
      <c r="M2865" s="13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6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6" t="s">
        <v>69</v>
      </c>
      <c r="M2866" s="13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6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6" t="s">
        <v>69</v>
      </c>
      <c r="M2867" s="13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6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6" t="s">
        <v>69</v>
      </c>
      <c r="M2868" s="13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6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6" t="s">
        <v>69</v>
      </c>
      <c r="M2869" s="13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6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6" t="s">
        <v>69</v>
      </c>
      <c r="M2870" s="13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6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6" t="s">
        <v>69</v>
      </c>
      <c r="M2871" s="13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6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6" t="s">
        <v>69</v>
      </c>
      <c r="M2872" s="13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6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6" t="s">
        <v>69</v>
      </c>
      <c r="M2873" s="13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6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6" t="s">
        <v>69</v>
      </c>
      <c r="M2874" s="13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6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6" t="s">
        <v>69</v>
      </c>
      <c r="M2875" s="13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6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6" t="s">
        <v>69</v>
      </c>
      <c r="M2876" s="13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6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6" t="s">
        <v>69</v>
      </c>
      <c r="M2877" s="13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6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6" t="s">
        <v>69</v>
      </c>
      <c r="M2878" s="13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6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6" t="s">
        <v>69</v>
      </c>
      <c r="M2879" s="13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6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6" t="s">
        <v>69</v>
      </c>
      <c r="M2880" s="13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6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6" t="s">
        <v>69</v>
      </c>
      <c r="M2881" s="13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6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6" t="s">
        <v>69</v>
      </c>
      <c r="M2882" s="13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6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6" t="s">
        <v>69</v>
      </c>
      <c r="M2883" s="13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6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6" t="s">
        <v>69</v>
      </c>
      <c r="M2884" s="13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6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6" t="s">
        <v>69</v>
      </c>
      <c r="M2885" s="13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6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6" t="s">
        <v>69</v>
      </c>
      <c r="M2886" s="13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6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6" t="s">
        <v>69</v>
      </c>
      <c r="M2887" s="13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6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6" t="s">
        <v>69</v>
      </c>
      <c r="M2888" s="13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6" t="s">
        <v>69</v>
      </c>
      <c r="M2889" s="13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6" t="s">
        <v>69</v>
      </c>
      <c r="M2890" s="13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6" t="s">
        <v>69</v>
      </c>
      <c r="M2891" s="13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6" t="s">
        <v>69</v>
      </c>
      <c r="M2892" s="13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6" t="s">
        <v>69</v>
      </c>
      <c r="M2893" s="13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6" t="s">
        <v>69</v>
      </c>
      <c r="M2894" s="13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6" t="s">
        <v>69</v>
      </c>
      <c r="M2895" s="13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6" t="s">
        <v>69</v>
      </c>
      <c r="M2896" s="13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6" t="s">
        <v>69</v>
      </c>
      <c r="M2897" s="13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6" t="s">
        <v>69</v>
      </c>
      <c r="M2898" s="13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6" t="s">
        <v>69</v>
      </c>
      <c r="M2899" s="13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6" t="s">
        <v>69</v>
      </c>
      <c r="M2900" s="13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6" t="s">
        <v>69</v>
      </c>
      <c r="M2901" s="13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6" t="s">
        <v>69</v>
      </c>
      <c r="M2902" s="13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6" t="s">
        <v>69</v>
      </c>
      <c r="M2903" s="13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6" t="s">
        <v>69</v>
      </c>
      <c r="M2904" s="13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6" t="s">
        <v>69</v>
      </c>
      <c r="M2905" s="13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6" t="s">
        <v>69</v>
      </c>
      <c r="M2906" s="13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6" t="s">
        <v>69</v>
      </c>
      <c r="M2907" s="13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6" t="s">
        <v>69</v>
      </c>
      <c r="M2908" s="13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6" t="s">
        <v>69</v>
      </c>
      <c r="M2909" s="13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6" t="s">
        <v>69</v>
      </c>
      <c r="M2910" s="13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6" t="s">
        <v>69</v>
      </c>
      <c r="M2911" s="13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6" t="s">
        <v>69</v>
      </c>
      <c r="M2912" s="13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9" t="s">
        <v>69</v>
      </c>
      <c r="M2913" s="3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9" t="s">
        <v>69</v>
      </c>
      <c r="M2914" s="3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9" t="s">
        <v>69</v>
      </c>
      <c r="M2915" s="3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9" t="s">
        <v>69</v>
      </c>
      <c r="M2916" s="3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9" t="s">
        <v>69</v>
      </c>
      <c r="M2917" s="3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9" t="s">
        <v>69</v>
      </c>
      <c r="M2918" s="3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9" t="s">
        <v>69</v>
      </c>
      <c r="M2919" s="3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9" t="s">
        <v>69</v>
      </c>
      <c r="M2920" s="3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9" t="s">
        <v>69</v>
      </c>
      <c r="M2921" s="3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9" t="s">
        <v>69</v>
      </c>
      <c r="M2922" s="3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9" t="s">
        <v>69</v>
      </c>
      <c r="M2923" s="3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9" t="s">
        <v>69</v>
      </c>
      <c r="M2924" s="3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9" t="s">
        <v>69</v>
      </c>
      <c r="M2925" s="3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9" t="s">
        <v>69</v>
      </c>
      <c r="M2926" s="3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9" t="s">
        <v>69</v>
      </c>
      <c r="M2927" s="3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9" t="s">
        <v>69</v>
      </c>
      <c r="M2928" s="3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9" t="s">
        <v>69</v>
      </c>
      <c r="M2929" s="3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9" t="s">
        <v>69</v>
      </c>
      <c r="M2930" s="3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9" t="s">
        <v>69</v>
      </c>
      <c r="M2931" s="3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9" t="s">
        <v>69</v>
      </c>
      <c r="M2932" s="3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9" t="s">
        <v>69</v>
      </c>
      <c r="M2933" s="3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9" t="s">
        <v>69</v>
      </c>
      <c r="M2934" s="3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9" t="s">
        <v>69</v>
      </c>
      <c r="M2935" s="3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9" t="s">
        <v>69</v>
      </c>
      <c r="M2936" s="3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9" t="s">
        <v>69</v>
      </c>
      <c r="M2937" s="3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6" t="s">
        <v>69</v>
      </c>
      <c r="M2938" s="13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6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6" t="s">
        <v>69</v>
      </c>
      <c r="M2939" s="13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6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6" t="s">
        <v>69</v>
      </c>
      <c r="M2940" s="13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6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6" t="s">
        <v>69</v>
      </c>
      <c r="M2941" s="13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6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6" t="s">
        <v>69</v>
      </c>
      <c r="M2942" s="13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6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6" t="s">
        <v>69</v>
      </c>
      <c r="M2943" s="13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6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6" t="s">
        <v>69</v>
      </c>
      <c r="M2944" s="13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6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6" t="s">
        <v>69</v>
      </c>
      <c r="M2945" s="13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6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6" t="s">
        <v>69</v>
      </c>
      <c r="M2946" s="13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6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6" t="s">
        <v>69</v>
      </c>
      <c r="M2947" s="13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6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6" t="s">
        <v>69</v>
      </c>
      <c r="M2948" s="13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6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6" t="s">
        <v>69</v>
      </c>
      <c r="M2949" s="13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6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6" t="s">
        <v>69</v>
      </c>
      <c r="M2950" s="13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6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6" t="s">
        <v>69</v>
      </c>
      <c r="M2951" s="13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6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6" t="s">
        <v>69</v>
      </c>
      <c r="M2952" s="13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6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6" t="s">
        <v>69</v>
      </c>
      <c r="M2953" s="13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6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6" t="s">
        <v>69</v>
      </c>
      <c r="M2954" s="13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6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6" t="s">
        <v>69</v>
      </c>
      <c r="M2955" s="13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6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6" t="s">
        <v>69</v>
      </c>
      <c r="M2956" s="13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6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6" t="s">
        <v>69</v>
      </c>
      <c r="M2957" s="13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6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6" t="s">
        <v>69</v>
      </c>
      <c r="M2958" s="13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6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6" t="s">
        <v>69</v>
      </c>
      <c r="M2959" s="13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6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6" t="s">
        <v>69</v>
      </c>
      <c r="M2960" s="13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6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6" t="s">
        <v>69</v>
      </c>
      <c r="M2961" s="13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6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6" t="s">
        <v>69</v>
      </c>
      <c r="M2962" s="13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6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6" t="s">
        <v>69</v>
      </c>
      <c r="M2963" s="13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6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6" t="s">
        <v>69</v>
      </c>
      <c r="M2964" s="13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6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6" t="s">
        <v>69</v>
      </c>
      <c r="M2965" s="13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6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6" t="s">
        <v>69</v>
      </c>
      <c r="M2966" s="13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6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6" t="s">
        <v>69</v>
      </c>
      <c r="M2967" s="13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6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9" t="s">
        <v>69</v>
      </c>
      <c r="M2968" s="3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9" t="s">
        <v>69</v>
      </c>
      <c r="M2969" s="3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9" t="s">
        <v>69</v>
      </c>
      <c r="M2970" s="3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9" t="s">
        <v>69</v>
      </c>
      <c r="M2971" s="3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9" t="s">
        <v>69</v>
      </c>
      <c r="M2972" s="3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9" t="s">
        <v>69</v>
      </c>
      <c r="M2973" s="3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9" t="s">
        <v>69</v>
      </c>
      <c r="M2974" s="3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9" t="s">
        <v>69</v>
      </c>
      <c r="M2975" s="3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9" t="s">
        <v>69</v>
      </c>
      <c r="M2976" s="3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9" t="s">
        <v>69</v>
      </c>
      <c r="M2977" s="3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9" t="s">
        <v>69</v>
      </c>
      <c r="M2978" s="3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9" t="s">
        <v>69</v>
      </c>
      <c r="M2979" s="3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9" t="s">
        <v>69</v>
      </c>
      <c r="M2980" s="3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9" t="s">
        <v>69</v>
      </c>
      <c r="M2981" s="3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9" t="s">
        <v>69</v>
      </c>
      <c r="M2982" s="3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9" t="s">
        <v>69</v>
      </c>
      <c r="M2983" s="3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9" t="s">
        <v>69</v>
      </c>
      <c r="M2984" s="3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9" t="s">
        <v>69</v>
      </c>
      <c r="M2985" s="3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9" t="s">
        <v>69</v>
      </c>
      <c r="M2986" s="3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9" t="s">
        <v>69</v>
      </c>
      <c r="M2987" s="3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9" t="s">
        <v>69</v>
      </c>
      <c r="M2988" s="3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9" t="s">
        <v>69</v>
      </c>
      <c r="M2989" s="3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9" t="s">
        <v>69</v>
      </c>
      <c r="M2990" s="3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9" t="s">
        <v>69</v>
      </c>
      <c r="M2991" s="3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9" t="s">
        <v>69</v>
      </c>
      <c r="M2992" s="3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9" t="s">
        <v>69</v>
      </c>
      <c r="M2993" s="3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9" t="s">
        <v>69</v>
      </c>
      <c r="M2994" s="3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9" t="s">
        <v>69</v>
      </c>
      <c r="M2995" s="3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9" t="s">
        <v>69</v>
      </c>
      <c r="M2996" s="3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9" t="s">
        <v>69</v>
      </c>
      <c r="M2997" s="3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9" t="s">
        <v>69</v>
      </c>
      <c r="M2998" s="3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9" t="s">
        <v>69</v>
      </c>
      <c r="M2999" s="3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9" t="s">
        <v>69</v>
      </c>
      <c r="M3000" s="3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9" t="s">
        <v>69</v>
      </c>
      <c r="M3001" s="3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9" t="s">
        <v>69</v>
      </c>
      <c r="M3002" s="3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9" t="s">
        <v>69</v>
      </c>
      <c r="M3003" s="3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9" t="s">
        <v>69</v>
      </c>
      <c r="M3004" s="3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9" t="s">
        <v>69</v>
      </c>
      <c r="M3005" s="3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9" t="s">
        <v>69</v>
      </c>
      <c r="M3006" s="3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9" t="s">
        <v>69</v>
      </c>
      <c r="M3007" s="3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9" t="s">
        <v>69</v>
      </c>
      <c r="M3008" s="3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9" t="s">
        <v>69</v>
      </c>
      <c r="M3009" s="3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9" t="s">
        <v>69</v>
      </c>
      <c r="M3010" s="3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9" t="s">
        <v>69</v>
      </c>
      <c r="M3011" s="3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9" t="s">
        <v>69</v>
      </c>
      <c r="M3012" s="3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9" t="s">
        <v>69</v>
      </c>
      <c r="M3013" s="3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9" t="s">
        <v>69</v>
      </c>
      <c r="M3014" s="3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9" t="s">
        <v>69</v>
      </c>
      <c r="M3015" s="3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9" t="s">
        <v>69</v>
      </c>
      <c r="M3016" s="3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9" t="s">
        <v>69</v>
      </c>
      <c r="M3017" s="3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9" t="s">
        <v>69</v>
      </c>
      <c r="M3018" s="3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9" t="s">
        <v>69</v>
      </c>
      <c r="M3019" s="3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9" t="s">
        <v>69</v>
      </c>
      <c r="M3020" s="3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9" t="s">
        <v>69</v>
      </c>
      <c r="M3021" s="3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9" t="s">
        <v>69</v>
      </c>
      <c r="M3022" s="3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9" t="s">
        <v>69</v>
      </c>
      <c r="M3023" s="3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9" t="s">
        <v>69</v>
      </c>
      <c r="M3024" s="3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9" t="s">
        <v>69</v>
      </c>
      <c r="M3025" s="3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9" t="s">
        <v>69</v>
      </c>
      <c r="M3026" s="3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9" t="s">
        <v>69</v>
      </c>
      <c r="M3027" s="3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9" t="s">
        <v>69</v>
      </c>
      <c r="M3028" s="3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9" t="s">
        <v>69</v>
      </c>
      <c r="M3029" s="3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9" t="s">
        <v>69</v>
      </c>
      <c r="M3030" s="3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9" t="s">
        <v>69</v>
      </c>
      <c r="M3031" s="3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9" t="s">
        <v>69</v>
      </c>
      <c r="M3032" s="3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9" t="s">
        <v>69</v>
      </c>
      <c r="M3033" s="3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9" t="s">
        <v>69</v>
      </c>
      <c r="M3034" s="3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9" t="s">
        <v>69</v>
      </c>
      <c r="M3035" s="3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9" t="s">
        <v>69</v>
      </c>
      <c r="M3036" s="3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9" t="s">
        <v>69</v>
      </c>
      <c r="M3037" s="3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9" t="s">
        <v>69</v>
      </c>
      <c r="M3038" s="3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9" t="s">
        <v>69</v>
      </c>
      <c r="M3039" s="3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9" t="s">
        <v>69</v>
      </c>
      <c r="M3040" s="3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9" t="s">
        <v>69</v>
      </c>
      <c r="M3041" s="3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9" t="s">
        <v>69</v>
      </c>
      <c r="M3042" s="3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9" t="s">
        <v>69</v>
      </c>
      <c r="M3043" s="3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9" t="s">
        <v>69</v>
      </c>
      <c r="M3044" s="3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9" t="s">
        <v>69</v>
      </c>
      <c r="M3045" s="3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9" t="s">
        <v>69</v>
      </c>
      <c r="M3046" s="3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9" t="s">
        <v>69</v>
      </c>
      <c r="M3047" s="3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9" t="s">
        <v>69</v>
      </c>
      <c r="M3048" s="3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9" t="s">
        <v>69</v>
      </c>
      <c r="M3049" s="3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9" t="s">
        <v>69</v>
      </c>
      <c r="M3050" s="3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9" t="s">
        <v>69</v>
      </c>
      <c r="M3051" s="3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9" t="s">
        <v>69</v>
      </c>
      <c r="M3052" s="3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9" t="s">
        <v>69</v>
      </c>
      <c r="M3053" s="3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9" t="s">
        <v>69</v>
      </c>
      <c r="M3054" s="3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9" t="s">
        <v>69</v>
      </c>
      <c r="M3055" s="3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9" t="s">
        <v>69</v>
      </c>
      <c r="M3056" s="3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9" t="s">
        <v>69</v>
      </c>
      <c r="M3057" s="3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9" t="s">
        <v>69</v>
      </c>
      <c r="M3058" s="3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9" t="s">
        <v>69</v>
      </c>
      <c r="M3059" s="3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9" t="s">
        <v>69</v>
      </c>
      <c r="M3060" s="3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9" t="s">
        <v>69</v>
      </c>
      <c r="M3061" s="3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9" t="s">
        <v>69</v>
      </c>
      <c r="M3062" s="3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9" t="s">
        <v>69</v>
      </c>
      <c r="M3063" s="3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9" t="s">
        <v>69</v>
      </c>
      <c r="M3064" s="3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9" t="s">
        <v>69</v>
      </c>
      <c r="M3065" s="3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9" t="s">
        <v>69</v>
      </c>
      <c r="M3066" s="3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9" t="s">
        <v>69</v>
      </c>
      <c r="M3067" s="3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9" t="s">
        <v>69</v>
      </c>
      <c r="M3068" s="3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9" t="s">
        <v>69</v>
      </c>
      <c r="M3069" s="3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9" t="s">
        <v>69</v>
      </c>
      <c r="M3070" s="3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9" t="s">
        <v>69</v>
      </c>
      <c r="M3071" s="3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9" t="s">
        <v>69</v>
      </c>
      <c r="M3072" s="3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9" t="s">
        <v>69</v>
      </c>
      <c r="M3073" s="3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9" t="s">
        <v>69</v>
      </c>
      <c r="M3074" s="3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9" t="s">
        <v>69</v>
      </c>
      <c r="M3075" s="3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9" t="s">
        <v>69</v>
      </c>
      <c r="M3076" s="3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9" t="s">
        <v>69</v>
      </c>
      <c r="M3077" s="3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9" t="s">
        <v>69</v>
      </c>
      <c r="M3078" s="3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9" t="s">
        <v>69</v>
      </c>
      <c r="M3079" s="3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9" t="s">
        <v>69</v>
      </c>
      <c r="M3080" s="3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9" t="s">
        <v>69</v>
      </c>
      <c r="M3081" s="3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9" t="s">
        <v>69</v>
      </c>
      <c r="M3082" s="3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9" t="s">
        <v>69</v>
      </c>
      <c r="M3083" s="3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9" t="s">
        <v>69</v>
      </c>
      <c r="M3084" s="3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9" t="s">
        <v>69</v>
      </c>
      <c r="M3085" s="3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9" t="s">
        <v>69</v>
      </c>
      <c r="M3086" s="3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9" t="s">
        <v>69</v>
      </c>
      <c r="M3087" s="3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9" t="s">
        <v>69</v>
      </c>
      <c r="M3088" s="3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9" t="s">
        <v>69</v>
      </c>
      <c r="M3089" s="3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9" t="s">
        <v>69</v>
      </c>
      <c r="M3090" s="3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9" t="s">
        <v>69</v>
      </c>
      <c r="M3091" s="3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9" t="s">
        <v>69</v>
      </c>
      <c r="M3092" s="3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9" t="s">
        <v>69</v>
      </c>
      <c r="M3093" s="3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9" t="s">
        <v>69</v>
      </c>
      <c r="M3094" s="3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9" t="s">
        <v>69</v>
      </c>
      <c r="M3095" s="3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9" t="s">
        <v>69</v>
      </c>
      <c r="M3096" s="3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9" t="s">
        <v>69</v>
      </c>
      <c r="M3097" s="3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9" t="s">
        <v>69</v>
      </c>
      <c r="M3098" s="3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9" t="s">
        <v>69</v>
      </c>
      <c r="M3099" s="3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9" t="s">
        <v>69</v>
      </c>
      <c r="M3100" s="3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9" t="s">
        <v>69</v>
      </c>
      <c r="M3101" s="3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9" t="s">
        <v>69</v>
      </c>
      <c r="M3102" s="3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9" t="s">
        <v>69</v>
      </c>
      <c r="M3103" s="3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9" t="s">
        <v>69</v>
      </c>
      <c r="M3104" s="3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9" t="s">
        <v>69</v>
      </c>
      <c r="M3105" s="3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9" t="s">
        <v>69</v>
      </c>
      <c r="M3106" s="3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9" t="s">
        <v>69</v>
      </c>
      <c r="M3107" s="3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9" t="s">
        <v>69</v>
      </c>
      <c r="M3108" s="3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9" t="s">
        <v>69</v>
      </c>
      <c r="M3109" s="3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9" t="s">
        <v>69</v>
      </c>
      <c r="M3110" s="3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9" t="s">
        <v>69</v>
      </c>
      <c r="M3111" s="3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9" t="s">
        <v>69</v>
      </c>
      <c r="M3112" s="3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9" t="s">
        <v>69</v>
      </c>
      <c r="M3113" s="3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9" t="s">
        <v>69</v>
      </c>
      <c r="M3114" s="3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9" t="s">
        <v>69</v>
      </c>
      <c r="M3115" s="3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9" t="s">
        <v>69</v>
      </c>
      <c r="M3116" s="3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9" t="s">
        <v>69</v>
      </c>
      <c r="M3117" s="3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9" t="s">
        <v>69</v>
      </c>
      <c r="M3118" s="3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9" t="s">
        <v>69</v>
      </c>
      <c r="M3119" s="3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9" t="s">
        <v>69</v>
      </c>
      <c r="M3120" s="3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9" t="s">
        <v>69</v>
      </c>
      <c r="M3121" s="3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9" t="s">
        <v>69</v>
      </c>
      <c r="M3122" s="3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9" t="s">
        <v>69</v>
      </c>
      <c r="M3123" s="3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9" t="s">
        <v>69</v>
      </c>
      <c r="M3124" s="3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9" t="s">
        <v>69</v>
      </c>
      <c r="M3125" s="3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9" t="s">
        <v>69</v>
      </c>
      <c r="M3126" s="3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9" t="s">
        <v>69</v>
      </c>
      <c r="M3127" s="3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9" t="s">
        <v>69</v>
      </c>
      <c r="M3128" s="3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9" t="s">
        <v>69</v>
      </c>
      <c r="M3129" s="3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9" t="s">
        <v>69</v>
      </c>
      <c r="M3130" s="3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9" t="s">
        <v>69</v>
      </c>
      <c r="M3131" s="3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9" t="s">
        <v>69</v>
      </c>
      <c r="M3132" s="3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9" t="s">
        <v>69</v>
      </c>
      <c r="M3133" s="3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9" t="s">
        <v>69</v>
      </c>
      <c r="M3134" s="3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9" t="s">
        <v>69</v>
      </c>
      <c r="M3135" s="3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9" t="s">
        <v>69</v>
      </c>
      <c r="M3136" s="3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9" t="s">
        <v>69</v>
      </c>
      <c r="M3137" s="3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9" t="s">
        <v>69</v>
      </c>
      <c r="M3138" s="3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9" t="s">
        <v>69</v>
      </c>
      <c r="M3139" s="3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9" t="s">
        <v>69</v>
      </c>
      <c r="M3140" s="3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9" t="s">
        <v>69</v>
      </c>
      <c r="M3141" s="3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9" t="s">
        <v>69</v>
      </c>
      <c r="M3142" s="3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9" t="s">
        <v>69</v>
      </c>
      <c r="M3143" s="3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9" t="s">
        <v>69</v>
      </c>
      <c r="M3144" s="3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9" t="s">
        <v>69</v>
      </c>
      <c r="M3145" s="3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9" t="s">
        <v>69</v>
      </c>
      <c r="M3146" s="3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9" t="s">
        <v>69</v>
      </c>
      <c r="M3147" s="3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9" t="s">
        <v>69</v>
      </c>
      <c r="M3148" s="3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9" t="s">
        <v>69</v>
      </c>
      <c r="M3149" s="3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9" t="s">
        <v>69</v>
      </c>
      <c r="M3150" s="3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9" t="s">
        <v>69</v>
      </c>
      <c r="M3151" s="3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9" t="s">
        <v>69</v>
      </c>
      <c r="M3152" s="3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9" t="s">
        <v>69</v>
      </c>
      <c r="M3153" s="3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9" t="s">
        <v>69</v>
      </c>
      <c r="M3154" s="3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9" t="s">
        <v>69</v>
      </c>
      <c r="M3155" s="3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9" t="s">
        <v>69</v>
      </c>
      <c r="M3156" s="3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9" t="s">
        <v>69</v>
      </c>
      <c r="M3157" s="3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9" t="s">
        <v>69</v>
      </c>
      <c r="M3158" s="3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9" t="s">
        <v>69</v>
      </c>
      <c r="M3159" s="3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9" t="s">
        <v>69</v>
      </c>
      <c r="M3160" s="3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9" t="s">
        <v>69</v>
      </c>
      <c r="M3161" s="3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9" t="s">
        <v>69</v>
      </c>
      <c r="M3162" s="3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9" t="s">
        <v>69</v>
      </c>
      <c r="M3163" s="3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9" t="s">
        <v>69</v>
      </c>
      <c r="M3164" s="3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9" t="s">
        <v>69</v>
      </c>
      <c r="M3165" s="3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9" t="s">
        <v>69</v>
      </c>
      <c r="M3166" s="3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9" t="s">
        <v>69</v>
      </c>
      <c r="M3167" s="3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9" t="s">
        <v>69</v>
      </c>
      <c r="M3168" s="3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9" t="s">
        <v>69</v>
      </c>
      <c r="M3169" s="3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9" t="s">
        <v>69</v>
      </c>
      <c r="M3170" s="3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9" t="s">
        <v>69</v>
      </c>
      <c r="M3171" s="3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9" t="s">
        <v>69</v>
      </c>
      <c r="M3172" s="3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9" t="s">
        <v>69</v>
      </c>
      <c r="M3173" s="3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9" t="s">
        <v>69</v>
      </c>
      <c r="M3174" s="3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9" t="s">
        <v>69</v>
      </c>
      <c r="M3175" s="3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9" t="s">
        <v>69</v>
      </c>
      <c r="M3176" s="3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9" t="s">
        <v>69</v>
      </c>
      <c r="M3177" s="3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9" t="s">
        <v>69</v>
      </c>
      <c r="M3178" s="3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9" t="s">
        <v>69</v>
      </c>
      <c r="M3179" s="3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9" t="s">
        <v>69</v>
      </c>
      <c r="M3180" s="3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9" t="s">
        <v>69</v>
      </c>
      <c r="M3181" s="3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9" t="s">
        <v>69</v>
      </c>
      <c r="M3182" s="3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9" t="s">
        <v>69</v>
      </c>
      <c r="M3183" s="3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9" t="s">
        <v>69</v>
      </c>
      <c r="M3184" s="3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9" t="s">
        <v>69</v>
      </c>
      <c r="M3185" s="3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9" t="s">
        <v>69</v>
      </c>
      <c r="M3186" s="3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9" t="s">
        <v>69</v>
      </c>
      <c r="M3187" s="3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9" t="s">
        <v>69</v>
      </c>
      <c r="M3188" s="3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9" t="s">
        <v>69</v>
      </c>
      <c r="M3189" s="3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9" t="s">
        <v>69</v>
      </c>
      <c r="M3190" s="3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9" t="s">
        <v>69</v>
      </c>
      <c r="M3191" s="3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9" t="s">
        <v>69</v>
      </c>
      <c r="M3192" s="3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9" t="s">
        <v>69</v>
      </c>
      <c r="M3193" s="3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9" t="s">
        <v>69</v>
      </c>
      <c r="M3194" s="3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9" t="s">
        <v>69</v>
      </c>
      <c r="M3195" s="3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9" t="s">
        <v>69</v>
      </c>
      <c r="M3196" s="3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9" t="s">
        <v>69</v>
      </c>
      <c r="M3197" s="3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9" t="s">
        <v>69</v>
      </c>
      <c r="M3198" s="3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9" t="s">
        <v>69</v>
      </c>
      <c r="M3199" s="3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9" t="s">
        <v>69</v>
      </c>
      <c r="M3200" s="3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9" t="s">
        <v>69</v>
      </c>
      <c r="M3201" s="3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9" t="s">
        <v>69</v>
      </c>
      <c r="M3202" s="3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9" t="s">
        <v>69</v>
      </c>
      <c r="M3203" s="3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9" t="s">
        <v>69</v>
      </c>
      <c r="M3204" s="3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9" t="s">
        <v>69</v>
      </c>
      <c r="M3205" s="3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9" t="s">
        <v>69</v>
      </c>
      <c r="M3206" s="3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9" t="s">
        <v>69</v>
      </c>
      <c r="M3207" s="3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9" t="s">
        <v>69</v>
      </c>
      <c r="M3208" s="3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9" t="s">
        <v>69</v>
      </c>
      <c r="M3209" s="3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9" t="s">
        <v>69</v>
      </c>
      <c r="M3210" s="3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9" t="s">
        <v>69</v>
      </c>
      <c r="M3211" s="3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9" t="s">
        <v>69</v>
      </c>
      <c r="M3212" s="3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9" t="s">
        <v>69</v>
      </c>
      <c r="M3213" s="3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9" t="s">
        <v>69</v>
      </c>
      <c r="M3214" s="3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9" t="s">
        <v>69</v>
      </c>
      <c r="M3215" s="3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9" t="s">
        <v>69</v>
      </c>
      <c r="M3216" s="3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9" t="s">
        <v>69</v>
      </c>
      <c r="M3217" s="3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9" t="s">
        <v>69</v>
      </c>
      <c r="M3218" s="3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9" t="s">
        <v>69</v>
      </c>
      <c r="M3219" s="3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9" t="s">
        <v>69</v>
      </c>
      <c r="M3220" s="3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9" t="s">
        <v>69</v>
      </c>
      <c r="M3221" s="3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9" t="s">
        <v>69</v>
      </c>
      <c r="M3222" s="3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9" t="s">
        <v>69</v>
      </c>
      <c r="M3223" s="3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9" t="s">
        <v>69</v>
      </c>
      <c r="M3224" s="3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9" t="s">
        <v>69</v>
      </c>
      <c r="M3225" s="3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9" t="s">
        <v>69</v>
      </c>
      <c r="M3226" s="3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9" t="s">
        <v>69</v>
      </c>
      <c r="M3227" s="3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9" t="s">
        <v>69</v>
      </c>
      <c r="M3228" s="3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9" t="s">
        <v>69</v>
      </c>
      <c r="M3229" s="3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9" t="s">
        <v>69</v>
      </c>
      <c r="M3230" s="3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9" t="s">
        <v>69</v>
      </c>
      <c r="M3231" s="3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9" t="s">
        <v>69</v>
      </c>
      <c r="M3232" s="3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9" t="s">
        <v>69</v>
      </c>
      <c r="M3233" s="3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9" t="s">
        <v>69</v>
      </c>
      <c r="M3234" s="3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9" t="s">
        <v>69</v>
      </c>
      <c r="M3235" s="3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9" t="s">
        <v>69</v>
      </c>
      <c r="M3236" s="3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9" t="s">
        <v>69</v>
      </c>
      <c r="M3237" s="3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9" t="s">
        <v>69</v>
      </c>
      <c r="M3238" s="3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9" t="s">
        <v>69</v>
      </c>
      <c r="M3239" s="3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9" t="s">
        <v>69</v>
      </c>
      <c r="M3240" s="3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9" t="s">
        <v>69</v>
      </c>
      <c r="M3241" s="3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9" t="s">
        <v>69</v>
      </c>
      <c r="M3242" s="3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9" t="s">
        <v>69</v>
      </c>
      <c r="M3243" s="3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9" t="s">
        <v>69</v>
      </c>
      <c r="M3244" s="3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9" t="s">
        <v>69</v>
      </c>
      <c r="M3245" s="3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9" t="s">
        <v>69</v>
      </c>
      <c r="M3246" s="3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9" t="s">
        <v>69</v>
      </c>
      <c r="M3247" s="3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9" t="s">
        <v>69</v>
      </c>
      <c r="M3248" s="3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9" t="s">
        <v>69</v>
      </c>
      <c r="M3249" s="3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9" t="s">
        <v>69</v>
      </c>
      <c r="M3250" s="3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9" t="s">
        <v>69</v>
      </c>
      <c r="M3251" s="3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9" t="s">
        <v>69</v>
      </c>
      <c r="M3252" s="3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9" t="s">
        <v>69</v>
      </c>
      <c r="M3253" s="3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9" t="s">
        <v>69</v>
      </c>
      <c r="M3254" s="3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9" t="s">
        <v>69</v>
      </c>
      <c r="M3255" s="3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9" t="s">
        <v>69</v>
      </c>
      <c r="M3256" s="3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9" t="s">
        <v>69</v>
      </c>
      <c r="M3257" s="3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9" t="s">
        <v>69</v>
      </c>
      <c r="M3258" s="3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9" t="s">
        <v>69</v>
      </c>
      <c r="M3259" s="3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9" t="s">
        <v>69</v>
      </c>
      <c r="M3260" s="3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9" t="s">
        <v>69</v>
      </c>
      <c r="M3261" s="3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9" t="s">
        <v>69</v>
      </c>
      <c r="M3262" s="3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9" t="s">
        <v>69</v>
      </c>
      <c r="M3263" s="3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9" t="s">
        <v>69</v>
      </c>
      <c r="M3264" s="3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9" t="s">
        <v>69</v>
      </c>
      <c r="M3265" s="3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9" t="s">
        <v>69</v>
      </c>
      <c r="M3266" s="3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9" t="s">
        <v>69</v>
      </c>
      <c r="M3267" s="3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9" t="s">
        <v>69</v>
      </c>
      <c r="M3268" s="3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9" t="s">
        <v>69</v>
      </c>
      <c r="M3269" s="3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9" t="s">
        <v>69</v>
      </c>
      <c r="M3270" s="3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9" t="s">
        <v>69</v>
      </c>
      <c r="M3271" s="3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9" t="s">
        <v>69</v>
      </c>
      <c r="M3272" s="3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9" t="s">
        <v>69</v>
      </c>
      <c r="M3273" s="3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9" t="s">
        <v>69</v>
      </c>
      <c r="M3274" s="3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9" t="s">
        <v>69</v>
      </c>
      <c r="M3275" s="3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9" t="s">
        <v>69</v>
      </c>
      <c r="M3276" s="3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9" t="s">
        <v>69</v>
      </c>
      <c r="M3277" s="3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9" t="s">
        <v>69</v>
      </c>
      <c r="M3278" s="3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9" t="s">
        <v>69</v>
      </c>
      <c r="M3279" s="3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9" t="s">
        <v>69</v>
      </c>
      <c r="M3280" s="3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9" t="s">
        <v>69</v>
      </c>
      <c r="M3281" s="3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9" t="s">
        <v>69</v>
      </c>
      <c r="M3282" s="3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9" t="s">
        <v>69</v>
      </c>
      <c r="M3283" s="3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9" t="s">
        <v>69</v>
      </c>
      <c r="M3284" s="3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9" t="s">
        <v>69</v>
      </c>
      <c r="M3285" s="3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9" t="s">
        <v>69</v>
      </c>
      <c r="M3286" s="3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9" t="s">
        <v>69</v>
      </c>
      <c r="M3287" s="3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9" t="s">
        <v>69</v>
      </c>
      <c r="M3288" s="3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9" t="s">
        <v>69</v>
      </c>
      <c r="M3289" s="3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9" t="s">
        <v>69</v>
      </c>
      <c r="M3290" s="3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9" t="s">
        <v>69</v>
      </c>
      <c r="M3291" s="3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9" t="s">
        <v>69</v>
      </c>
      <c r="M3292" s="3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9" t="s">
        <v>69</v>
      </c>
      <c r="M3293" s="3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9" t="s">
        <v>69</v>
      </c>
      <c r="M3294" s="3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9" t="s">
        <v>69</v>
      </c>
      <c r="M3295" s="3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9" t="s">
        <v>69</v>
      </c>
      <c r="M3296" s="3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9" t="s">
        <v>69</v>
      </c>
      <c r="M3297" s="3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9" t="s">
        <v>69</v>
      </c>
      <c r="M3298" s="3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9" t="s">
        <v>69</v>
      </c>
      <c r="M3299" s="3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9" t="s">
        <v>69</v>
      </c>
      <c r="M3300" s="3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9" t="s">
        <v>69</v>
      </c>
      <c r="M3301" s="3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9" t="s">
        <v>69</v>
      </c>
      <c r="M3302" s="3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9" t="s">
        <v>69</v>
      </c>
      <c r="M3303" s="3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9" t="s">
        <v>69</v>
      </c>
      <c r="M3304" s="3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9" t="s">
        <v>69</v>
      </c>
      <c r="M3305" s="3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9" t="s">
        <v>69</v>
      </c>
      <c r="M3306" s="3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9" t="s">
        <v>69</v>
      </c>
      <c r="M3307" s="3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9" t="s">
        <v>69</v>
      </c>
      <c r="M3308" s="3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9" t="s">
        <v>69</v>
      </c>
      <c r="M3309" s="3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9" t="s">
        <v>69</v>
      </c>
      <c r="M3310" s="3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9" t="s">
        <v>69</v>
      </c>
      <c r="M3311" s="3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9" t="s">
        <v>69</v>
      </c>
      <c r="M3312" s="3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9" t="s">
        <v>69</v>
      </c>
      <c r="M3313" s="3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9" t="s">
        <v>69</v>
      </c>
      <c r="M3314" s="3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9" t="s">
        <v>69</v>
      </c>
      <c r="M3315" s="3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9" t="s">
        <v>69</v>
      </c>
      <c r="M3316" s="3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9" t="s">
        <v>69</v>
      </c>
      <c r="M3317" s="3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9" t="s">
        <v>69</v>
      </c>
      <c r="M3318" s="3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9" t="s">
        <v>69</v>
      </c>
      <c r="M3319" s="3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9" t="s">
        <v>69</v>
      </c>
      <c r="M3320" s="3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9" t="s">
        <v>69</v>
      </c>
      <c r="M3321" s="3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9" t="s">
        <v>69</v>
      </c>
      <c r="M3322" s="3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9" t="s">
        <v>69</v>
      </c>
      <c r="M3323" s="3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9" t="s">
        <v>69</v>
      </c>
      <c r="M3324" s="3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9" t="s">
        <v>69</v>
      </c>
      <c r="M3325" s="3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9" t="s">
        <v>69</v>
      </c>
      <c r="M3326" s="3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9" t="s">
        <v>69</v>
      </c>
      <c r="M3327" s="3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9" t="s">
        <v>69</v>
      </c>
      <c r="M3328" s="3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9" t="s">
        <v>69</v>
      </c>
      <c r="M3329" s="3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9" t="s">
        <v>69</v>
      </c>
      <c r="M3330" s="3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9" t="s">
        <v>69</v>
      </c>
      <c r="M3331" s="3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9" t="s">
        <v>69</v>
      </c>
      <c r="M3332" s="3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9" t="s">
        <v>69</v>
      </c>
      <c r="M3333" s="3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9" t="s">
        <v>69</v>
      </c>
      <c r="M3334" s="3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9" t="s">
        <v>69</v>
      </c>
      <c r="M3335" s="3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9" t="s">
        <v>69</v>
      </c>
      <c r="M3336" s="3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9" t="s">
        <v>69</v>
      </c>
      <c r="M3337" s="3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9" t="s">
        <v>69</v>
      </c>
      <c r="M3338" s="3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9" t="s">
        <v>69</v>
      </c>
      <c r="M3339" s="3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9" t="s">
        <v>69</v>
      </c>
      <c r="M3340" s="3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9" t="s">
        <v>69</v>
      </c>
      <c r="M3341" s="3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9" t="s">
        <v>69</v>
      </c>
      <c r="M3342" s="3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9" t="s">
        <v>69</v>
      </c>
      <c r="M3343" s="3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9" t="s">
        <v>69</v>
      </c>
      <c r="M3344" s="3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9" t="s">
        <v>69</v>
      </c>
      <c r="M3345" s="3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9" t="s">
        <v>69</v>
      </c>
      <c r="M3346" s="3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9" t="s">
        <v>69</v>
      </c>
      <c r="M3347" s="3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9" t="s">
        <v>69</v>
      </c>
      <c r="M3348" s="3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9" t="s">
        <v>69</v>
      </c>
      <c r="M3349" s="3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9" t="s">
        <v>69</v>
      </c>
      <c r="M3350" s="3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9" t="s">
        <v>69</v>
      </c>
      <c r="M3351" s="3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9" t="s">
        <v>69</v>
      </c>
      <c r="M3352" s="3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9" t="s">
        <v>69</v>
      </c>
      <c r="M3353" s="3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9" t="s">
        <v>69</v>
      </c>
      <c r="M3354" s="3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9" t="s">
        <v>69</v>
      </c>
      <c r="M3355" s="3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9" t="s">
        <v>69</v>
      </c>
      <c r="M3356" s="3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9" t="s">
        <v>69</v>
      </c>
      <c r="M3357" s="3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9" t="s">
        <v>69</v>
      </c>
      <c r="M3358" s="3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9" t="s">
        <v>69</v>
      </c>
      <c r="M3359" s="3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9" t="s">
        <v>69</v>
      </c>
      <c r="M3360" s="3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9" t="s">
        <v>69</v>
      </c>
      <c r="M3361" s="3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9" t="s">
        <v>69</v>
      </c>
      <c r="M3362" s="3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9" t="s">
        <v>69</v>
      </c>
      <c r="M3363" s="3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9" t="s">
        <v>69</v>
      </c>
      <c r="M3364" s="3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9" t="s">
        <v>69</v>
      </c>
      <c r="M3365" s="3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9" t="s">
        <v>69</v>
      </c>
      <c r="M3366" s="3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9" t="s">
        <v>69</v>
      </c>
      <c r="M3367" s="3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9" t="s">
        <v>69</v>
      </c>
      <c r="M3368" s="3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9" t="s">
        <v>69</v>
      </c>
      <c r="M3369" s="3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9" t="s">
        <v>69</v>
      </c>
      <c r="M3370" s="3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9" t="s">
        <v>69</v>
      </c>
      <c r="M3371" s="3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9" t="s">
        <v>69</v>
      </c>
      <c r="M3372" s="3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9" t="s">
        <v>69</v>
      </c>
      <c r="M3373" s="3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9" t="s">
        <v>69</v>
      </c>
      <c r="M3374" s="3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9" t="s">
        <v>69</v>
      </c>
      <c r="M3375" s="3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9" t="s">
        <v>69</v>
      </c>
      <c r="M3376" s="3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9" t="s">
        <v>69</v>
      </c>
      <c r="M3377" s="3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9" t="s">
        <v>69</v>
      </c>
      <c r="M3378" s="3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9" t="s">
        <v>69</v>
      </c>
      <c r="M3379" s="3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9" t="s">
        <v>69</v>
      </c>
      <c r="M3380" s="3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9" t="s">
        <v>69</v>
      </c>
      <c r="M3381" s="3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9" t="s">
        <v>69</v>
      </c>
      <c r="M3382" s="3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9" t="s">
        <v>69</v>
      </c>
      <c r="M3383" s="3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9" t="s">
        <v>69</v>
      </c>
      <c r="M3384" s="3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9" t="s">
        <v>69</v>
      </c>
      <c r="M3385" s="3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9" t="s">
        <v>69</v>
      </c>
      <c r="M3386" s="3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9" t="s">
        <v>69</v>
      </c>
      <c r="M3387" s="3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9" t="s">
        <v>69</v>
      </c>
      <c r="M3388" s="3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9" t="s">
        <v>69</v>
      </c>
      <c r="M3389" s="3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9" t="s">
        <v>69</v>
      </c>
      <c r="M3390" s="3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9" t="s">
        <v>69</v>
      </c>
      <c r="M3391" s="3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9" t="s">
        <v>69</v>
      </c>
      <c r="M3392" s="3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9" t="s">
        <v>69</v>
      </c>
      <c r="M3393" s="3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9" t="s">
        <v>69</v>
      </c>
      <c r="M3394" s="3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9" t="s">
        <v>69</v>
      </c>
      <c r="M3395" s="3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9" t="s">
        <v>69</v>
      </c>
      <c r="M3396" s="3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9" t="s">
        <v>69</v>
      </c>
      <c r="M3397" s="3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9" t="s">
        <v>69</v>
      </c>
      <c r="M3398" s="3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9" t="s">
        <v>69</v>
      </c>
      <c r="M3399" s="3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9" t="s">
        <v>69</v>
      </c>
      <c r="M3400" s="3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9" t="s">
        <v>69</v>
      </c>
      <c r="M3401" s="3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9" t="s">
        <v>69</v>
      </c>
      <c r="M3402" s="3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9" t="s">
        <v>69</v>
      </c>
      <c r="M3403" s="3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9" t="s">
        <v>69</v>
      </c>
      <c r="M3404" s="3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9" t="s">
        <v>69</v>
      </c>
      <c r="M3405" s="3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9" t="s">
        <v>69</v>
      </c>
      <c r="M3406" s="3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9" t="s">
        <v>69</v>
      </c>
      <c r="M3407" s="3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9" t="s">
        <v>69</v>
      </c>
      <c r="M3408" s="3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9" t="s">
        <v>69</v>
      </c>
      <c r="M3409" s="3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9" t="s">
        <v>69</v>
      </c>
      <c r="M3410" s="3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9" t="s">
        <v>69</v>
      </c>
      <c r="M3411" s="3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9" t="s">
        <v>69</v>
      </c>
      <c r="M3412" s="3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9" t="s">
        <v>69</v>
      </c>
      <c r="M3413" s="3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9" t="s">
        <v>69</v>
      </c>
      <c r="M3414" s="3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9" t="s">
        <v>69</v>
      </c>
      <c r="M3415" s="3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9" t="s">
        <v>69</v>
      </c>
      <c r="M3416" s="3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9" t="s">
        <v>69</v>
      </c>
      <c r="M3417" s="3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9" t="s">
        <v>69</v>
      </c>
      <c r="M3418" s="3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9" t="s">
        <v>69</v>
      </c>
      <c r="M3419" s="3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9" t="s">
        <v>69</v>
      </c>
      <c r="M3420" s="3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9" t="s">
        <v>69</v>
      </c>
      <c r="M3421" s="3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9" t="s">
        <v>69</v>
      </c>
      <c r="M3422" s="3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9" t="s">
        <v>69</v>
      </c>
      <c r="M3423" s="3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9" t="s">
        <v>69</v>
      </c>
      <c r="M3424" s="3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9" t="s">
        <v>69</v>
      </c>
      <c r="M3425" s="3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9" t="s">
        <v>69</v>
      </c>
      <c r="M3426" s="3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9" t="s">
        <v>69</v>
      </c>
      <c r="M3427" s="3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9" t="s">
        <v>69</v>
      </c>
      <c r="M3428" s="3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9" t="s">
        <v>69</v>
      </c>
      <c r="M3429" s="3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9" t="s">
        <v>69</v>
      </c>
      <c r="M3430" s="3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9" t="s">
        <v>69</v>
      </c>
      <c r="M3431" s="3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9" t="s">
        <v>69</v>
      </c>
      <c r="M3432" s="3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9" t="s">
        <v>69</v>
      </c>
      <c r="M3433" s="3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9" t="s">
        <v>69</v>
      </c>
      <c r="M3434" s="3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9" t="s">
        <v>69</v>
      </c>
      <c r="M3435" s="3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9" t="s">
        <v>69</v>
      </c>
      <c r="M3436" s="3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9" t="s">
        <v>69</v>
      </c>
      <c r="M3437" s="3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9" t="s">
        <v>69</v>
      </c>
      <c r="M3438" s="3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9" t="s">
        <v>69</v>
      </c>
      <c r="M3439" s="3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9" t="s">
        <v>69</v>
      </c>
      <c r="M3440" s="3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9" t="s">
        <v>69</v>
      </c>
      <c r="M3441" s="3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9" t="s">
        <v>69</v>
      </c>
      <c r="M3442" s="3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9" t="s">
        <v>69</v>
      </c>
      <c r="M3443" s="3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9" t="s">
        <v>69</v>
      </c>
      <c r="M3444" s="3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9" t="s">
        <v>69</v>
      </c>
      <c r="M3445" s="3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9" t="s">
        <v>69</v>
      </c>
      <c r="M3446" s="3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9" t="s">
        <v>69</v>
      </c>
      <c r="M3447" s="3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9" t="s">
        <v>69</v>
      </c>
      <c r="M3448" s="3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9" t="s">
        <v>69</v>
      </c>
      <c r="M3449" s="3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9" t="s">
        <v>69</v>
      </c>
      <c r="M3450" s="3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9" t="s">
        <v>69</v>
      </c>
      <c r="M3451" s="3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9" t="s">
        <v>69</v>
      </c>
      <c r="M3452" s="3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9" t="s">
        <v>69</v>
      </c>
      <c r="M3453" s="3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9" t="s">
        <v>69</v>
      </c>
      <c r="M3454" s="3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9" t="s">
        <v>69</v>
      </c>
      <c r="M3455" s="3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9" t="s">
        <v>69</v>
      </c>
      <c r="M3456" s="3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9" t="s">
        <v>69</v>
      </c>
      <c r="M3457" s="3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9" t="s">
        <v>69</v>
      </c>
      <c r="M3458" s="3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9" t="s">
        <v>69</v>
      </c>
      <c r="M3459" s="3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9" t="s">
        <v>69</v>
      </c>
      <c r="M3460" s="3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9" t="s">
        <v>69</v>
      </c>
      <c r="M3461" s="3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9" t="s">
        <v>69</v>
      </c>
      <c r="M3462" s="3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9" t="s">
        <v>69</v>
      </c>
      <c r="M3463" s="3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9" t="s">
        <v>69</v>
      </c>
      <c r="M3464" s="3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9" t="s">
        <v>69</v>
      </c>
      <c r="M3465" s="3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9" t="s">
        <v>69</v>
      </c>
      <c r="M3466" s="3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9" t="s">
        <v>69</v>
      </c>
      <c r="M3467" s="3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9" t="s">
        <v>69</v>
      </c>
      <c r="M3468" s="3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9" t="s">
        <v>69</v>
      </c>
      <c r="M3469" s="3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9" t="s">
        <v>69</v>
      </c>
      <c r="M3470" s="3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9" t="s">
        <v>69</v>
      </c>
      <c r="M3471" s="3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9" t="s">
        <v>69</v>
      </c>
      <c r="M3472" s="3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9" t="s">
        <v>69</v>
      </c>
      <c r="M3473" s="3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9" t="s">
        <v>69</v>
      </c>
      <c r="M3474" s="3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9" t="s">
        <v>69</v>
      </c>
      <c r="M3475" s="3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9" t="s">
        <v>69</v>
      </c>
      <c r="M3476" s="3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9" t="s">
        <v>69</v>
      </c>
      <c r="M3477" s="3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9" t="s">
        <v>69</v>
      </c>
      <c r="M3478" s="3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9" t="s">
        <v>69</v>
      </c>
      <c r="M3479" s="3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9" t="s">
        <v>69</v>
      </c>
      <c r="M3480" s="3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9" t="s">
        <v>69</v>
      </c>
      <c r="M3481" s="3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9" t="s">
        <v>69</v>
      </c>
      <c r="M3482" s="3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9" t="s">
        <v>69</v>
      </c>
      <c r="M3483" s="3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9" t="s">
        <v>69</v>
      </c>
      <c r="M3484" s="3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9" t="s">
        <v>69</v>
      </c>
      <c r="M3485" s="3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9" t="s">
        <v>69</v>
      </c>
      <c r="M3486" s="3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9" t="s">
        <v>69</v>
      </c>
      <c r="M3487" s="3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9" t="s">
        <v>69</v>
      </c>
      <c r="M3488" s="3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9" t="s">
        <v>69</v>
      </c>
      <c r="M3489" s="3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9" t="s">
        <v>69</v>
      </c>
      <c r="M3490" s="3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9" t="s">
        <v>69</v>
      </c>
      <c r="M3491" s="3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9" t="s">
        <v>69</v>
      </c>
      <c r="M3492" s="3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9" t="s">
        <v>69</v>
      </c>
      <c r="M3493" s="3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9" t="s">
        <v>69</v>
      </c>
      <c r="M3494" s="3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9" t="s">
        <v>69</v>
      </c>
      <c r="M3495" s="3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9" t="s">
        <v>69</v>
      </c>
      <c r="M3496" s="3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9" t="s">
        <v>69</v>
      </c>
      <c r="M3497" s="3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9" t="s">
        <v>69</v>
      </c>
      <c r="M3498" s="3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9" t="s">
        <v>69</v>
      </c>
      <c r="M3499" s="3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9" t="s">
        <v>69</v>
      </c>
      <c r="M3500" s="3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9" t="s">
        <v>69</v>
      </c>
      <c r="M3501" s="3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9" t="s">
        <v>69</v>
      </c>
      <c r="M3502" s="3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9" t="s">
        <v>69</v>
      </c>
      <c r="M3503" s="3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9" t="s">
        <v>69</v>
      </c>
      <c r="M3504" s="3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9" t="s">
        <v>69</v>
      </c>
      <c r="M3505" s="3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9" t="s">
        <v>69</v>
      </c>
      <c r="M3506" s="3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9" t="s">
        <v>69</v>
      </c>
      <c r="M3507" s="3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9" t="s">
        <v>69</v>
      </c>
      <c r="M3508" s="3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9" t="s">
        <v>69</v>
      </c>
      <c r="M3509" s="3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9" t="s">
        <v>69</v>
      </c>
      <c r="M3510" s="3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9" t="s">
        <v>69</v>
      </c>
      <c r="M3511" s="3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9" t="s">
        <v>69</v>
      </c>
      <c r="M3512" s="3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9" t="s">
        <v>69</v>
      </c>
      <c r="M3513" s="3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9" t="s">
        <v>69</v>
      </c>
      <c r="M3514" s="3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9" t="s">
        <v>69</v>
      </c>
      <c r="M3515" s="3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9" t="s">
        <v>69</v>
      </c>
      <c r="M3516" s="3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9" t="s">
        <v>69</v>
      </c>
      <c r="M3517" s="3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9" t="s">
        <v>69</v>
      </c>
      <c r="M3518" s="3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9" t="s">
        <v>69</v>
      </c>
      <c r="M3519" s="3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9" t="s">
        <v>69</v>
      </c>
      <c r="M3520" s="3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9" t="s">
        <v>69</v>
      </c>
      <c r="M3521" s="3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9" t="s">
        <v>69</v>
      </c>
      <c r="M3522" s="3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9" t="s">
        <v>69</v>
      </c>
      <c r="M3523" s="3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9" t="s">
        <v>69</v>
      </c>
      <c r="M3524" s="3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9" t="s">
        <v>69</v>
      </c>
      <c r="M3525" s="3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9" t="s">
        <v>69</v>
      </c>
      <c r="M3526" s="3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9" t="s">
        <v>69</v>
      </c>
      <c r="M3527" s="3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9" t="s">
        <v>69</v>
      </c>
      <c r="M3528" s="3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9" t="s">
        <v>69</v>
      </c>
      <c r="M3529" s="3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9" t="s">
        <v>69</v>
      </c>
      <c r="M3530" s="3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9" t="s">
        <v>69</v>
      </c>
      <c r="M3531" s="3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9" t="s">
        <v>69</v>
      </c>
      <c r="M3532" s="3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9" t="s">
        <v>69</v>
      </c>
      <c r="M3533" s="3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9" t="s">
        <v>69</v>
      </c>
      <c r="M3534" s="3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9" t="s">
        <v>69</v>
      </c>
      <c r="M3535" s="3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9" t="s">
        <v>69</v>
      </c>
      <c r="M3536" s="3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9" t="s">
        <v>69</v>
      </c>
      <c r="M3537" s="3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9" t="s">
        <v>69</v>
      </c>
      <c r="M3538" s="3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9"/>
      <c r="C3539" s="39" t="s">
        <v>3844</v>
      </c>
      <c r="D3539" s="39" t="s">
        <v>14</v>
      </c>
      <c r="E3539" s="39" t="s">
        <v>3379</v>
      </c>
      <c r="F3539" s="39" t="s">
        <v>3380</v>
      </c>
      <c r="G3539" s="39" t="s">
        <v>3379</v>
      </c>
      <c r="H3539" s="39" t="s">
        <v>3446</v>
      </c>
      <c r="I3539" s="39" t="s">
        <v>3447</v>
      </c>
      <c r="J3539" s="39" t="s">
        <v>52</v>
      </c>
      <c r="K3539" s="39" t="s">
        <v>3446</v>
      </c>
      <c r="L3539" s="39" t="s">
        <v>69</v>
      </c>
      <c r="M3539" s="40" t="s">
        <v>69</v>
      </c>
      <c r="N3539" s="39" t="s">
        <v>1935</v>
      </c>
      <c r="O3539" s="39" t="s">
        <v>46</v>
      </c>
      <c r="P3539" s="39" t="s">
        <v>46</v>
      </c>
      <c r="Q3539" s="39" t="s">
        <v>46</v>
      </c>
      <c r="R3539" s="39" t="s">
        <v>46</v>
      </c>
      <c r="S3539" s="39" t="s">
        <v>46</v>
      </c>
      <c r="T3539" s="39" t="s">
        <v>46</v>
      </c>
      <c r="U3539" s="39" t="s">
        <v>46</v>
      </c>
      <c r="V3539" s="39"/>
      <c r="W3539" s="39" t="s">
        <v>46</v>
      </c>
      <c r="X3539" s="39" t="s">
        <v>2640</v>
      </c>
      <c r="Y3539" s="39" t="n">
        <v>5500</v>
      </c>
      <c r="Z3539" s="39"/>
      <c r="AA3539" s="39"/>
      <c r="AB3539" s="39"/>
      <c r="AC3539" s="39"/>
      <c r="AD3539" s="39"/>
      <c r="AE3539" s="39"/>
      <c r="AF3539" s="39"/>
    </row>
    <row r="3540" customFormat="false" ht="13.8" hidden="false" customHeight="false" outlineLevel="0" collapsed="false">
      <c r="A3540" s="1" t="s">
        <v>3843</v>
      </c>
      <c r="B3540" s="39"/>
      <c r="C3540" s="39" t="s">
        <v>3844</v>
      </c>
      <c r="D3540" s="39" t="s">
        <v>14</v>
      </c>
      <c r="E3540" s="39" t="s">
        <v>3379</v>
      </c>
      <c r="F3540" s="39" t="s">
        <v>3380</v>
      </c>
      <c r="G3540" s="39" t="s">
        <v>3379</v>
      </c>
      <c r="H3540" s="39" t="s">
        <v>3448</v>
      </c>
      <c r="I3540" s="39" t="s">
        <v>3449</v>
      </c>
      <c r="J3540" s="39" t="s">
        <v>52</v>
      </c>
      <c r="K3540" s="39" t="s">
        <v>3448</v>
      </c>
      <c r="L3540" s="39" t="s">
        <v>69</v>
      </c>
      <c r="M3540" s="40" t="s">
        <v>69</v>
      </c>
      <c r="N3540" s="39" t="s">
        <v>1935</v>
      </c>
      <c r="O3540" s="39" t="s">
        <v>46</v>
      </c>
      <c r="P3540" s="39" t="s">
        <v>46</v>
      </c>
      <c r="Q3540" s="39" t="s">
        <v>46</v>
      </c>
      <c r="R3540" s="39" t="s">
        <v>46</v>
      </c>
      <c r="S3540" s="39" t="s">
        <v>46</v>
      </c>
      <c r="T3540" s="39" t="s">
        <v>46</v>
      </c>
      <c r="U3540" s="39" t="s">
        <v>46</v>
      </c>
      <c r="V3540" s="39"/>
      <c r="W3540" s="39" t="s">
        <v>46</v>
      </c>
      <c r="X3540" s="39" t="s">
        <v>2640</v>
      </c>
      <c r="Y3540" s="39" t="n">
        <v>5500</v>
      </c>
      <c r="Z3540" s="39"/>
      <c r="AA3540" s="39"/>
      <c r="AB3540" s="39"/>
      <c r="AC3540" s="39"/>
      <c r="AD3540" s="39"/>
      <c r="AE3540" s="39"/>
      <c r="AF3540" s="39"/>
    </row>
    <row r="3541" customFormat="false" ht="13.8" hidden="false" customHeight="false" outlineLevel="0" collapsed="false">
      <c r="A3541" s="1" t="s">
        <v>3843</v>
      </c>
      <c r="B3541" s="39"/>
      <c r="C3541" s="39" t="s">
        <v>3844</v>
      </c>
      <c r="D3541" s="39" t="s">
        <v>14</v>
      </c>
      <c r="E3541" s="39" t="s">
        <v>3379</v>
      </c>
      <c r="F3541" s="39" t="s">
        <v>3380</v>
      </c>
      <c r="G3541" s="39" t="s">
        <v>3379</v>
      </c>
      <c r="H3541" s="39" t="s">
        <v>3450</v>
      </c>
      <c r="I3541" s="39" t="s">
        <v>3451</v>
      </c>
      <c r="J3541" s="39" t="s">
        <v>52</v>
      </c>
      <c r="K3541" s="39" t="s">
        <v>3450</v>
      </c>
      <c r="L3541" s="39" t="s">
        <v>69</v>
      </c>
      <c r="M3541" s="40" t="s">
        <v>69</v>
      </c>
      <c r="N3541" s="39" t="s">
        <v>1935</v>
      </c>
      <c r="O3541" s="39" t="s">
        <v>46</v>
      </c>
      <c r="P3541" s="39" t="s">
        <v>46</v>
      </c>
      <c r="Q3541" s="39" t="s">
        <v>46</v>
      </c>
      <c r="R3541" s="39" t="s">
        <v>46</v>
      </c>
      <c r="S3541" s="39" t="s">
        <v>46</v>
      </c>
      <c r="T3541" s="39" t="s">
        <v>46</v>
      </c>
      <c r="U3541" s="39" t="s">
        <v>46</v>
      </c>
      <c r="V3541" s="39"/>
      <c r="W3541" s="39" t="s">
        <v>46</v>
      </c>
      <c r="X3541" s="39" t="s">
        <v>2640</v>
      </c>
      <c r="Y3541" s="39" t="n">
        <v>5500</v>
      </c>
      <c r="Z3541" s="39"/>
      <c r="AA3541" s="39"/>
      <c r="AB3541" s="39"/>
      <c r="AC3541" s="39"/>
      <c r="AD3541" s="39"/>
      <c r="AE3541" s="39"/>
      <c r="AF3541" s="39"/>
    </row>
    <row r="3542" customFormat="false" ht="13.8" hidden="false" customHeight="false" outlineLevel="0" collapsed="false">
      <c r="A3542" s="1" t="s">
        <v>3843</v>
      </c>
      <c r="B3542" s="39"/>
      <c r="C3542" s="39" t="s">
        <v>3844</v>
      </c>
      <c r="D3542" s="39" t="s">
        <v>14</v>
      </c>
      <c r="E3542" s="39" t="s">
        <v>3379</v>
      </c>
      <c r="F3542" s="39" t="s">
        <v>3380</v>
      </c>
      <c r="G3542" s="39" t="s">
        <v>3379</v>
      </c>
      <c r="H3542" s="39" t="s">
        <v>3452</v>
      </c>
      <c r="I3542" s="39" t="s">
        <v>3453</v>
      </c>
      <c r="J3542" s="39" t="s">
        <v>52</v>
      </c>
      <c r="K3542" s="39" t="s">
        <v>3452</v>
      </c>
      <c r="L3542" s="39" t="s">
        <v>69</v>
      </c>
      <c r="M3542" s="40" t="s">
        <v>69</v>
      </c>
      <c r="N3542" s="39" t="s">
        <v>1935</v>
      </c>
      <c r="O3542" s="39" t="s">
        <v>46</v>
      </c>
      <c r="P3542" s="39" t="s">
        <v>46</v>
      </c>
      <c r="Q3542" s="39" t="s">
        <v>46</v>
      </c>
      <c r="R3542" s="39" t="s">
        <v>46</v>
      </c>
      <c r="S3542" s="39" t="s">
        <v>46</v>
      </c>
      <c r="T3542" s="39" t="s">
        <v>46</v>
      </c>
      <c r="U3542" s="39" t="s">
        <v>46</v>
      </c>
      <c r="V3542" s="39"/>
      <c r="W3542" s="39" t="s">
        <v>46</v>
      </c>
      <c r="X3542" s="39" t="s">
        <v>2640</v>
      </c>
      <c r="Y3542" s="39" t="n">
        <v>5500</v>
      </c>
      <c r="Z3542" s="39"/>
      <c r="AA3542" s="39"/>
      <c r="AB3542" s="39"/>
      <c r="AC3542" s="39"/>
      <c r="AD3542" s="39"/>
      <c r="AE3542" s="39"/>
      <c r="AF3542" s="39"/>
    </row>
    <row r="3543" customFormat="false" ht="13.8" hidden="false" customHeight="false" outlineLevel="0" collapsed="false">
      <c r="A3543" s="1" t="s">
        <v>3843</v>
      </c>
      <c r="B3543" s="39"/>
      <c r="C3543" s="39" t="s">
        <v>3844</v>
      </c>
      <c r="D3543" s="39" t="s">
        <v>14</v>
      </c>
      <c r="E3543" s="39" t="s">
        <v>3379</v>
      </c>
      <c r="F3543" s="39" t="s">
        <v>3380</v>
      </c>
      <c r="G3543" s="39" t="s">
        <v>3379</v>
      </c>
      <c r="H3543" s="39" t="s">
        <v>3454</v>
      </c>
      <c r="I3543" s="39" t="s">
        <v>3455</v>
      </c>
      <c r="J3543" s="39" t="s">
        <v>52</v>
      </c>
      <c r="K3543" s="39" t="s">
        <v>3454</v>
      </c>
      <c r="L3543" s="39" t="s">
        <v>69</v>
      </c>
      <c r="M3543" s="40" t="s">
        <v>69</v>
      </c>
      <c r="N3543" s="39" t="s">
        <v>1935</v>
      </c>
      <c r="O3543" s="39" t="s">
        <v>46</v>
      </c>
      <c r="P3543" s="39" t="s">
        <v>46</v>
      </c>
      <c r="Q3543" s="39" t="s">
        <v>46</v>
      </c>
      <c r="R3543" s="39" t="s">
        <v>46</v>
      </c>
      <c r="S3543" s="39" t="s">
        <v>46</v>
      </c>
      <c r="T3543" s="39" t="s">
        <v>46</v>
      </c>
      <c r="U3543" s="39" t="s">
        <v>46</v>
      </c>
      <c r="V3543" s="39"/>
      <c r="W3543" s="39" t="s">
        <v>46</v>
      </c>
      <c r="X3543" s="39" t="s">
        <v>2640</v>
      </c>
      <c r="Y3543" s="39" t="n">
        <v>5500</v>
      </c>
      <c r="Z3543" s="39"/>
      <c r="AA3543" s="39"/>
      <c r="AB3543" s="39"/>
      <c r="AC3543" s="39"/>
      <c r="AD3543" s="39"/>
      <c r="AE3543" s="39"/>
      <c r="AF3543" s="39"/>
    </row>
    <row r="3544" customFormat="false" ht="13.8" hidden="false" customHeight="false" outlineLevel="0" collapsed="false">
      <c r="A3544" s="1" t="s">
        <v>3843</v>
      </c>
      <c r="B3544" s="39"/>
      <c r="C3544" s="39" t="s">
        <v>3844</v>
      </c>
      <c r="D3544" s="39" t="s">
        <v>14</v>
      </c>
      <c r="E3544" s="39" t="s">
        <v>3379</v>
      </c>
      <c r="F3544" s="39" t="s">
        <v>3380</v>
      </c>
      <c r="G3544" s="39" t="s">
        <v>3379</v>
      </c>
      <c r="H3544" s="39" t="s">
        <v>3456</v>
      </c>
      <c r="I3544" s="39" t="s">
        <v>3457</v>
      </c>
      <c r="J3544" s="39" t="s">
        <v>52</v>
      </c>
      <c r="K3544" s="39" t="s">
        <v>3456</v>
      </c>
      <c r="L3544" s="39" t="s">
        <v>69</v>
      </c>
      <c r="M3544" s="40" t="s">
        <v>69</v>
      </c>
      <c r="N3544" s="39" t="s">
        <v>1935</v>
      </c>
      <c r="O3544" s="39" t="s">
        <v>46</v>
      </c>
      <c r="P3544" s="39" t="s">
        <v>46</v>
      </c>
      <c r="Q3544" s="39" t="s">
        <v>46</v>
      </c>
      <c r="R3544" s="39" t="s">
        <v>46</v>
      </c>
      <c r="S3544" s="39" t="s">
        <v>46</v>
      </c>
      <c r="T3544" s="39" t="s">
        <v>46</v>
      </c>
      <c r="U3544" s="39" t="s">
        <v>46</v>
      </c>
      <c r="V3544" s="39"/>
      <c r="W3544" s="39" t="s">
        <v>46</v>
      </c>
      <c r="X3544" s="39" t="s">
        <v>2640</v>
      </c>
      <c r="Y3544" s="39" t="n">
        <v>5500</v>
      </c>
      <c r="Z3544" s="39"/>
      <c r="AA3544" s="39"/>
      <c r="AB3544" s="39"/>
      <c r="AC3544" s="39"/>
      <c r="AD3544" s="39"/>
      <c r="AE3544" s="39"/>
      <c r="AF3544" s="39"/>
    </row>
    <row r="3545" customFormat="false" ht="13.8" hidden="false" customHeight="false" outlineLevel="0" collapsed="false">
      <c r="A3545" s="1" t="s">
        <v>3843</v>
      </c>
      <c r="B3545" s="39"/>
      <c r="C3545" s="39" t="s">
        <v>3844</v>
      </c>
      <c r="D3545" s="39" t="s">
        <v>14</v>
      </c>
      <c r="E3545" s="39" t="s">
        <v>3379</v>
      </c>
      <c r="F3545" s="39" t="s">
        <v>3380</v>
      </c>
      <c r="G3545" s="39" t="s">
        <v>3379</v>
      </c>
      <c r="H3545" s="39" t="s">
        <v>3458</v>
      </c>
      <c r="I3545" s="39" t="s">
        <v>3459</v>
      </c>
      <c r="J3545" s="39" t="s">
        <v>52</v>
      </c>
      <c r="K3545" s="39" t="s">
        <v>3458</v>
      </c>
      <c r="L3545" s="39" t="s">
        <v>69</v>
      </c>
      <c r="M3545" s="40" t="s">
        <v>69</v>
      </c>
      <c r="N3545" s="39" t="s">
        <v>1935</v>
      </c>
      <c r="O3545" s="39" t="s">
        <v>46</v>
      </c>
      <c r="P3545" s="39" t="s">
        <v>46</v>
      </c>
      <c r="Q3545" s="39" t="s">
        <v>46</v>
      </c>
      <c r="R3545" s="39" t="s">
        <v>46</v>
      </c>
      <c r="S3545" s="39" t="s">
        <v>46</v>
      </c>
      <c r="T3545" s="39" t="s">
        <v>46</v>
      </c>
      <c r="U3545" s="39" t="s">
        <v>46</v>
      </c>
      <c r="V3545" s="39"/>
      <c r="W3545" s="39" t="s">
        <v>46</v>
      </c>
      <c r="X3545" s="39" t="s">
        <v>2640</v>
      </c>
      <c r="Y3545" s="39" t="n">
        <v>5500</v>
      </c>
      <c r="Z3545" s="39"/>
      <c r="AA3545" s="39"/>
      <c r="AB3545" s="39"/>
      <c r="AC3545" s="39"/>
      <c r="AD3545" s="39"/>
      <c r="AE3545" s="39"/>
      <c r="AF3545" s="39"/>
    </row>
    <row r="3546" customFormat="false" ht="13.8" hidden="false" customHeight="false" outlineLevel="0" collapsed="false">
      <c r="A3546" s="1" t="s">
        <v>3843</v>
      </c>
      <c r="B3546" s="39"/>
      <c r="C3546" s="39" t="s">
        <v>3844</v>
      </c>
      <c r="D3546" s="39" t="s">
        <v>14</v>
      </c>
      <c r="E3546" s="39" t="s">
        <v>3379</v>
      </c>
      <c r="F3546" s="39" t="s">
        <v>3380</v>
      </c>
      <c r="G3546" s="39" t="s">
        <v>3379</v>
      </c>
      <c r="H3546" s="39" t="s">
        <v>3460</v>
      </c>
      <c r="I3546" s="39" t="s">
        <v>3461</v>
      </c>
      <c r="J3546" s="39" t="s">
        <v>52</v>
      </c>
      <c r="K3546" s="39" t="s">
        <v>3460</v>
      </c>
      <c r="L3546" s="39" t="s">
        <v>69</v>
      </c>
      <c r="M3546" s="40" t="s">
        <v>69</v>
      </c>
      <c r="N3546" s="39" t="s">
        <v>1935</v>
      </c>
      <c r="O3546" s="39" t="s">
        <v>46</v>
      </c>
      <c r="P3546" s="39" t="s">
        <v>46</v>
      </c>
      <c r="Q3546" s="39" t="s">
        <v>46</v>
      </c>
      <c r="R3546" s="39" t="s">
        <v>46</v>
      </c>
      <c r="S3546" s="39" t="s">
        <v>46</v>
      </c>
      <c r="T3546" s="39" t="s">
        <v>46</v>
      </c>
      <c r="U3546" s="39" t="s">
        <v>46</v>
      </c>
      <c r="V3546" s="39"/>
      <c r="W3546" s="39" t="s">
        <v>46</v>
      </c>
      <c r="X3546" s="39" t="s">
        <v>2640</v>
      </c>
      <c r="Y3546" s="39" t="n">
        <v>5500</v>
      </c>
      <c r="Z3546" s="39"/>
      <c r="AA3546" s="39"/>
      <c r="AB3546" s="39"/>
      <c r="AC3546" s="39"/>
      <c r="AD3546" s="39"/>
      <c r="AE3546" s="39"/>
      <c r="AF3546" s="39"/>
    </row>
    <row r="3547" customFormat="false" ht="13.8" hidden="false" customHeight="false" outlineLevel="0" collapsed="false">
      <c r="A3547" s="1" t="s">
        <v>3843</v>
      </c>
      <c r="B3547" s="39"/>
      <c r="C3547" s="39" t="s">
        <v>3844</v>
      </c>
      <c r="D3547" s="39" t="s">
        <v>14</v>
      </c>
      <c r="E3547" s="39" t="s">
        <v>3379</v>
      </c>
      <c r="F3547" s="39" t="s">
        <v>3380</v>
      </c>
      <c r="G3547" s="39" t="s">
        <v>3379</v>
      </c>
      <c r="H3547" s="39" t="s">
        <v>3462</v>
      </c>
      <c r="I3547" s="39" t="s">
        <v>3463</v>
      </c>
      <c r="J3547" s="39" t="s">
        <v>52</v>
      </c>
      <c r="K3547" s="39" t="s">
        <v>3462</v>
      </c>
      <c r="L3547" s="39" t="s">
        <v>69</v>
      </c>
      <c r="M3547" s="40" t="s">
        <v>69</v>
      </c>
      <c r="N3547" s="39" t="s">
        <v>1935</v>
      </c>
      <c r="O3547" s="39" t="s">
        <v>46</v>
      </c>
      <c r="P3547" s="39" t="s">
        <v>46</v>
      </c>
      <c r="Q3547" s="39" t="s">
        <v>46</v>
      </c>
      <c r="R3547" s="39" t="s">
        <v>46</v>
      </c>
      <c r="S3547" s="39" t="s">
        <v>46</v>
      </c>
      <c r="T3547" s="39" t="s">
        <v>46</v>
      </c>
      <c r="U3547" s="39" t="s">
        <v>46</v>
      </c>
      <c r="V3547" s="39"/>
      <c r="W3547" s="39" t="s">
        <v>46</v>
      </c>
      <c r="X3547" s="39" t="s">
        <v>2640</v>
      </c>
      <c r="Y3547" s="39" t="n">
        <v>5500</v>
      </c>
      <c r="Z3547" s="39"/>
      <c r="AA3547" s="39"/>
      <c r="AB3547" s="39"/>
      <c r="AC3547" s="39"/>
      <c r="AD3547" s="39"/>
      <c r="AE3547" s="39"/>
      <c r="AF3547" s="39"/>
    </row>
    <row r="3548" customFormat="false" ht="13.8" hidden="false" customHeight="false" outlineLevel="0" collapsed="false">
      <c r="A3548" s="1" t="s">
        <v>3843</v>
      </c>
      <c r="B3548" s="39"/>
      <c r="C3548" s="39" t="s">
        <v>3844</v>
      </c>
      <c r="D3548" s="39" t="s">
        <v>14</v>
      </c>
      <c r="E3548" s="39" t="s">
        <v>3379</v>
      </c>
      <c r="F3548" s="39" t="s">
        <v>3380</v>
      </c>
      <c r="G3548" s="39" t="s">
        <v>3379</v>
      </c>
      <c r="H3548" s="39" t="s">
        <v>3464</v>
      </c>
      <c r="I3548" s="39" t="s">
        <v>3465</v>
      </c>
      <c r="J3548" s="39" t="s">
        <v>52</v>
      </c>
      <c r="K3548" s="39" t="s">
        <v>3464</v>
      </c>
      <c r="L3548" s="39" t="s">
        <v>69</v>
      </c>
      <c r="M3548" s="40" t="s">
        <v>69</v>
      </c>
      <c r="N3548" s="39" t="s">
        <v>1935</v>
      </c>
      <c r="O3548" s="39" t="s">
        <v>46</v>
      </c>
      <c r="P3548" s="39" t="s">
        <v>46</v>
      </c>
      <c r="Q3548" s="39" t="s">
        <v>46</v>
      </c>
      <c r="R3548" s="39" t="s">
        <v>46</v>
      </c>
      <c r="S3548" s="39" t="s">
        <v>46</v>
      </c>
      <c r="T3548" s="39" t="s">
        <v>46</v>
      </c>
      <c r="U3548" s="39" t="s">
        <v>46</v>
      </c>
      <c r="V3548" s="39"/>
      <c r="W3548" s="39" t="s">
        <v>46</v>
      </c>
      <c r="X3548" s="39" t="s">
        <v>2640</v>
      </c>
      <c r="Y3548" s="39" t="n">
        <v>5500</v>
      </c>
      <c r="Z3548" s="39"/>
      <c r="AA3548" s="39"/>
      <c r="AB3548" s="39"/>
      <c r="AC3548" s="39"/>
      <c r="AD3548" s="39"/>
      <c r="AE3548" s="39"/>
      <c r="AF3548" s="39"/>
    </row>
    <row r="3549" customFormat="false" ht="13.8" hidden="false" customHeight="false" outlineLevel="0" collapsed="false">
      <c r="A3549" s="1" t="s">
        <v>3843</v>
      </c>
      <c r="B3549" s="39"/>
      <c r="C3549" s="39" t="s">
        <v>3844</v>
      </c>
      <c r="D3549" s="39" t="s">
        <v>14</v>
      </c>
      <c r="E3549" s="39" t="s">
        <v>3379</v>
      </c>
      <c r="F3549" s="39" t="s">
        <v>3380</v>
      </c>
      <c r="G3549" s="39" t="s">
        <v>3379</v>
      </c>
      <c r="H3549" s="39" t="s">
        <v>3466</v>
      </c>
      <c r="I3549" s="39" t="s">
        <v>3467</v>
      </c>
      <c r="J3549" s="39" t="s">
        <v>52</v>
      </c>
      <c r="K3549" s="39" t="s">
        <v>3466</v>
      </c>
      <c r="L3549" s="39" t="s">
        <v>69</v>
      </c>
      <c r="M3549" s="40" t="s">
        <v>69</v>
      </c>
      <c r="N3549" s="39" t="s">
        <v>3468</v>
      </c>
      <c r="O3549" s="39" t="s">
        <v>46</v>
      </c>
      <c r="P3549" s="39" t="s">
        <v>46</v>
      </c>
      <c r="Q3549" s="39" t="s">
        <v>46</v>
      </c>
      <c r="R3549" s="39" t="s">
        <v>46</v>
      </c>
      <c r="S3549" s="39" t="s">
        <v>46</v>
      </c>
      <c r="T3549" s="39" t="s">
        <v>46</v>
      </c>
      <c r="U3549" s="39" t="s">
        <v>46</v>
      </c>
      <c r="V3549" s="39"/>
      <c r="W3549" s="39" t="s">
        <v>46</v>
      </c>
      <c r="X3549" s="39" t="s">
        <v>2640</v>
      </c>
      <c r="Y3549" s="39" t="n">
        <v>5500</v>
      </c>
      <c r="Z3549" s="39"/>
      <c r="AA3549" s="39"/>
      <c r="AB3549" s="39"/>
      <c r="AC3549" s="39"/>
      <c r="AD3549" s="39"/>
      <c r="AE3549" s="39"/>
      <c r="AF3549" s="39"/>
    </row>
    <row r="3550" customFormat="false" ht="13.8" hidden="false" customHeight="false" outlineLevel="0" collapsed="false">
      <c r="A3550" s="1" t="s">
        <v>3843</v>
      </c>
      <c r="B3550" s="39"/>
      <c r="C3550" s="39" t="s">
        <v>3844</v>
      </c>
      <c r="D3550" s="39" t="s">
        <v>14</v>
      </c>
      <c r="E3550" s="39" t="s">
        <v>3379</v>
      </c>
      <c r="F3550" s="39" t="s">
        <v>3380</v>
      </c>
      <c r="G3550" s="39" t="s">
        <v>3379</v>
      </c>
      <c r="H3550" s="39" t="s">
        <v>3469</v>
      </c>
      <c r="I3550" s="39" t="s">
        <v>3470</v>
      </c>
      <c r="J3550" s="39" t="s">
        <v>52</v>
      </c>
      <c r="K3550" s="39" t="s">
        <v>3469</v>
      </c>
      <c r="L3550" s="39" t="s">
        <v>69</v>
      </c>
      <c r="M3550" s="40" t="s">
        <v>69</v>
      </c>
      <c r="N3550" s="39" t="s">
        <v>3468</v>
      </c>
      <c r="O3550" s="39" t="s">
        <v>46</v>
      </c>
      <c r="P3550" s="39" t="s">
        <v>46</v>
      </c>
      <c r="Q3550" s="39" t="s">
        <v>46</v>
      </c>
      <c r="R3550" s="39" t="s">
        <v>46</v>
      </c>
      <c r="S3550" s="39" t="s">
        <v>46</v>
      </c>
      <c r="T3550" s="39" t="s">
        <v>46</v>
      </c>
      <c r="U3550" s="39" t="s">
        <v>46</v>
      </c>
      <c r="V3550" s="39"/>
      <c r="W3550" s="39" t="s">
        <v>46</v>
      </c>
      <c r="X3550" s="39" t="s">
        <v>2640</v>
      </c>
      <c r="Y3550" s="39" t="n">
        <v>5500</v>
      </c>
      <c r="Z3550" s="39"/>
      <c r="AA3550" s="39"/>
      <c r="AB3550" s="39"/>
      <c r="AC3550" s="39"/>
      <c r="AD3550" s="39"/>
      <c r="AE3550" s="39"/>
      <c r="AF3550" s="39"/>
    </row>
    <row r="3551" customFormat="false" ht="13.8" hidden="false" customHeight="false" outlineLevel="0" collapsed="false">
      <c r="A3551" s="1" t="s">
        <v>3843</v>
      </c>
      <c r="B3551" s="39"/>
      <c r="C3551" s="39" t="s">
        <v>3844</v>
      </c>
      <c r="D3551" s="39" t="s">
        <v>14</v>
      </c>
      <c r="E3551" s="39" t="s">
        <v>3379</v>
      </c>
      <c r="F3551" s="39" t="s">
        <v>3380</v>
      </c>
      <c r="G3551" s="39" t="s">
        <v>3379</v>
      </c>
      <c r="H3551" s="39" t="s">
        <v>3471</v>
      </c>
      <c r="I3551" s="39" t="s">
        <v>3472</v>
      </c>
      <c r="J3551" s="39" t="s">
        <v>52</v>
      </c>
      <c r="K3551" s="39" t="s">
        <v>3471</v>
      </c>
      <c r="L3551" s="39" t="s">
        <v>69</v>
      </c>
      <c r="M3551" s="40" t="s">
        <v>69</v>
      </c>
      <c r="N3551" s="39" t="s">
        <v>3468</v>
      </c>
      <c r="O3551" s="39" t="s">
        <v>46</v>
      </c>
      <c r="P3551" s="39" t="s">
        <v>46</v>
      </c>
      <c r="Q3551" s="39" t="s">
        <v>46</v>
      </c>
      <c r="R3551" s="39" t="s">
        <v>46</v>
      </c>
      <c r="S3551" s="39" t="s">
        <v>46</v>
      </c>
      <c r="T3551" s="39" t="s">
        <v>46</v>
      </c>
      <c r="U3551" s="39" t="s">
        <v>46</v>
      </c>
      <c r="V3551" s="39"/>
      <c r="W3551" s="39" t="s">
        <v>46</v>
      </c>
      <c r="X3551" s="39" t="s">
        <v>2640</v>
      </c>
      <c r="Y3551" s="39" t="n">
        <v>5500</v>
      </c>
      <c r="Z3551" s="39"/>
      <c r="AA3551" s="39"/>
      <c r="AB3551" s="39"/>
      <c r="AC3551" s="39"/>
      <c r="AD3551" s="39"/>
      <c r="AE3551" s="39"/>
      <c r="AF3551" s="39"/>
    </row>
    <row r="3552" customFormat="false" ht="13.8" hidden="false" customHeight="false" outlineLevel="0" collapsed="false">
      <c r="A3552" s="1" t="s">
        <v>3843</v>
      </c>
      <c r="B3552" s="39"/>
      <c r="C3552" s="39" t="s">
        <v>3844</v>
      </c>
      <c r="D3552" s="39" t="s">
        <v>14</v>
      </c>
      <c r="E3552" s="39" t="s">
        <v>3379</v>
      </c>
      <c r="F3552" s="39" t="s">
        <v>3380</v>
      </c>
      <c r="G3552" s="39" t="s">
        <v>3379</v>
      </c>
      <c r="H3552" s="39" t="s">
        <v>3473</v>
      </c>
      <c r="I3552" s="39" t="s">
        <v>3474</v>
      </c>
      <c r="J3552" s="39" t="s">
        <v>52</v>
      </c>
      <c r="K3552" s="39" t="s">
        <v>3473</v>
      </c>
      <c r="L3552" s="39" t="s">
        <v>69</v>
      </c>
      <c r="M3552" s="40" t="s">
        <v>69</v>
      </c>
      <c r="N3552" s="39" t="s">
        <v>3468</v>
      </c>
      <c r="O3552" s="39" t="s">
        <v>46</v>
      </c>
      <c r="P3552" s="39" t="s">
        <v>46</v>
      </c>
      <c r="Q3552" s="39" t="s">
        <v>46</v>
      </c>
      <c r="R3552" s="39" t="s">
        <v>46</v>
      </c>
      <c r="S3552" s="39" t="s">
        <v>46</v>
      </c>
      <c r="T3552" s="39" t="s">
        <v>46</v>
      </c>
      <c r="U3552" s="39" t="s">
        <v>46</v>
      </c>
      <c r="V3552" s="39"/>
      <c r="W3552" s="39" t="s">
        <v>46</v>
      </c>
      <c r="X3552" s="39" t="s">
        <v>2640</v>
      </c>
      <c r="Y3552" s="39" t="n">
        <v>5500</v>
      </c>
      <c r="Z3552" s="39"/>
      <c r="AA3552" s="39"/>
      <c r="AB3552" s="39"/>
      <c r="AC3552" s="39"/>
      <c r="AD3552" s="39"/>
      <c r="AE3552" s="39"/>
      <c r="AF3552" s="39"/>
    </row>
    <row r="3553" customFormat="false" ht="13.8" hidden="false" customHeight="false" outlineLevel="0" collapsed="false">
      <c r="A3553" s="1" t="s">
        <v>3843</v>
      </c>
      <c r="B3553" s="39"/>
      <c r="C3553" s="39" t="s">
        <v>3844</v>
      </c>
      <c r="D3553" s="39" t="s">
        <v>14</v>
      </c>
      <c r="E3553" s="39" t="s">
        <v>3379</v>
      </c>
      <c r="F3553" s="39" t="s">
        <v>3380</v>
      </c>
      <c r="G3553" s="39" t="s">
        <v>3379</v>
      </c>
      <c r="H3553" s="39" t="s">
        <v>3475</v>
      </c>
      <c r="I3553" s="39" t="s">
        <v>3476</v>
      </c>
      <c r="J3553" s="39" t="s">
        <v>52</v>
      </c>
      <c r="K3553" s="39" t="s">
        <v>3475</v>
      </c>
      <c r="L3553" s="39" t="s">
        <v>69</v>
      </c>
      <c r="M3553" s="40" t="s">
        <v>69</v>
      </c>
      <c r="N3553" s="39" t="s">
        <v>3468</v>
      </c>
      <c r="O3553" s="39" t="s">
        <v>46</v>
      </c>
      <c r="P3553" s="39" t="s">
        <v>46</v>
      </c>
      <c r="Q3553" s="39" t="s">
        <v>46</v>
      </c>
      <c r="R3553" s="39" t="s">
        <v>46</v>
      </c>
      <c r="S3553" s="39" t="s">
        <v>46</v>
      </c>
      <c r="T3553" s="39" t="s">
        <v>46</v>
      </c>
      <c r="U3553" s="39" t="s">
        <v>46</v>
      </c>
      <c r="V3553" s="39"/>
      <c r="W3553" s="39" t="s">
        <v>46</v>
      </c>
      <c r="X3553" s="39" t="s">
        <v>2640</v>
      </c>
      <c r="Y3553" s="39" t="n">
        <v>5500</v>
      </c>
      <c r="Z3553" s="39"/>
      <c r="AA3553" s="39"/>
      <c r="AB3553" s="39"/>
      <c r="AC3553" s="39"/>
      <c r="AD3553" s="39"/>
      <c r="AE3553" s="39"/>
      <c r="AF3553" s="39"/>
    </row>
    <row r="3554" customFormat="false" ht="13.8" hidden="false" customHeight="false" outlineLevel="0" collapsed="false">
      <c r="A3554" s="1" t="s">
        <v>3843</v>
      </c>
      <c r="B3554" s="39"/>
      <c r="C3554" s="39" t="s">
        <v>3844</v>
      </c>
      <c r="D3554" s="39" t="s">
        <v>14</v>
      </c>
      <c r="E3554" s="39" t="s">
        <v>3379</v>
      </c>
      <c r="F3554" s="39" t="s">
        <v>3380</v>
      </c>
      <c r="G3554" s="39" t="s">
        <v>3379</v>
      </c>
      <c r="H3554" s="39" t="s">
        <v>3477</v>
      </c>
      <c r="I3554" s="39" t="s">
        <v>3478</v>
      </c>
      <c r="J3554" s="39" t="s">
        <v>52</v>
      </c>
      <c r="K3554" s="39" t="s">
        <v>3477</v>
      </c>
      <c r="L3554" s="39" t="s">
        <v>69</v>
      </c>
      <c r="M3554" s="40" t="s">
        <v>69</v>
      </c>
      <c r="N3554" s="39" t="s">
        <v>3468</v>
      </c>
      <c r="O3554" s="39" t="s">
        <v>46</v>
      </c>
      <c r="P3554" s="39" t="s">
        <v>46</v>
      </c>
      <c r="Q3554" s="39" t="s">
        <v>46</v>
      </c>
      <c r="R3554" s="39" t="s">
        <v>46</v>
      </c>
      <c r="S3554" s="39" t="s">
        <v>46</v>
      </c>
      <c r="T3554" s="39" t="s">
        <v>46</v>
      </c>
      <c r="U3554" s="39" t="s">
        <v>46</v>
      </c>
      <c r="V3554" s="39"/>
      <c r="W3554" s="39" t="s">
        <v>46</v>
      </c>
      <c r="X3554" s="39" t="s">
        <v>2640</v>
      </c>
      <c r="Y3554" s="39" t="n">
        <v>5500</v>
      </c>
      <c r="Z3554" s="39"/>
      <c r="AA3554" s="39"/>
      <c r="AB3554" s="39"/>
      <c r="AC3554" s="39"/>
      <c r="AD3554" s="39"/>
      <c r="AE3554" s="39"/>
      <c r="AF3554" s="39"/>
    </row>
    <row r="3555" customFormat="false" ht="13.8" hidden="false" customHeight="false" outlineLevel="0" collapsed="false">
      <c r="A3555" s="1" t="s">
        <v>3843</v>
      </c>
      <c r="B3555" s="39"/>
      <c r="C3555" s="39" t="s">
        <v>3844</v>
      </c>
      <c r="D3555" s="39" t="s">
        <v>14</v>
      </c>
      <c r="E3555" s="39" t="s">
        <v>3379</v>
      </c>
      <c r="F3555" s="39" t="s">
        <v>3380</v>
      </c>
      <c r="G3555" s="39" t="s">
        <v>3379</v>
      </c>
      <c r="H3555" s="39" t="s">
        <v>3479</v>
      </c>
      <c r="I3555" s="39" t="s">
        <v>3480</v>
      </c>
      <c r="J3555" s="39" t="s">
        <v>52</v>
      </c>
      <c r="K3555" s="39" t="s">
        <v>3479</v>
      </c>
      <c r="L3555" s="39" t="s">
        <v>69</v>
      </c>
      <c r="M3555" s="40" t="s">
        <v>69</v>
      </c>
      <c r="N3555" s="39" t="s">
        <v>3468</v>
      </c>
      <c r="O3555" s="39" t="s">
        <v>46</v>
      </c>
      <c r="P3555" s="39" t="s">
        <v>46</v>
      </c>
      <c r="Q3555" s="39" t="s">
        <v>46</v>
      </c>
      <c r="R3555" s="39" t="s">
        <v>46</v>
      </c>
      <c r="S3555" s="39" t="s">
        <v>46</v>
      </c>
      <c r="T3555" s="39" t="s">
        <v>46</v>
      </c>
      <c r="U3555" s="39" t="s">
        <v>46</v>
      </c>
      <c r="V3555" s="39"/>
      <c r="W3555" s="39" t="s">
        <v>46</v>
      </c>
      <c r="X3555" s="39" t="s">
        <v>2640</v>
      </c>
      <c r="Y3555" s="39" t="n">
        <v>5500</v>
      </c>
      <c r="Z3555" s="39"/>
      <c r="AA3555" s="39"/>
      <c r="AB3555" s="39"/>
      <c r="AC3555" s="39"/>
      <c r="AD3555" s="39"/>
      <c r="AE3555" s="39"/>
      <c r="AF3555" s="39"/>
    </row>
    <row r="3556" customFormat="false" ht="13.8" hidden="false" customHeight="false" outlineLevel="0" collapsed="false">
      <c r="A3556" s="1" t="s">
        <v>3843</v>
      </c>
      <c r="B3556" s="39"/>
      <c r="C3556" s="39" t="s">
        <v>3844</v>
      </c>
      <c r="D3556" s="39" t="s">
        <v>14</v>
      </c>
      <c r="E3556" s="39" t="s">
        <v>3379</v>
      </c>
      <c r="F3556" s="39" t="s">
        <v>3380</v>
      </c>
      <c r="G3556" s="39" t="s">
        <v>3379</v>
      </c>
      <c r="H3556" s="39" t="s">
        <v>3481</v>
      </c>
      <c r="I3556" s="39" t="s">
        <v>3482</v>
      </c>
      <c r="J3556" s="39" t="s">
        <v>52</v>
      </c>
      <c r="K3556" s="39" t="s">
        <v>3481</v>
      </c>
      <c r="L3556" s="39" t="s">
        <v>69</v>
      </c>
      <c r="M3556" s="40" t="s">
        <v>69</v>
      </c>
      <c r="N3556" s="39" t="s">
        <v>3468</v>
      </c>
      <c r="O3556" s="39" t="s">
        <v>46</v>
      </c>
      <c r="P3556" s="39" t="s">
        <v>46</v>
      </c>
      <c r="Q3556" s="39" t="s">
        <v>46</v>
      </c>
      <c r="R3556" s="39" t="s">
        <v>46</v>
      </c>
      <c r="S3556" s="39" t="s">
        <v>46</v>
      </c>
      <c r="T3556" s="39" t="s">
        <v>46</v>
      </c>
      <c r="U3556" s="39" t="s">
        <v>46</v>
      </c>
      <c r="V3556" s="39"/>
      <c r="W3556" s="39" t="s">
        <v>46</v>
      </c>
      <c r="X3556" s="39" t="s">
        <v>2640</v>
      </c>
      <c r="Y3556" s="39" t="n">
        <v>5500</v>
      </c>
      <c r="Z3556" s="39"/>
      <c r="AA3556" s="39"/>
      <c r="AB3556" s="39"/>
      <c r="AC3556" s="39"/>
      <c r="AD3556" s="39"/>
      <c r="AE3556" s="39"/>
      <c r="AF3556" s="39"/>
    </row>
    <row r="3557" customFormat="false" ht="13.8" hidden="false" customHeight="false" outlineLevel="0" collapsed="false">
      <c r="A3557" s="1" t="s">
        <v>3843</v>
      </c>
      <c r="B3557" s="39"/>
      <c r="C3557" s="39" t="s">
        <v>3844</v>
      </c>
      <c r="D3557" s="39" t="s">
        <v>14</v>
      </c>
      <c r="E3557" s="39" t="s">
        <v>3379</v>
      </c>
      <c r="F3557" s="39" t="s">
        <v>3380</v>
      </c>
      <c r="G3557" s="39" t="s">
        <v>3379</v>
      </c>
      <c r="H3557" s="39" t="s">
        <v>3483</v>
      </c>
      <c r="I3557" s="39" t="s">
        <v>3484</v>
      </c>
      <c r="J3557" s="39" t="s">
        <v>52</v>
      </c>
      <c r="K3557" s="39" t="s">
        <v>3483</v>
      </c>
      <c r="L3557" s="39" t="s">
        <v>69</v>
      </c>
      <c r="M3557" s="40" t="s">
        <v>69</v>
      </c>
      <c r="N3557" s="39" t="s">
        <v>3468</v>
      </c>
      <c r="O3557" s="39" t="s">
        <v>46</v>
      </c>
      <c r="P3557" s="39" t="s">
        <v>46</v>
      </c>
      <c r="Q3557" s="39" t="s">
        <v>46</v>
      </c>
      <c r="R3557" s="39" t="s">
        <v>46</v>
      </c>
      <c r="S3557" s="39" t="s">
        <v>46</v>
      </c>
      <c r="T3557" s="39" t="s">
        <v>46</v>
      </c>
      <c r="U3557" s="39" t="s">
        <v>46</v>
      </c>
      <c r="V3557" s="39"/>
      <c r="W3557" s="39" t="s">
        <v>46</v>
      </c>
      <c r="X3557" s="39" t="s">
        <v>2640</v>
      </c>
      <c r="Y3557" s="39" t="n">
        <v>5500</v>
      </c>
      <c r="Z3557" s="39"/>
      <c r="AA3557" s="39"/>
      <c r="AB3557" s="39"/>
      <c r="AC3557" s="39"/>
      <c r="AD3557" s="39"/>
      <c r="AE3557" s="39"/>
      <c r="AF3557" s="39"/>
    </row>
    <row r="3558" customFormat="false" ht="13.8" hidden="false" customHeight="false" outlineLevel="0" collapsed="false">
      <c r="A3558" s="1" t="s">
        <v>3843</v>
      </c>
      <c r="B3558" s="39"/>
      <c r="C3558" s="39" t="s">
        <v>3844</v>
      </c>
      <c r="D3558" s="39" t="s">
        <v>14</v>
      </c>
      <c r="E3558" s="39" t="s">
        <v>3379</v>
      </c>
      <c r="F3558" s="39" t="s">
        <v>3380</v>
      </c>
      <c r="G3558" s="39" t="s">
        <v>3379</v>
      </c>
      <c r="H3558" s="39" t="s">
        <v>3485</v>
      </c>
      <c r="I3558" s="39" t="s">
        <v>3486</v>
      </c>
      <c r="J3558" s="39" t="s">
        <v>52</v>
      </c>
      <c r="K3558" s="39" t="s">
        <v>3485</v>
      </c>
      <c r="L3558" s="39" t="s">
        <v>69</v>
      </c>
      <c r="M3558" s="40" t="s">
        <v>69</v>
      </c>
      <c r="N3558" s="39" t="s">
        <v>3468</v>
      </c>
      <c r="O3558" s="39" t="s">
        <v>46</v>
      </c>
      <c r="P3558" s="39" t="s">
        <v>46</v>
      </c>
      <c r="Q3558" s="39" t="s">
        <v>46</v>
      </c>
      <c r="R3558" s="39" t="s">
        <v>46</v>
      </c>
      <c r="S3558" s="39" t="s">
        <v>46</v>
      </c>
      <c r="T3558" s="39" t="s">
        <v>46</v>
      </c>
      <c r="U3558" s="39" t="s">
        <v>46</v>
      </c>
      <c r="V3558" s="39"/>
      <c r="W3558" s="39" t="s">
        <v>46</v>
      </c>
      <c r="X3558" s="39" t="s">
        <v>2640</v>
      </c>
      <c r="Y3558" s="39" t="n">
        <v>5500</v>
      </c>
      <c r="Z3558" s="39"/>
      <c r="AA3558" s="39"/>
      <c r="AB3558" s="39"/>
      <c r="AC3558" s="39"/>
      <c r="AD3558" s="39"/>
      <c r="AE3558" s="39"/>
      <c r="AF3558" s="39"/>
    </row>
    <row r="3559" customFormat="false" ht="13.8" hidden="false" customHeight="false" outlineLevel="0" collapsed="false">
      <c r="A3559" s="1" t="s">
        <v>3843</v>
      </c>
      <c r="B3559" s="39"/>
      <c r="C3559" s="39" t="s">
        <v>3844</v>
      </c>
      <c r="D3559" s="39" t="s">
        <v>14</v>
      </c>
      <c r="E3559" s="39" t="s">
        <v>3379</v>
      </c>
      <c r="F3559" s="39" t="s">
        <v>3380</v>
      </c>
      <c r="G3559" s="39" t="s">
        <v>3379</v>
      </c>
      <c r="H3559" s="39" t="s">
        <v>3487</v>
      </c>
      <c r="I3559" s="39" t="s">
        <v>3488</v>
      </c>
      <c r="J3559" s="39" t="s">
        <v>52</v>
      </c>
      <c r="K3559" s="39" t="s">
        <v>3487</v>
      </c>
      <c r="L3559" s="39" t="s">
        <v>69</v>
      </c>
      <c r="M3559" s="40" t="s">
        <v>69</v>
      </c>
      <c r="N3559" s="39" t="s">
        <v>3468</v>
      </c>
      <c r="O3559" s="39" t="s">
        <v>46</v>
      </c>
      <c r="P3559" s="39" t="s">
        <v>46</v>
      </c>
      <c r="Q3559" s="39" t="s">
        <v>46</v>
      </c>
      <c r="R3559" s="39" t="s">
        <v>46</v>
      </c>
      <c r="S3559" s="39" t="s">
        <v>46</v>
      </c>
      <c r="T3559" s="39" t="s">
        <v>46</v>
      </c>
      <c r="U3559" s="39" t="s">
        <v>46</v>
      </c>
      <c r="V3559" s="39"/>
      <c r="W3559" s="39" t="s">
        <v>46</v>
      </c>
      <c r="X3559" s="39" t="s">
        <v>2640</v>
      </c>
      <c r="Y3559" s="39" t="n">
        <v>5500</v>
      </c>
      <c r="Z3559" s="39"/>
      <c r="AA3559" s="39"/>
      <c r="AB3559" s="39"/>
      <c r="AC3559" s="39"/>
      <c r="AD3559" s="39"/>
      <c r="AE3559" s="39"/>
      <c r="AF3559" s="39"/>
    </row>
    <row r="3560" customFormat="false" ht="13.8" hidden="false" customHeight="false" outlineLevel="0" collapsed="false">
      <c r="A3560" s="1" t="s">
        <v>3843</v>
      </c>
      <c r="B3560" s="39"/>
      <c r="C3560" s="39" t="s">
        <v>3844</v>
      </c>
      <c r="D3560" s="39" t="s">
        <v>14</v>
      </c>
      <c r="E3560" s="39" t="s">
        <v>3379</v>
      </c>
      <c r="F3560" s="39" t="s">
        <v>3380</v>
      </c>
      <c r="G3560" s="39" t="s">
        <v>3379</v>
      </c>
      <c r="H3560" s="39" t="s">
        <v>3489</v>
      </c>
      <c r="I3560" s="39" t="s">
        <v>3490</v>
      </c>
      <c r="J3560" s="39" t="s">
        <v>52</v>
      </c>
      <c r="K3560" s="39" t="s">
        <v>3489</v>
      </c>
      <c r="L3560" s="39" t="s">
        <v>69</v>
      </c>
      <c r="M3560" s="40" t="s">
        <v>69</v>
      </c>
      <c r="N3560" s="39" t="s">
        <v>3468</v>
      </c>
      <c r="O3560" s="39" t="s">
        <v>46</v>
      </c>
      <c r="P3560" s="39" t="s">
        <v>46</v>
      </c>
      <c r="Q3560" s="39" t="s">
        <v>46</v>
      </c>
      <c r="R3560" s="39" t="s">
        <v>46</v>
      </c>
      <c r="S3560" s="39" t="s">
        <v>46</v>
      </c>
      <c r="T3560" s="39" t="s">
        <v>46</v>
      </c>
      <c r="U3560" s="39" t="s">
        <v>46</v>
      </c>
      <c r="V3560" s="39"/>
      <c r="W3560" s="39" t="s">
        <v>46</v>
      </c>
      <c r="X3560" s="39" t="s">
        <v>2640</v>
      </c>
      <c r="Y3560" s="39" t="n">
        <v>5500</v>
      </c>
      <c r="Z3560" s="39"/>
      <c r="AA3560" s="39"/>
      <c r="AB3560" s="39"/>
      <c r="AC3560" s="39"/>
      <c r="AD3560" s="39"/>
      <c r="AE3560" s="39"/>
      <c r="AF3560" s="39"/>
    </row>
    <row r="3561" customFormat="false" ht="13.8" hidden="false" customHeight="false" outlineLevel="0" collapsed="false">
      <c r="A3561" s="1" t="s">
        <v>3843</v>
      </c>
      <c r="B3561" s="39"/>
      <c r="C3561" s="39" t="s">
        <v>3844</v>
      </c>
      <c r="D3561" s="39" t="s">
        <v>14</v>
      </c>
      <c r="E3561" s="39" t="s">
        <v>3379</v>
      </c>
      <c r="F3561" s="39" t="s">
        <v>3380</v>
      </c>
      <c r="G3561" s="39" t="s">
        <v>3379</v>
      </c>
      <c r="H3561" s="39" t="s">
        <v>3491</v>
      </c>
      <c r="I3561" s="39" t="s">
        <v>3492</v>
      </c>
      <c r="J3561" s="39" t="s">
        <v>52</v>
      </c>
      <c r="K3561" s="39" t="s">
        <v>3491</v>
      </c>
      <c r="L3561" s="39" t="s">
        <v>69</v>
      </c>
      <c r="M3561" s="40" t="s">
        <v>69</v>
      </c>
      <c r="N3561" s="39" t="s">
        <v>3468</v>
      </c>
      <c r="O3561" s="39" t="s">
        <v>46</v>
      </c>
      <c r="P3561" s="39" t="s">
        <v>46</v>
      </c>
      <c r="Q3561" s="39" t="s">
        <v>46</v>
      </c>
      <c r="R3561" s="39" t="s">
        <v>46</v>
      </c>
      <c r="S3561" s="39" t="s">
        <v>46</v>
      </c>
      <c r="T3561" s="39" t="s">
        <v>46</v>
      </c>
      <c r="U3561" s="39" t="s">
        <v>46</v>
      </c>
      <c r="V3561" s="39"/>
      <c r="W3561" s="39" t="s">
        <v>46</v>
      </c>
      <c r="X3561" s="39" t="s">
        <v>2640</v>
      </c>
      <c r="Y3561" s="39" t="n">
        <v>5500</v>
      </c>
      <c r="Z3561" s="39"/>
      <c r="AA3561" s="39"/>
      <c r="AB3561" s="39"/>
      <c r="AC3561" s="39"/>
      <c r="AD3561" s="39"/>
      <c r="AE3561" s="39"/>
      <c r="AF3561" s="39"/>
    </row>
    <row r="3562" customFormat="false" ht="13.8" hidden="false" customHeight="false" outlineLevel="0" collapsed="false">
      <c r="A3562" s="1" t="s">
        <v>3843</v>
      </c>
      <c r="B3562" s="39"/>
      <c r="C3562" s="39" t="s">
        <v>3844</v>
      </c>
      <c r="D3562" s="39" t="s">
        <v>14</v>
      </c>
      <c r="E3562" s="39" t="s">
        <v>3379</v>
      </c>
      <c r="F3562" s="39" t="s">
        <v>3380</v>
      </c>
      <c r="G3562" s="39" t="s">
        <v>3379</v>
      </c>
      <c r="H3562" s="39" t="s">
        <v>3493</v>
      </c>
      <c r="I3562" s="39" t="s">
        <v>3494</v>
      </c>
      <c r="J3562" s="39" t="s">
        <v>52</v>
      </c>
      <c r="K3562" s="39" t="s">
        <v>3493</v>
      </c>
      <c r="L3562" s="39" t="s">
        <v>69</v>
      </c>
      <c r="M3562" s="40" t="s">
        <v>69</v>
      </c>
      <c r="N3562" s="39" t="s">
        <v>3468</v>
      </c>
      <c r="O3562" s="39" t="s">
        <v>46</v>
      </c>
      <c r="P3562" s="39" t="s">
        <v>46</v>
      </c>
      <c r="Q3562" s="39" t="s">
        <v>46</v>
      </c>
      <c r="R3562" s="39" t="s">
        <v>46</v>
      </c>
      <c r="S3562" s="39" t="s">
        <v>46</v>
      </c>
      <c r="T3562" s="39" t="s">
        <v>46</v>
      </c>
      <c r="U3562" s="39" t="s">
        <v>46</v>
      </c>
      <c r="V3562" s="39"/>
      <c r="W3562" s="39" t="s">
        <v>46</v>
      </c>
      <c r="X3562" s="39" t="s">
        <v>2640</v>
      </c>
      <c r="Y3562" s="39" t="n">
        <v>5500</v>
      </c>
      <c r="Z3562" s="39"/>
      <c r="AA3562" s="39"/>
      <c r="AB3562" s="39"/>
      <c r="AC3562" s="39"/>
      <c r="AD3562" s="39"/>
      <c r="AE3562" s="39"/>
      <c r="AF3562" s="39"/>
    </row>
    <row r="3563" customFormat="false" ht="13.8" hidden="false" customHeight="false" outlineLevel="0" collapsed="false">
      <c r="A3563" s="1" t="s">
        <v>3843</v>
      </c>
      <c r="B3563" s="39"/>
      <c r="C3563" s="39" t="s">
        <v>3844</v>
      </c>
      <c r="D3563" s="39" t="s">
        <v>14</v>
      </c>
      <c r="E3563" s="39" t="s">
        <v>3379</v>
      </c>
      <c r="F3563" s="39" t="s">
        <v>3380</v>
      </c>
      <c r="G3563" s="39" t="s">
        <v>3379</v>
      </c>
      <c r="H3563" s="39" t="s">
        <v>3495</v>
      </c>
      <c r="I3563" s="39" t="s">
        <v>3496</v>
      </c>
      <c r="J3563" s="39" t="s">
        <v>52</v>
      </c>
      <c r="K3563" s="39" t="s">
        <v>3495</v>
      </c>
      <c r="L3563" s="39" t="s">
        <v>69</v>
      </c>
      <c r="M3563" s="40" t="s">
        <v>69</v>
      </c>
      <c r="N3563" s="39" t="s">
        <v>3468</v>
      </c>
      <c r="O3563" s="39" t="s">
        <v>46</v>
      </c>
      <c r="P3563" s="39" t="s">
        <v>46</v>
      </c>
      <c r="Q3563" s="39" t="s">
        <v>46</v>
      </c>
      <c r="R3563" s="39" t="s">
        <v>46</v>
      </c>
      <c r="S3563" s="39" t="s">
        <v>46</v>
      </c>
      <c r="T3563" s="39" t="s">
        <v>46</v>
      </c>
      <c r="U3563" s="39" t="s">
        <v>46</v>
      </c>
      <c r="V3563" s="39"/>
      <c r="W3563" s="39" t="s">
        <v>46</v>
      </c>
      <c r="X3563" s="39" t="s">
        <v>2640</v>
      </c>
      <c r="Y3563" s="39" t="n">
        <v>5500</v>
      </c>
      <c r="Z3563" s="39"/>
      <c r="AA3563" s="39"/>
      <c r="AB3563" s="39"/>
      <c r="AC3563" s="39"/>
      <c r="AD3563" s="39"/>
      <c r="AE3563" s="39"/>
      <c r="AF3563" s="39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9" t="s">
        <v>69</v>
      </c>
      <c r="M3564" s="3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9" t="s">
        <v>69</v>
      </c>
      <c r="M3565" s="3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9" t="s">
        <v>69</v>
      </c>
      <c r="M3566" s="3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9" t="s">
        <v>69</v>
      </c>
      <c r="M3567" s="3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9" t="s">
        <v>69</v>
      </c>
      <c r="M3568" s="3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9" t="s">
        <v>69</v>
      </c>
      <c r="M3569" s="3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9" t="s">
        <v>69</v>
      </c>
      <c r="M3570" s="3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9" t="s">
        <v>69</v>
      </c>
      <c r="M3571" s="3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9" t="s">
        <v>69</v>
      </c>
      <c r="M3572" s="3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9" t="s">
        <v>69</v>
      </c>
      <c r="M3573" s="3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9" t="s">
        <v>69</v>
      </c>
      <c r="M3574" s="3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9" t="s">
        <v>69</v>
      </c>
      <c r="M3575" s="3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9" t="s">
        <v>69</v>
      </c>
      <c r="M3576" s="3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9" t="s">
        <v>69</v>
      </c>
      <c r="M3577" s="3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9" t="s">
        <v>69</v>
      </c>
      <c r="M3578" s="3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9" t="s">
        <v>69</v>
      </c>
      <c r="M3579" s="3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9" t="s">
        <v>69</v>
      </c>
      <c r="M3580" s="3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9" t="s">
        <v>69</v>
      </c>
      <c r="M3581" s="3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9" t="s">
        <v>69</v>
      </c>
      <c r="M3582" s="3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9" t="s">
        <v>69</v>
      </c>
      <c r="M3583" s="3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9" t="s">
        <v>69</v>
      </c>
      <c r="M3584" s="3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9" t="s">
        <v>69</v>
      </c>
      <c r="M3585" s="3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9" t="s">
        <v>69</v>
      </c>
      <c r="M3586" s="3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9" t="s">
        <v>69</v>
      </c>
      <c r="M3587" s="3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9" t="s">
        <v>69</v>
      </c>
      <c r="M3588" s="3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9" t="s">
        <v>69</v>
      </c>
      <c r="M3589" s="3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9" t="s">
        <v>69</v>
      </c>
      <c r="M3590" s="3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9" t="s">
        <v>69</v>
      </c>
      <c r="M3591" s="3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9" t="s">
        <v>69</v>
      </c>
      <c r="M3592" s="3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9" t="s">
        <v>69</v>
      </c>
      <c r="M3593" s="3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9" t="s">
        <v>69</v>
      </c>
      <c r="M3594" s="3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9" t="s">
        <v>69</v>
      </c>
      <c r="M3595" s="3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9" t="s">
        <v>69</v>
      </c>
      <c r="M3596" s="3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9" t="s">
        <v>69</v>
      </c>
      <c r="M3597" s="3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9" t="s">
        <v>69</v>
      </c>
      <c r="M3598" s="3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9" t="s">
        <v>69</v>
      </c>
      <c r="M3599" s="3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9" t="s">
        <v>69</v>
      </c>
      <c r="M3600" s="3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9" t="s">
        <v>69</v>
      </c>
      <c r="M3601" s="3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9" t="s">
        <v>69</v>
      </c>
      <c r="M3602" s="3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9" t="s">
        <v>69</v>
      </c>
      <c r="M3603" s="3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9" t="s">
        <v>69</v>
      </c>
      <c r="M3604" s="3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9" t="s">
        <v>69</v>
      </c>
      <c r="M3605" s="3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9" t="s">
        <v>69</v>
      </c>
      <c r="M3606" s="3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9" t="s">
        <v>69</v>
      </c>
      <c r="M3607" s="3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9" t="s">
        <v>69</v>
      </c>
      <c r="M3608" s="3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9" t="s">
        <v>69</v>
      </c>
      <c r="M3609" s="3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9" t="s">
        <v>69</v>
      </c>
      <c r="M3610" s="3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9" t="s">
        <v>69</v>
      </c>
      <c r="M3611" s="3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9" t="s">
        <v>69</v>
      </c>
      <c r="M3612" s="3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9" t="s">
        <v>69</v>
      </c>
      <c r="M3613" s="3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9" t="s">
        <v>69</v>
      </c>
      <c r="M3614" s="3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9" t="s">
        <v>69</v>
      </c>
      <c r="M3615" s="3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9" t="s">
        <v>69</v>
      </c>
      <c r="M3616" s="3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9" t="s">
        <v>69</v>
      </c>
      <c r="M3617" s="3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9" t="s">
        <v>69</v>
      </c>
      <c r="M3618" s="3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9" t="s">
        <v>69</v>
      </c>
      <c r="M3619" s="3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9" t="s">
        <v>69</v>
      </c>
      <c r="M3620" s="3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9" t="s">
        <v>69</v>
      </c>
      <c r="M3621" s="3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9" t="s">
        <v>69</v>
      </c>
      <c r="M3622" s="3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9" t="s">
        <v>69</v>
      </c>
      <c r="M3623" s="3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9" t="s">
        <v>69</v>
      </c>
      <c r="M3624" s="3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9" t="s">
        <v>69</v>
      </c>
      <c r="M3625" s="3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9" t="s">
        <v>69</v>
      </c>
      <c r="M3626" s="3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9" t="s">
        <v>69</v>
      </c>
      <c r="M3627" s="3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9" t="s">
        <v>69</v>
      </c>
      <c r="M3628" s="3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9" t="s">
        <v>69</v>
      </c>
      <c r="M3629" s="3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9" t="s">
        <v>69</v>
      </c>
      <c r="M3630" s="3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9" t="s">
        <v>69</v>
      </c>
      <c r="M3631" s="3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9" t="s">
        <v>69</v>
      </c>
      <c r="M3632" s="3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9" t="s">
        <v>69</v>
      </c>
      <c r="M3633" s="3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9" t="s">
        <v>69</v>
      </c>
      <c r="M3634" s="3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9" t="s">
        <v>69</v>
      </c>
      <c r="M3635" s="3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9" t="s">
        <v>69</v>
      </c>
      <c r="M3636" s="3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9" t="s">
        <v>69</v>
      </c>
      <c r="M3637" s="3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9" t="s">
        <v>69</v>
      </c>
      <c r="M3638" s="3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9" t="s">
        <v>69</v>
      </c>
      <c r="M3639" s="3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9" t="s">
        <v>69</v>
      </c>
      <c r="M3640" s="3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9" t="s">
        <v>69</v>
      </c>
      <c r="M3641" s="3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9" t="s">
        <v>69</v>
      </c>
      <c r="M3642" s="3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9" t="s">
        <v>69</v>
      </c>
      <c r="M3643" s="3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9" t="s">
        <v>69</v>
      </c>
      <c r="M3644" s="3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9" t="s">
        <v>69</v>
      </c>
      <c r="M3645" s="3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9" t="s">
        <v>69</v>
      </c>
      <c r="M3646" s="3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9" t="s">
        <v>69</v>
      </c>
      <c r="M3647" s="3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9" t="s">
        <v>69</v>
      </c>
      <c r="M3648" s="3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9" t="s">
        <v>69</v>
      </c>
      <c r="M3649" s="3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9" t="s">
        <v>69</v>
      </c>
      <c r="M3650" s="3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9" t="s">
        <v>69</v>
      </c>
      <c r="M3651" s="3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9" t="s">
        <v>69</v>
      </c>
      <c r="M3652" s="3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9" t="s">
        <v>69</v>
      </c>
      <c r="M3653" s="3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9" t="s">
        <v>69</v>
      </c>
      <c r="M3654" s="3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9" t="s">
        <v>69</v>
      </c>
      <c r="M3655" s="3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9" t="s">
        <v>69</v>
      </c>
      <c r="M3656" s="3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9" t="s">
        <v>69</v>
      </c>
      <c r="M3657" s="3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9" t="s">
        <v>69</v>
      </c>
      <c r="M3658" s="3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9" t="s">
        <v>69</v>
      </c>
      <c r="M3659" s="3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9" t="s">
        <v>69</v>
      </c>
      <c r="M3660" s="3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9" t="s">
        <v>69</v>
      </c>
      <c r="M3661" s="3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9" t="s">
        <v>69</v>
      </c>
      <c r="M3662" s="3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9" t="s">
        <v>69</v>
      </c>
      <c r="M3663" s="3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9" t="s">
        <v>69</v>
      </c>
      <c r="M3664" s="3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9" t="s">
        <v>69</v>
      </c>
      <c r="M3665" s="3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9" t="s">
        <v>69</v>
      </c>
      <c r="M3666" s="3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9" t="s">
        <v>69</v>
      </c>
      <c r="M3667" s="3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9" t="s">
        <v>69</v>
      </c>
      <c r="M3668" s="3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9" t="s">
        <v>69</v>
      </c>
      <c r="M3669" s="3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9" t="s">
        <v>69</v>
      </c>
      <c r="M3670" s="3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9" t="s">
        <v>69</v>
      </c>
      <c r="M3671" s="3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9" t="s">
        <v>69</v>
      </c>
      <c r="M3672" s="3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9" t="s">
        <v>69</v>
      </c>
      <c r="M3673" s="3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9" t="s">
        <v>69</v>
      </c>
      <c r="M3674" s="3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9" t="s">
        <v>69</v>
      </c>
      <c r="M3675" s="3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9" t="s">
        <v>69</v>
      </c>
      <c r="M3676" s="3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9" t="s">
        <v>69</v>
      </c>
      <c r="M3677" s="3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9" t="s">
        <v>69</v>
      </c>
      <c r="M3678" s="3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9" t="s">
        <v>69</v>
      </c>
      <c r="M3679" s="3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9" t="s">
        <v>69</v>
      </c>
      <c r="M3680" s="3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9" t="s">
        <v>69</v>
      </c>
      <c r="M3681" s="3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9" t="s">
        <v>69</v>
      </c>
      <c r="M3682" s="3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9" t="s">
        <v>69</v>
      </c>
      <c r="M3683" s="3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9" t="s">
        <v>69</v>
      </c>
      <c r="M3684" s="3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9" t="s">
        <v>69</v>
      </c>
      <c r="M3685" s="3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9" t="s">
        <v>69</v>
      </c>
      <c r="M3686" s="3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9" t="s">
        <v>69</v>
      </c>
      <c r="M3687" s="3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9" t="s">
        <v>69</v>
      </c>
      <c r="M3688" s="3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9" t="s">
        <v>69</v>
      </c>
      <c r="M3689" s="3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9" t="s">
        <v>69</v>
      </c>
      <c r="M3690" s="3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9" t="s">
        <v>69</v>
      </c>
      <c r="M3691" s="3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9" t="s">
        <v>69</v>
      </c>
      <c r="M3692" s="3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9" t="s">
        <v>69</v>
      </c>
      <c r="M3693" s="3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9" t="s">
        <v>69</v>
      </c>
      <c r="M3694" s="3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9" t="s">
        <v>69</v>
      </c>
      <c r="M3695" s="3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9" t="s">
        <v>69</v>
      </c>
      <c r="M3696" s="3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9" t="s">
        <v>69</v>
      </c>
      <c r="M3697" s="3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9" t="s">
        <v>69</v>
      </c>
      <c r="M3698" s="3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9" t="s">
        <v>69</v>
      </c>
      <c r="M3699" s="3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9" t="s">
        <v>69</v>
      </c>
      <c r="M3700" s="3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9" t="s">
        <v>69</v>
      </c>
      <c r="M3701" s="3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9" t="s">
        <v>69</v>
      </c>
      <c r="M3702" s="3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9" t="s">
        <v>69</v>
      </c>
      <c r="M3703" s="3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9" t="s">
        <v>69</v>
      </c>
      <c r="M3704" s="3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9" t="s">
        <v>69</v>
      </c>
      <c r="M3705" s="3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9" t="s">
        <v>69</v>
      </c>
      <c r="M3706" s="3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9" t="s">
        <v>69</v>
      </c>
      <c r="M3707" s="3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9" t="s">
        <v>69</v>
      </c>
      <c r="M3708" s="3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9" t="s">
        <v>69</v>
      </c>
      <c r="M3709" s="3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9" t="s">
        <v>69</v>
      </c>
      <c r="M3710" s="3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9" t="s">
        <v>69</v>
      </c>
      <c r="M3711" s="3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9" t="s">
        <v>69</v>
      </c>
      <c r="M3712" s="3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9" t="s">
        <v>69</v>
      </c>
      <c r="M3713" s="3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9" t="s">
        <v>69</v>
      </c>
      <c r="M3714" s="3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9" t="s">
        <v>69</v>
      </c>
      <c r="M3715" s="3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9" t="s">
        <v>69</v>
      </c>
      <c r="M3716" s="3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9" t="s">
        <v>69</v>
      </c>
      <c r="M3717" s="3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9" t="s">
        <v>69</v>
      </c>
      <c r="M3718" s="3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9" t="s">
        <v>69</v>
      </c>
      <c r="M3719" s="3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9" t="s">
        <v>69</v>
      </c>
      <c r="M3720" s="3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9" t="s">
        <v>69</v>
      </c>
      <c r="M3721" s="3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9" t="s">
        <v>69</v>
      </c>
      <c r="M3722" s="3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9" t="s">
        <v>69</v>
      </c>
      <c r="M3723" s="3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9" t="s">
        <v>69</v>
      </c>
      <c r="M3724" s="3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9" t="s">
        <v>69</v>
      </c>
      <c r="M3725" s="3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9" t="s">
        <v>69</v>
      </c>
      <c r="M3726" s="3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9" t="s">
        <v>69</v>
      </c>
      <c r="M3727" s="3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9" t="s">
        <v>69</v>
      </c>
      <c r="M3728" s="3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9" t="s">
        <v>69</v>
      </c>
      <c r="M3729" s="3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9" t="s">
        <v>69</v>
      </c>
      <c r="M3730" s="3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9" t="s">
        <v>69</v>
      </c>
      <c r="M3731" s="3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9" t="s">
        <v>69</v>
      </c>
      <c r="M3732" s="3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9" t="s">
        <v>69</v>
      </c>
      <c r="M3733" s="3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9" t="s">
        <v>69</v>
      </c>
      <c r="M3734" s="3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9" t="s">
        <v>69</v>
      </c>
      <c r="M3735" s="3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9" t="s">
        <v>69</v>
      </c>
      <c r="M3736" s="3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9" t="s">
        <v>69</v>
      </c>
      <c r="M3737" s="3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9" t="s">
        <v>69</v>
      </c>
      <c r="M3738" s="3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9" t="s">
        <v>69</v>
      </c>
      <c r="M3739" s="3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9" t="s">
        <v>69</v>
      </c>
      <c r="M3740" s="3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9" t="s">
        <v>69</v>
      </c>
      <c r="M3741" s="3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9" t="s">
        <v>69</v>
      </c>
      <c r="M3742" s="3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9" t="s">
        <v>69</v>
      </c>
      <c r="M3743" s="3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9" t="s">
        <v>69</v>
      </c>
      <c r="M3744" s="3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9" t="s">
        <v>69</v>
      </c>
      <c r="M3745" s="3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9" t="s">
        <v>69</v>
      </c>
      <c r="M3746" s="3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9" t="s">
        <v>69</v>
      </c>
      <c r="M3747" s="3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9" t="s">
        <v>69</v>
      </c>
      <c r="M3748" s="3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9" t="s">
        <v>69</v>
      </c>
      <c r="M3749" s="3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9" t="s">
        <v>69</v>
      </c>
      <c r="M3750" s="3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9" t="s">
        <v>69</v>
      </c>
      <c r="M3751" s="3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9" t="s">
        <v>69</v>
      </c>
      <c r="M3752" s="3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9" t="s">
        <v>69</v>
      </c>
      <c r="M3753" s="3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9" t="s">
        <v>69</v>
      </c>
      <c r="M3754" s="3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9" t="s">
        <v>69</v>
      </c>
      <c r="M3755" s="3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9" t="s">
        <v>69</v>
      </c>
      <c r="M3756" s="3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9" t="s">
        <v>69</v>
      </c>
      <c r="M3757" s="3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9" t="s">
        <v>69</v>
      </c>
      <c r="M3758" s="3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9" t="s">
        <v>69</v>
      </c>
      <c r="M3759" s="3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9" t="s">
        <v>69</v>
      </c>
      <c r="M3760" s="3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9" t="s">
        <v>69</v>
      </c>
      <c r="M3761" s="3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9" t="s">
        <v>69</v>
      </c>
      <c r="M3762" s="3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9" t="s">
        <v>69</v>
      </c>
      <c r="M3763" s="3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39" t="s">
        <v>46</v>
      </c>
      <c r="M3764" s="3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39" t="s">
        <v>46</v>
      </c>
      <c r="M3765" s="3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39" t="s">
        <v>46</v>
      </c>
      <c r="M3766" s="3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39" t="s">
        <v>46</v>
      </c>
      <c r="M3767" s="3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39" t="s">
        <v>46</v>
      </c>
      <c r="M3768" s="3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39" t="s">
        <v>46</v>
      </c>
      <c r="M3769" s="3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39" t="s">
        <v>46</v>
      </c>
      <c r="M3770" s="3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39" t="s">
        <v>46</v>
      </c>
      <c r="M3771" s="3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39" t="s">
        <v>46</v>
      </c>
      <c r="M3772" s="3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39" t="s">
        <v>46</v>
      </c>
      <c r="M3773" s="3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39" t="s">
        <v>46</v>
      </c>
      <c r="M3774" s="3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39" t="s">
        <v>46</v>
      </c>
      <c r="M3775" s="3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39" t="s">
        <v>46</v>
      </c>
      <c r="M3776" s="3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39" t="s">
        <v>46</v>
      </c>
      <c r="M3777" s="3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39" t="s">
        <v>46</v>
      </c>
      <c r="M3778" s="3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39" t="s">
        <v>46</v>
      </c>
      <c r="M3779" s="3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39" t="s">
        <v>46</v>
      </c>
      <c r="M3780" s="3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39" t="s">
        <v>46</v>
      </c>
      <c r="M3781" s="3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39" t="s">
        <v>46</v>
      </c>
      <c r="M3782" s="3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39" t="s">
        <v>46</v>
      </c>
      <c r="M3783" s="3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39" t="s">
        <v>46</v>
      </c>
      <c r="M3784" s="3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39" t="s">
        <v>46</v>
      </c>
      <c r="M3785" s="3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39" t="s">
        <v>46</v>
      </c>
      <c r="M3786" s="3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39" t="s">
        <v>46</v>
      </c>
      <c r="M3787" s="3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39" t="s">
        <v>46</v>
      </c>
      <c r="M3788" s="3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39" t="s">
        <v>46</v>
      </c>
      <c r="M3789" s="3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39" t="s">
        <v>46</v>
      </c>
      <c r="M3790" s="3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39" t="s">
        <v>46</v>
      </c>
      <c r="M3791" s="3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39" t="s">
        <v>46</v>
      </c>
      <c r="M3792" s="3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39" t="s">
        <v>46</v>
      </c>
      <c r="M3793" s="3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39" t="s">
        <v>46</v>
      </c>
      <c r="M3794" s="3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39" t="s">
        <v>46</v>
      </c>
      <c r="M3795" s="3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39" t="s">
        <v>46</v>
      </c>
      <c r="M3796" s="3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39" t="s">
        <v>46</v>
      </c>
      <c r="M3797" s="3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39" t="s">
        <v>46</v>
      </c>
      <c r="M3798" s="3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39" t="s">
        <v>46</v>
      </c>
      <c r="M3799" s="3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39" t="s">
        <v>46</v>
      </c>
      <c r="M3800" s="3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39" t="s">
        <v>46</v>
      </c>
      <c r="M3801" s="3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39" t="s">
        <v>46</v>
      </c>
      <c r="M3802" s="3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39" t="s">
        <v>46</v>
      </c>
      <c r="M3803" s="3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39" t="s">
        <v>46</v>
      </c>
      <c r="M3804" s="3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39" t="s">
        <v>46</v>
      </c>
      <c r="M3805" s="3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39" t="s">
        <v>46</v>
      </c>
      <c r="M3806" s="3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39" t="s">
        <v>46</v>
      </c>
      <c r="M3807" s="3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39" t="s">
        <v>46</v>
      </c>
      <c r="M3808" s="3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39" t="s">
        <v>46</v>
      </c>
      <c r="M3809" s="3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39" t="s">
        <v>46</v>
      </c>
      <c r="M3810" s="3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39" t="s">
        <v>46</v>
      </c>
      <c r="M3811" s="3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39" t="s">
        <v>46</v>
      </c>
      <c r="M3812" s="3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39" t="s">
        <v>46</v>
      </c>
      <c r="M3813" s="3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39" t="s">
        <v>46</v>
      </c>
      <c r="M3814" s="3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39" t="s">
        <v>46</v>
      </c>
      <c r="M3815" s="3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39" t="s">
        <v>46</v>
      </c>
      <c r="M3816" s="3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39" t="s">
        <v>46</v>
      </c>
      <c r="M3817" s="3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39" t="s">
        <v>46</v>
      </c>
      <c r="M3818" s="3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39" t="s">
        <v>46</v>
      </c>
      <c r="M3819" s="3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39" t="s">
        <v>46</v>
      </c>
      <c r="M3820" s="3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39" t="s">
        <v>46</v>
      </c>
      <c r="M3821" s="3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39" t="s">
        <v>46</v>
      </c>
      <c r="M3822" s="3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39" t="s">
        <v>46</v>
      </c>
      <c r="M3823" s="3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39" t="s">
        <v>46</v>
      </c>
      <c r="M3824" s="3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39" t="s">
        <v>46</v>
      </c>
      <c r="M3825" s="3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39" t="s">
        <v>46</v>
      </c>
      <c r="M3826" s="3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39" t="s">
        <v>46</v>
      </c>
      <c r="M3827" s="3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39" t="s">
        <v>46</v>
      </c>
      <c r="M3828" s="3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39" t="s">
        <v>46</v>
      </c>
      <c r="M3829" s="3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39" t="s">
        <v>46</v>
      </c>
      <c r="M3830" s="3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39" t="s">
        <v>46</v>
      </c>
      <c r="M3831" s="3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39" t="s">
        <v>46</v>
      </c>
      <c r="M3832" s="3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39" t="s">
        <v>46</v>
      </c>
      <c r="M3833" s="3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39" t="s">
        <v>46</v>
      </c>
      <c r="M3834" s="3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39" t="s">
        <v>46</v>
      </c>
      <c r="M3835" s="3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39" t="s">
        <v>46</v>
      </c>
      <c r="M3836" s="3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39" t="s">
        <v>46</v>
      </c>
      <c r="M3837" s="3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39" t="s">
        <v>46</v>
      </c>
      <c r="M3838" s="3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39" t="s">
        <v>46</v>
      </c>
      <c r="M3839" s="3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39" t="s">
        <v>46</v>
      </c>
      <c r="M3840" s="3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39" t="s">
        <v>46</v>
      </c>
      <c r="M3841" s="3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39" t="s">
        <v>46</v>
      </c>
      <c r="M3842" s="3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39" t="s">
        <v>46</v>
      </c>
      <c r="M3843" s="3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39" t="s">
        <v>46</v>
      </c>
      <c r="M3844" s="3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39" t="s">
        <v>46</v>
      </c>
      <c r="M3845" s="3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39" t="s">
        <v>46</v>
      </c>
      <c r="M3846" s="3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39" t="s">
        <v>46</v>
      </c>
      <c r="M3847" s="3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39" t="s">
        <v>46</v>
      </c>
      <c r="M3848" s="3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39" t="s">
        <v>46</v>
      </c>
      <c r="M3849" s="3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39" t="s">
        <v>46</v>
      </c>
      <c r="M3850" s="3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39" t="s">
        <v>46</v>
      </c>
      <c r="M3851" s="3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39" t="s">
        <v>46</v>
      </c>
      <c r="M3852" s="3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39" t="s">
        <v>46</v>
      </c>
      <c r="M3853" s="3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39" t="s">
        <v>46</v>
      </c>
      <c r="M3854" s="3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39" t="s">
        <v>46</v>
      </c>
      <c r="M3855" s="3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39" t="s">
        <v>46</v>
      </c>
      <c r="M3856" s="3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39" t="s">
        <v>46</v>
      </c>
      <c r="M3857" s="3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39" t="s">
        <v>46</v>
      </c>
      <c r="M3858" s="3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39" t="s">
        <v>46</v>
      </c>
      <c r="M3859" s="3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39" t="s">
        <v>46</v>
      </c>
      <c r="M3860" s="3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39" t="s">
        <v>46</v>
      </c>
      <c r="M3861" s="3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39" t="s">
        <v>46</v>
      </c>
      <c r="M3862" s="3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39" t="s">
        <v>46</v>
      </c>
      <c r="M3863" s="3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39" t="s">
        <v>46</v>
      </c>
      <c r="M3864" s="3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39" t="s">
        <v>46</v>
      </c>
      <c r="M3865" s="3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39" t="s">
        <v>46</v>
      </c>
      <c r="M3866" s="3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39" t="s">
        <v>46</v>
      </c>
      <c r="M3867" s="3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39" t="s">
        <v>46</v>
      </c>
      <c r="M3868" s="3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39" t="s">
        <v>46</v>
      </c>
      <c r="M3869" s="3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39" t="s">
        <v>46</v>
      </c>
      <c r="M3870" s="3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39" t="s">
        <v>46</v>
      </c>
      <c r="M3871" s="3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39" t="s">
        <v>46</v>
      </c>
      <c r="M3872" s="3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39" t="s">
        <v>46</v>
      </c>
      <c r="M3873" s="3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39" t="s">
        <v>46</v>
      </c>
      <c r="M3874" s="3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39" t="s">
        <v>46</v>
      </c>
      <c r="M3875" s="3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39" t="s">
        <v>46</v>
      </c>
      <c r="M3876" s="3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39" t="s">
        <v>46</v>
      </c>
      <c r="M3877" s="3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39" t="s">
        <v>46</v>
      </c>
      <c r="M3878" s="3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39" t="s">
        <v>46</v>
      </c>
      <c r="M3879" s="3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39" t="s">
        <v>46</v>
      </c>
      <c r="M3880" s="3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39" t="s">
        <v>46</v>
      </c>
      <c r="M3881" s="3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39" t="s">
        <v>46</v>
      </c>
      <c r="M3882" s="3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39" t="s">
        <v>46</v>
      </c>
      <c r="M3883" s="3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39" t="s">
        <v>46</v>
      </c>
      <c r="M3884" s="3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39" t="s">
        <v>46</v>
      </c>
      <c r="M3885" s="3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39" t="s">
        <v>46</v>
      </c>
      <c r="M3886" s="3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39" t="s">
        <v>46</v>
      </c>
      <c r="M3887" s="3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39" t="s">
        <v>46</v>
      </c>
      <c r="M3888" s="3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39" t="s">
        <v>46</v>
      </c>
      <c r="M3889" s="3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39" t="s">
        <v>46</v>
      </c>
      <c r="M3890" s="3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39" t="s">
        <v>46</v>
      </c>
      <c r="M3891" s="3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39" t="s">
        <v>46</v>
      </c>
      <c r="M3892" s="3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39" t="s">
        <v>46</v>
      </c>
      <c r="M3893" s="3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39" t="s">
        <v>46</v>
      </c>
      <c r="M3894" s="3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39" t="s">
        <v>46</v>
      </c>
      <c r="M3895" s="3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39" t="s">
        <v>46</v>
      </c>
      <c r="M3896" s="3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39" t="s">
        <v>46</v>
      </c>
      <c r="M3897" s="3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39" t="s">
        <v>46</v>
      </c>
      <c r="M3898" s="3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39" t="s">
        <v>46</v>
      </c>
      <c r="M3899" s="3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39" t="s">
        <v>46</v>
      </c>
      <c r="M3900" s="3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39" t="s">
        <v>46</v>
      </c>
      <c r="M3901" s="3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39" t="s">
        <v>46</v>
      </c>
      <c r="M3902" s="3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39" t="s">
        <v>46</v>
      </c>
      <c r="M3903" s="3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39" t="s">
        <v>46</v>
      </c>
      <c r="M3904" s="3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39" t="s">
        <v>46</v>
      </c>
      <c r="M3905" s="3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39" t="s">
        <v>46</v>
      </c>
      <c r="M3906" s="3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39" t="s">
        <v>46</v>
      </c>
      <c r="M3907" s="3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39" t="s">
        <v>46</v>
      </c>
      <c r="M3908" s="3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39" t="s">
        <v>46</v>
      </c>
      <c r="M3909" s="3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39" t="s">
        <v>46</v>
      </c>
      <c r="M3910" s="3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39" t="s">
        <v>46</v>
      </c>
      <c r="M3911" s="3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39" t="s">
        <v>46</v>
      </c>
      <c r="M3912" s="3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39" t="s">
        <v>46</v>
      </c>
      <c r="M3913" s="3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39" t="s">
        <v>46</v>
      </c>
      <c r="M3914" s="3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39" t="s">
        <v>46</v>
      </c>
      <c r="M3915" s="3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39" t="s">
        <v>46</v>
      </c>
      <c r="M3916" s="3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39" t="s">
        <v>46</v>
      </c>
      <c r="M3917" s="3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39" t="s">
        <v>46</v>
      </c>
      <c r="M3918" s="3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39" t="s">
        <v>46</v>
      </c>
      <c r="M3919" s="3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B3920" s="2" t="s">
        <v>4021</v>
      </c>
      <c r="C3920" s="1" t="s">
        <v>4022</v>
      </c>
      <c r="D3920" s="1" t="s">
        <v>14</v>
      </c>
      <c r="E3920" s="1" t="s">
        <v>4023</v>
      </c>
      <c r="F3920" s="1" t="s">
        <v>4024</v>
      </c>
      <c r="G3920" s="1" t="s">
        <v>4025</v>
      </c>
      <c r="H3920" s="2" t="s">
        <v>4026</v>
      </c>
      <c r="I3920" s="1" t="s">
        <v>4027</v>
      </c>
      <c r="J3920" s="1" t="s">
        <v>52</v>
      </c>
      <c r="K3920" s="1" t="s">
        <v>4026</v>
      </c>
      <c r="L3920" s="39" t="s">
        <v>46</v>
      </c>
      <c r="M3920" s="3" t="n">
        <v>45377</v>
      </c>
      <c r="N3920" s="1" t="s">
        <v>392</v>
      </c>
      <c r="O3920" s="1" t="s">
        <v>4028</v>
      </c>
      <c r="P3920" s="1" t="s">
        <v>192</v>
      </c>
      <c r="Q3920" s="1" t="s">
        <v>4029</v>
      </c>
      <c r="R3920" s="1" t="s">
        <v>44</v>
      </c>
      <c r="S3920" s="1" t="s">
        <v>4030</v>
      </c>
      <c r="T3920" s="1" t="s">
        <v>46</v>
      </c>
      <c r="U3920" s="1" t="n">
        <v>1500</v>
      </c>
      <c r="V3920" s="1" t="n">
        <v>1</v>
      </c>
      <c r="W3920" s="1" t="s">
        <v>4031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B3921" s="2" t="s">
        <v>4021</v>
      </c>
      <c r="C3921" s="1" t="s">
        <v>4022</v>
      </c>
      <c r="D3921" s="1" t="s">
        <v>14</v>
      </c>
      <c r="E3921" s="1" t="s">
        <v>4023</v>
      </c>
      <c r="F3921" s="1" t="s">
        <v>4024</v>
      </c>
      <c r="G3921" s="1" t="s">
        <v>4025</v>
      </c>
      <c r="H3921" s="2" t="s">
        <v>4032</v>
      </c>
      <c r="I3921" s="1" t="s">
        <v>4033</v>
      </c>
      <c r="J3921" s="1" t="s">
        <v>38</v>
      </c>
      <c r="K3921" s="1" t="s">
        <v>4032</v>
      </c>
      <c r="L3921" s="39" t="s">
        <v>46</v>
      </c>
      <c r="M3921" s="3" t="n">
        <v>45433</v>
      </c>
      <c r="N3921" s="1" t="s">
        <v>392</v>
      </c>
      <c r="O3921" s="1" t="s">
        <v>4034</v>
      </c>
      <c r="P3921" s="1" t="s">
        <v>192</v>
      </c>
      <c r="Q3921" s="1" t="s">
        <v>4029</v>
      </c>
      <c r="R3921" s="1" t="s">
        <v>44</v>
      </c>
      <c r="S3921" s="1" t="s">
        <v>4035</v>
      </c>
      <c r="T3921" s="1" t="s">
        <v>46</v>
      </c>
      <c r="U3921" s="1" t="n">
        <v>800</v>
      </c>
      <c r="V3921" s="1" t="n">
        <v>1</v>
      </c>
      <c r="W3921" s="1" t="s">
        <v>4031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B3922" s="2" t="s">
        <v>4021</v>
      </c>
      <c r="C3922" s="1" t="s">
        <v>4022</v>
      </c>
      <c r="D3922" s="1" t="s">
        <v>14</v>
      </c>
      <c r="E3922" s="1" t="s">
        <v>4023</v>
      </c>
      <c r="F3922" s="1" t="s">
        <v>4024</v>
      </c>
      <c r="G3922" s="1" t="s">
        <v>4025</v>
      </c>
      <c r="H3922" s="2" t="s">
        <v>4036</v>
      </c>
      <c r="I3922" s="1" t="s">
        <v>4037</v>
      </c>
      <c r="J3922" s="1" t="s">
        <v>38</v>
      </c>
      <c r="K3922" s="1" t="s">
        <v>4036</v>
      </c>
      <c r="L3922" s="39" t="s">
        <v>46</v>
      </c>
      <c r="M3922" s="3" t="n">
        <v>45433</v>
      </c>
      <c r="N3922" s="1" t="s">
        <v>392</v>
      </c>
      <c r="O3922" s="1" t="s">
        <v>4034</v>
      </c>
      <c r="P3922" s="1" t="s">
        <v>192</v>
      </c>
      <c r="Q3922" s="1" t="s">
        <v>4029</v>
      </c>
      <c r="R3922" s="1" t="s">
        <v>44</v>
      </c>
      <c r="S3922" s="1" t="s">
        <v>4035</v>
      </c>
      <c r="T3922" s="1" t="s">
        <v>46</v>
      </c>
      <c r="U3922" s="1" t="n">
        <v>800</v>
      </c>
      <c r="V3922" s="1" t="n">
        <v>2</v>
      </c>
      <c r="W3922" s="1" t="s">
        <v>4031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B3923" s="2" t="s">
        <v>4021</v>
      </c>
      <c r="C3923" s="1" t="s">
        <v>4022</v>
      </c>
      <c r="D3923" s="1" t="s">
        <v>14</v>
      </c>
      <c r="E3923" s="1" t="s">
        <v>4023</v>
      </c>
      <c r="F3923" s="1" t="s">
        <v>4024</v>
      </c>
      <c r="G3923" s="1" t="s">
        <v>4025</v>
      </c>
      <c r="H3923" s="2" t="s">
        <v>4038</v>
      </c>
      <c r="I3923" s="1" t="s">
        <v>4039</v>
      </c>
      <c r="J3923" s="1" t="s">
        <v>38</v>
      </c>
      <c r="K3923" s="1" t="s">
        <v>4038</v>
      </c>
      <c r="L3923" s="39" t="s">
        <v>46</v>
      </c>
      <c r="M3923" s="3" t="n">
        <v>45433</v>
      </c>
      <c r="N3923" s="1" t="s">
        <v>392</v>
      </c>
      <c r="O3923" s="1" t="s">
        <v>4034</v>
      </c>
      <c r="P3923" s="1" t="s">
        <v>192</v>
      </c>
      <c r="Q3923" s="1" t="s">
        <v>4029</v>
      </c>
      <c r="R3923" s="1" t="s">
        <v>44</v>
      </c>
      <c r="S3923" s="1" t="s">
        <v>4035</v>
      </c>
      <c r="T3923" s="1" t="s">
        <v>46</v>
      </c>
      <c r="U3923" s="1" t="n">
        <v>800</v>
      </c>
      <c r="V3923" s="1" t="n">
        <v>3</v>
      </c>
      <c r="W3923" s="1" t="s">
        <v>4031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B3924" s="2" t="s">
        <v>4021</v>
      </c>
      <c r="C3924" s="1" t="s">
        <v>4022</v>
      </c>
      <c r="D3924" s="1" t="s">
        <v>14</v>
      </c>
      <c r="E3924" s="1" t="s">
        <v>4023</v>
      </c>
      <c r="F3924" s="1" t="s">
        <v>4024</v>
      </c>
      <c r="G3924" s="1" t="s">
        <v>4025</v>
      </c>
      <c r="H3924" s="2" t="s">
        <v>4040</v>
      </c>
      <c r="I3924" s="1" t="s">
        <v>4041</v>
      </c>
      <c r="J3924" s="1" t="s">
        <v>52</v>
      </c>
      <c r="K3924" s="1" t="s">
        <v>4040</v>
      </c>
      <c r="L3924" s="39" t="s">
        <v>46</v>
      </c>
      <c r="M3924" s="3" t="n">
        <v>45377</v>
      </c>
      <c r="N3924" s="1" t="s">
        <v>392</v>
      </c>
      <c r="O3924" s="1" t="s">
        <v>4028</v>
      </c>
      <c r="P3924" s="1" t="s">
        <v>192</v>
      </c>
      <c r="Q3924" s="1" t="s">
        <v>4029</v>
      </c>
      <c r="R3924" s="1" t="s">
        <v>44</v>
      </c>
      <c r="S3924" s="1" t="s">
        <v>4030</v>
      </c>
      <c r="T3924" s="1" t="s">
        <v>46</v>
      </c>
      <c r="U3924" s="1" t="n">
        <v>1500</v>
      </c>
      <c r="V3924" s="1" t="n">
        <v>2</v>
      </c>
      <c r="W3924" s="1" t="s">
        <v>4031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B3925" s="2" t="s">
        <v>4021</v>
      </c>
      <c r="C3925" s="1" t="s">
        <v>4022</v>
      </c>
      <c r="D3925" s="1" t="s">
        <v>14</v>
      </c>
      <c r="E3925" s="1" t="s">
        <v>4023</v>
      </c>
      <c r="F3925" s="1" t="s">
        <v>4024</v>
      </c>
      <c r="G3925" s="1" t="s">
        <v>4025</v>
      </c>
      <c r="H3925" s="2" t="s">
        <v>4042</v>
      </c>
      <c r="I3925" s="1" t="s">
        <v>4043</v>
      </c>
      <c r="J3925" s="1" t="s">
        <v>52</v>
      </c>
      <c r="K3925" s="1" t="s">
        <v>4042</v>
      </c>
      <c r="L3925" s="39" t="s">
        <v>46</v>
      </c>
      <c r="M3925" s="3" t="n">
        <v>45377</v>
      </c>
      <c r="N3925" s="1" t="s">
        <v>392</v>
      </c>
      <c r="O3925" s="1" t="s">
        <v>4028</v>
      </c>
      <c r="P3925" s="1" t="s">
        <v>192</v>
      </c>
      <c r="Q3925" s="1" t="s">
        <v>4029</v>
      </c>
      <c r="R3925" s="1" t="s">
        <v>44</v>
      </c>
      <c r="S3925" s="1" t="s">
        <v>4030</v>
      </c>
      <c r="T3925" s="1" t="s">
        <v>46</v>
      </c>
      <c r="U3925" s="1" t="n">
        <v>1500</v>
      </c>
      <c r="V3925" s="1" t="n">
        <v>3</v>
      </c>
      <c r="W3925" s="1" t="s">
        <v>4031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B3926" s="2" t="s">
        <v>4021</v>
      </c>
      <c r="C3926" s="1" t="s">
        <v>4022</v>
      </c>
      <c r="D3926" s="1" t="s">
        <v>14</v>
      </c>
      <c r="E3926" s="1" t="s">
        <v>4023</v>
      </c>
      <c r="F3926" s="1" t="s">
        <v>4024</v>
      </c>
      <c r="G3926" s="1" t="s">
        <v>4044</v>
      </c>
      <c r="H3926" s="2" t="s">
        <v>4045</v>
      </c>
      <c r="I3926" s="1" t="s">
        <v>4046</v>
      </c>
      <c r="J3926" s="1" t="s">
        <v>52</v>
      </c>
      <c r="K3926" s="1" t="s">
        <v>4045</v>
      </c>
      <c r="L3926" s="39" t="s">
        <v>46</v>
      </c>
      <c r="M3926" s="3" t="n">
        <v>45168</v>
      </c>
      <c r="N3926" s="1" t="s">
        <v>392</v>
      </c>
      <c r="O3926" s="1" t="s">
        <v>4028</v>
      </c>
      <c r="P3926" s="1" t="s">
        <v>192</v>
      </c>
      <c r="Q3926" s="1" t="s">
        <v>4029</v>
      </c>
      <c r="R3926" s="1" t="s">
        <v>44</v>
      </c>
      <c r="S3926" s="1" t="s">
        <v>4030</v>
      </c>
      <c r="T3926" s="1" t="s">
        <v>46</v>
      </c>
      <c r="U3926" s="1" t="n">
        <v>800</v>
      </c>
      <c r="V3926" s="1" t="n">
        <v>1</v>
      </c>
      <c r="W3926" s="1" t="s">
        <v>4031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B3927" s="2" t="s">
        <v>4021</v>
      </c>
      <c r="C3927" s="1" t="s">
        <v>4022</v>
      </c>
      <c r="D3927" s="1" t="s">
        <v>14</v>
      </c>
      <c r="E3927" s="1" t="s">
        <v>4023</v>
      </c>
      <c r="F3927" s="1" t="s">
        <v>4024</v>
      </c>
      <c r="G3927" s="1" t="s">
        <v>4044</v>
      </c>
      <c r="H3927" s="2" t="s">
        <v>4047</v>
      </c>
      <c r="I3927" s="1" t="s">
        <v>4048</v>
      </c>
      <c r="J3927" s="1" t="s">
        <v>52</v>
      </c>
      <c r="K3927" s="1" t="s">
        <v>4047</v>
      </c>
      <c r="L3927" s="39" t="s">
        <v>46</v>
      </c>
      <c r="M3927" s="3" t="n">
        <v>45168</v>
      </c>
      <c r="N3927" s="1" t="s">
        <v>392</v>
      </c>
      <c r="O3927" s="1" t="s">
        <v>4028</v>
      </c>
      <c r="P3927" s="1" t="s">
        <v>192</v>
      </c>
      <c r="Q3927" s="1" t="s">
        <v>4029</v>
      </c>
      <c r="R3927" s="1" t="s">
        <v>44</v>
      </c>
      <c r="S3927" s="1" t="s">
        <v>4030</v>
      </c>
      <c r="T3927" s="1" t="s">
        <v>46</v>
      </c>
      <c r="U3927" s="1" t="n">
        <v>800</v>
      </c>
      <c r="V3927" s="1" t="n">
        <v>2</v>
      </c>
      <c r="W3927" s="1" t="s">
        <v>4031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B3928" s="2" t="s">
        <v>4021</v>
      </c>
      <c r="C3928" s="1" t="s">
        <v>4022</v>
      </c>
      <c r="D3928" s="1" t="s">
        <v>14</v>
      </c>
      <c r="E3928" s="1" t="s">
        <v>4023</v>
      </c>
      <c r="F3928" s="1" t="s">
        <v>4024</v>
      </c>
      <c r="G3928" s="1" t="s">
        <v>4044</v>
      </c>
      <c r="H3928" s="2" t="s">
        <v>4049</v>
      </c>
      <c r="I3928" s="1" t="s">
        <v>4050</v>
      </c>
      <c r="J3928" s="1" t="s">
        <v>52</v>
      </c>
      <c r="K3928" s="1" t="s">
        <v>4049</v>
      </c>
      <c r="L3928" s="39" t="s">
        <v>46</v>
      </c>
      <c r="M3928" s="3" t="n">
        <v>45168</v>
      </c>
      <c r="N3928" s="1" t="s">
        <v>392</v>
      </c>
      <c r="O3928" s="1" t="s">
        <v>4028</v>
      </c>
      <c r="P3928" s="1" t="s">
        <v>192</v>
      </c>
      <c r="Q3928" s="1" t="s">
        <v>4029</v>
      </c>
      <c r="R3928" s="1" t="s">
        <v>44</v>
      </c>
      <c r="S3928" s="1" t="s">
        <v>4030</v>
      </c>
      <c r="T3928" s="1" t="s">
        <v>46</v>
      </c>
      <c r="U3928" s="1" t="n">
        <v>800</v>
      </c>
      <c r="V3928" s="1" t="n">
        <v>3</v>
      </c>
      <c r="W3928" s="1" t="s">
        <v>4031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B3929" s="2" t="s">
        <v>4021</v>
      </c>
      <c r="C3929" s="1" t="s">
        <v>4022</v>
      </c>
      <c r="D3929" s="1" t="s">
        <v>14</v>
      </c>
      <c r="E3929" s="1" t="s">
        <v>4023</v>
      </c>
      <c r="F3929" s="1" t="s">
        <v>4024</v>
      </c>
      <c r="G3929" s="1" t="s">
        <v>4025</v>
      </c>
      <c r="H3929" s="2" t="s">
        <v>4051</v>
      </c>
      <c r="I3929" s="1" t="s">
        <v>4052</v>
      </c>
      <c r="J3929" s="1" t="s">
        <v>38</v>
      </c>
      <c r="K3929" s="1" t="s">
        <v>4051</v>
      </c>
      <c r="L3929" s="39" t="s">
        <v>46</v>
      </c>
      <c r="M3929" s="3" t="n">
        <v>45440</v>
      </c>
      <c r="N3929" s="1" t="s">
        <v>392</v>
      </c>
      <c r="O3929" s="1" t="s">
        <v>4034</v>
      </c>
      <c r="P3929" s="1" t="s">
        <v>192</v>
      </c>
      <c r="Q3929" s="1" t="s">
        <v>4029</v>
      </c>
      <c r="R3929" s="1" t="s">
        <v>44</v>
      </c>
      <c r="S3929" s="1" t="s">
        <v>4035</v>
      </c>
      <c r="T3929" s="1" t="s">
        <v>46</v>
      </c>
      <c r="U3929" s="1" t="n">
        <v>800</v>
      </c>
      <c r="V3929" s="1" t="n">
        <v>1</v>
      </c>
      <c r="W3929" s="1" t="s">
        <v>4031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B3930" s="2" t="s">
        <v>4021</v>
      </c>
      <c r="C3930" s="1" t="s">
        <v>4022</v>
      </c>
      <c r="D3930" s="1" t="s">
        <v>14</v>
      </c>
      <c r="E3930" s="1" t="s">
        <v>4023</v>
      </c>
      <c r="F3930" s="1" t="s">
        <v>4024</v>
      </c>
      <c r="G3930" s="1" t="s">
        <v>4025</v>
      </c>
      <c r="H3930" s="2" t="s">
        <v>4053</v>
      </c>
      <c r="I3930" s="1" t="s">
        <v>4054</v>
      </c>
      <c r="J3930" s="1" t="s">
        <v>38</v>
      </c>
      <c r="K3930" s="1" t="s">
        <v>4053</v>
      </c>
      <c r="L3930" s="39" t="s">
        <v>46</v>
      </c>
      <c r="M3930" s="3" t="n">
        <v>45440</v>
      </c>
      <c r="N3930" s="1" t="s">
        <v>392</v>
      </c>
      <c r="O3930" s="1" t="s">
        <v>4034</v>
      </c>
      <c r="P3930" s="1" t="s">
        <v>192</v>
      </c>
      <c r="Q3930" s="1" t="s">
        <v>4029</v>
      </c>
      <c r="R3930" s="1" t="s">
        <v>44</v>
      </c>
      <c r="S3930" s="1" t="s">
        <v>4035</v>
      </c>
      <c r="T3930" s="1" t="s">
        <v>46</v>
      </c>
      <c r="U3930" s="1" t="n">
        <v>800</v>
      </c>
      <c r="V3930" s="1" t="n">
        <v>2</v>
      </c>
      <c r="W3930" s="1" t="s">
        <v>4031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B3931" s="2" t="s">
        <v>4021</v>
      </c>
      <c r="C3931" s="1" t="s">
        <v>4022</v>
      </c>
      <c r="D3931" s="1" t="s">
        <v>14</v>
      </c>
      <c r="E3931" s="1" t="s">
        <v>4023</v>
      </c>
      <c r="F3931" s="1" t="s">
        <v>4024</v>
      </c>
      <c r="G3931" s="1" t="s">
        <v>4025</v>
      </c>
      <c r="H3931" s="2" t="s">
        <v>4055</v>
      </c>
      <c r="I3931" s="1" t="s">
        <v>4056</v>
      </c>
      <c r="J3931" s="1" t="s">
        <v>38</v>
      </c>
      <c r="K3931" s="1" t="s">
        <v>4055</v>
      </c>
      <c r="L3931" s="39" t="s">
        <v>46</v>
      </c>
      <c r="M3931" s="3" t="n">
        <v>45440</v>
      </c>
      <c r="N3931" s="1" t="s">
        <v>392</v>
      </c>
      <c r="O3931" s="1" t="s">
        <v>4034</v>
      </c>
      <c r="P3931" s="1" t="s">
        <v>192</v>
      </c>
      <c r="Q3931" s="1" t="s">
        <v>4029</v>
      </c>
      <c r="R3931" s="1" t="s">
        <v>44</v>
      </c>
      <c r="S3931" s="1" t="s">
        <v>4035</v>
      </c>
      <c r="T3931" s="1" t="s">
        <v>46</v>
      </c>
      <c r="U3931" s="1" t="n">
        <v>800</v>
      </c>
      <c r="V3931" s="1" t="n">
        <v>3</v>
      </c>
      <c r="W3931" s="1" t="s">
        <v>4031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B3932" s="2" t="s">
        <v>4021</v>
      </c>
      <c r="C3932" s="1" t="s">
        <v>4022</v>
      </c>
      <c r="D3932" s="1" t="s">
        <v>14</v>
      </c>
      <c r="E3932" s="1" t="s">
        <v>4023</v>
      </c>
      <c r="F3932" s="1" t="s">
        <v>4024</v>
      </c>
      <c r="G3932" s="1" t="s">
        <v>4044</v>
      </c>
      <c r="H3932" s="2" t="s">
        <v>4057</v>
      </c>
      <c r="I3932" s="1" t="s">
        <v>4058</v>
      </c>
      <c r="J3932" s="1" t="s">
        <v>52</v>
      </c>
      <c r="K3932" s="1" t="s">
        <v>4057</v>
      </c>
      <c r="L3932" s="39" t="s">
        <v>46</v>
      </c>
      <c r="M3932" s="3" t="n">
        <v>45175</v>
      </c>
      <c r="N3932" s="1" t="s">
        <v>392</v>
      </c>
      <c r="O3932" s="1" t="s">
        <v>4028</v>
      </c>
      <c r="P3932" s="1" t="s">
        <v>192</v>
      </c>
      <c r="Q3932" s="1" t="s">
        <v>4029</v>
      </c>
      <c r="R3932" s="1" t="s">
        <v>44</v>
      </c>
      <c r="S3932" s="1" t="s">
        <v>4030</v>
      </c>
      <c r="T3932" s="1" t="s">
        <v>46</v>
      </c>
      <c r="U3932" s="1" t="n">
        <v>800</v>
      </c>
      <c r="V3932" s="1" t="n">
        <v>1</v>
      </c>
      <c r="W3932" s="1" t="s">
        <v>4031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B3933" s="2" t="s">
        <v>4021</v>
      </c>
      <c r="C3933" s="1" t="s">
        <v>4022</v>
      </c>
      <c r="D3933" s="1" t="s">
        <v>14</v>
      </c>
      <c r="E3933" s="1" t="s">
        <v>4023</v>
      </c>
      <c r="F3933" s="1" t="s">
        <v>4024</v>
      </c>
      <c r="G3933" s="1" t="s">
        <v>4044</v>
      </c>
      <c r="H3933" s="2" t="s">
        <v>4059</v>
      </c>
      <c r="I3933" s="1" t="s">
        <v>4060</v>
      </c>
      <c r="J3933" s="1" t="s">
        <v>52</v>
      </c>
      <c r="K3933" s="1" t="s">
        <v>4059</v>
      </c>
      <c r="L3933" s="39" t="s">
        <v>46</v>
      </c>
      <c r="M3933" s="3" t="n">
        <v>45175</v>
      </c>
      <c r="N3933" s="1" t="s">
        <v>392</v>
      </c>
      <c r="O3933" s="1" t="s">
        <v>4028</v>
      </c>
      <c r="P3933" s="1" t="s">
        <v>192</v>
      </c>
      <c r="Q3933" s="1" t="s">
        <v>4029</v>
      </c>
      <c r="R3933" s="1" t="s">
        <v>44</v>
      </c>
      <c r="S3933" s="1" t="s">
        <v>4030</v>
      </c>
      <c r="T3933" s="1" t="s">
        <v>46</v>
      </c>
      <c r="U3933" s="1" t="n">
        <v>800</v>
      </c>
      <c r="V3933" s="1" t="n">
        <v>2</v>
      </c>
      <c r="W3933" s="1" t="s">
        <v>4031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B3934" s="2" t="s">
        <v>4021</v>
      </c>
      <c r="C3934" s="1" t="s">
        <v>4022</v>
      </c>
      <c r="D3934" s="1" t="s">
        <v>14</v>
      </c>
      <c r="E3934" s="1" t="s">
        <v>4023</v>
      </c>
      <c r="F3934" s="1" t="s">
        <v>4024</v>
      </c>
      <c r="G3934" s="1" t="s">
        <v>4044</v>
      </c>
      <c r="H3934" s="2" t="s">
        <v>4061</v>
      </c>
      <c r="I3934" s="1" t="s">
        <v>4062</v>
      </c>
      <c r="J3934" s="1" t="s">
        <v>52</v>
      </c>
      <c r="K3934" s="1" t="s">
        <v>4061</v>
      </c>
      <c r="L3934" s="39" t="s">
        <v>46</v>
      </c>
      <c r="M3934" s="3" t="n">
        <v>45175</v>
      </c>
      <c r="N3934" s="1" t="s">
        <v>392</v>
      </c>
      <c r="O3934" s="1" t="s">
        <v>4028</v>
      </c>
      <c r="P3934" s="1" t="s">
        <v>192</v>
      </c>
      <c r="Q3934" s="1" t="s">
        <v>4029</v>
      </c>
      <c r="R3934" s="1" t="s">
        <v>44</v>
      </c>
      <c r="S3934" s="1" t="s">
        <v>4030</v>
      </c>
      <c r="T3934" s="1" t="s">
        <v>46</v>
      </c>
      <c r="U3934" s="1" t="n">
        <v>800</v>
      </c>
      <c r="V3934" s="1" t="n">
        <v>3</v>
      </c>
      <c r="W3934" s="1" t="s">
        <v>4031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B3935" s="2" t="s">
        <v>4021</v>
      </c>
      <c r="C3935" s="1" t="s">
        <v>4022</v>
      </c>
      <c r="D3935" s="1" t="s">
        <v>14</v>
      </c>
      <c r="E3935" s="1" t="s">
        <v>4023</v>
      </c>
      <c r="F3935" s="1" t="s">
        <v>4024</v>
      </c>
      <c r="G3935" s="1" t="s">
        <v>4025</v>
      </c>
      <c r="H3935" s="2" t="s">
        <v>4063</v>
      </c>
      <c r="I3935" s="1" t="s">
        <v>4064</v>
      </c>
      <c r="J3935" s="1" t="s">
        <v>38</v>
      </c>
      <c r="K3935" s="1" t="s">
        <v>4063</v>
      </c>
      <c r="L3935" s="39" t="s">
        <v>46</v>
      </c>
      <c r="M3935" s="3" t="n">
        <v>45447</v>
      </c>
      <c r="N3935" s="1" t="s">
        <v>392</v>
      </c>
      <c r="O3935" s="1" t="s">
        <v>4034</v>
      </c>
      <c r="P3935" s="1" t="s">
        <v>192</v>
      </c>
      <c r="Q3935" s="1" t="s">
        <v>4029</v>
      </c>
      <c r="R3935" s="1" t="s">
        <v>44</v>
      </c>
      <c r="S3935" s="1" t="s">
        <v>4035</v>
      </c>
      <c r="T3935" s="1" t="s">
        <v>46</v>
      </c>
      <c r="U3935" s="1" t="n">
        <v>800</v>
      </c>
      <c r="V3935" s="1" t="n">
        <v>1</v>
      </c>
      <c r="W3935" s="1" t="s">
        <v>4031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B3936" s="2" t="s">
        <v>4021</v>
      </c>
      <c r="C3936" s="1" t="s">
        <v>4022</v>
      </c>
      <c r="D3936" s="1" t="s">
        <v>14</v>
      </c>
      <c r="E3936" s="1" t="s">
        <v>4023</v>
      </c>
      <c r="F3936" s="1" t="s">
        <v>4024</v>
      </c>
      <c r="G3936" s="1" t="s">
        <v>4025</v>
      </c>
      <c r="H3936" s="2" t="s">
        <v>4065</v>
      </c>
      <c r="I3936" s="1" t="s">
        <v>4066</v>
      </c>
      <c r="J3936" s="1" t="s">
        <v>38</v>
      </c>
      <c r="K3936" s="1" t="s">
        <v>4065</v>
      </c>
      <c r="L3936" s="39" t="s">
        <v>46</v>
      </c>
      <c r="M3936" s="3" t="n">
        <v>45447</v>
      </c>
      <c r="N3936" s="1" t="s">
        <v>392</v>
      </c>
      <c r="O3936" s="1" t="s">
        <v>4034</v>
      </c>
      <c r="P3936" s="1" t="s">
        <v>192</v>
      </c>
      <c r="Q3936" s="1" t="s">
        <v>4029</v>
      </c>
      <c r="R3936" s="1" t="s">
        <v>44</v>
      </c>
      <c r="S3936" s="1" t="s">
        <v>4035</v>
      </c>
      <c r="T3936" s="1" t="s">
        <v>46</v>
      </c>
      <c r="U3936" s="1" t="n">
        <v>800</v>
      </c>
      <c r="V3936" s="1" t="n">
        <v>2</v>
      </c>
      <c r="W3936" s="1" t="s">
        <v>4031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B3937" s="2" t="s">
        <v>4021</v>
      </c>
      <c r="C3937" s="1" t="s">
        <v>4022</v>
      </c>
      <c r="D3937" s="1" t="s">
        <v>14</v>
      </c>
      <c r="E3937" s="1" t="s">
        <v>4023</v>
      </c>
      <c r="F3937" s="1" t="s">
        <v>4024</v>
      </c>
      <c r="G3937" s="1" t="s">
        <v>4025</v>
      </c>
      <c r="H3937" s="2" t="s">
        <v>4067</v>
      </c>
      <c r="I3937" s="1" t="s">
        <v>4068</v>
      </c>
      <c r="J3937" s="1" t="s">
        <v>38</v>
      </c>
      <c r="K3937" s="1" t="s">
        <v>4067</v>
      </c>
      <c r="L3937" s="39" t="s">
        <v>46</v>
      </c>
      <c r="M3937" s="3" t="n">
        <v>45447</v>
      </c>
      <c r="N3937" s="1" t="s">
        <v>392</v>
      </c>
      <c r="O3937" s="1" t="s">
        <v>4034</v>
      </c>
      <c r="P3937" s="1" t="s">
        <v>192</v>
      </c>
      <c r="Q3937" s="1" t="s">
        <v>4029</v>
      </c>
      <c r="R3937" s="1" t="s">
        <v>44</v>
      </c>
      <c r="S3937" s="1" t="s">
        <v>4035</v>
      </c>
      <c r="T3937" s="1" t="s">
        <v>46</v>
      </c>
      <c r="U3937" s="1" t="n">
        <v>800</v>
      </c>
      <c r="V3937" s="1" t="n">
        <v>3</v>
      </c>
      <c r="W3937" s="1" t="s">
        <v>4031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B3938" s="2" t="s">
        <v>4021</v>
      </c>
      <c r="C3938" s="1" t="s">
        <v>4022</v>
      </c>
      <c r="D3938" s="1" t="s">
        <v>14</v>
      </c>
      <c r="E3938" s="1" t="s">
        <v>4023</v>
      </c>
      <c r="F3938" s="1" t="s">
        <v>4024</v>
      </c>
      <c r="G3938" s="1" t="s">
        <v>4044</v>
      </c>
      <c r="H3938" s="2" t="s">
        <v>4069</v>
      </c>
      <c r="I3938" s="1" t="s">
        <v>4070</v>
      </c>
      <c r="J3938" s="1" t="s">
        <v>52</v>
      </c>
      <c r="K3938" s="1" t="s">
        <v>4069</v>
      </c>
      <c r="L3938" s="39" t="s">
        <v>46</v>
      </c>
      <c r="M3938" s="3" t="n">
        <v>45182</v>
      </c>
      <c r="N3938" s="1" t="s">
        <v>392</v>
      </c>
      <c r="O3938" s="1" t="s">
        <v>4028</v>
      </c>
      <c r="P3938" s="1" t="s">
        <v>192</v>
      </c>
      <c r="Q3938" s="1" t="s">
        <v>4029</v>
      </c>
      <c r="R3938" s="1" t="s">
        <v>44</v>
      </c>
      <c r="S3938" s="1" t="s">
        <v>4030</v>
      </c>
      <c r="T3938" s="1" t="s">
        <v>46</v>
      </c>
      <c r="U3938" s="1" t="n">
        <v>800</v>
      </c>
      <c r="V3938" s="1" t="n">
        <v>1</v>
      </c>
      <c r="W3938" s="1" t="s">
        <v>4031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B3939" s="2" t="s">
        <v>4021</v>
      </c>
      <c r="C3939" s="1" t="s">
        <v>4022</v>
      </c>
      <c r="D3939" s="1" t="s">
        <v>14</v>
      </c>
      <c r="E3939" s="1" t="s">
        <v>4023</v>
      </c>
      <c r="F3939" s="1" t="s">
        <v>4024</v>
      </c>
      <c r="G3939" s="1" t="s">
        <v>4044</v>
      </c>
      <c r="H3939" s="2" t="s">
        <v>4071</v>
      </c>
      <c r="I3939" s="1" t="s">
        <v>4072</v>
      </c>
      <c r="J3939" s="1" t="s">
        <v>52</v>
      </c>
      <c r="K3939" s="1" t="s">
        <v>4071</v>
      </c>
      <c r="L3939" s="39" t="s">
        <v>46</v>
      </c>
      <c r="M3939" s="3" t="n">
        <v>45182</v>
      </c>
      <c r="N3939" s="1" t="s">
        <v>392</v>
      </c>
      <c r="O3939" s="1" t="s">
        <v>4028</v>
      </c>
      <c r="P3939" s="1" t="s">
        <v>192</v>
      </c>
      <c r="Q3939" s="1" t="s">
        <v>4029</v>
      </c>
      <c r="R3939" s="1" t="s">
        <v>44</v>
      </c>
      <c r="S3939" s="1" t="s">
        <v>4030</v>
      </c>
      <c r="T3939" s="1" t="s">
        <v>46</v>
      </c>
      <c r="U3939" s="1" t="n">
        <v>800</v>
      </c>
      <c r="V3939" s="1" t="n">
        <v>2</v>
      </c>
      <c r="W3939" s="1" t="s">
        <v>4031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B3940" s="2" t="s">
        <v>4021</v>
      </c>
      <c r="C3940" s="1" t="s">
        <v>4022</v>
      </c>
      <c r="D3940" s="1" t="s">
        <v>14</v>
      </c>
      <c r="E3940" s="1" t="s">
        <v>4023</v>
      </c>
      <c r="F3940" s="1" t="s">
        <v>4024</v>
      </c>
      <c r="G3940" s="1" t="s">
        <v>4044</v>
      </c>
      <c r="H3940" s="2" t="s">
        <v>4073</v>
      </c>
      <c r="I3940" s="1" t="s">
        <v>4074</v>
      </c>
      <c r="J3940" s="1" t="s">
        <v>52</v>
      </c>
      <c r="K3940" s="1" t="s">
        <v>4073</v>
      </c>
      <c r="L3940" s="39" t="s">
        <v>46</v>
      </c>
      <c r="M3940" s="3" t="n">
        <v>45182</v>
      </c>
      <c r="N3940" s="1" t="s">
        <v>392</v>
      </c>
      <c r="O3940" s="1" t="s">
        <v>4028</v>
      </c>
      <c r="P3940" s="1" t="s">
        <v>192</v>
      </c>
      <c r="Q3940" s="1" t="s">
        <v>4029</v>
      </c>
      <c r="R3940" s="1" t="s">
        <v>44</v>
      </c>
      <c r="S3940" s="1" t="s">
        <v>4030</v>
      </c>
      <c r="T3940" s="1" t="s">
        <v>46</v>
      </c>
      <c r="U3940" s="1" t="n">
        <v>800</v>
      </c>
      <c r="V3940" s="1" t="n">
        <v>3</v>
      </c>
      <c r="W3940" s="1" t="s">
        <v>4031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B3941" s="2" t="s">
        <v>4021</v>
      </c>
      <c r="C3941" s="1" t="s">
        <v>4022</v>
      </c>
      <c r="D3941" s="1" t="s">
        <v>14</v>
      </c>
      <c r="E3941" s="1" t="s">
        <v>4023</v>
      </c>
      <c r="F3941" s="1" t="s">
        <v>4024</v>
      </c>
      <c r="G3941" s="1" t="s">
        <v>4025</v>
      </c>
      <c r="H3941" s="2" t="s">
        <v>4075</v>
      </c>
      <c r="I3941" s="1" t="s">
        <v>4076</v>
      </c>
      <c r="J3941" s="1" t="s">
        <v>38</v>
      </c>
      <c r="K3941" s="1" t="s">
        <v>4075</v>
      </c>
      <c r="L3941" s="39" t="s">
        <v>46</v>
      </c>
      <c r="M3941" s="3" t="n">
        <v>45454</v>
      </c>
      <c r="N3941" s="1" t="s">
        <v>392</v>
      </c>
      <c r="O3941" s="1" t="s">
        <v>4034</v>
      </c>
      <c r="P3941" s="1" t="s">
        <v>192</v>
      </c>
      <c r="Q3941" s="1" t="s">
        <v>4029</v>
      </c>
      <c r="R3941" s="1" t="s">
        <v>44</v>
      </c>
      <c r="S3941" s="1" t="s">
        <v>4035</v>
      </c>
      <c r="T3941" s="1" t="s">
        <v>46</v>
      </c>
      <c r="U3941" s="1" t="n">
        <v>800</v>
      </c>
      <c r="V3941" s="1" t="n">
        <v>1</v>
      </c>
      <c r="W3941" s="1" t="s">
        <v>4031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B3942" s="2" t="s">
        <v>4021</v>
      </c>
      <c r="C3942" s="1" t="s">
        <v>4022</v>
      </c>
      <c r="D3942" s="1" t="s">
        <v>14</v>
      </c>
      <c r="E3942" s="1" t="s">
        <v>4023</v>
      </c>
      <c r="F3942" s="1" t="s">
        <v>4024</v>
      </c>
      <c r="G3942" s="1" t="s">
        <v>4025</v>
      </c>
      <c r="H3942" s="2" t="s">
        <v>4077</v>
      </c>
      <c r="I3942" s="1" t="s">
        <v>4078</v>
      </c>
      <c r="J3942" s="1" t="s">
        <v>38</v>
      </c>
      <c r="K3942" s="1" t="s">
        <v>4077</v>
      </c>
      <c r="L3942" s="39" t="s">
        <v>46</v>
      </c>
      <c r="M3942" s="3" t="n">
        <v>45454</v>
      </c>
      <c r="N3942" s="1" t="s">
        <v>392</v>
      </c>
      <c r="O3942" s="1" t="s">
        <v>4034</v>
      </c>
      <c r="P3942" s="1" t="s">
        <v>192</v>
      </c>
      <c r="Q3942" s="1" t="s">
        <v>4029</v>
      </c>
      <c r="R3942" s="1" t="s">
        <v>44</v>
      </c>
      <c r="S3942" s="1" t="s">
        <v>4035</v>
      </c>
      <c r="T3942" s="1" t="s">
        <v>46</v>
      </c>
      <c r="U3942" s="1" t="n">
        <v>800</v>
      </c>
      <c r="V3942" s="1" t="n">
        <v>2</v>
      </c>
      <c r="W3942" s="1" t="s">
        <v>4031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B3943" s="2" t="s">
        <v>4021</v>
      </c>
      <c r="C3943" s="1" t="s">
        <v>4022</v>
      </c>
      <c r="D3943" s="1" t="s">
        <v>14</v>
      </c>
      <c r="E3943" s="1" t="s">
        <v>4023</v>
      </c>
      <c r="F3943" s="1" t="s">
        <v>4024</v>
      </c>
      <c r="G3943" s="1" t="s">
        <v>4025</v>
      </c>
      <c r="H3943" s="2" t="s">
        <v>4079</v>
      </c>
      <c r="I3943" s="1" t="s">
        <v>4080</v>
      </c>
      <c r="J3943" s="1" t="s">
        <v>38</v>
      </c>
      <c r="K3943" s="1" t="s">
        <v>4079</v>
      </c>
      <c r="L3943" s="39" t="s">
        <v>46</v>
      </c>
      <c r="M3943" s="3" t="n">
        <v>45454</v>
      </c>
      <c r="N3943" s="1" t="s">
        <v>392</v>
      </c>
      <c r="O3943" s="1" t="s">
        <v>4034</v>
      </c>
      <c r="P3943" s="1" t="s">
        <v>192</v>
      </c>
      <c r="Q3943" s="1" t="s">
        <v>4029</v>
      </c>
      <c r="R3943" s="1" t="s">
        <v>44</v>
      </c>
      <c r="S3943" s="1" t="s">
        <v>4035</v>
      </c>
      <c r="T3943" s="1" t="s">
        <v>46</v>
      </c>
      <c r="U3943" s="1" t="n">
        <v>800</v>
      </c>
      <c r="V3943" s="1" t="n">
        <v>3</v>
      </c>
      <c r="W3943" s="1" t="s">
        <v>4031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B3944" s="2" t="s">
        <v>4021</v>
      </c>
      <c r="C3944" s="1" t="s">
        <v>4022</v>
      </c>
      <c r="D3944" s="1" t="s">
        <v>14</v>
      </c>
      <c r="E3944" s="1" t="s">
        <v>4023</v>
      </c>
      <c r="F3944" s="1" t="s">
        <v>4024</v>
      </c>
      <c r="G3944" s="1" t="s">
        <v>4044</v>
      </c>
      <c r="H3944" s="2" t="s">
        <v>4081</v>
      </c>
      <c r="I3944" s="1" t="s">
        <v>4082</v>
      </c>
      <c r="J3944" s="1" t="s">
        <v>52</v>
      </c>
      <c r="K3944" s="1" t="s">
        <v>4081</v>
      </c>
      <c r="L3944" s="39" t="s">
        <v>46</v>
      </c>
      <c r="M3944" s="3" t="n">
        <v>45189</v>
      </c>
      <c r="N3944" s="1" t="s">
        <v>392</v>
      </c>
      <c r="O3944" s="1" t="s">
        <v>4028</v>
      </c>
      <c r="P3944" s="1" t="s">
        <v>192</v>
      </c>
      <c r="Q3944" s="1" t="s">
        <v>4029</v>
      </c>
      <c r="R3944" s="1" t="s">
        <v>44</v>
      </c>
      <c r="S3944" s="1" t="s">
        <v>4030</v>
      </c>
      <c r="T3944" s="1" t="s">
        <v>46</v>
      </c>
      <c r="U3944" s="1" t="n">
        <v>800</v>
      </c>
      <c r="V3944" s="1" t="n">
        <v>1</v>
      </c>
      <c r="W3944" s="1" t="s">
        <v>4031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B3945" s="2" t="s">
        <v>4021</v>
      </c>
      <c r="C3945" s="1" t="s">
        <v>4022</v>
      </c>
      <c r="D3945" s="1" t="s">
        <v>14</v>
      </c>
      <c r="E3945" s="1" t="s">
        <v>4023</v>
      </c>
      <c r="F3945" s="1" t="s">
        <v>4024</v>
      </c>
      <c r="G3945" s="1" t="s">
        <v>4044</v>
      </c>
      <c r="H3945" s="2" t="s">
        <v>4083</v>
      </c>
      <c r="I3945" s="1" t="s">
        <v>4084</v>
      </c>
      <c r="J3945" s="1" t="s">
        <v>52</v>
      </c>
      <c r="K3945" s="1" t="s">
        <v>4083</v>
      </c>
      <c r="L3945" s="39" t="s">
        <v>46</v>
      </c>
      <c r="M3945" s="3" t="n">
        <v>45189</v>
      </c>
      <c r="N3945" s="1" t="s">
        <v>392</v>
      </c>
      <c r="O3945" s="1" t="s">
        <v>4028</v>
      </c>
      <c r="P3945" s="1" t="s">
        <v>192</v>
      </c>
      <c r="Q3945" s="1" t="s">
        <v>4029</v>
      </c>
      <c r="R3945" s="1" t="s">
        <v>44</v>
      </c>
      <c r="S3945" s="1" t="s">
        <v>4030</v>
      </c>
      <c r="T3945" s="1" t="s">
        <v>46</v>
      </c>
      <c r="U3945" s="1" t="n">
        <v>800</v>
      </c>
      <c r="V3945" s="1" t="n">
        <v>2</v>
      </c>
      <c r="W3945" s="1" t="s">
        <v>4031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B3946" s="2" t="s">
        <v>4021</v>
      </c>
      <c r="C3946" s="1" t="s">
        <v>4022</v>
      </c>
      <c r="D3946" s="1" t="s">
        <v>14</v>
      </c>
      <c r="E3946" s="1" t="s">
        <v>4023</v>
      </c>
      <c r="F3946" s="1" t="s">
        <v>4024</v>
      </c>
      <c r="G3946" s="1" t="s">
        <v>4044</v>
      </c>
      <c r="H3946" s="2" t="s">
        <v>4085</v>
      </c>
      <c r="I3946" s="1" t="s">
        <v>4086</v>
      </c>
      <c r="J3946" s="1" t="s">
        <v>52</v>
      </c>
      <c r="K3946" s="1" t="s">
        <v>4085</v>
      </c>
      <c r="L3946" s="39" t="s">
        <v>46</v>
      </c>
      <c r="M3946" s="3" t="n">
        <v>45189</v>
      </c>
      <c r="N3946" s="1" t="s">
        <v>392</v>
      </c>
      <c r="O3946" s="1" t="s">
        <v>4028</v>
      </c>
      <c r="P3946" s="1" t="s">
        <v>192</v>
      </c>
      <c r="Q3946" s="1" t="s">
        <v>4029</v>
      </c>
      <c r="R3946" s="1" t="s">
        <v>44</v>
      </c>
      <c r="S3946" s="1" t="s">
        <v>4030</v>
      </c>
      <c r="T3946" s="1" t="s">
        <v>46</v>
      </c>
      <c r="U3946" s="1" t="n">
        <v>800</v>
      </c>
      <c r="V3946" s="1" t="n">
        <v>3</v>
      </c>
      <c r="W3946" s="1" t="s">
        <v>4031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B3947" s="2" t="s">
        <v>4021</v>
      </c>
      <c r="C3947" s="1" t="s">
        <v>4022</v>
      </c>
      <c r="D3947" s="1" t="s">
        <v>14</v>
      </c>
      <c r="E3947" s="1" t="s">
        <v>4023</v>
      </c>
      <c r="F3947" s="1" t="s">
        <v>4024</v>
      </c>
      <c r="G3947" s="1" t="s">
        <v>4025</v>
      </c>
      <c r="H3947" s="2" t="s">
        <v>4087</v>
      </c>
      <c r="I3947" s="1" t="s">
        <v>4088</v>
      </c>
      <c r="J3947" s="1" t="s">
        <v>52</v>
      </c>
      <c r="K3947" s="1" t="s">
        <v>4087</v>
      </c>
      <c r="L3947" s="39" t="s">
        <v>46</v>
      </c>
      <c r="M3947" s="3" t="n">
        <v>45413</v>
      </c>
      <c r="N3947" s="1" t="s">
        <v>392</v>
      </c>
      <c r="O3947" s="1" t="s">
        <v>4028</v>
      </c>
      <c r="P3947" s="1" t="s">
        <v>192</v>
      </c>
      <c r="Q3947" s="1" t="s">
        <v>4029</v>
      </c>
      <c r="R3947" s="1" t="s">
        <v>44</v>
      </c>
      <c r="S3947" s="1" t="s">
        <v>4030</v>
      </c>
      <c r="T3947" s="1" t="s">
        <v>46</v>
      </c>
      <c r="U3947" s="1" t="n">
        <v>800</v>
      </c>
      <c r="V3947" s="1" t="n">
        <v>1</v>
      </c>
      <c r="W3947" s="1" t="s">
        <v>4031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B3948" s="2" t="s">
        <v>4021</v>
      </c>
      <c r="C3948" s="1" t="s">
        <v>4022</v>
      </c>
      <c r="D3948" s="1" t="s">
        <v>14</v>
      </c>
      <c r="E3948" s="1" t="s">
        <v>4023</v>
      </c>
      <c r="F3948" s="1" t="s">
        <v>4024</v>
      </c>
      <c r="G3948" s="1" t="s">
        <v>4025</v>
      </c>
      <c r="H3948" s="2" t="s">
        <v>4089</v>
      </c>
      <c r="I3948" s="1" t="s">
        <v>4090</v>
      </c>
      <c r="J3948" s="1" t="s">
        <v>52</v>
      </c>
      <c r="K3948" s="1" t="s">
        <v>4089</v>
      </c>
      <c r="L3948" s="39" t="s">
        <v>46</v>
      </c>
      <c r="M3948" s="3" t="n">
        <v>45413</v>
      </c>
      <c r="N3948" s="1" t="s">
        <v>392</v>
      </c>
      <c r="O3948" s="1" t="s">
        <v>4028</v>
      </c>
      <c r="P3948" s="1" t="s">
        <v>192</v>
      </c>
      <c r="Q3948" s="1" t="s">
        <v>4029</v>
      </c>
      <c r="R3948" s="1" t="s">
        <v>44</v>
      </c>
      <c r="S3948" s="1" t="s">
        <v>4030</v>
      </c>
      <c r="T3948" s="1" t="s">
        <v>46</v>
      </c>
      <c r="U3948" s="1" t="n">
        <v>800</v>
      </c>
      <c r="V3948" s="1" t="n">
        <v>2</v>
      </c>
      <c r="W3948" s="1" t="s">
        <v>4031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B3949" s="2" t="s">
        <v>4021</v>
      </c>
      <c r="C3949" s="1" t="s">
        <v>4022</v>
      </c>
      <c r="D3949" s="1" t="s">
        <v>14</v>
      </c>
      <c r="E3949" s="1" t="s">
        <v>4023</v>
      </c>
      <c r="F3949" s="1" t="s">
        <v>4024</v>
      </c>
      <c r="G3949" s="1" t="s">
        <v>4025</v>
      </c>
      <c r="H3949" s="2" t="s">
        <v>4091</v>
      </c>
      <c r="I3949" s="1" t="s">
        <v>4092</v>
      </c>
      <c r="J3949" s="1" t="s">
        <v>52</v>
      </c>
      <c r="K3949" s="1" t="s">
        <v>4091</v>
      </c>
      <c r="L3949" s="39" t="s">
        <v>46</v>
      </c>
      <c r="M3949" s="3" t="n">
        <v>45413</v>
      </c>
      <c r="N3949" s="1" t="s">
        <v>392</v>
      </c>
      <c r="O3949" s="1" t="s">
        <v>4028</v>
      </c>
      <c r="P3949" s="1" t="s">
        <v>192</v>
      </c>
      <c r="Q3949" s="1" t="s">
        <v>4029</v>
      </c>
      <c r="R3949" s="1" t="s">
        <v>44</v>
      </c>
      <c r="S3949" s="1" t="s">
        <v>4030</v>
      </c>
      <c r="T3949" s="1" t="s">
        <v>46</v>
      </c>
      <c r="U3949" s="1" t="n">
        <v>800</v>
      </c>
      <c r="V3949" s="1" t="n">
        <v>3</v>
      </c>
      <c r="W3949" s="1" t="s">
        <v>4031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B3950" s="2" t="s">
        <v>4021</v>
      </c>
      <c r="C3950" s="1" t="s">
        <v>4022</v>
      </c>
      <c r="D3950" s="1" t="s">
        <v>14</v>
      </c>
      <c r="E3950" s="1" t="s">
        <v>4023</v>
      </c>
      <c r="F3950" s="1" t="s">
        <v>4024</v>
      </c>
      <c r="G3950" s="1" t="s">
        <v>4025</v>
      </c>
      <c r="H3950" s="2" t="s">
        <v>4093</v>
      </c>
      <c r="I3950" s="1" t="s">
        <v>4094</v>
      </c>
      <c r="J3950" s="1" t="s">
        <v>52</v>
      </c>
      <c r="K3950" s="1" t="s">
        <v>4093</v>
      </c>
      <c r="L3950" s="39" t="s">
        <v>46</v>
      </c>
      <c r="M3950" s="3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4031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B3951" s="2" t="s">
        <v>4021</v>
      </c>
      <c r="C3951" s="1" t="s">
        <v>4022</v>
      </c>
      <c r="D3951" s="1" t="s">
        <v>14</v>
      </c>
      <c r="E3951" s="1" t="s">
        <v>4023</v>
      </c>
      <c r="F3951" s="1" t="s">
        <v>4024</v>
      </c>
      <c r="G3951" s="1" t="s">
        <v>4025</v>
      </c>
      <c r="H3951" s="2" t="s">
        <v>4095</v>
      </c>
      <c r="I3951" s="1" t="s">
        <v>4096</v>
      </c>
      <c r="J3951" s="1" t="s">
        <v>52</v>
      </c>
      <c r="K3951" s="1" t="s">
        <v>4095</v>
      </c>
      <c r="L3951" s="39" t="s">
        <v>46</v>
      </c>
      <c r="M3951" s="3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4031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B3952" s="2" t="s">
        <v>4021</v>
      </c>
      <c r="C3952" s="1" t="s">
        <v>4022</v>
      </c>
      <c r="D3952" s="1" t="s">
        <v>14</v>
      </c>
      <c r="E3952" s="1" t="s">
        <v>4023</v>
      </c>
      <c r="F3952" s="1" t="s">
        <v>4024</v>
      </c>
      <c r="G3952" s="1" t="s">
        <v>4025</v>
      </c>
      <c r="H3952" s="2" t="s">
        <v>4097</v>
      </c>
      <c r="I3952" s="1" t="s">
        <v>4098</v>
      </c>
      <c r="J3952" s="1" t="s">
        <v>52</v>
      </c>
      <c r="K3952" s="1" t="s">
        <v>4097</v>
      </c>
      <c r="L3952" s="39" t="s">
        <v>46</v>
      </c>
      <c r="M3952" s="3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4031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B3953" s="2" t="s">
        <v>4021</v>
      </c>
      <c r="C3953" s="1" t="s">
        <v>4022</v>
      </c>
      <c r="D3953" s="1" t="s">
        <v>14</v>
      </c>
      <c r="E3953" s="1" t="s">
        <v>4023</v>
      </c>
      <c r="F3953" s="1" t="s">
        <v>4024</v>
      </c>
      <c r="G3953" s="1" t="s">
        <v>4025</v>
      </c>
      <c r="H3953" s="2" t="s">
        <v>4099</v>
      </c>
      <c r="I3953" s="1" t="s">
        <v>4100</v>
      </c>
      <c r="J3953" s="1" t="s">
        <v>52</v>
      </c>
      <c r="K3953" s="1" t="s">
        <v>4099</v>
      </c>
      <c r="L3953" s="39" t="s">
        <v>46</v>
      </c>
      <c r="M3953" s="3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4031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B3954" s="2" t="s">
        <v>4021</v>
      </c>
      <c r="C3954" s="1" t="s">
        <v>4022</v>
      </c>
      <c r="D3954" s="1" t="s">
        <v>14</v>
      </c>
      <c r="E3954" s="1" t="s">
        <v>4023</v>
      </c>
      <c r="F3954" s="1" t="s">
        <v>4024</v>
      </c>
      <c r="G3954" s="1" t="s">
        <v>4025</v>
      </c>
      <c r="H3954" s="2" t="s">
        <v>4101</v>
      </c>
      <c r="I3954" s="1" t="s">
        <v>4102</v>
      </c>
      <c r="J3954" s="1" t="s">
        <v>52</v>
      </c>
      <c r="K3954" s="1" t="s">
        <v>4101</v>
      </c>
      <c r="L3954" s="39" t="s">
        <v>46</v>
      </c>
      <c r="M3954" s="3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4031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B3955" s="2" t="s">
        <v>4021</v>
      </c>
      <c r="C3955" s="1" t="s">
        <v>4022</v>
      </c>
      <c r="D3955" s="1" t="s">
        <v>14</v>
      </c>
      <c r="E3955" s="1" t="s">
        <v>4023</v>
      </c>
      <c r="F3955" s="1" t="s">
        <v>4024</v>
      </c>
      <c r="G3955" s="1" t="s">
        <v>4025</v>
      </c>
      <c r="H3955" s="2" t="s">
        <v>4103</v>
      </c>
      <c r="I3955" s="1" t="s">
        <v>4104</v>
      </c>
      <c r="J3955" s="1" t="s">
        <v>52</v>
      </c>
      <c r="K3955" s="1" t="s">
        <v>4103</v>
      </c>
      <c r="L3955" s="39" t="s">
        <v>46</v>
      </c>
      <c r="M3955" s="3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4031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B3956" s="2" t="s">
        <v>4021</v>
      </c>
      <c r="C3956" s="1" t="s">
        <v>4022</v>
      </c>
      <c r="D3956" s="1" t="s">
        <v>14</v>
      </c>
      <c r="E3956" s="1" t="s">
        <v>4023</v>
      </c>
      <c r="F3956" s="1" t="s">
        <v>4024</v>
      </c>
      <c r="G3956" s="1" t="s">
        <v>4025</v>
      </c>
      <c r="H3956" s="2" t="s">
        <v>4105</v>
      </c>
      <c r="I3956" s="1" t="s">
        <v>4106</v>
      </c>
      <c r="J3956" s="1" t="s">
        <v>52</v>
      </c>
      <c r="K3956" s="1" t="s">
        <v>4105</v>
      </c>
      <c r="L3956" s="39" t="s">
        <v>46</v>
      </c>
      <c r="M3956" s="3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4031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B3957" s="2" t="s">
        <v>4021</v>
      </c>
      <c r="C3957" s="1" t="s">
        <v>4022</v>
      </c>
      <c r="D3957" s="1" t="s">
        <v>14</v>
      </c>
      <c r="E3957" s="1" t="s">
        <v>4023</v>
      </c>
      <c r="F3957" s="1" t="s">
        <v>4024</v>
      </c>
      <c r="G3957" s="1" t="s">
        <v>4025</v>
      </c>
      <c r="H3957" s="2" t="s">
        <v>4107</v>
      </c>
      <c r="I3957" s="1" t="s">
        <v>4108</v>
      </c>
      <c r="J3957" s="1" t="s">
        <v>52</v>
      </c>
      <c r="K3957" s="1" t="s">
        <v>4107</v>
      </c>
      <c r="L3957" s="39" t="s">
        <v>46</v>
      </c>
      <c r="M3957" s="3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4031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B3958" s="2" t="s">
        <v>4021</v>
      </c>
      <c r="C3958" s="1" t="s">
        <v>4022</v>
      </c>
      <c r="D3958" s="1" t="s">
        <v>14</v>
      </c>
      <c r="E3958" s="1" t="s">
        <v>4023</v>
      </c>
      <c r="F3958" s="1" t="s">
        <v>4024</v>
      </c>
      <c r="G3958" s="1" t="s">
        <v>4044</v>
      </c>
      <c r="H3958" s="2" t="s">
        <v>4109</v>
      </c>
      <c r="I3958" s="1" t="s">
        <v>4110</v>
      </c>
      <c r="J3958" s="1" t="s">
        <v>52</v>
      </c>
      <c r="K3958" s="1" t="s">
        <v>4109</v>
      </c>
      <c r="L3958" s="39" t="s">
        <v>46</v>
      </c>
      <c r="M3958" s="3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4031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B3959" s="2" t="s">
        <v>4021</v>
      </c>
      <c r="C3959" s="1" t="s">
        <v>4022</v>
      </c>
      <c r="D3959" s="1" t="s">
        <v>14</v>
      </c>
      <c r="E3959" s="1" t="s">
        <v>4023</v>
      </c>
      <c r="F3959" s="1" t="s">
        <v>4024</v>
      </c>
      <c r="G3959" s="1" t="s">
        <v>4044</v>
      </c>
      <c r="H3959" s="2" t="s">
        <v>4111</v>
      </c>
      <c r="I3959" s="1" t="s">
        <v>4112</v>
      </c>
      <c r="J3959" s="1" t="s">
        <v>52</v>
      </c>
      <c r="K3959" s="1" t="s">
        <v>4111</v>
      </c>
      <c r="L3959" s="39" t="s">
        <v>46</v>
      </c>
      <c r="M3959" s="3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4031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B3960" s="2" t="s">
        <v>4021</v>
      </c>
      <c r="C3960" s="1" t="s">
        <v>4022</v>
      </c>
      <c r="D3960" s="1" t="s">
        <v>14</v>
      </c>
      <c r="E3960" s="1" t="s">
        <v>4023</v>
      </c>
      <c r="F3960" s="1" t="s">
        <v>4024</v>
      </c>
      <c r="G3960" s="1" t="s">
        <v>4025</v>
      </c>
      <c r="H3960" s="2" t="s">
        <v>4113</v>
      </c>
      <c r="I3960" s="1" t="s">
        <v>4114</v>
      </c>
      <c r="J3960" s="1" t="s">
        <v>52</v>
      </c>
      <c r="K3960" s="1" t="s">
        <v>4113</v>
      </c>
      <c r="L3960" s="39" t="s">
        <v>46</v>
      </c>
      <c r="M3960" s="3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4031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B3961" s="2" t="s">
        <v>4021</v>
      </c>
      <c r="C3961" s="1" t="s">
        <v>4022</v>
      </c>
      <c r="D3961" s="1" t="s">
        <v>14</v>
      </c>
      <c r="E3961" s="1" t="s">
        <v>4023</v>
      </c>
      <c r="F3961" s="1" t="s">
        <v>4024</v>
      </c>
      <c r="G3961" s="1" t="s">
        <v>4025</v>
      </c>
      <c r="H3961" s="2" t="s">
        <v>4115</v>
      </c>
      <c r="I3961" s="1" t="s">
        <v>4116</v>
      </c>
      <c r="J3961" s="1" t="s">
        <v>52</v>
      </c>
      <c r="K3961" s="1" t="s">
        <v>4115</v>
      </c>
      <c r="L3961" s="39" t="s">
        <v>46</v>
      </c>
      <c r="M3961" s="3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4031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B3962" s="2" t="s">
        <v>4021</v>
      </c>
      <c r="C3962" s="1" t="s">
        <v>4022</v>
      </c>
      <c r="D3962" s="1" t="s">
        <v>14</v>
      </c>
      <c r="E3962" s="1" t="s">
        <v>4023</v>
      </c>
      <c r="F3962" s="1" t="s">
        <v>4024</v>
      </c>
      <c r="G3962" s="1" t="s">
        <v>4025</v>
      </c>
      <c r="H3962" s="2" t="s">
        <v>4117</v>
      </c>
      <c r="I3962" s="1" t="s">
        <v>4118</v>
      </c>
      <c r="J3962" s="1" t="s">
        <v>52</v>
      </c>
      <c r="K3962" s="1" t="s">
        <v>4117</v>
      </c>
      <c r="L3962" s="39" t="s">
        <v>46</v>
      </c>
      <c r="M3962" s="3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4031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B3963" s="2" t="s">
        <v>4021</v>
      </c>
      <c r="C3963" s="1" t="s">
        <v>4022</v>
      </c>
      <c r="D3963" s="1" t="s">
        <v>14</v>
      </c>
      <c r="E3963" s="1" t="s">
        <v>4023</v>
      </c>
      <c r="F3963" s="1" t="s">
        <v>4024</v>
      </c>
      <c r="G3963" s="1" t="s">
        <v>4025</v>
      </c>
      <c r="H3963" s="2" t="s">
        <v>4119</v>
      </c>
      <c r="I3963" s="1" t="s">
        <v>4120</v>
      </c>
      <c r="J3963" s="1" t="s">
        <v>52</v>
      </c>
      <c r="K3963" s="1" t="s">
        <v>4119</v>
      </c>
      <c r="L3963" s="39" t="s">
        <v>46</v>
      </c>
      <c r="M3963" s="3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4031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B3964" s="2" t="s">
        <v>4021</v>
      </c>
      <c r="C3964" s="1" t="s">
        <v>4022</v>
      </c>
      <c r="D3964" s="1" t="s">
        <v>14</v>
      </c>
      <c r="E3964" s="1" t="s">
        <v>4023</v>
      </c>
      <c r="F3964" s="1" t="s">
        <v>4024</v>
      </c>
      <c r="G3964" s="1" t="s">
        <v>4025</v>
      </c>
      <c r="H3964" s="2" t="s">
        <v>4121</v>
      </c>
      <c r="I3964" s="1" t="s">
        <v>4122</v>
      </c>
      <c r="J3964" s="1" t="s">
        <v>52</v>
      </c>
      <c r="K3964" s="1" t="s">
        <v>4121</v>
      </c>
      <c r="L3964" s="39" t="s">
        <v>46</v>
      </c>
      <c r="M3964" s="3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4031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B3965" s="2" t="s">
        <v>4021</v>
      </c>
      <c r="C3965" s="1" t="s">
        <v>4022</v>
      </c>
      <c r="D3965" s="1" t="s">
        <v>14</v>
      </c>
      <c r="E3965" s="1" t="s">
        <v>4023</v>
      </c>
      <c r="F3965" s="1" t="s">
        <v>4024</v>
      </c>
      <c r="G3965" s="1" t="s">
        <v>4025</v>
      </c>
      <c r="H3965" s="2" t="s">
        <v>4123</v>
      </c>
      <c r="I3965" s="1" t="s">
        <v>4124</v>
      </c>
      <c r="J3965" s="1" t="s">
        <v>52</v>
      </c>
      <c r="K3965" s="1" t="s">
        <v>4123</v>
      </c>
      <c r="L3965" s="39" t="s">
        <v>46</v>
      </c>
      <c r="M3965" s="3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4031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B3966" s="2" t="s">
        <v>4021</v>
      </c>
      <c r="C3966" s="1" t="s">
        <v>4022</v>
      </c>
      <c r="D3966" s="1" t="s">
        <v>14</v>
      </c>
      <c r="E3966" s="1" t="s">
        <v>4023</v>
      </c>
      <c r="F3966" s="1" t="s">
        <v>4024</v>
      </c>
      <c r="G3966" s="1" t="s">
        <v>4025</v>
      </c>
      <c r="H3966" s="2" t="s">
        <v>4125</v>
      </c>
      <c r="I3966" s="1" t="s">
        <v>4126</v>
      </c>
      <c r="J3966" s="1" t="s">
        <v>52</v>
      </c>
      <c r="K3966" s="1" t="s">
        <v>4125</v>
      </c>
      <c r="L3966" s="39" t="s">
        <v>46</v>
      </c>
      <c r="M3966" s="3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4031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B3967" s="2" t="s">
        <v>4021</v>
      </c>
      <c r="C3967" s="1" t="s">
        <v>4022</v>
      </c>
      <c r="D3967" s="1" t="s">
        <v>14</v>
      </c>
      <c r="E3967" s="1" t="s">
        <v>4023</v>
      </c>
      <c r="F3967" s="1" t="s">
        <v>4024</v>
      </c>
      <c r="G3967" s="1" t="s">
        <v>4025</v>
      </c>
      <c r="H3967" s="2" t="s">
        <v>4127</v>
      </c>
      <c r="I3967" s="1" t="s">
        <v>4128</v>
      </c>
      <c r="J3967" s="1" t="s">
        <v>52</v>
      </c>
      <c r="K3967" s="1" t="s">
        <v>4127</v>
      </c>
      <c r="L3967" s="39" t="s">
        <v>46</v>
      </c>
      <c r="M3967" s="3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4031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B3968" s="2" t="s">
        <v>4021</v>
      </c>
      <c r="C3968" s="1" t="s">
        <v>4022</v>
      </c>
      <c r="D3968" s="1" t="s">
        <v>14</v>
      </c>
      <c r="E3968" s="1" t="s">
        <v>4023</v>
      </c>
      <c r="F3968" s="1" t="s">
        <v>4024</v>
      </c>
      <c r="G3968" s="1" t="s">
        <v>4044</v>
      </c>
      <c r="H3968" s="2" t="s">
        <v>4129</v>
      </c>
      <c r="I3968" s="1" t="s">
        <v>4130</v>
      </c>
      <c r="J3968" s="1" t="s">
        <v>52</v>
      </c>
      <c r="K3968" s="1" t="s">
        <v>4129</v>
      </c>
      <c r="L3968" s="39" t="s">
        <v>46</v>
      </c>
      <c r="M3968" s="3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4031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B3969" s="2" t="s">
        <v>4021</v>
      </c>
      <c r="C3969" s="1" t="s">
        <v>4022</v>
      </c>
      <c r="D3969" s="1" t="s">
        <v>14</v>
      </c>
      <c r="E3969" s="1" t="s">
        <v>4023</v>
      </c>
      <c r="F3969" s="1" t="s">
        <v>4024</v>
      </c>
      <c r="G3969" s="1" t="s">
        <v>4044</v>
      </c>
      <c r="H3969" s="2" t="s">
        <v>4131</v>
      </c>
      <c r="I3969" s="1" t="s">
        <v>4132</v>
      </c>
      <c r="J3969" s="1" t="s">
        <v>52</v>
      </c>
      <c r="K3969" s="1" t="s">
        <v>4131</v>
      </c>
      <c r="L3969" s="39" t="s">
        <v>46</v>
      </c>
      <c r="M3969" s="3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4031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4133</v>
      </c>
      <c r="B3970" s="2" t="s">
        <v>4021</v>
      </c>
      <c r="C3970" s="1" t="s">
        <v>4134</v>
      </c>
      <c r="D3970" s="1" t="s">
        <v>14</v>
      </c>
      <c r="E3970" s="1" t="s">
        <v>4135</v>
      </c>
      <c r="F3970" s="1" t="s">
        <v>4024</v>
      </c>
      <c r="G3970" s="1" t="s">
        <v>4025</v>
      </c>
      <c r="H3970" s="2" t="s">
        <v>4136</v>
      </c>
      <c r="I3970" s="1" t="s">
        <v>4137</v>
      </c>
      <c r="J3970" s="1" t="s">
        <v>38</v>
      </c>
      <c r="K3970" s="1" t="s">
        <v>4136</v>
      </c>
      <c r="L3970" s="39" t="s">
        <v>46</v>
      </c>
      <c r="M3970" s="3" t="n">
        <v>45419</v>
      </c>
      <c r="N3970" s="1" t="s">
        <v>392</v>
      </c>
      <c r="O3970" s="1" t="s">
        <v>4034</v>
      </c>
      <c r="P3970" s="1" t="s">
        <v>43</v>
      </c>
      <c r="Q3970" s="1" t="s">
        <v>43</v>
      </c>
      <c r="R3970" s="1" t="s">
        <v>44</v>
      </c>
      <c r="S3970" s="1" t="s">
        <v>4035</v>
      </c>
      <c r="T3970" s="1" t="s">
        <v>46</v>
      </c>
      <c r="U3970" s="1" t="n">
        <v>800</v>
      </c>
      <c r="V3970" s="1" t="n">
        <v>1</v>
      </c>
      <c r="W3970" s="1" t="s">
        <v>4138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4133</v>
      </c>
      <c r="B3971" s="2" t="s">
        <v>4021</v>
      </c>
      <c r="C3971" s="1" t="s">
        <v>4134</v>
      </c>
      <c r="D3971" s="1" t="s">
        <v>14</v>
      </c>
      <c r="E3971" s="1" t="s">
        <v>4135</v>
      </c>
      <c r="F3971" s="1" t="s">
        <v>4024</v>
      </c>
      <c r="G3971" s="1" t="s">
        <v>4025</v>
      </c>
      <c r="H3971" s="2" t="s">
        <v>4139</v>
      </c>
      <c r="I3971" s="1" t="s">
        <v>4140</v>
      </c>
      <c r="J3971" s="1" t="s">
        <v>38</v>
      </c>
      <c r="K3971" s="1" t="s">
        <v>4139</v>
      </c>
      <c r="L3971" s="39" t="s">
        <v>46</v>
      </c>
      <c r="M3971" s="3" t="n">
        <v>45433</v>
      </c>
      <c r="N3971" s="1" t="s">
        <v>392</v>
      </c>
      <c r="O3971" s="1" t="s">
        <v>4034</v>
      </c>
      <c r="P3971" s="1" t="s">
        <v>43</v>
      </c>
      <c r="Q3971" s="1" t="s">
        <v>43</v>
      </c>
      <c r="R3971" s="1" t="s">
        <v>44</v>
      </c>
      <c r="S3971" s="1" t="s">
        <v>4035</v>
      </c>
      <c r="T3971" s="1" t="s">
        <v>46</v>
      </c>
      <c r="U3971" s="1" t="n">
        <v>800</v>
      </c>
      <c r="V3971" s="1" t="n">
        <v>1</v>
      </c>
      <c r="W3971" s="1" t="s">
        <v>4138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4133</v>
      </c>
      <c r="B3972" s="2" t="s">
        <v>4021</v>
      </c>
      <c r="C3972" s="1" t="s">
        <v>4134</v>
      </c>
      <c r="D3972" s="1" t="s">
        <v>14</v>
      </c>
      <c r="E3972" s="1" t="s">
        <v>4135</v>
      </c>
      <c r="F3972" s="1" t="s">
        <v>4024</v>
      </c>
      <c r="G3972" s="1" t="s">
        <v>4025</v>
      </c>
      <c r="H3972" s="2" t="s">
        <v>4141</v>
      </c>
      <c r="I3972" s="1" t="s">
        <v>4142</v>
      </c>
      <c r="J3972" s="1" t="s">
        <v>38</v>
      </c>
      <c r="K3972" s="1" t="s">
        <v>4141</v>
      </c>
      <c r="L3972" s="39" t="s">
        <v>46</v>
      </c>
      <c r="M3972" s="3" t="n">
        <v>45440</v>
      </c>
      <c r="N3972" s="1" t="s">
        <v>392</v>
      </c>
      <c r="O3972" s="1" t="s">
        <v>4034</v>
      </c>
      <c r="P3972" s="1" t="s">
        <v>43</v>
      </c>
      <c r="Q3972" s="1" t="s">
        <v>43</v>
      </c>
      <c r="R3972" s="1" t="s">
        <v>44</v>
      </c>
      <c r="S3972" s="1" t="s">
        <v>4035</v>
      </c>
      <c r="T3972" s="1" t="s">
        <v>46</v>
      </c>
      <c r="U3972" s="1" t="n">
        <v>800</v>
      </c>
      <c r="V3972" s="1" t="n">
        <v>1</v>
      </c>
      <c r="W3972" s="1" t="s">
        <v>4138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4133</v>
      </c>
      <c r="B3973" s="2" t="s">
        <v>4021</v>
      </c>
      <c r="C3973" s="1" t="s">
        <v>4134</v>
      </c>
      <c r="D3973" s="1" t="s">
        <v>14</v>
      </c>
      <c r="E3973" s="1" t="s">
        <v>4143</v>
      </c>
      <c r="F3973" s="1" t="s">
        <v>4024</v>
      </c>
      <c r="G3973" s="1" t="s">
        <v>4144</v>
      </c>
      <c r="H3973" s="2" t="s">
        <v>4145</v>
      </c>
      <c r="I3973" s="1" t="s">
        <v>4146</v>
      </c>
      <c r="J3973" s="1" t="s">
        <v>52</v>
      </c>
      <c r="K3973" s="1" t="s">
        <v>4145</v>
      </c>
      <c r="L3973" s="39" t="s">
        <v>46</v>
      </c>
      <c r="M3973" s="3" t="n">
        <v>45517</v>
      </c>
      <c r="N3973" s="1" t="s">
        <v>392</v>
      </c>
      <c r="O3973" s="1" t="s">
        <v>4028</v>
      </c>
      <c r="P3973" s="1" t="s">
        <v>43</v>
      </c>
      <c r="Q3973" s="1" t="s">
        <v>43</v>
      </c>
      <c r="R3973" s="1" t="s">
        <v>44</v>
      </c>
      <c r="S3973" s="1" t="s">
        <v>4030</v>
      </c>
      <c r="T3973" s="1" t="s">
        <v>46</v>
      </c>
      <c r="U3973" s="1" t="n">
        <v>1000</v>
      </c>
      <c r="V3973" s="1" t="n">
        <v>1</v>
      </c>
      <c r="W3973" s="1" t="s">
        <v>4138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4133</v>
      </c>
      <c r="B3974" s="2" t="s">
        <v>4021</v>
      </c>
      <c r="C3974" s="1" t="s">
        <v>4134</v>
      </c>
      <c r="D3974" s="1" t="s">
        <v>14</v>
      </c>
      <c r="E3974" s="1" t="s">
        <v>4143</v>
      </c>
      <c r="F3974" s="1" t="s">
        <v>4024</v>
      </c>
      <c r="G3974" s="1" t="s">
        <v>4144</v>
      </c>
      <c r="H3974" s="2" t="s">
        <v>4147</v>
      </c>
      <c r="I3974" s="1" t="s">
        <v>4148</v>
      </c>
      <c r="J3974" s="1" t="s">
        <v>52</v>
      </c>
      <c r="K3974" s="1" t="s">
        <v>4147</v>
      </c>
      <c r="L3974" s="39" t="s">
        <v>46</v>
      </c>
      <c r="M3974" s="3" t="n">
        <v>45517</v>
      </c>
      <c r="N3974" s="1" t="s">
        <v>392</v>
      </c>
      <c r="O3974" s="1" t="s">
        <v>4028</v>
      </c>
      <c r="P3974" s="1" t="s">
        <v>43</v>
      </c>
      <c r="Q3974" s="1" t="s">
        <v>43</v>
      </c>
      <c r="R3974" s="1" t="s">
        <v>44</v>
      </c>
      <c r="S3974" s="1" t="s">
        <v>4030</v>
      </c>
      <c r="T3974" s="1" t="s">
        <v>46</v>
      </c>
      <c r="U3974" s="1" t="n">
        <v>1000</v>
      </c>
      <c r="V3974" s="1" t="n">
        <v>2</v>
      </c>
      <c r="W3974" s="1" t="s">
        <v>4138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4133</v>
      </c>
      <c r="B3975" s="2" t="s">
        <v>4021</v>
      </c>
      <c r="C3975" s="1" t="s">
        <v>4134</v>
      </c>
      <c r="D3975" s="1" t="s">
        <v>14</v>
      </c>
      <c r="E3975" s="1" t="s">
        <v>4143</v>
      </c>
      <c r="F3975" s="1" t="s">
        <v>4024</v>
      </c>
      <c r="G3975" s="1" t="s">
        <v>4144</v>
      </c>
      <c r="H3975" s="2" t="s">
        <v>4149</v>
      </c>
      <c r="I3975" s="1" t="s">
        <v>4150</v>
      </c>
      <c r="J3975" s="1" t="s">
        <v>52</v>
      </c>
      <c r="K3975" s="1" t="s">
        <v>4149</v>
      </c>
      <c r="L3975" s="39" t="s">
        <v>46</v>
      </c>
      <c r="M3975" s="3" t="n">
        <v>45517</v>
      </c>
      <c r="N3975" s="1" t="s">
        <v>392</v>
      </c>
      <c r="O3975" s="1" t="s">
        <v>4028</v>
      </c>
      <c r="P3975" s="1" t="s">
        <v>43</v>
      </c>
      <c r="Q3975" s="1" t="s">
        <v>43</v>
      </c>
      <c r="R3975" s="1" t="s">
        <v>44</v>
      </c>
      <c r="S3975" s="1" t="s">
        <v>4030</v>
      </c>
      <c r="T3975" s="1" t="s">
        <v>46</v>
      </c>
      <c r="U3975" s="1" t="n">
        <v>1000</v>
      </c>
      <c r="V3975" s="1" t="n">
        <v>3</v>
      </c>
      <c r="W3975" s="1" t="s">
        <v>4138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4133</v>
      </c>
      <c r="B3976" s="2" t="s">
        <v>4021</v>
      </c>
      <c r="C3976" s="1" t="s">
        <v>4134</v>
      </c>
      <c r="D3976" s="1" t="s">
        <v>14</v>
      </c>
      <c r="E3976" s="1" t="s">
        <v>4143</v>
      </c>
      <c r="F3976" s="1" t="s">
        <v>4024</v>
      </c>
      <c r="G3976" s="1" t="s">
        <v>4144</v>
      </c>
      <c r="H3976" s="2" t="s">
        <v>4151</v>
      </c>
      <c r="I3976" s="1" t="s">
        <v>4152</v>
      </c>
      <c r="J3976" s="1" t="s">
        <v>52</v>
      </c>
      <c r="K3976" s="1" t="s">
        <v>4151</v>
      </c>
      <c r="L3976" s="39" t="s">
        <v>46</v>
      </c>
      <c r="M3976" s="3" t="n">
        <v>45517</v>
      </c>
      <c r="N3976" s="1" t="s">
        <v>392</v>
      </c>
      <c r="O3976" s="1" t="s">
        <v>4028</v>
      </c>
      <c r="P3976" s="1" t="s">
        <v>43</v>
      </c>
      <c r="Q3976" s="1" t="s">
        <v>43</v>
      </c>
      <c r="R3976" s="1" t="s">
        <v>44</v>
      </c>
      <c r="S3976" s="1" t="s">
        <v>4030</v>
      </c>
      <c r="T3976" s="1" t="s">
        <v>46</v>
      </c>
      <c r="U3976" s="1" t="n">
        <v>1000</v>
      </c>
      <c r="V3976" s="1" t="n">
        <v>1</v>
      </c>
      <c r="W3976" s="1" t="s">
        <v>4138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4133</v>
      </c>
      <c r="B3977" s="2" t="s">
        <v>4021</v>
      </c>
      <c r="C3977" s="1" t="s">
        <v>4134</v>
      </c>
      <c r="D3977" s="1" t="s">
        <v>14</v>
      </c>
      <c r="E3977" s="1" t="s">
        <v>4143</v>
      </c>
      <c r="F3977" s="1" t="s">
        <v>4024</v>
      </c>
      <c r="G3977" s="1" t="s">
        <v>4144</v>
      </c>
      <c r="H3977" s="2" t="s">
        <v>4153</v>
      </c>
      <c r="I3977" s="1" t="s">
        <v>4154</v>
      </c>
      <c r="J3977" s="1" t="s">
        <v>52</v>
      </c>
      <c r="K3977" s="1" t="s">
        <v>4153</v>
      </c>
      <c r="L3977" s="39" t="s">
        <v>46</v>
      </c>
      <c r="M3977" s="3" t="n">
        <v>45517</v>
      </c>
      <c r="N3977" s="1" t="s">
        <v>392</v>
      </c>
      <c r="O3977" s="1" t="s">
        <v>4028</v>
      </c>
      <c r="P3977" s="1" t="s">
        <v>43</v>
      </c>
      <c r="Q3977" s="1" t="s">
        <v>43</v>
      </c>
      <c r="R3977" s="1" t="s">
        <v>44</v>
      </c>
      <c r="S3977" s="1" t="s">
        <v>4030</v>
      </c>
      <c r="T3977" s="1" t="s">
        <v>46</v>
      </c>
      <c r="U3977" s="1" t="n">
        <v>1000</v>
      </c>
      <c r="V3977" s="1" t="n">
        <v>2</v>
      </c>
      <c r="W3977" s="1" t="s">
        <v>4138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4133</v>
      </c>
      <c r="B3978" s="2" t="s">
        <v>4021</v>
      </c>
      <c r="C3978" s="1" t="s">
        <v>4134</v>
      </c>
      <c r="D3978" s="1" t="s">
        <v>14</v>
      </c>
      <c r="E3978" s="1" t="s">
        <v>4143</v>
      </c>
      <c r="F3978" s="1" t="s">
        <v>4024</v>
      </c>
      <c r="G3978" s="1" t="s">
        <v>4144</v>
      </c>
      <c r="H3978" s="2" t="s">
        <v>4155</v>
      </c>
      <c r="I3978" s="1" t="s">
        <v>4156</v>
      </c>
      <c r="J3978" s="1" t="s">
        <v>52</v>
      </c>
      <c r="K3978" s="1" t="s">
        <v>4155</v>
      </c>
      <c r="L3978" s="39" t="s">
        <v>46</v>
      </c>
      <c r="M3978" s="3" t="n">
        <v>45517</v>
      </c>
      <c r="N3978" s="1" t="s">
        <v>392</v>
      </c>
      <c r="O3978" s="1" t="s">
        <v>4028</v>
      </c>
      <c r="P3978" s="1" t="s">
        <v>43</v>
      </c>
      <c r="Q3978" s="1" t="s">
        <v>43</v>
      </c>
      <c r="R3978" s="1" t="s">
        <v>44</v>
      </c>
      <c r="S3978" s="1" t="s">
        <v>4030</v>
      </c>
      <c r="T3978" s="1" t="s">
        <v>46</v>
      </c>
      <c r="U3978" s="1" t="n">
        <v>1000</v>
      </c>
      <c r="V3978" s="1" t="n">
        <v>3</v>
      </c>
      <c r="W3978" s="1" t="s">
        <v>4138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4133</v>
      </c>
      <c r="B3979" s="2" t="s">
        <v>4021</v>
      </c>
      <c r="C3979" s="1" t="s">
        <v>4134</v>
      </c>
      <c r="D3979" s="1" t="s">
        <v>14</v>
      </c>
      <c r="E3979" s="1" t="s">
        <v>4143</v>
      </c>
      <c r="F3979" s="1" t="s">
        <v>4024</v>
      </c>
      <c r="G3979" s="1" t="s">
        <v>4144</v>
      </c>
      <c r="H3979" s="2" t="s">
        <v>4157</v>
      </c>
      <c r="I3979" s="1" t="s">
        <v>4158</v>
      </c>
      <c r="J3979" s="1" t="s">
        <v>52</v>
      </c>
      <c r="K3979" s="1" t="s">
        <v>4157</v>
      </c>
      <c r="L3979" s="39" t="s">
        <v>46</v>
      </c>
      <c r="M3979" s="3" t="n">
        <v>45524</v>
      </c>
      <c r="N3979" s="1" t="s">
        <v>392</v>
      </c>
      <c r="O3979" s="1" t="s">
        <v>4028</v>
      </c>
      <c r="P3979" s="1" t="s">
        <v>43</v>
      </c>
      <c r="Q3979" s="1" t="s">
        <v>43</v>
      </c>
      <c r="R3979" s="1" t="s">
        <v>44</v>
      </c>
      <c r="S3979" s="1" t="s">
        <v>4030</v>
      </c>
      <c r="T3979" s="1" t="s">
        <v>46</v>
      </c>
      <c r="U3979" s="1" t="n">
        <v>1000</v>
      </c>
      <c r="V3979" s="1" t="n">
        <v>1</v>
      </c>
      <c r="W3979" s="1" t="s">
        <v>4138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4133</v>
      </c>
      <c r="B3980" s="2" t="s">
        <v>4021</v>
      </c>
      <c r="C3980" s="1" t="s">
        <v>4134</v>
      </c>
      <c r="D3980" s="1" t="s">
        <v>14</v>
      </c>
      <c r="E3980" s="1" t="s">
        <v>4143</v>
      </c>
      <c r="F3980" s="1" t="s">
        <v>4024</v>
      </c>
      <c r="G3980" s="1" t="s">
        <v>4144</v>
      </c>
      <c r="H3980" s="2" t="s">
        <v>4159</v>
      </c>
      <c r="I3980" s="1" t="s">
        <v>4160</v>
      </c>
      <c r="J3980" s="1" t="s">
        <v>52</v>
      </c>
      <c r="K3980" s="1" t="s">
        <v>4159</v>
      </c>
      <c r="L3980" s="39" t="s">
        <v>46</v>
      </c>
      <c r="M3980" s="3" t="n">
        <v>45524</v>
      </c>
      <c r="N3980" s="1" t="s">
        <v>392</v>
      </c>
      <c r="O3980" s="1" t="s">
        <v>4028</v>
      </c>
      <c r="P3980" s="1" t="s">
        <v>43</v>
      </c>
      <c r="Q3980" s="1" t="s">
        <v>43</v>
      </c>
      <c r="R3980" s="1" t="s">
        <v>44</v>
      </c>
      <c r="S3980" s="1" t="s">
        <v>4030</v>
      </c>
      <c r="T3980" s="1" t="s">
        <v>46</v>
      </c>
      <c r="U3980" s="1" t="n">
        <v>1000</v>
      </c>
      <c r="V3980" s="1" t="n">
        <v>2</v>
      </c>
      <c r="W3980" s="1" t="s">
        <v>4138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4133</v>
      </c>
      <c r="B3981" s="2" t="s">
        <v>4021</v>
      </c>
      <c r="C3981" s="1" t="s">
        <v>4134</v>
      </c>
      <c r="D3981" s="1" t="s">
        <v>14</v>
      </c>
      <c r="E3981" s="1" t="s">
        <v>4143</v>
      </c>
      <c r="F3981" s="1" t="s">
        <v>4024</v>
      </c>
      <c r="G3981" s="1" t="s">
        <v>4144</v>
      </c>
      <c r="H3981" s="2" t="s">
        <v>4161</v>
      </c>
      <c r="I3981" s="1" t="s">
        <v>4162</v>
      </c>
      <c r="J3981" s="1" t="s">
        <v>52</v>
      </c>
      <c r="K3981" s="1" t="s">
        <v>4161</v>
      </c>
      <c r="L3981" s="39" t="s">
        <v>46</v>
      </c>
      <c r="M3981" s="3" t="n">
        <v>45524</v>
      </c>
      <c r="N3981" s="1" t="s">
        <v>392</v>
      </c>
      <c r="O3981" s="1" t="s">
        <v>4028</v>
      </c>
      <c r="P3981" s="1" t="s">
        <v>43</v>
      </c>
      <c r="Q3981" s="1" t="s">
        <v>43</v>
      </c>
      <c r="R3981" s="1" t="s">
        <v>44</v>
      </c>
      <c r="S3981" s="1" t="s">
        <v>4030</v>
      </c>
      <c r="T3981" s="1" t="s">
        <v>46</v>
      </c>
      <c r="U3981" s="1" t="n">
        <v>1000</v>
      </c>
      <c r="V3981" s="1" t="n">
        <v>3</v>
      </c>
      <c r="W3981" s="1" t="s">
        <v>4138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4133</v>
      </c>
      <c r="B3982" s="2" t="s">
        <v>4021</v>
      </c>
      <c r="C3982" s="1" t="s">
        <v>4134</v>
      </c>
      <c r="D3982" s="1" t="s">
        <v>14</v>
      </c>
      <c r="E3982" s="1" t="s">
        <v>4143</v>
      </c>
      <c r="F3982" s="1" t="s">
        <v>4024</v>
      </c>
      <c r="G3982" s="1" t="s">
        <v>4144</v>
      </c>
      <c r="H3982" s="2" t="s">
        <v>4163</v>
      </c>
      <c r="I3982" s="1" t="s">
        <v>4164</v>
      </c>
      <c r="J3982" s="1" t="s">
        <v>52</v>
      </c>
      <c r="K3982" s="1" t="s">
        <v>4163</v>
      </c>
      <c r="L3982" s="39" t="s">
        <v>46</v>
      </c>
      <c r="M3982" s="3" t="n">
        <v>45530</v>
      </c>
      <c r="N3982" s="1" t="s">
        <v>392</v>
      </c>
      <c r="O3982" s="1" t="s">
        <v>4028</v>
      </c>
      <c r="P3982" s="1" t="s">
        <v>43</v>
      </c>
      <c r="Q3982" s="1" t="s">
        <v>43</v>
      </c>
      <c r="R3982" s="1" t="s">
        <v>44</v>
      </c>
      <c r="S3982" s="1" t="s">
        <v>4030</v>
      </c>
      <c r="T3982" s="1" t="s">
        <v>46</v>
      </c>
      <c r="U3982" s="1" t="n">
        <v>1000</v>
      </c>
      <c r="V3982" s="1" t="n">
        <v>1</v>
      </c>
      <c r="W3982" s="1" t="s">
        <v>4138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4133</v>
      </c>
      <c r="B3983" s="2" t="s">
        <v>4021</v>
      </c>
      <c r="C3983" s="1" t="s">
        <v>4134</v>
      </c>
      <c r="D3983" s="1" t="s">
        <v>14</v>
      </c>
      <c r="E3983" s="1" t="s">
        <v>4143</v>
      </c>
      <c r="F3983" s="1" t="s">
        <v>4024</v>
      </c>
      <c r="G3983" s="1" t="s">
        <v>4144</v>
      </c>
      <c r="H3983" s="2" t="s">
        <v>4165</v>
      </c>
      <c r="I3983" s="1" t="s">
        <v>4166</v>
      </c>
      <c r="J3983" s="1" t="s">
        <v>52</v>
      </c>
      <c r="K3983" s="1" t="s">
        <v>4165</v>
      </c>
      <c r="L3983" s="39" t="s">
        <v>46</v>
      </c>
      <c r="M3983" s="3" t="n">
        <v>45530</v>
      </c>
      <c r="N3983" s="1" t="s">
        <v>392</v>
      </c>
      <c r="O3983" s="1" t="s">
        <v>4028</v>
      </c>
      <c r="P3983" s="1" t="s">
        <v>43</v>
      </c>
      <c r="Q3983" s="1" t="s">
        <v>43</v>
      </c>
      <c r="R3983" s="1" t="s">
        <v>44</v>
      </c>
      <c r="S3983" s="1" t="s">
        <v>4030</v>
      </c>
      <c r="T3983" s="1" t="s">
        <v>46</v>
      </c>
      <c r="U3983" s="1" t="n">
        <v>1000</v>
      </c>
      <c r="V3983" s="1" t="n">
        <v>2</v>
      </c>
      <c r="W3983" s="1" t="s">
        <v>4138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4133</v>
      </c>
      <c r="B3984" s="2" t="s">
        <v>4021</v>
      </c>
      <c r="C3984" s="1" t="s">
        <v>4134</v>
      </c>
      <c r="D3984" s="1" t="s">
        <v>14</v>
      </c>
      <c r="E3984" s="1" t="s">
        <v>4143</v>
      </c>
      <c r="F3984" s="1" t="s">
        <v>4024</v>
      </c>
      <c r="G3984" s="1" t="s">
        <v>4144</v>
      </c>
      <c r="H3984" s="2" t="s">
        <v>4167</v>
      </c>
      <c r="I3984" s="1" t="s">
        <v>4168</v>
      </c>
      <c r="J3984" s="1" t="s">
        <v>52</v>
      </c>
      <c r="K3984" s="1" t="s">
        <v>4167</v>
      </c>
      <c r="L3984" s="39" t="s">
        <v>46</v>
      </c>
      <c r="M3984" s="3" t="n">
        <v>45530</v>
      </c>
      <c r="N3984" s="1" t="s">
        <v>392</v>
      </c>
      <c r="O3984" s="1" t="s">
        <v>4028</v>
      </c>
      <c r="P3984" s="1" t="s">
        <v>43</v>
      </c>
      <c r="Q3984" s="1" t="s">
        <v>43</v>
      </c>
      <c r="R3984" s="1" t="s">
        <v>44</v>
      </c>
      <c r="S3984" s="1" t="s">
        <v>4030</v>
      </c>
      <c r="T3984" s="1" t="s">
        <v>46</v>
      </c>
      <c r="U3984" s="1" t="n">
        <v>1000</v>
      </c>
      <c r="V3984" s="1" t="n">
        <v>3</v>
      </c>
      <c r="W3984" s="1" t="s">
        <v>4138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4133</v>
      </c>
      <c r="B3985" s="2" t="s">
        <v>4021</v>
      </c>
      <c r="C3985" s="1" t="s">
        <v>4134</v>
      </c>
      <c r="D3985" s="1" t="s">
        <v>14</v>
      </c>
      <c r="E3985" s="1" t="s">
        <v>4135</v>
      </c>
      <c r="F3985" s="1" t="s">
        <v>4024</v>
      </c>
      <c r="G3985" s="1" t="s">
        <v>4025</v>
      </c>
      <c r="H3985" s="2" t="s">
        <v>4169</v>
      </c>
      <c r="I3985" s="1" t="s">
        <v>4170</v>
      </c>
      <c r="J3985" s="1" t="s">
        <v>52</v>
      </c>
      <c r="K3985" s="1" t="s">
        <v>4169</v>
      </c>
      <c r="L3985" s="39" t="s">
        <v>46</v>
      </c>
      <c r="M3985" s="3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4138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4133</v>
      </c>
      <c r="B3986" s="2" t="s">
        <v>4021</v>
      </c>
      <c r="C3986" s="1" t="s">
        <v>4134</v>
      </c>
      <c r="D3986" s="1" t="s">
        <v>14</v>
      </c>
      <c r="E3986" s="1" t="s">
        <v>4135</v>
      </c>
      <c r="F3986" s="1" t="s">
        <v>4024</v>
      </c>
      <c r="G3986" s="1" t="s">
        <v>4025</v>
      </c>
      <c r="H3986" s="2" t="s">
        <v>4171</v>
      </c>
      <c r="I3986" s="1" t="s">
        <v>4172</v>
      </c>
      <c r="J3986" s="1" t="s">
        <v>52</v>
      </c>
      <c r="K3986" s="1" t="s">
        <v>4171</v>
      </c>
      <c r="L3986" s="39" t="s">
        <v>46</v>
      </c>
      <c r="M3986" s="3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4138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4133</v>
      </c>
      <c r="B3987" s="2" t="s">
        <v>4021</v>
      </c>
      <c r="C3987" s="1" t="s">
        <v>4134</v>
      </c>
      <c r="D3987" s="1" t="s">
        <v>14</v>
      </c>
      <c r="E3987" s="1" t="s">
        <v>4135</v>
      </c>
      <c r="F3987" s="1" t="s">
        <v>4024</v>
      </c>
      <c r="G3987" s="1" t="s">
        <v>4025</v>
      </c>
      <c r="H3987" s="2" t="s">
        <v>4173</v>
      </c>
      <c r="I3987" s="1" t="s">
        <v>4174</v>
      </c>
      <c r="J3987" s="1" t="s">
        <v>52</v>
      </c>
      <c r="K3987" s="1" t="s">
        <v>4173</v>
      </c>
      <c r="L3987" s="39" t="s">
        <v>46</v>
      </c>
      <c r="M3987" s="3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4138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4133</v>
      </c>
      <c r="B3988" s="2" t="s">
        <v>4021</v>
      </c>
      <c r="C3988" s="1" t="s">
        <v>4134</v>
      </c>
      <c r="D3988" s="1" t="s">
        <v>14</v>
      </c>
      <c r="E3988" s="1" t="s">
        <v>4135</v>
      </c>
      <c r="F3988" s="1" t="s">
        <v>4024</v>
      </c>
      <c r="G3988" s="1" t="s">
        <v>4025</v>
      </c>
      <c r="H3988" s="2" t="s">
        <v>4175</v>
      </c>
      <c r="I3988" s="1" t="s">
        <v>4176</v>
      </c>
      <c r="J3988" s="1" t="s">
        <v>52</v>
      </c>
      <c r="K3988" s="1" t="s">
        <v>4175</v>
      </c>
      <c r="L3988" s="39" t="s">
        <v>46</v>
      </c>
      <c r="M3988" s="3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4138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4133</v>
      </c>
      <c r="B3989" s="2" t="s">
        <v>4021</v>
      </c>
      <c r="C3989" s="1" t="s">
        <v>4134</v>
      </c>
      <c r="D3989" s="1" t="s">
        <v>14</v>
      </c>
      <c r="E3989" s="1" t="s">
        <v>4135</v>
      </c>
      <c r="F3989" s="1" t="s">
        <v>4024</v>
      </c>
      <c r="G3989" s="1" t="s">
        <v>4025</v>
      </c>
      <c r="H3989" s="2" t="s">
        <v>4177</v>
      </c>
      <c r="I3989" s="1" t="s">
        <v>4178</v>
      </c>
      <c r="J3989" s="1" t="s">
        <v>52</v>
      </c>
      <c r="K3989" s="1" t="s">
        <v>4177</v>
      </c>
      <c r="L3989" s="39" t="s">
        <v>46</v>
      </c>
      <c r="M3989" s="3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4138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4133</v>
      </c>
      <c r="B3990" s="2" t="s">
        <v>4021</v>
      </c>
      <c r="C3990" s="1" t="s">
        <v>4134</v>
      </c>
      <c r="D3990" s="1" t="s">
        <v>14</v>
      </c>
      <c r="E3990" s="1" t="s">
        <v>4135</v>
      </c>
      <c r="F3990" s="1" t="s">
        <v>4024</v>
      </c>
      <c r="G3990" s="1" t="s">
        <v>4025</v>
      </c>
      <c r="H3990" s="2" t="s">
        <v>4179</v>
      </c>
      <c r="I3990" s="1" t="s">
        <v>4180</v>
      </c>
      <c r="J3990" s="1" t="s">
        <v>52</v>
      </c>
      <c r="K3990" s="1" t="s">
        <v>4179</v>
      </c>
      <c r="L3990" s="39" t="s">
        <v>46</v>
      </c>
      <c r="M3990" s="3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4138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4133</v>
      </c>
      <c r="B3991" s="2" t="s">
        <v>4021</v>
      </c>
      <c r="C3991" s="1" t="s">
        <v>4134</v>
      </c>
      <c r="D3991" s="1" t="s">
        <v>14</v>
      </c>
      <c r="E3991" s="1" t="s">
        <v>4135</v>
      </c>
      <c r="F3991" s="1" t="s">
        <v>4024</v>
      </c>
      <c r="G3991" s="1" t="s">
        <v>4025</v>
      </c>
      <c r="H3991" s="2" t="s">
        <v>4181</v>
      </c>
      <c r="I3991" s="1" t="s">
        <v>4182</v>
      </c>
      <c r="J3991" s="1" t="s">
        <v>52</v>
      </c>
      <c r="K3991" s="1" t="s">
        <v>4181</v>
      </c>
      <c r="L3991" s="39" t="s">
        <v>46</v>
      </c>
      <c r="M3991" s="3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4138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4133</v>
      </c>
      <c r="B3992" s="2" t="s">
        <v>4021</v>
      </c>
      <c r="C3992" s="1" t="s">
        <v>4134</v>
      </c>
      <c r="D3992" s="1" t="s">
        <v>14</v>
      </c>
      <c r="E3992" s="1" t="s">
        <v>4135</v>
      </c>
      <c r="F3992" s="1" t="s">
        <v>4024</v>
      </c>
      <c r="G3992" s="1" t="s">
        <v>4025</v>
      </c>
      <c r="H3992" s="2" t="s">
        <v>4183</v>
      </c>
      <c r="I3992" s="1" t="s">
        <v>4184</v>
      </c>
      <c r="J3992" s="1" t="s">
        <v>52</v>
      </c>
      <c r="K3992" s="1" t="s">
        <v>4183</v>
      </c>
      <c r="L3992" s="39" t="s">
        <v>46</v>
      </c>
      <c r="M3992" s="3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4138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4133</v>
      </c>
      <c r="B3993" s="2" t="s">
        <v>4021</v>
      </c>
      <c r="C3993" s="1" t="s">
        <v>4134</v>
      </c>
      <c r="D3993" s="1" t="s">
        <v>14</v>
      </c>
      <c r="E3993" s="1" t="s">
        <v>4135</v>
      </c>
      <c r="F3993" s="1" t="s">
        <v>4024</v>
      </c>
      <c r="G3993" s="1" t="s">
        <v>4025</v>
      </c>
      <c r="H3993" s="2" t="s">
        <v>4185</v>
      </c>
      <c r="I3993" s="1" t="s">
        <v>4186</v>
      </c>
      <c r="J3993" s="1" t="s">
        <v>52</v>
      </c>
      <c r="K3993" s="1" t="s">
        <v>4185</v>
      </c>
      <c r="L3993" s="39" t="s">
        <v>46</v>
      </c>
      <c r="M3993" s="3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4138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4133</v>
      </c>
      <c r="B3994" s="2" t="s">
        <v>4021</v>
      </c>
      <c r="C3994" s="1" t="s">
        <v>4134</v>
      </c>
      <c r="D3994" s="1" t="s">
        <v>14</v>
      </c>
      <c r="E3994" s="1" t="s">
        <v>4135</v>
      </c>
      <c r="F3994" s="1" t="s">
        <v>4024</v>
      </c>
      <c r="G3994" s="1" t="s">
        <v>4025</v>
      </c>
      <c r="H3994" s="2" t="s">
        <v>4187</v>
      </c>
      <c r="I3994" s="1" t="s">
        <v>4188</v>
      </c>
      <c r="J3994" s="1" t="s">
        <v>52</v>
      </c>
      <c r="K3994" s="1" t="s">
        <v>4187</v>
      </c>
      <c r="L3994" s="39" t="s">
        <v>46</v>
      </c>
      <c r="M3994" s="3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4138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4133</v>
      </c>
      <c r="B3995" s="2" t="s">
        <v>4021</v>
      </c>
      <c r="C3995" s="1" t="s">
        <v>4134</v>
      </c>
      <c r="D3995" s="1" t="s">
        <v>14</v>
      </c>
      <c r="E3995" s="1" t="s">
        <v>4135</v>
      </c>
      <c r="F3995" s="1" t="s">
        <v>4024</v>
      </c>
      <c r="G3995" s="1" t="s">
        <v>4025</v>
      </c>
      <c r="H3995" s="2" t="s">
        <v>4189</v>
      </c>
      <c r="I3995" s="1" t="s">
        <v>4190</v>
      </c>
      <c r="J3995" s="1" t="s">
        <v>52</v>
      </c>
      <c r="K3995" s="1" t="s">
        <v>4189</v>
      </c>
      <c r="L3995" s="39" t="s">
        <v>46</v>
      </c>
      <c r="M3995" s="3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4138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4133</v>
      </c>
      <c r="B3996" s="2" t="s">
        <v>4021</v>
      </c>
      <c r="C3996" s="1" t="s">
        <v>4134</v>
      </c>
      <c r="D3996" s="1" t="s">
        <v>14</v>
      </c>
      <c r="E3996" s="1" t="s">
        <v>4135</v>
      </c>
      <c r="F3996" s="1" t="s">
        <v>4024</v>
      </c>
      <c r="G3996" s="1" t="s">
        <v>4025</v>
      </c>
      <c r="H3996" s="2" t="s">
        <v>4191</v>
      </c>
      <c r="I3996" s="1" t="s">
        <v>4192</v>
      </c>
      <c r="J3996" s="1" t="s">
        <v>52</v>
      </c>
      <c r="K3996" s="1" t="s">
        <v>4191</v>
      </c>
      <c r="L3996" s="39" t="s">
        <v>46</v>
      </c>
      <c r="M3996" s="3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4138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4133</v>
      </c>
      <c r="B3997" s="2" t="s">
        <v>4021</v>
      </c>
      <c r="C3997" s="1" t="s">
        <v>4134</v>
      </c>
      <c r="D3997" s="1" t="s">
        <v>14</v>
      </c>
      <c r="E3997" s="1" t="s">
        <v>4135</v>
      </c>
      <c r="F3997" s="1" t="s">
        <v>4024</v>
      </c>
      <c r="G3997" s="1" t="s">
        <v>4025</v>
      </c>
      <c r="H3997" s="2" t="s">
        <v>4193</v>
      </c>
      <c r="I3997" s="1" t="s">
        <v>4194</v>
      </c>
      <c r="J3997" s="1" t="s">
        <v>52</v>
      </c>
      <c r="K3997" s="1" t="s">
        <v>4193</v>
      </c>
      <c r="L3997" s="39" t="s">
        <v>46</v>
      </c>
      <c r="M3997" s="3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4138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4133</v>
      </c>
      <c r="B3998" s="2" t="s">
        <v>4021</v>
      </c>
      <c r="C3998" s="1" t="s">
        <v>4134</v>
      </c>
      <c r="D3998" s="1" t="s">
        <v>14</v>
      </c>
      <c r="E3998" s="1" t="s">
        <v>4135</v>
      </c>
      <c r="F3998" s="1" t="s">
        <v>4024</v>
      </c>
      <c r="G3998" s="1" t="s">
        <v>4025</v>
      </c>
      <c r="H3998" s="2" t="s">
        <v>4195</v>
      </c>
      <c r="I3998" s="1" t="s">
        <v>4196</v>
      </c>
      <c r="J3998" s="1" t="s">
        <v>52</v>
      </c>
      <c r="K3998" s="1" t="s">
        <v>4195</v>
      </c>
      <c r="L3998" s="39" t="s">
        <v>46</v>
      </c>
      <c r="M3998" s="3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4138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4133</v>
      </c>
      <c r="B3999" s="2" t="s">
        <v>4021</v>
      </c>
      <c r="C3999" s="1" t="s">
        <v>4134</v>
      </c>
      <c r="D3999" s="1" t="s">
        <v>14</v>
      </c>
      <c r="E3999" s="1" t="s">
        <v>4135</v>
      </c>
      <c r="F3999" s="1" t="s">
        <v>4024</v>
      </c>
      <c r="G3999" s="1" t="s">
        <v>4025</v>
      </c>
      <c r="H3999" s="2" t="s">
        <v>4197</v>
      </c>
      <c r="I3999" s="1" t="s">
        <v>4198</v>
      </c>
      <c r="J3999" s="1" t="s">
        <v>52</v>
      </c>
      <c r="K3999" s="1" t="s">
        <v>4197</v>
      </c>
      <c r="L3999" s="39" t="s">
        <v>46</v>
      </c>
      <c r="M3999" s="3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4138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4133</v>
      </c>
      <c r="B4000" s="2" t="s">
        <v>4021</v>
      </c>
      <c r="C4000" s="1" t="s">
        <v>4134</v>
      </c>
      <c r="D4000" s="1" t="s">
        <v>14</v>
      </c>
      <c r="E4000" s="1" t="s">
        <v>4135</v>
      </c>
      <c r="F4000" s="1" t="s">
        <v>4024</v>
      </c>
      <c r="G4000" s="1" t="s">
        <v>4025</v>
      </c>
      <c r="H4000" s="2" t="s">
        <v>4199</v>
      </c>
      <c r="I4000" s="1" t="s">
        <v>4200</v>
      </c>
      <c r="J4000" s="1" t="s">
        <v>52</v>
      </c>
      <c r="K4000" s="1" t="s">
        <v>4199</v>
      </c>
      <c r="L4000" s="39" t="s">
        <v>46</v>
      </c>
      <c r="M4000" s="3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4138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4133</v>
      </c>
      <c r="B4001" s="2" t="s">
        <v>4021</v>
      </c>
      <c r="C4001" s="1" t="s">
        <v>4134</v>
      </c>
      <c r="D4001" s="1" t="s">
        <v>14</v>
      </c>
      <c r="E4001" s="1" t="s">
        <v>4143</v>
      </c>
      <c r="F4001" s="1" t="s">
        <v>4024</v>
      </c>
      <c r="G4001" s="1" t="s">
        <v>4144</v>
      </c>
      <c r="H4001" s="2" t="s">
        <v>4201</v>
      </c>
      <c r="I4001" s="1" t="s">
        <v>4202</v>
      </c>
      <c r="J4001" s="1" t="s">
        <v>52</v>
      </c>
      <c r="K4001" s="1" t="s">
        <v>4201</v>
      </c>
      <c r="L4001" s="39" t="s">
        <v>46</v>
      </c>
      <c r="M4001" s="3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4138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4133</v>
      </c>
      <c r="B4002" s="2" t="s">
        <v>4021</v>
      </c>
      <c r="C4002" s="1" t="s">
        <v>4134</v>
      </c>
      <c r="D4002" s="1" t="s">
        <v>14</v>
      </c>
      <c r="E4002" s="1" t="s">
        <v>4143</v>
      </c>
      <c r="F4002" s="1" t="s">
        <v>4024</v>
      </c>
      <c r="G4002" s="1" t="s">
        <v>4144</v>
      </c>
      <c r="H4002" s="2" t="s">
        <v>4203</v>
      </c>
      <c r="I4002" s="1" t="s">
        <v>4204</v>
      </c>
      <c r="J4002" s="1" t="s">
        <v>52</v>
      </c>
      <c r="K4002" s="1" t="s">
        <v>4203</v>
      </c>
      <c r="L4002" s="39" t="s">
        <v>46</v>
      </c>
      <c r="M4002" s="3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4138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4133</v>
      </c>
      <c r="B4003" s="2" t="s">
        <v>4021</v>
      </c>
      <c r="C4003" s="1" t="s">
        <v>4134</v>
      </c>
      <c r="D4003" s="1" t="s">
        <v>14</v>
      </c>
      <c r="E4003" s="1" t="s">
        <v>4143</v>
      </c>
      <c r="F4003" s="1" t="s">
        <v>4024</v>
      </c>
      <c r="G4003" s="1" t="s">
        <v>4144</v>
      </c>
      <c r="H4003" s="2" t="s">
        <v>4205</v>
      </c>
      <c r="I4003" s="1" t="s">
        <v>4206</v>
      </c>
      <c r="J4003" s="1" t="s">
        <v>52</v>
      </c>
      <c r="K4003" s="1" t="s">
        <v>4205</v>
      </c>
      <c r="L4003" s="39" t="s">
        <v>46</v>
      </c>
      <c r="M4003" s="3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4138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4133</v>
      </c>
      <c r="B4004" s="2" t="s">
        <v>4021</v>
      </c>
      <c r="C4004" s="1" t="s">
        <v>4134</v>
      </c>
      <c r="D4004" s="1" t="s">
        <v>14</v>
      </c>
      <c r="E4004" s="1" t="s">
        <v>4143</v>
      </c>
      <c r="F4004" s="1" t="s">
        <v>4024</v>
      </c>
      <c r="G4004" s="1" t="s">
        <v>4144</v>
      </c>
      <c r="H4004" s="2" t="s">
        <v>4207</v>
      </c>
      <c r="I4004" s="1" t="s">
        <v>4208</v>
      </c>
      <c r="J4004" s="1" t="s">
        <v>52</v>
      </c>
      <c r="K4004" s="1" t="s">
        <v>4207</v>
      </c>
      <c r="L4004" s="39" t="s">
        <v>46</v>
      </c>
      <c r="M4004" s="3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4138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4133</v>
      </c>
      <c r="B4005" s="2" t="s">
        <v>4021</v>
      </c>
      <c r="C4005" s="1" t="s">
        <v>4134</v>
      </c>
      <c r="D4005" s="1" t="s">
        <v>14</v>
      </c>
      <c r="E4005" s="1" t="s">
        <v>4143</v>
      </c>
      <c r="F4005" s="1" t="s">
        <v>4024</v>
      </c>
      <c r="G4005" s="1" t="s">
        <v>4144</v>
      </c>
      <c r="H4005" s="2" t="s">
        <v>4209</v>
      </c>
      <c r="I4005" s="1" t="s">
        <v>4210</v>
      </c>
      <c r="J4005" s="1" t="s">
        <v>52</v>
      </c>
      <c r="K4005" s="1" t="s">
        <v>4209</v>
      </c>
      <c r="L4005" s="39" t="s">
        <v>46</v>
      </c>
      <c r="M4005" s="3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4138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4133</v>
      </c>
      <c r="B4006" s="2" t="s">
        <v>4021</v>
      </c>
      <c r="C4006" s="1" t="s">
        <v>4134</v>
      </c>
      <c r="D4006" s="1" t="s">
        <v>14</v>
      </c>
      <c r="E4006" s="1" t="s">
        <v>4143</v>
      </c>
      <c r="F4006" s="1" t="s">
        <v>4024</v>
      </c>
      <c r="G4006" s="1" t="s">
        <v>4144</v>
      </c>
      <c r="H4006" s="2" t="s">
        <v>4211</v>
      </c>
      <c r="I4006" s="1" t="s">
        <v>4212</v>
      </c>
      <c r="J4006" s="1" t="s">
        <v>52</v>
      </c>
      <c r="K4006" s="1" t="s">
        <v>4211</v>
      </c>
      <c r="L4006" s="39" t="s">
        <v>46</v>
      </c>
      <c r="M4006" s="3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4138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4133</v>
      </c>
      <c r="B4007" s="2" t="s">
        <v>4021</v>
      </c>
      <c r="C4007" s="1" t="s">
        <v>4134</v>
      </c>
      <c r="D4007" s="1" t="s">
        <v>14</v>
      </c>
      <c r="E4007" s="1" t="s">
        <v>4143</v>
      </c>
      <c r="F4007" s="1" t="s">
        <v>4024</v>
      </c>
      <c r="G4007" s="1" t="s">
        <v>4144</v>
      </c>
      <c r="H4007" s="2" t="s">
        <v>4213</v>
      </c>
      <c r="I4007" s="1" t="s">
        <v>4214</v>
      </c>
      <c r="J4007" s="1" t="s">
        <v>52</v>
      </c>
      <c r="K4007" s="1" t="s">
        <v>4213</v>
      </c>
      <c r="L4007" s="39" t="s">
        <v>46</v>
      </c>
      <c r="M4007" s="3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4138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4133</v>
      </c>
      <c r="B4008" s="2" t="s">
        <v>4021</v>
      </c>
      <c r="C4008" s="1" t="s">
        <v>4134</v>
      </c>
      <c r="D4008" s="1" t="s">
        <v>14</v>
      </c>
      <c r="E4008" s="1" t="s">
        <v>4143</v>
      </c>
      <c r="F4008" s="1" t="s">
        <v>4024</v>
      </c>
      <c r="G4008" s="1" t="s">
        <v>4144</v>
      </c>
      <c r="H4008" s="2" t="s">
        <v>4215</v>
      </c>
      <c r="I4008" s="1" t="s">
        <v>4216</v>
      </c>
      <c r="J4008" s="1" t="s">
        <v>52</v>
      </c>
      <c r="K4008" s="1" t="s">
        <v>4215</v>
      </c>
      <c r="L4008" s="39" t="s">
        <v>46</v>
      </c>
      <c r="M4008" s="3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4138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4217</v>
      </c>
      <c r="B4009" s="2" t="s">
        <v>4021</v>
      </c>
      <c r="C4009" s="1" t="s">
        <v>4218</v>
      </c>
      <c r="D4009" s="1" t="s">
        <v>14</v>
      </c>
      <c r="E4009" s="1" t="s">
        <v>4219</v>
      </c>
      <c r="F4009" s="1" t="s">
        <v>4024</v>
      </c>
      <c r="G4009" s="1" t="s">
        <v>4025</v>
      </c>
      <c r="H4009" s="2" t="s">
        <v>4026</v>
      </c>
      <c r="I4009" s="1" t="s">
        <v>4220</v>
      </c>
      <c r="J4009" s="1" t="s">
        <v>52</v>
      </c>
      <c r="K4009" s="1" t="s">
        <v>4026</v>
      </c>
      <c r="L4009" s="39" t="s">
        <v>46</v>
      </c>
      <c r="M4009" s="3" t="n">
        <v>45377</v>
      </c>
      <c r="N4009" s="1" t="s">
        <v>392</v>
      </c>
      <c r="O4009" s="1" t="s">
        <v>4028</v>
      </c>
      <c r="P4009" s="1" t="s">
        <v>192</v>
      </c>
      <c r="Q4009" s="1" t="s">
        <v>4029</v>
      </c>
      <c r="R4009" s="1" t="s">
        <v>44</v>
      </c>
      <c r="S4009" s="1" t="s">
        <v>4030</v>
      </c>
      <c r="T4009" s="1" t="s">
        <v>46</v>
      </c>
      <c r="U4009" s="1" t="n">
        <v>1500</v>
      </c>
      <c r="V4009" s="1" t="n">
        <v>1</v>
      </c>
      <c r="W4009" s="1" t="s">
        <v>4221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4217</v>
      </c>
      <c r="B4010" s="2" t="s">
        <v>4021</v>
      </c>
      <c r="C4010" s="1" t="s">
        <v>4218</v>
      </c>
      <c r="D4010" s="1" t="s">
        <v>14</v>
      </c>
      <c r="E4010" s="1" t="s">
        <v>4219</v>
      </c>
      <c r="F4010" s="1" t="s">
        <v>4024</v>
      </c>
      <c r="G4010" s="1" t="s">
        <v>4025</v>
      </c>
      <c r="H4010" s="2" t="s">
        <v>4032</v>
      </c>
      <c r="I4010" s="1" t="s">
        <v>4222</v>
      </c>
      <c r="J4010" s="1" t="s">
        <v>38</v>
      </c>
      <c r="K4010" s="1" t="s">
        <v>4032</v>
      </c>
      <c r="L4010" s="39" t="s">
        <v>46</v>
      </c>
      <c r="M4010" s="3" t="n">
        <v>45433</v>
      </c>
      <c r="N4010" s="1" t="s">
        <v>392</v>
      </c>
      <c r="O4010" s="1" t="s">
        <v>4034</v>
      </c>
      <c r="P4010" s="1" t="s">
        <v>192</v>
      </c>
      <c r="Q4010" s="1" t="s">
        <v>4029</v>
      </c>
      <c r="R4010" s="1" t="s">
        <v>44</v>
      </c>
      <c r="S4010" s="1" t="s">
        <v>4035</v>
      </c>
      <c r="T4010" s="1" t="s">
        <v>46</v>
      </c>
      <c r="U4010" s="1" t="n">
        <v>800</v>
      </c>
      <c r="V4010" s="1" t="n">
        <v>1</v>
      </c>
      <c r="W4010" s="1" t="s">
        <v>4221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4217</v>
      </c>
      <c r="B4011" s="2" t="s">
        <v>4021</v>
      </c>
      <c r="C4011" s="1" t="s">
        <v>4218</v>
      </c>
      <c r="D4011" s="1" t="s">
        <v>14</v>
      </c>
      <c r="E4011" s="1" t="s">
        <v>4219</v>
      </c>
      <c r="F4011" s="1" t="s">
        <v>4024</v>
      </c>
      <c r="G4011" s="1" t="s">
        <v>4025</v>
      </c>
      <c r="H4011" s="2" t="s">
        <v>4036</v>
      </c>
      <c r="I4011" s="1" t="s">
        <v>4223</v>
      </c>
      <c r="J4011" s="1" t="s">
        <v>38</v>
      </c>
      <c r="K4011" s="1" t="s">
        <v>4036</v>
      </c>
      <c r="L4011" s="39" t="s">
        <v>46</v>
      </c>
      <c r="M4011" s="3" t="n">
        <v>45433</v>
      </c>
      <c r="N4011" s="1" t="s">
        <v>392</v>
      </c>
      <c r="O4011" s="1" t="s">
        <v>4034</v>
      </c>
      <c r="P4011" s="1" t="s">
        <v>192</v>
      </c>
      <c r="Q4011" s="1" t="s">
        <v>4029</v>
      </c>
      <c r="R4011" s="1" t="s">
        <v>44</v>
      </c>
      <c r="S4011" s="1" t="s">
        <v>4035</v>
      </c>
      <c r="T4011" s="1" t="s">
        <v>46</v>
      </c>
      <c r="U4011" s="1" t="n">
        <v>800</v>
      </c>
      <c r="V4011" s="1" t="n">
        <v>2</v>
      </c>
      <c r="W4011" s="1" t="s">
        <v>4221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4217</v>
      </c>
      <c r="B4012" s="2" t="s">
        <v>4021</v>
      </c>
      <c r="C4012" s="1" t="s">
        <v>4218</v>
      </c>
      <c r="D4012" s="1" t="s">
        <v>14</v>
      </c>
      <c r="E4012" s="1" t="s">
        <v>4219</v>
      </c>
      <c r="F4012" s="1" t="s">
        <v>4024</v>
      </c>
      <c r="G4012" s="1" t="s">
        <v>4025</v>
      </c>
      <c r="H4012" s="2" t="s">
        <v>4038</v>
      </c>
      <c r="I4012" s="1" t="s">
        <v>4224</v>
      </c>
      <c r="J4012" s="1" t="s">
        <v>38</v>
      </c>
      <c r="K4012" s="1" t="s">
        <v>4038</v>
      </c>
      <c r="L4012" s="39" t="s">
        <v>46</v>
      </c>
      <c r="M4012" s="3" t="n">
        <v>45433</v>
      </c>
      <c r="N4012" s="1" t="s">
        <v>392</v>
      </c>
      <c r="O4012" s="1" t="s">
        <v>4034</v>
      </c>
      <c r="P4012" s="1" t="s">
        <v>192</v>
      </c>
      <c r="Q4012" s="1" t="s">
        <v>4029</v>
      </c>
      <c r="R4012" s="1" t="s">
        <v>44</v>
      </c>
      <c r="S4012" s="1" t="s">
        <v>4035</v>
      </c>
      <c r="T4012" s="1" t="s">
        <v>46</v>
      </c>
      <c r="U4012" s="1" t="n">
        <v>800</v>
      </c>
      <c r="V4012" s="1" t="n">
        <v>3</v>
      </c>
      <c r="W4012" s="1" t="s">
        <v>4221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4217</v>
      </c>
      <c r="B4013" s="2" t="s">
        <v>4021</v>
      </c>
      <c r="C4013" s="1" t="s">
        <v>4218</v>
      </c>
      <c r="D4013" s="1" t="s">
        <v>14</v>
      </c>
      <c r="E4013" s="1" t="s">
        <v>4219</v>
      </c>
      <c r="F4013" s="1" t="s">
        <v>4024</v>
      </c>
      <c r="G4013" s="1" t="s">
        <v>4025</v>
      </c>
      <c r="H4013" s="2" t="s">
        <v>4225</v>
      </c>
      <c r="I4013" s="1" t="s">
        <v>4226</v>
      </c>
      <c r="J4013" s="1" t="s">
        <v>52</v>
      </c>
      <c r="K4013" s="1" t="s">
        <v>4225</v>
      </c>
      <c r="L4013" s="39" t="s">
        <v>46</v>
      </c>
      <c r="M4013" s="3" t="n">
        <v>45433</v>
      </c>
      <c r="N4013" s="1" t="s">
        <v>392</v>
      </c>
      <c r="O4013" s="1" t="s">
        <v>4227</v>
      </c>
      <c r="P4013" s="1" t="s">
        <v>192</v>
      </c>
      <c r="Q4013" s="1" t="s">
        <v>4029</v>
      </c>
      <c r="R4013" s="1" t="s">
        <v>44</v>
      </c>
      <c r="S4013" s="1" t="s">
        <v>4030</v>
      </c>
      <c r="T4013" s="1" t="s">
        <v>46</v>
      </c>
      <c r="U4013" s="1" t="n">
        <v>800</v>
      </c>
      <c r="V4013" s="1" t="n">
        <v>1</v>
      </c>
      <c r="W4013" s="1" t="s">
        <v>4221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4217</v>
      </c>
      <c r="B4014" s="2" t="s">
        <v>4021</v>
      </c>
      <c r="C4014" s="1" t="s">
        <v>4218</v>
      </c>
      <c r="D4014" s="1" t="s">
        <v>14</v>
      </c>
      <c r="E4014" s="1" t="s">
        <v>4219</v>
      </c>
      <c r="F4014" s="1" t="s">
        <v>4024</v>
      </c>
      <c r="G4014" s="1" t="s">
        <v>4025</v>
      </c>
      <c r="H4014" s="2" t="s">
        <v>4228</v>
      </c>
      <c r="I4014" s="1" t="s">
        <v>4229</v>
      </c>
      <c r="J4014" s="1" t="s">
        <v>52</v>
      </c>
      <c r="K4014" s="1" t="s">
        <v>4228</v>
      </c>
      <c r="L4014" s="39" t="s">
        <v>46</v>
      </c>
      <c r="M4014" s="3" t="n">
        <v>45433</v>
      </c>
      <c r="N4014" s="1" t="s">
        <v>392</v>
      </c>
      <c r="O4014" s="1" t="s">
        <v>4227</v>
      </c>
      <c r="P4014" s="1" t="s">
        <v>192</v>
      </c>
      <c r="Q4014" s="1" t="s">
        <v>4029</v>
      </c>
      <c r="R4014" s="1" t="s">
        <v>44</v>
      </c>
      <c r="S4014" s="1" t="s">
        <v>4030</v>
      </c>
      <c r="T4014" s="1" t="s">
        <v>46</v>
      </c>
      <c r="U4014" s="1" t="n">
        <v>800</v>
      </c>
      <c r="V4014" s="1" t="n">
        <v>2</v>
      </c>
      <c r="W4014" s="1" t="s">
        <v>4221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4217</v>
      </c>
      <c r="B4015" s="2" t="s">
        <v>4021</v>
      </c>
      <c r="C4015" s="1" t="s">
        <v>4218</v>
      </c>
      <c r="D4015" s="1" t="s">
        <v>14</v>
      </c>
      <c r="E4015" s="1" t="s">
        <v>4219</v>
      </c>
      <c r="F4015" s="1" t="s">
        <v>4024</v>
      </c>
      <c r="G4015" s="1" t="s">
        <v>4025</v>
      </c>
      <c r="H4015" s="2" t="s">
        <v>4230</v>
      </c>
      <c r="I4015" s="1" t="s">
        <v>4231</v>
      </c>
      <c r="J4015" s="1" t="s">
        <v>52</v>
      </c>
      <c r="K4015" s="1" t="s">
        <v>4230</v>
      </c>
      <c r="L4015" s="39" t="s">
        <v>46</v>
      </c>
      <c r="M4015" s="3" t="n">
        <v>45433</v>
      </c>
      <c r="N4015" s="1" t="s">
        <v>392</v>
      </c>
      <c r="O4015" s="1" t="s">
        <v>4227</v>
      </c>
      <c r="P4015" s="1" t="s">
        <v>192</v>
      </c>
      <c r="Q4015" s="1" t="s">
        <v>4029</v>
      </c>
      <c r="R4015" s="1" t="s">
        <v>44</v>
      </c>
      <c r="S4015" s="1" t="s">
        <v>4030</v>
      </c>
      <c r="T4015" s="1" t="s">
        <v>46</v>
      </c>
      <c r="U4015" s="1" t="n">
        <v>800</v>
      </c>
      <c r="V4015" s="1" t="n">
        <v>3</v>
      </c>
      <c r="W4015" s="1" t="s">
        <v>4221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4217</v>
      </c>
      <c r="B4016" s="2" t="s">
        <v>4021</v>
      </c>
      <c r="C4016" s="1" t="s">
        <v>4218</v>
      </c>
      <c r="D4016" s="1" t="s">
        <v>14</v>
      </c>
      <c r="E4016" s="1" t="s">
        <v>4219</v>
      </c>
      <c r="F4016" s="1" t="s">
        <v>4024</v>
      </c>
      <c r="G4016" s="1" t="s">
        <v>4025</v>
      </c>
      <c r="H4016" s="2" t="s">
        <v>4040</v>
      </c>
      <c r="I4016" s="1" t="s">
        <v>4232</v>
      </c>
      <c r="J4016" s="1" t="s">
        <v>52</v>
      </c>
      <c r="K4016" s="1" t="s">
        <v>4040</v>
      </c>
      <c r="L4016" s="39" t="s">
        <v>46</v>
      </c>
      <c r="M4016" s="3" t="n">
        <v>45377</v>
      </c>
      <c r="N4016" s="1" t="s">
        <v>392</v>
      </c>
      <c r="O4016" s="1" t="s">
        <v>4028</v>
      </c>
      <c r="P4016" s="1" t="s">
        <v>192</v>
      </c>
      <c r="Q4016" s="1" t="s">
        <v>4029</v>
      </c>
      <c r="R4016" s="1" t="s">
        <v>44</v>
      </c>
      <c r="S4016" s="1" t="s">
        <v>4030</v>
      </c>
      <c r="T4016" s="1" t="s">
        <v>46</v>
      </c>
      <c r="U4016" s="1" t="n">
        <v>1500</v>
      </c>
      <c r="V4016" s="1" t="n">
        <v>2</v>
      </c>
      <c r="W4016" s="1" t="s">
        <v>4221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4217</v>
      </c>
      <c r="B4017" s="2" t="s">
        <v>4021</v>
      </c>
      <c r="C4017" s="1" t="s">
        <v>4218</v>
      </c>
      <c r="D4017" s="1" t="s">
        <v>14</v>
      </c>
      <c r="E4017" s="1" t="s">
        <v>4219</v>
      </c>
      <c r="F4017" s="1" t="s">
        <v>4024</v>
      </c>
      <c r="G4017" s="1" t="s">
        <v>4025</v>
      </c>
      <c r="H4017" s="2" t="s">
        <v>4042</v>
      </c>
      <c r="I4017" s="1" t="s">
        <v>4233</v>
      </c>
      <c r="J4017" s="1" t="s">
        <v>52</v>
      </c>
      <c r="K4017" s="1" t="s">
        <v>4042</v>
      </c>
      <c r="L4017" s="39" t="s">
        <v>46</v>
      </c>
      <c r="M4017" s="3" t="n">
        <v>45377</v>
      </c>
      <c r="N4017" s="1" t="s">
        <v>392</v>
      </c>
      <c r="O4017" s="1" t="s">
        <v>4028</v>
      </c>
      <c r="P4017" s="1" t="s">
        <v>192</v>
      </c>
      <c r="Q4017" s="1" t="s">
        <v>4029</v>
      </c>
      <c r="R4017" s="1" t="s">
        <v>44</v>
      </c>
      <c r="S4017" s="1" t="s">
        <v>4030</v>
      </c>
      <c r="T4017" s="1" t="s">
        <v>46</v>
      </c>
      <c r="U4017" s="1" t="n">
        <v>1500</v>
      </c>
      <c r="V4017" s="1" t="n">
        <v>3</v>
      </c>
      <c r="W4017" s="1" t="s">
        <v>4221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4217</v>
      </c>
      <c r="B4018" s="2" t="s">
        <v>4021</v>
      </c>
      <c r="C4018" s="1" t="s">
        <v>4218</v>
      </c>
      <c r="D4018" s="1" t="s">
        <v>14</v>
      </c>
      <c r="E4018" s="1" t="s">
        <v>4219</v>
      </c>
      <c r="F4018" s="1" t="s">
        <v>4024</v>
      </c>
      <c r="G4018" s="1" t="s">
        <v>4044</v>
      </c>
      <c r="H4018" s="2" t="s">
        <v>4045</v>
      </c>
      <c r="I4018" s="1" t="s">
        <v>4234</v>
      </c>
      <c r="J4018" s="1" t="s">
        <v>52</v>
      </c>
      <c r="K4018" s="1" t="s">
        <v>4045</v>
      </c>
      <c r="L4018" s="39" t="s">
        <v>46</v>
      </c>
      <c r="M4018" s="3" t="n">
        <v>45168</v>
      </c>
      <c r="N4018" s="1" t="s">
        <v>392</v>
      </c>
      <c r="O4018" s="1" t="s">
        <v>4028</v>
      </c>
      <c r="P4018" s="1" t="s">
        <v>192</v>
      </c>
      <c r="Q4018" s="1" t="s">
        <v>4029</v>
      </c>
      <c r="R4018" s="1" t="s">
        <v>44</v>
      </c>
      <c r="S4018" s="1" t="s">
        <v>4030</v>
      </c>
      <c r="T4018" s="1" t="s">
        <v>46</v>
      </c>
      <c r="U4018" s="1" t="n">
        <v>800</v>
      </c>
      <c r="V4018" s="1" t="n">
        <v>1</v>
      </c>
      <c r="W4018" s="1" t="s">
        <v>4221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4217</v>
      </c>
      <c r="B4019" s="2" t="s">
        <v>4021</v>
      </c>
      <c r="C4019" s="1" t="s">
        <v>4218</v>
      </c>
      <c r="D4019" s="1" t="s">
        <v>14</v>
      </c>
      <c r="E4019" s="1" t="s">
        <v>4219</v>
      </c>
      <c r="F4019" s="1" t="s">
        <v>4024</v>
      </c>
      <c r="G4019" s="1" t="s">
        <v>4044</v>
      </c>
      <c r="H4019" s="2" t="s">
        <v>4047</v>
      </c>
      <c r="I4019" s="1" t="s">
        <v>4235</v>
      </c>
      <c r="J4019" s="1" t="s">
        <v>52</v>
      </c>
      <c r="K4019" s="1" t="s">
        <v>4047</v>
      </c>
      <c r="L4019" s="39" t="s">
        <v>46</v>
      </c>
      <c r="M4019" s="3" t="n">
        <v>45168</v>
      </c>
      <c r="N4019" s="1" t="s">
        <v>392</v>
      </c>
      <c r="O4019" s="1" t="s">
        <v>4028</v>
      </c>
      <c r="P4019" s="1" t="s">
        <v>192</v>
      </c>
      <c r="Q4019" s="1" t="s">
        <v>4029</v>
      </c>
      <c r="R4019" s="1" t="s">
        <v>44</v>
      </c>
      <c r="S4019" s="1" t="s">
        <v>4030</v>
      </c>
      <c r="T4019" s="1" t="s">
        <v>46</v>
      </c>
      <c r="U4019" s="1" t="n">
        <v>800</v>
      </c>
      <c r="V4019" s="1" t="n">
        <v>2</v>
      </c>
      <c r="W4019" s="1" t="s">
        <v>4221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4217</v>
      </c>
      <c r="B4020" s="2" t="s">
        <v>4021</v>
      </c>
      <c r="C4020" s="1" t="s">
        <v>4218</v>
      </c>
      <c r="D4020" s="1" t="s">
        <v>14</v>
      </c>
      <c r="E4020" s="1" t="s">
        <v>4219</v>
      </c>
      <c r="F4020" s="1" t="s">
        <v>4024</v>
      </c>
      <c r="G4020" s="1" t="s">
        <v>4044</v>
      </c>
      <c r="H4020" s="2" t="s">
        <v>4049</v>
      </c>
      <c r="I4020" s="1" t="s">
        <v>4236</v>
      </c>
      <c r="J4020" s="1" t="s">
        <v>52</v>
      </c>
      <c r="K4020" s="1" t="s">
        <v>4049</v>
      </c>
      <c r="L4020" s="39" t="s">
        <v>46</v>
      </c>
      <c r="M4020" s="3" t="n">
        <v>45168</v>
      </c>
      <c r="N4020" s="1" t="s">
        <v>392</v>
      </c>
      <c r="O4020" s="1" t="s">
        <v>4028</v>
      </c>
      <c r="P4020" s="1" t="s">
        <v>192</v>
      </c>
      <c r="Q4020" s="1" t="s">
        <v>4029</v>
      </c>
      <c r="R4020" s="1" t="s">
        <v>44</v>
      </c>
      <c r="S4020" s="1" t="s">
        <v>4030</v>
      </c>
      <c r="T4020" s="1" t="s">
        <v>46</v>
      </c>
      <c r="U4020" s="1" t="n">
        <v>800</v>
      </c>
      <c r="V4020" s="1" t="n">
        <v>3</v>
      </c>
      <c r="W4020" s="1" t="s">
        <v>4221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4217</v>
      </c>
      <c r="B4021" s="2" t="s">
        <v>4021</v>
      </c>
      <c r="C4021" s="1" t="s">
        <v>4218</v>
      </c>
      <c r="D4021" s="1" t="s">
        <v>14</v>
      </c>
      <c r="E4021" s="1" t="s">
        <v>4219</v>
      </c>
      <c r="F4021" s="1" t="s">
        <v>4024</v>
      </c>
      <c r="G4021" s="1" t="s">
        <v>4025</v>
      </c>
      <c r="H4021" s="2" t="s">
        <v>4051</v>
      </c>
      <c r="I4021" s="1" t="s">
        <v>4237</v>
      </c>
      <c r="J4021" s="1" t="s">
        <v>38</v>
      </c>
      <c r="K4021" s="1" t="s">
        <v>4051</v>
      </c>
      <c r="L4021" s="39" t="s">
        <v>46</v>
      </c>
      <c r="M4021" s="3" t="n">
        <v>45440</v>
      </c>
      <c r="N4021" s="1" t="s">
        <v>392</v>
      </c>
      <c r="O4021" s="1" t="s">
        <v>4034</v>
      </c>
      <c r="P4021" s="1" t="s">
        <v>192</v>
      </c>
      <c r="Q4021" s="1" t="s">
        <v>4029</v>
      </c>
      <c r="R4021" s="1" t="s">
        <v>44</v>
      </c>
      <c r="S4021" s="1" t="s">
        <v>4035</v>
      </c>
      <c r="T4021" s="1" t="s">
        <v>46</v>
      </c>
      <c r="U4021" s="1" t="n">
        <v>800</v>
      </c>
      <c r="V4021" s="1" t="n">
        <v>1</v>
      </c>
      <c r="W4021" s="1" t="s">
        <v>4221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4217</v>
      </c>
      <c r="B4022" s="2" t="s">
        <v>4021</v>
      </c>
      <c r="C4022" s="1" t="s">
        <v>4218</v>
      </c>
      <c r="D4022" s="1" t="s">
        <v>14</v>
      </c>
      <c r="E4022" s="1" t="s">
        <v>4219</v>
      </c>
      <c r="F4022" s="1" t="s">
        <v>4024</v>
      </c>
      <c r="G4022" s="1" t="s">
        <v>4025</v>
      </c>
      <c r="H4022" s="2" t="s">
        <v>4053</v>
      </c>
      <c r="I4022" s="1" t="s">
        <v>4238</v>
      </c>
      <c r="J4022" s="1" t="s">
        <v>38</v>
      </c>
      <c r="K4022" s="1" t="s">
        <v>4053</v>
      </c>
      <c r="L4022" s="39" t="s">
        <v>46</v>
      </c>
      <c r="M4022" s="3" t="n">
        <v>45440</v>
      </c>
      <c r="N4022" s="1" t="s">
        <v>392</v>
      </c>
      <c r="O4022" s="1" t="s">
        <v>4034</v>
      </c>
      <c r="P4022" s="1" t="s">
        <v>192</v>
      </c>
      <c r="Q4022" s="1" t="s">
        <v>4029</v>
      </c>
      <c r="R4022" s="1" t="s">
        <v>44</v>
      </c>
      <c r="S4022" s="1" t="s">
        <v>4035</v>
      </c>
      <c r="T4022" s="1" t="s">
        <v>46</v>
      </c>
      <c r="U4022" s="1" t="n">
        <v>800</v>
      </c>
      <c r="V4022" s="1" t="n">
        <v>2</v>
      </c>
      <c r="W4022" s="1" t="s">
        <v>4221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4217</v>
      </c>
      <c r="B4023" s="2" t="s">
        <v>4021</v>
      </c>
      <c r="C4023" s="1" t="s">
        <v>4218</v>
      </c>
      <c r="D4023" s="1" t="s">
        <v>14</v>
      </c>
      <c r="E4023" s="1" t="s">
        <v>4219</v>
      </c>
      <c r="F4023" s="1" t="s">
        <v>4024</v>
      </c>
      <c r="G4023" s="1" t="s">
        <v>4025</v>
      </c>
      <c r="H4023" s="2" t="s">
        <v>4055</v>
      </c>
      <c r="I4023" s="1" t="s">
        <v>4239</v>
      </c>
      <c r="J4023" s="1" t="s">
        <v>38</v>
      </c>
      <c r="K4023" s="1" t="s">
        <v>4055</v>
      </c>
      <c r="L4023" s="39" t="s">
        <v>46</v>
      </c>
      <c r="M4023" s="3" t="n">
        <v>45440</v>
      </c>
      <c r="N4023" s="1" t="s">
        <v>392</v>
      </c>
      <c r="O4023" s="1" t="s">
        <v>4034</v>
      </c>
      <c r="P4023" s="1" t="s">
        <v>192</v>
      </c>
      <c r="Q4023" s="1" t="s">
        <v>4029</v>
      </c>
      <c r="R4023" s="1" t="s">
        <v>44</v>
      </c>
      <c r="S4023" s="1" t="s">
        <v>4035</v>
      </c>
      <c r="T4023" s="1" t="s">
        <v>46</v>
      </c>
      <c r="U4023" s="1" t="n">
        <v>800</v>
      </c>
      <c r="V4023" s="1" t="n">
        <v>3</v>
      </c>
      <c r="W4023" s="1" t="s">
        <v>4221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4217</v>
      </c>
      <c r="B4024" s="2" t="s">
        <v>4021</v>
      </c>
      <c r="C4024" s="1" t="s">
        <v>4218</v>
      </c>
      <c r="D4024" s="1" t="s">
        <v>14</v>
      </c>
      <c r="E4024" s="1" t="s">
        <v>4219</v>
      </c>
      <c r="F4024" s="1" t="s">
        <v>4024</v>
      </c>
      <c r="G4024" s="1" t="s">
        <v>4025</v>
      </c>
      <c r="H4024" s="2" t="s">
        <v>4240</v>
      </c>
      <c r="I4024" s="1" t="s">
        <v>4241</v>
      </c>
      <c r="J4024" s="1" t="s">
        <v>52</v>
      </c>
      <c r="K4024" s="1" t="s">
        <v>4240</v>
      </c>
      <c r="L4024" s="39" t="s">
        <v>46</v>
      </c>
      <c r="M4024" s="3" t="n">
        <v>45440</v>
      </c>
      <c r="N4024" s="1" t="s">
        <v>392</v>
      </c>
      <c r="O4024" s="1" t="s">
        <v>4227</v>
      </c>
      <c r="P4024" s="1" t="s">
        <v>192</v>
      </c>
      <c r="Q4024" s="1" t="s">
        <v>4029</v>
      </c>
      <c r="R4024" s="1" t="s">
        <v>44</v>
      </c>
      <c r="S4024" s="1" t="s">
        <v>4030</v>
      </c>
      <c r="T4024" s="1" t="s">
        <v>46</v>
      </c>
      <c r="U4024" s="1" t="n">
        <v>800</v>
      </c>
      <c r="V4024" s="1" t="n">
        <v>1</v>
      </c>
      <c r="W4024" s="1" t="s">
        <v>4221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4217</v>
      </c>
      <c r="B4025" s="2" t="s">
        <v>4021</v>
      </c>
      <c r="C4025" s="1" t="s">
        <v>4218</v>
      </c>
      <c r="D4025" s="1" t="s">
        <v>14</v>
      </c>
      <c r="E4025" s="1" t="s">
        <v>4219</v>
      </c>
      <c r="F4025" s="1" t="s">
        <v>4024</v>
      </c>
      <c r="G4025" s="1" t="s">
        <v>4025</v>
      </c>
      <c r="H4025" s="2" t="s">
        <v>4242</v>
      </c>
      <c r="I4025" s="1" t="s">
        <v>4243</v>
      </c>
      <c r="J4025" s="1" t="s">
        <v>52</v>
      </c>
      <c r="K4025" s="1" t="s">
        <v>4242</v>
      </c>
      <c r="L4025" s="39" t="s">
        <v>46</v>
      </c>
      <c r="M4025" s="3" t="n">
        <v>45440</v>
      </c>
      <c r="N4025" s="1" t="s">
        <v>392</v>
      </c>
      <c r="O4025" s="1" t="s">
        <v>4227</v>
      </c>
      <c r="P4025" s="1" t="s">
        <v>192</v>
      </c>
      <c r="Q4025" s="1" t="s">
        <v>4029</v>
      </c>
      <c r="R4025" s="1" t="s">
        <v>44</v>
      </c>
      <c r="S4025" s="1" t="s">
        <v>4030</v>
      </c>
      <c r="T4025" s="1" t="s">
        <v>46</v>
      </c>
      <c r="U4025" s="1" t="n">
        <v>800</v>
      </c>
      <c r="V4025" s="1" t="n">
        <v>2</v>
      </c>
      <c r="W4025" s="1" t="s">
        <v>4221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4217</v>
      </c>
      <c r="B4026" s="2" t="s">
        <v>4021</v>
      </c>
      <c r="C4026" s="1" t="s">
        <v>4218</v>
      </c>
      <c r="D4026" s="1" t="s">
        <v>14</v>
      </c>
      <c r="E4026" s="1" t="s">
        <v>4219</v>
      </c>
      <c r="F4026" s="1" t="s">
        <v>4024</v>
      </c>
      <c r="G4026" s="1" t="s">
        <v>4025</v>
      </c>
      <c r="H4026" s="2" t="s">
        <v>4244</v>
      </c>
      <c r="I4026" s="1" t="s">
        <v>4245</v>
      </c>
      <c r="J4026" s="1" t="s">
        <v>52</v>
      </c>
      <c r="K4026" s="1" t="s">
        <v>4244</v>
      </c>
      <c r="L4026" s="39" t="s">
        <v>46</v>
      </c>
      <c r="M4026" s="3" t="n">
        <v>45440</v>
      </c>
      <c r="N4026" s="1" t="s">
        <v>392</v>
      </c>
      <c r="O4026" s="1" t="s">
        <v>4227</v>
      </c>
      <c r="P4026" s="1" t="s">
        <v>192</v>
      </c>
      <c r="Q4026" s="1" t="s">
        <v>4029</v>
      </c>
      <c r="R4026" s="1" t="s">
        <v>44</v>
      </c>
      <c r="S4026" s="1" t="s">
        <v>4030</v>
      </c>
      <c r="T4026" s="1" t="s">
        <v>46</v>
      </c>
      <c r="U4026" s="1" t="n">
        <v>800</v>
      </c>
      <c r="V4026" s="1" t="n">
        <v>3</v>
      </c>
      <c r="W4026" s="1" t="s">
        <v>4221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4217</v>
      </c>
      <c r="B4027" s="2" t="s">
        <v>4021</v>
      </c>
      <c r="C4027" s="1" t="s">
        <v>4218</v>
      </c>
      <c r="D4027" s="1" t="s">
        <v>14</v>
      </c>
      <c r="E4027" s="1" t="s">
        <v>4219</v>
      </c>
      <c r="F4027" s="1" t="s">
        <v>4024</v>
      </c>
      <c r="G4027" s="1" t="s">
        <v>4044</v>
      </c>
      <c r="H4027" s="2" t="s">
        <v>4057</v>
      </c>
      <c r="I4027" s="1" t="s">
        <v>4246</v>
      </c>
      <c r="J4027" s="1" t="s">
        <v>52</v>
      </c>
      <c r="K4027" s="1" t="s">
        <v>4057</v>
      </c>
      <c r="L4027" s="39" t="s">
        <v>46</v>
      </c>
      <c r="M4027" s="3" t="n">
        <v>45175</v>
      </c>
      <c r="N4027" s="1" t="s">
        <v>392</v>
      </c>
      <c r="O4027" s="1" t="s">
        <v>4028</v>
      </c>
      <c r="P4027" s="1" t="s">
        <v>192</v>
      </c>
      <c r="Q4027" s="1" t="s">
        <v>4029</v>
      </c>
      <c r="R4027" s="1" t="s">
        <v>44</v>
      </c>
      <c r="S4027" s="1" t="s">
        <v>4030</v>
      </c>
      <c r="T4027" s="1" t="s">
        <v>46</v>
      </c>
      <c r="U4027" s="1" t="n">
        <v>800</v>
      </c>
      <c r="V4027" s="1" t="n">
        <v>1</v>
      </c>
      <c r="W4027" s="1" t="s">
        <v>4221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4217</v>
      </c>
      <c r="B4028" s="2" t="s">
        <v>4021</v>
      </c>
      <c r="C4028" s="1" t="s">
        <v>4218</v>
      </c>
      <c r="D4028" s="1" t="s">
        <v>14</v>
      </c>
      <c r="E4028" s="1" t="s">
        <v>4219</v>
      </c>
      <c r="F4028" s="1" t="s">
        <v>4024</v>
      </c>
      <c r="G4028" s="1" t="s">
        <v>4044</v>
      </c>
      <c r="H4028" s="2" t="s">
        <v>4059</v>
      </c>
      <c r="I4028" s="1" t="s">
        <v>4247</v>
      </c>
      <c r="J4028" s="1" t="s">
        <v>52</v>
      </c>
      <c r="K4028" s="1" t="s">
        <v>4059</v>
      </c>
      <c r="L4028" s="39" t="s">
        <v>46</v>
      </c>
      <c r="M4028" s="3" t="n">
        <v>45175</v>
      </c>
      <c r="N4028" s="1" t="s">
        <v>392</v>
      </c>
      <c r="O4028" s="1" t="s">
        <v>4028</v>
      </c>
      <c r="P4028" s="1" t="s">
        <v>192</v>
      </c>
      <c r="Q4028" s="1" t="s">
        <v>4029</v>
      </c>
      <c r="R4028" s="1" t="s">
        <v>44</v>
      </c>
      <c r="S4028" s="1" t="s">
        <v>4030</v>
      </c>
      <c r="T4028" s="1" t="s">
        <v>46</v>
      </c>
      <c r="U4028" s="1" t="n">
        <v>800</v>
      </c>
      <c r="V4028" s="1" t="n">
        <v>2</v>
      </c>
      <c r="W4028" s="1" t="s">
        <v>4221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4217</v>
      </c>
      <c r="B4029" s="2" t="s">
        <v>4021</v>
      </c>
      <c r="C4029" s="1" t="s">
        <v>4218</v>
      </c>
      <c r="D4029" s="1" t="s">
        <v>14</v>
      </c>
      <c r="E4029" s="1" t="s">
        <v>4219</v>
      </c>
      <c r="F4029" s="1" t="s">
        <v>4024</v>
      </c>
      <c r="G4029" s="1" t="s">
        <v>4044</v>
      </c>
      <c r="H4029" s="2" t="s">
        <v>4061</v>
      </c>
      <c r="I4029" s="1" t="s">
        <v>4248</v>
      </c>
      <c r="J4029" s="1" t="s">
        <v>52</v>
      </c>
      <c r="K4029" s="1" t="s">
        <v>4061</v>
      </c>
      <c r="L4029" s="39" t="s">
        <v>46</v>
      </c>
      <c r="M4029" s="3" t="n">
        <v>45175</v>
      </c>
      <c r="N4029" s="1" t="s">
        <v>392</v>
      </c>
      <c r="O4029" s="1" t="s">
        <v>4028</v>
      </c>
      <c r="P4029" s="1" t="s">
        <v>192</v>
      </c>
      <c r="Q4029" s="1" t="s">
        <v>4029</v>
      </c>
      <c r="R4029" s="1" t="s">
        <v>44</v>
      </c>
      <c r="S4029" s="1" t="s">
        <v>4030</v>
      </c>
      <c r="T4029" s="1" t="s">
        <v>46</v>
      </c>
      <c r="U4029" s="1" t="n">
        <v>800</v>
      </c>
      <c r="V4029" s="1" t="n">
        <v>3</v>
      </c>
      <c r="W4029" s="1" t="s">
        <v>4221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4217</v>
      </c>
      <c r="B4030" s="2" t="s">
        <v>4021</v>
      </c>
      <c r="C4030" s="1" t="s">
        <v>4218</v>
      </c>
      <c r="D4030" s="1" t="s">
        <v>14</v>
      </c>
      <c r="E4030" s="1" t="s">
        <v>4219</v>
      </c>
      <c r="F4030" s="1" t="s">
        <v>4024</v>
      </c>
      <c r="G4030" s="1" t="s">
        <v>4025</v>
      </c>
      <c r="H4030" s="2" t="s">
        <v>4063</v>
      </c>
      <c r="I4030" s="1" t="s">
        <v>4249</v>
      </c>
      <c r="J4030" s="1" t="s">
        <v>38</v>
      </c>
      <c r="K4030" s="1" t="s">
        <v>4063</v>
      </c>
      <c r="L4030" s="39" t="s">
        <v>46</v>
      </c>
      <c r="M4030" s="3" t="n">
        <v>45447</v>
      </c>
      <c r="N4030" s="1" t="s">
        <v>392</v>
      </c>
      <c r="O4030" s="1" t="s">
        <v>4034</v>
      </c>
      <c r="P4030" s="1" t="s">
        <v>192</v>
      </c>
      <c r="Q4030" s="1" t="s">
        <v>4029</v>
      </c>
      <c r="R4030" s="1" t="s">
        <v>44</v>
      </c>
      <c r="S4030" s="1" t="s">
        <v>4035</v>
      </c>
      <c r="T4030" s="1" t="s">
        <v>46</v>
      </c>
      <c r="U4030" s="1" t="n">
        <v>800</v>
      </c>
      <c r="V4030" s="1" t="n">
        <v>1</v>
      </c>
      <c r="W4030" s="1" t="s">
        <v>4221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4217</v>
      </c>
      <c r="B4031" s="2" t="s">
        <v>4021</v>
      </c>
      <c r="C4031" s="1" t="s">
        <v>4218</v>
      </c>
      <c r="D4031" s="1" t="s">
        <v>14</v>
      </c>
      <c r="E4031" s="1" t="s">
        <v>4219</v>
      </c>
      <c r="F4031" s="1" t="s">
        <v>4024</v>
      </c>
      <c r="G4031" s="1" t="s">
        <v>4025</v>
      </c>
      <c r="H4031" s="2" t="s">
        <v>4065</v>
      </c>
      <c r="I4031" s="1" t="s">
        <v>4250</v>
      </c>
      <c r="J4031" s="1" t="s">
        <v>38</v>
      </c>
      <c r="K4031" s="1" t="s">
        <v>4065</v>
      </c>
      <c r="L4031" s="39" t="s">
        <v>46</v>
      </c>
      <c r="M4031" s="3" t="n">
        <v>45447</v>
      </c>
      <c r="N4031" s="1" t="s">
        <v>392</v>
      </c>
      <c r="O4031" s="1" t="s">
        <v>4034</v>
      </c>
      <c r="P4031" s="1" t="s">
        <v>192</v>
      </c>
      <c r="Q4031" s="1" t="s">
        <v>4029</v>
      </c>
      <c r="R4031" s="1" t="s">
        <v>44</v>
      </c>
      <c r="S4031" s="1" t="s">
        <v>4035</v>
      </c>
      <c r="T4031" s="1" t="s">
        <v>46</v>
      </c>
      <c r="U4031" s="1" t="n">
        <v>800</v>
      </c>
      <c r="V4031" s="1" t="n">
        <v>2</v>
      </c>
      <c r="W4031" s="1" t="s">
        <v>4221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4217</v>
      </c>
      <c r="B4032" s="2" t="s">
        <v>4021</v>
      </c>
      <c r="C4032" s="1" t="s">
        <v>4218</v>
      </c>
      <c r="D4032" s="1" t="s">
        <v>14</v>
      </c>
      <c r="E4032" s="1" t="s">
        <v>4219</v>
      </c>
      <c r="F4032" s="1" t="s">
        <v>4024</v>
      </c>
      <c r="G4032" s="1" t="s">
        <v>4025</v>
      </c>
      <c r="H4032" s="2" t="s">
        <v>4067</v>
      </c>
      <c r="I4032" s="1" t="s">
        <v>4251</v>
      </c>
      <c r="J4032" s="1" t="s">
        <v>38</v>
      </c>
      <c r="K4032" s="1" t="s">
        <v>4067</v>
      </c>
      <c r="L4032" s="39" t="s">
        <v>46</v>
      </c>
      <c r="M4032" s="3" t="n">
        <v>45447</v>
      </c>
      <c r="N4032" s="1" t="s">
        <v>392</v>
      </c>
      <c r="O4032" s="1" t="s">
        <v>4034</v>
      </c>
      <c r="P4032" s="1" t="s">
        <v>192</v>
      </c>
      <c r="Q4032" s="1" t="s">
        <v>4029</v>
      </c>
      <c r="R4032" s="1" t="s">
        <v>44</v>
      </c>
      <c r="S4032" s="1" t="s">
        <v>4035</v>
      </c>
      <c r="T4032" s="1" t="s">
        <v>46</v>
      </c>
      <c r="U4032" s="1" t="n">
        <v>800</v>
      </c>
      <c r="V4032" s="1" t="n">
        <v>3</v>
      </c>
      <c r="W4032" s="1" t="s">
        <v>4221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4217</v>
      </c>
      <c r="B4033" s="2" t="s">
        <v>4021</v>
      </c>
      <c r="C4033" s="1" t="s">
        <v>4218</v>
      </c>
      <c r="D4033" s="1" t="s">
        <v>14</v>
      </c>
      <c r="E4033" s="1" t="s">
        <v>4219</v>
      </c>
      <c r="F4033" s="1" t="s">
        <v>4024</v>
      </c>
      <c r="G4033" s="1" t="s">
        <v>4025</v>
      </c>
      <c r="H4033" s="2" t="s">
        <v>4252</v>
      </c>
      <c r="I4033" s="1" t="s">
        <v>4253</v>
      </c>
      <c r="J4033" s="1" t="s">
        <v>52</v>
      </c>
      <c r="K4033" s="1" t="s">
        <v>4252</v>
      </c>
      <c r="L4033" s="39" t="s">
        <v>46</v>
      </c>
      <c r="M4033" s="3" t="n">
        <v>45447</v>
      </c>
      <c r="N4033" s="1" t="s">
        <v>392</v>
      </c>
      <c r="O4033" s="1" t="s">
        <v>4227</v>
      </c>
      <c r="P4033" s="1" t="s">
        <v>192</v>
      </c>
      <c r="Q4033" s="1" t="s">
        <v>4029</v>
      </c>
      <c r="R4033" s="1" t="s">
        <v>44</v>
      </c>
      <c r="S4033" s="1" t="s">
        <v>4030</v>
      </c>
      <c r="T4033" s="1" t="s">
        <v>46</v>
      </c>
      <c r="U4033" s="1" t="n">
        <v>800</v>
      </c>
      <c r="V4033" s="1" t="n">
        <v>1</v>
      </c>
      <c r="W4033" s="1" t="s">
        <v>4221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4217</v>
      </c>
      <c r="B4034" s="2" t="s">
        <v>4021</v>
      </c>
      <c r="C4034" s="1" t="s">
        <v>4218</v>
      </c>
      <c r="D4034" s="1" t="s">
        <v>14</v>
      </c>
      <c r="E4034" s="1" t="s">
        <v>4219</v>
      </c>
      <c r="F4034" s="1" t="s">
        <v>4024</v>
      </c>
      <c r="G4034" s="1" t="s">
        <v>4025</v>
      </c>
      <c r="H4034" s="2" t="s">
        <v>4254</v>
      </c>
      <c r="I4034" s="1" t="s">
        <v>4255</v>
      </c>
      <c r="J4034" s="1" t="s">
        <v>52</v>
      </c>
      <c r="K4034" s="1" t="s">
        <v>4254</v>
      </c>
      <c r="L4034" s="39" t="s">
        <v>46</v>
      </c>
      <c r="M4034" s="3" t="n">
        <v>45447</v>
      </c>
      <c r="N4034" s="1" t="s">
        <v>392</v>
      </c>
      <c r="O4034" s="1" t="s">
        <v>4227</v>
      </c>
      <c r="P4034" s="1" t="s">
        <v>192</v>
      </c>
      <c r="Q4034" s="1" t="s">
        <v>4029</v>
      </c>
      <c r="R4034" s="1" t="s">
        <v>44</v>
      </c>
      <c r="S4034" s="1" t="s">
        <v>4030</v>
      </c>
      <c r="T4034" s="1" t="s">
        <v>46</v>
      </c>
      <c r="U4034" s="1" t="n">
        <v>800</v>
      </c>
      <c r="V4034" s="1" t="n">
        <v>2</v>
      </c>
      <c r="W4034" s="1" t="s">
        <v>4221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4217</v>
      </c>
      <c r="B4035" s="2" t="s">
        <v>4021</v>
      </c>
      <c r="C4035" s="1" t="s">
        <v>4218</v>
      </c>
      <c r="D4035" s="1" t="s">
        <v>14</v>
      </c>
      <c r="E4035" s="1" t="s">
        <v>4219</v>
      </c>
      <c r="F4035" s="1" t="s">
        <v>4024</v>
      </c>
      <c r="G4035" s="1" t="s">
        <v>4025</v>
      </c>
      <c r="H4035" s="2" t="s">
        <v>4256</v>
      </c>
      <c r="I4035" s="1" t="s">
        <v>4257</v>
      </c>
      <c r="J4035" s="1" t="s">
        <v>52</v>
      </c>
      <c r="K4035" s="1" t="s">
        <v>4256</v>
      </c>
      <c r="L4035" s="39" t="s">
        <v>46</v>
      </c>
      <c r="M4035" s="3" t="n">
        <v>45447</v>
      </c>
      <c r="N4035" s="1" t="s">
        <v>392</v>
      </c>
      <c r="O4035" s="1" t="s">
        <v>4227</v>
      </c>
      <c r="P4035" s="1" t="s">
        <v>192</v>
      </c>
      <c r="Q4035" s="1" t="s">
        <v>4029</v>
      </c>
      <c r="R4035" s="1" t="s">
        <v>44</v>
      </c>
      <c r="S4035" s="1" t="s">
        <v>4030</v>
      </c>
      <c r="T4035" s="1" t="s">
        <v>46</v>
      </c>
      <c r="U4035" s="1" t="n">
        <v>800</v>
      </c>
      <c r="V4035" s="1" t="n">
        <v>3</v>
      </c>
      <c r="W4035" s="1" t="s">
        <v>4221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4217</v>
      </c>
      <c r="B4036" s="2" t="s">
        <v>4021</v>
      </c>
      <c r="C4036" s="1" t="s">
        <v>4218</v>
      </c>
      <c r="D4036" s="1" t="s">
        <v>14</v>
      </c>
      <c r="E4036" s="1" t="s">
        <v>4219</v>
      </c>
      <c r="F4036" s="1" t="s">
        <v>4024</v>
      </c>
      <c r="G4036" s="1" t="s">
        <v>4044</v>
      </c>
      <c r="H4036" s="2" t="s">
        <v>4069</v>
      </c>
      <c r="I4036" s="1" t="s">
        <v>4258</v>
      </c>
      <c r="J4036" s="1" t="s">
        <v>52</v>
      </c>
      <c r="K4036" s="1" t="s">
        <v>4069</v>
      </c>
      <c r="L4036" s="39" t="s">
        <v>46</v>
      </c>
      <c r="M4036" s="3" t="n">
        <v>45182</v>
      </c>
      <c r="N4036" s="1" t="s">
        <v>392</v>
      </c>
      <c r="O4036" s="1" t="s">
        <v>4028</v>
      </c>
      <c r="P4036" s="1" t="s">
        <v>192</v>
      </c>
      <c r="Q4036" s="1" t="s">
        <v>4029</v>
      </c>
      <c r="R4036" s="1" t="s">
        <v>44</v>
      </c>
      <c r="S4036" s="1" t="s">
        <v>4030</v>
      </c>
      <c r="T4036" s="1" t="s">
        <v>46</v>
      </c>
      <c r="U4036" s="1" t="n">
        <v>800</v>
      </c>
      <c r="V4036" s="1" t="n">
        <v>1</v>
      </c>
      <c r="W4036" s="1" t="s">
        <v>4221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4217</v>
      </c>
      <c r="B4037" s="2" t="s">
        <v>4021</v>
      </c>
      <c r="C4037" s="1" t="s">
        <v>4218</v>
      </c>
      <c r="D4037" s="1" t="s">
        <v>14</v>
      </c>
      <c r="E4037" s="1" t="s">
        <v>4219</v>
      </c>
      <c r="F4037" s="1" t="s">
        <v>4024</v>
      </c>
      <c r="G4037" s="1" t="s">
        <v>4044</v>
      </c>
      <c r="H4037" s="2" t="s">
        <v>4071</v>
      </c>
      <c r="I4037" s="1" t="s">
        <v>4259</v>
      </c>
      <c r="J4037" s="1" t="s">
        <v>52</v>
      </c>
      <c r="K4037" s="1" t="s">
        <v>4071</v>
      </c>
      <c r="L4037" s="39" t="s">
        <v>46</v>
      </c>
      <c r="M4037" s="3" t="n">
        <v>45182</v>
      </c>
      <c r="N4037" s="1" t="s">
        <v>392</v>
      </c>
      <c r="O4037" s="1" t="s">
        <v>4028</v>
      </c>
      <c r="P4037" s="1" t="s">
        <v>192</v>
      </c>
      <c r="Q4037" s="1" t="s">
        <v>4029</v>
      </c>
      <c r="R4037" s="1" t="s">
        <v>44</v>
      </c>
      <c r="S4037" s="1" t="s">
        <v>4030</v>
      </c>
      <c r="T4037" s="1" t="s">
        <v>46</v>
      </c>
      <c r="U4037" s="1" t="n">
        <v>800</v>
      </c>
      <c r="V4037" s="1" t="n">
        <v>2</v>
      </c>
      <c r="W4037" s="1" t="s">
        <v>4221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4217</v>
      </c>
      <c r="B4038" s="2" t="s">
        <v>4021</v>
      </c>
      <c r="C4038" s="1" t="s">
        <v>4218</v>
      </c>
      <c r="D4038" s="1" t="s">
        <v>14</v>
      </c>
      <c r="E4038" s="1" t="s">
        <v>4219</v>
      </c>
      <c r="F4038" s="1" t="s">
        <v>4024</v>
      </c>
      <c r="G4038" s="1" t="s">
        <v>4044</v>
      </c>
      <c r="H4038" s="2" t="s">
        <v>4073</v>
      </c>
      <c r="I4038" s="1" t="s">
        <v>4260</v>
      </c>
      <c r="J4038" s="1" t="s">
        <v>52</v>
      </c>
      <c r="K4038" s="1" t="s">
        <v>4073</v>
      </c>
      <c r="L4038" s="39" t="s">
        <v>46</v>
      </c>
      <c r="M4038" s="3" t="n">
        <v>45182</v>
      </c>
      <c r="N4038" s="1" t="s">
        <v>392</v>
      </c>
      <c r="O4038" s="1" t="s">
        <v>4028</v>
      </c>
      <c r="P4038" s="1" t="s">
        <v>192</v>
      </c>
      <c r="Q4038" s="1" t="s">
        <v>4029</v>
      </c>
      <c r="R4038" s="1" t="s">
        <v>44</v>
      </c>
      <c r="S4038" s="1" t="s">
        <v>4030</v>
      </c>
      <c r="T4038" s="1" t="s">
        <v>46</v>
      </c>
      <c r="U4038" s="1" t="n">
        <v>800</v>
      </c>
      <c r="V4038" s="1" t="n">
        <v>3</v>
      </c>
      <c r="W4038" s="1" t="s">
        <v>4221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4217</v>
      </c>
      <c r="B4039" s="2" t="s">
        <v>4021</v>
      </c>
      <c r="C4039" s="1" t="s">
        <v>4218</v>
      </c>
      <c r="D4039" s="1" t="s">
        <v>14</v>
      </c>
      <c r="E4039" s="1" t="s">
        <v>4219</v>
      </c>
      <c r="F4039" s="1" t="s">
        <v>4024</v>
      </c>
      <c r="G4039" s="1" t="s">
        <v>4025</v>
      </c>
      <c r="H4039" s="2" t="s">
        <v>4075</v>
      </c>
      <c r="I4039" s="1" t="s">
        <v>4261</v>
      </c>
      <c r="J4039" s="1" t="s">
        <v>38</v>
      </c>
      <c r="K4039" s="1" t="s">
        <v>4075</v>
      </c>
      <c r="L4039" s="39" t="s">
        <v>46</v>
      </c>
      <c r="M4039" s="3" t="n">
        <v>45454</v>
      </c>
      <c r="N4039" s="1" t="s">
        <v>392</v>
      </c>
      <c r="O4039" s="1" t="s">
        <v>4034</v>
      </c>
      <c r="P4039" s="1" t="s">
        <v>192</v>
      </c>
      <c r="Q4039" s="1" t="s">
        <v>4029</v>
      </c>
      <c r="R4039" s="1" t="s">
        <v>44</v>
      </c>
      <c r="S4039" s="1" t="s">
        <v>4035</v>
      </c>
      <c r="T4039" s="1" t="s">
        <v>46</v>
      </c>
      <c r="U4039" s="1" t="n">
        <v>800</v>
      </c>
      <c r="V4039" s="1" t="n">
        <v>1</v>
      </c>
      <c r="W4039" s="1" t="s">
        <v>4221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4217</v>
      </c>
      <c r="B4040" s="2" t="s">
        <v>4021</v>
      </c>
      <c r="C4040" s="1" t="s">
        <v>4218</v>
      </c>
      <c r="D4040" s="1" t="s">
        <v>14</v>
      </c>
      <c r="E4040" s="1" t="s">
        <v>4219</v>
      </c>
      <c r="F4040" s="1" t="s">
        <v>4024</v>
      </c>
      <c r="G4040" s="1" t="s">
        <v>4025</v>
      </c>
      <c r="H4040" s="2" t="s">
        <v>4077</v>
      </c>
      <c r="I4040" s="1" t="s">
        <v>4262</v>
      </c>
      <c r="J4040" s="1" t="s">
        <v>38</v>
      </c>
      <c r="K4040" s="1" t="s">
        <v>4077</v>
      </c>
      <c r="L4040" s="39" t="s">
        <v>46</v>
      </c>
      <c r="M4040" s="3" t="n">
        <v>45454</v>
      </c>
      <c r="N4040" s="1" t="s">
        <v>392</v>
      </c>
      <c r="O4040" s="1" t="s">
        <v>4034</v>
      </c>
      <c r="P4040" s="1" t="s">
        <v>192</v>
      </c>
      <c r="Q4040" s="1" t="s">
        <v>4029</v>
      </c>
      <c r="R4040" s="1" t="s">
        <v>44</v>
      </c>
      <c r="S4040" s="1" t="s">
        <v>4035</v>
      </c>
      <c r="T4040" s="1" t="s">
        <v>46</v>
      </c>
      <c r="U4040" s="1" t="n">
        <v>800</v>
      </c>
      <c r="V4040" s="1" t="n">
        <v>2</v>
      </c>
      <c r="W4040" s="1" t="s">
        <v>4221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4217</v>
      </c>
      <c r="B4041" s="2" t="s">
        <v>4021</v>
      </c>
      <c r="C4041" s="1" t="s">
        <v>4218</v>
      </c>
      <c r="D4041" s="1" t="s">
        <v>14</v>
      </c>
      <c r="E4041" s="1" t="s">
        <v>4219</v>
      </c>
      <c r="F4041" s="1" t="s">
        <v>4024</v>
      </c>
      <c r="G4041" s="1" t="s">
        <v>4025</v>
      </c>
      <c r="H4041" s="2" t="s">
        <v>4079</v>
      </c>
      <c r="I4041" s="1" t="s">
        <v>4263</v>
      </c>
      <c r="J4041" s="1" t="s">
        <v>38</v>
      </c>
      <c r="K4041" s="1" t="s">
        <v>4079</v>
      </c>
      <c r="L4041" s="39" t="s">
        <v>46</v>
      </c>
      <c r="M4041" s="3" t="n">
        <v>45454</v>
      </c>
      <c r="N4041" s="1" t="s">
        <v>392</v>
      </c>
      <c r="O4041" s="1" t="s">
        <v>4034</v>
      </c>
      <c r="P4041" s="1" t="s">
        <v>192</v>
      </c>
      <c r="Q4041" s="1" t="s">
        <v>4029</v>
      </c>
      <c r="R4041" s="1" t="s">
        <v>44</v>
      </c>
      <c r="S4041" s="1" t="s">
        <v>4035</v>
      </c>
      <c r="T4041" s="1" t="s">
        <v>46</v>
      </c>
      <c r="U4041" s="1" t="n">
        <v>800</v>
      </c>
      <c r="V4041" s="1" t="n">
        <v>3</v>
      </c>
      <c r="W4041" s="1" t="s">
        <v>4221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4217</v>
      </c>
      <c r="B4042" s="2" t="s">
        <v>4021</v>
      </c>
      <c r="C4042" s="1" t="s">
        <v>4218</v>
      </c>
      <c r="D4042" s="1" t="s">
        <v>14</v>
      </c>
      <c r="E4042" s="1" t="s">
        <v>4219</v>
      </c>
      <c r="F4042" s="1" t="s">
        <v>4024</v>
      </c>
      <c r="G4042" s="1" t="s">
        <v>4025</v>
      </c>
      <c r="H4042" s="2" t="s">
        <v>4264</v>
      </c>
      <c r="I4042" s="1" t="s">
        <v>4265</v>
      </c>
      <c r="J4042" s="1" t="s">
        <v>52</v>
      </c>
      <c r="K4042" s="1" t="s">
        <v>4264</v>
      </c>
      <c r="L4042" s="39" t="s">
        <v>46</v>
      </c>
      <c r="M4042" s="3" t="n">
        <v>45454</v>
      </c>
      <c r="N4042" s="1" t="s">
        <v>392</v>
      </c>
      <c r="O4042" s="1" t="s">
        <v>4227</v>
      </c>
      <c r="P4042" s="1" t="s">
        <v>192</v>
      </c>
      <c r="Q4042" s="1" t="s">
        <v>4029</v>
      </c>
      <c r="R4042" s="1" t="s">
        <v>44</v>
      </c>
      <c r="S4042" s="1" t="s">
        <v>4030</v>
      </c>
      <c r="T4042" s="1" t="s">
        <v>46</v>
      </c>
      <c r="U4042" s="1" t="n">
        <v>800</v>
      </c>
      <c r="V4042" s="1" t="n">
        <v>1</v>
      </c>
      <c r="W4042" s="1" t="s">
        <v>4221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4217</v>
      </c>
      <c r="B4043" s="2" t="s">
        <v>4021</v>
      </c>
      <c r="C4043" s="1" t="s">
        <v>4218</v>
      </c>
      <c r="D4043" s="1" t="s">
        <v>14</v>
      </c>
      <c r="E4043" s="1" t="s">
        <v>4219</v>
      </c>
      <c r="F4043" s="1" t="s">
        <v>4024</v>
      </c>
      <c r="G4043" s="1" t="s">
        <v>4025</v>
      </c>
      <c r="H4043" s="2" t="s">
        <v>4266</v>
      </c>
      <c r="I4043" s="1" t="s">
        <v>4267</v>
      </c>
      <c r="J4043" s="1" t="s">
        <v>52</v>
      </c>
      <c r="K4043" s="1" t="s">
        <v>4266</v>
      </c>
      <c r="L4043" s="39" t="s">
        <v>46</v>
      </c>
      <c r="M4043" s="3" t="n">
        <v>45454</v>
      </c>
      <c r="N4043" s="1" t="s">
        <v>392</v>
      </c>
      <c r="O4043" s="1" t="s">
        <v>4227</v>
      </c>
      <c r="P4043" s="1" t="s">
        <v>192</v>
      </c>
      <c r="Q4043" s="1" t="s">
        <v>4029</v>
      </c>
      <c r="R4043" s="1" t="s">
        <v>44</v>
      </c>
      <c r="S4043" s="1" t="s">
        <v>4030</v>
      </c>
      <c r="T4043" s="1" t="s">
        <v>46</v>
      </c>
      <c r="U4043" s="1" t="n">
        <v>800</v>
      </c>
      <c r="V4043" s="1" t="n">
        <v>2</v>
      </c>
      <c r="W4043" s="1" t="s">
        <v>4221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4217</v>
      </c>
      <c r="B4044" s="2" t="s">
        <v>4021</v>
      </c>
      <c r="C4044" s="1" t="s">
        <v>4218</v>
      </c>
      <c r="D4044" s="1" t="s">
        <v>14</v>
      </c>
      <c r="E4044" s="1" t="s">
        <v>4219</v>
      </c>
      <c r="F4044" s="1" t="s">
        <v>4024</v>
      </c>
      <c r="G4044" s="1" t="s">
        <v>4025</v>
      </c>
      <c r="H4044" s="2" t="s">
        <v>4268</v>
      </c>
      <c r="I4044" s="1" t="s">
        <v>4269</v>
      </c>
      <c r="J4044" s="1" t="s">
        <v>52</v>
      </c>
      <c r="K4044" s="1" t="s">
        <v>4268</v>
      </c>
      <c r="L4044" s="39" t="s">
        <v>46</v>
      </c>
      <c r="M4044" s="3" t="n">
        <v>45454</v>
      </c>
      <c r="N4044" s="1" t="s">
        <v>392</v>
      </c>
      <c r="O4044" s="1" t="s">
        <v>4227</v>
      </c>
      <c r="P4044" s="1" t="s">
        <v>192</v>
      </c>
      <c r="Q4044" s="1" t="s">
        <v>4029</v>
      </c>
      <c r="R4044" s="1" t="s">
        <v>44</v>
      </c>
      <c r="S4044" s="1" t="s">
        <v>4030</v>
      </c>
      <c r="T4044" s="1" t="s">
        <v>46</v>
      </c>
      <c r="U4044" s="1" t="n">
        <v>800</v>
      </c>
      <c r="V4044" s="1" t="n">
        <v>3</v>
      </c>
      <c r="W4044" s="1" t="s">
        <v>4221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4217</v>
      </c>
      <c r="B4045" s="2" t="s">
        <v>4021</v>
      </c>
      <c r="C4045" s="1" t="s">
        <v>4218</v>
      </c>
      <c r="D4045" s="1" t="s">
        <v>14</v>
      </c>
      <c r="E4045" s="1" t="s">
        <v>4219</v>
      </c>
      <c r="F4045" s="1" t="s">
        <v>4024</v>
      </c>
      <c r="G4045" s="1" t="s">
        <v>4044</v>
      </c>
      <c r="H4045" s="2" t="s">
        <v>4081</v>
      </c>
      <c r="I4045" s="1" t="s">
        <v>4270</v>
      </c>
      <c r="J4045" s="1" t="s">
        <v>52</v>
      </c>
      <c r="K4045" s="1" t="s">
        <v>4081</v>
      </c>
      <c r="L4045" s="39" t="s">
        <v>46</v>
      </c>
      <c r="M4045" s="3" t="n">
        <v>45189</v>
      </c>
      <c r="N4045" s="1" t="s">
        <v>392</v>
      </c>
      <c r="O4045" s="1" t="s">
        <v>4028</v>
      </c>
      <c r="P4045" s="1" t="s">
        <v>192</v>
      </c>
      <c r="Q4045" s="1" t="s">
        <v>4029</v>
      </c>
      <c r="R4045" s="1" t="s">
        <v>44</v>
      </c>
      <c r="S4045" s="1" t="s">
        <v>4030</v>
      </c>
      <c r="T4045" s="1" t="s">
        <v>46</v>
      </c>
      <c r="U4045" s="1" t="n">
        <v>800</v>
      </c>
      <c r="V4045" s="1" t="n">
        <v>1</v>
      </c>
      <c r="W4045" s="1" t="s">
        <v>4221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4217</v>
      </c>
      <c r="B4046" s="2" t="s">
        <v>4021</v>
      </c>
      <c r="C4046" s="1" t="s">
        <v>4218</v>
      </c>
      <c r="D4046" s="1" t="s">
        <v>14</v>
      </c>
      <c r="E4046" s="1" t="s">
        <v>4219</v>
      </c>
      <c r="F4046" s="1" t="s">
        <v>4024</v>
      </c>
      <c r="G4046" s="1" t="s">
        <v>4044</v>
      </c>
      <c r="H4046" s="2" t="s">
        <v>4083</v>
      </c>
      <c r="I4046" s="1" t="s">
        <v>4271</v>
      </c>
      <c r="J4046" s="1" t="s">
        <v>52</v>
      </c>
      <c r="K4046" s="1" t="s">
        <v>4083</v>
      </c>
      <c r="L4046" s="39" t="s">
        <v>46</v>
      </c>
      <c r="M4046" s="3" t="n">
        <v>45189</v>
      </c>
      <c r="N4046" s="1" t="s">
        <v>392</v>
      </c>
      <c r="O4046" s="1" t="s">
        <v>4028</v>
      </c>
      <c r="P4046" s="1" t="s">
        <v>192</v>
      </c>
      <c r="Q4046" s="1" t="s">
        <v>4029</v>
      </c>
      <c r="R4046" s="1" t="s">
        <v>44</v>
      </c>
      <c r="S4046" s="1" t="s">
        <v>4030</v>
      </c>
      <c r="T4046" s="1" t="s">
        <v>46</v>
      </c>
      <c r="U4046" s="1" t="n">
        <v>800</v>
      </c>
      <c r="V4046" s="1" t="n">
        <v>2</v>
      </c>
      <c r="W4046" s="1" t="s">
        <v>4221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4217</v>
      </c>
      <c r="B4047" s="2" t="s">
        <v>4021</v>
      </c>
      <c r="C4047" s="1" t="s">
        <v>4218</v>
      </c>
      <c r="D4047" s="1" t="s">
        <v>14</v>
      </c>
      <c r="E4047" s="1" t="s">
        <v>4219</v>
      </c>
      <c r="F4047" s="1" t="s">
        <v>4024</v>
      </c>
      <c r="G4047" s="1" t="s">
        <v>4044</v>
      </c>
      <c r="H4047" s="2" t="s">
        <v>4085</v>
      </c>
      <c r="I4047" s="1" t="s">
        <v>4272</v>
      </c>
      <c r="J4047" s="1" t="s">
        <v>52</v>
      </c>
      <c r="K4047" s="1" t="s">
        <v>4085</v>
      </c>
      <c r="L4047" s="39" t="s">
        <v>46</v>
      </c>
      <c r="M4047" s="3" t="n">
        <v>45189</v>
      </c>
      <c r="N4047" s="1" t="s">
        <v>392</v>
      </c>
      <c r="O4047" s="1" t="s">
        <v>4028</v>
      </c>
      <c r="P4047" s="1" t="s">
        <v>192</v>
      </c>
      <c r="Q4047" s="1" t="s">
        <v>4029</v>
      </c>
      <c r="R4047" s="1" t="s">
        <v>44</v>
      </c>
      <c r="S4047" s="1" t="s">
        <v>4030</v>
      </c>
      <c r="T4047" s="1" t="s">
        <v>46</v>
      </c>
      <c r="U4047" s="1" t="n">
        <v>800</v>
      </c>
      <c r="V4047" s="1" t="n">
        <v>3</v>
      </c>
      <c r="W4047" s="1" t="s">
        <v>4221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4217</v>
      </c>
      <c r="B4048" s="2" t="s">
        <v>4021</v>
      </c>
      <c r="C4048" s="1" t="s">
        <v>4218</v>
      </c>
      <c r="D4048" s="1" t="s">
        <v>14</v>
      </c>
      <c r="E4048" s="1" t="s">
        <v>4219</v>
      </c>
      <c r="F4048" s="1" t="s">
        <v>4024</v>
      </c>
      <c r="G4048" s="1" t="s">
        <v>4025</v>
      </c>
      <c r="H4048" s="2" t="s">
        <v>4087</v>
      </c>
      <c r="I4048" s="1" t="s">
        <v>4273</v>
      </c>
      <c r="J4048" s="1" t="s">
        <v>52</v>
      </c>
      <c r="K4048" s="1" t="s">
        <v>4087</v>
      </c>
      <c r="L4048" s="39" t="s">
        <v>46</v>
      </c>
      <c r="M4048" s="3" t="n">
        <v>45413</v>
      </c>
      <c r="N4048" s="1" t="s">
        <v>392</v>
      </c>
      <c r="O4048" s="1" t="s">
        <v>4028</v>
      </c>
      <c r="P4048" s="1" t="s">
        <v>192</v>
      </c>
      <c r="Q4048" s="1" t="s">
        <v>4029</v>
      </c>
      <c r="R4048" s="1" t="s">
        <v>44</v>
      </c>
      <c r="S4048" s="1" t="s">
        <v>4030</v>
      </c>
      <c r="T4048" s="1" t="s">
        <v>46</v>
      </c>
      <c r="U4048" s="1" t="n">
        <v>800</v>
      </c>
      <c r="V4048" s="1" t="n">
        <v>1</v>
      </c>
      <c r="W4048" s="1" t="s">
        <v>4221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4217</v>
      </c>
      <c r="B4049" s="2" t="s">
        <v>4021</v>
      </c>
      <c r="C4049" s="1" t="s">
        <v>4218</v>
      </c>
      <c r="D4049" s="1" t="s">
        <v>14</v>
      </c>
      <c r="E4049" s="1" t="s">
        <v>4219</v>
      </c>
      <c r="F4049" s="1" t="s">
        <v>4024</v>
      </c>
      <c r="G4049" s="1" t="s">
        <v>4025</v>
      </c>
      <c r="H4049" s="2" t="s">
        <v>4089</v>
      </c>
      <c r="I4049" s="1" t="s">
        <v>4274</v>
      </c>
      <c r="J4049" s="1" t="s">
        <v>52</v>
      </c>
      <c r="K4049" s="1" t="s">
        <v>4089</v>
      </c>
      <c r="L4049" s="39" t="s">
        <v>46</v>
      </c>
      <c r="M4049" s="3" t="n">
        <v>45413</v>
      </c>
      <c r="N4049" s="1" t="s">
        <v>392</v>
      </c>
      <c r="O4049" s="1" t="s">
        <v>4028</v>
      </c>
      <c r="P4049" s="1" t="s">
        <v>192</v>
      </c>
      <c r="Q4049" s="1" t="s">
        <v>4029</v>
      </c>
      <c r="R4049" s="1" t="s">
        <v>44</v>
      </c>
      <c r="S4049" s="1" t="s">
        <v>4030</v>
      </c>
      <c r="T4049" s="1" t="s">
        <v>46</v>
      </c>
      <c r="U4049" s="1" t="n">
        <v>800</v>
      </c>
      <c r="V4049" s="1" t="n">
        <v>2</v>
      </c>
      <c r="W4049" s="1" t="s">
        <v>4221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4217</v>
      </c>
      <c r="B4050" s="2" t="s">
        <v>4021</v>
      </c>
      <c r="C4050" s="1" t="s">
        <v>4218</v>
      </c>
      <c r="D4050" s="1" t="s">
        <v>14</v>
      </c>
      <c r="E4050" s="1" t="s">
        <v>4219</v>
      </c>
      <c r="F4050" s="1" t="s">
        <v>4024</v>
      </c>
      <c r="G4050" s="1" t="s">
        <v>4025</v>
      </c>
      <c r="H4050" s="2" t="s">
        <v>4091</v>
      </c>
      <c r="I4050" s="1" t="s">
        <v>4275</v>
      </c>
      <c r="J4050" s="1" t="s">
        <v>52</v>
      </c>
      <c r="K4050" s="1" t="s">
        <v>4091</v>
      </c>
      <c r="L4050" s="39" t="s">
        <v>46</v>
      </c>
      <c r="M4050" s="3" t="n">
        <v>45413</v>
      </c>
      <c r="N4050" s="1" t="s">
        <v>392</v>
      </c>
      <c r="O4050" s="1" t="s">
        <v>4028</v>
      </c>
      <c r="P4050" s="1" t="s">
        <v>192</v>
      </c>
      <c r="Q4050" s="1" t="s">
        <v>4029</v>
      </c>
      <c r="R4050" s="1" t="s">
        <v>44</v>
      </c>
      <c r="S4050" s="1" t="s">
        <v>4030</v>
      </c>
      <c r="T4050" s="1" t="s">
        <v>46</v>
      </c>
      <c r="U4050" s="1" t="n">
        <v>800</v>
      </c>
      <c r="V4050" s="1" t="n">
        <v>3</v>
      </c>
      <c r="W4050" s="1" t="s">
        <v>4221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4217</v>
      </c>
      <c r="B4051" s="2" t="s">
        <v>4021</v>
      </c>
      <c r="C4051" s="1" t="s">
        <v>4218</v>
      </c>
      <c r="D4051" s="1" t="s">
        <v>14</v>
      </c>
      <c r="E4051" s="1" t="s">
        <v>4219</v>
      </c>
      <c r="F4051" s="1" t="s">
        <v>4024</v>
      </c>
      <c r="G4051" s="1" t="s">
        <v>4025</v>
      </c>
      <c r="H4051" s="2" t="s">
        <v>4093</v>
      </c>
      <c r="I4051" s="1" t="s">
        <v>4276</v>
      </c>
      <c r="J4051" s="1" t="s">
        <v>52</v>
      </c>
      <c r="K4051" s="1" t="s">
        <v>4093</v>
      </c>
      <c r="L4051" s="39" t="s">
        <v>46</v>
      </c>
      <c r="M4051" s="3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4217</v>
      </c>
      <c r="B4052" s="2" t="s">
        <v>4021</v>
      </c>
      <c r="C4052" s="1" t="s">
        <v>4218</v>
      </c>
      <c r="D4052" s="1" t="s">
        <v>14</v>
      </c>
      <c r="E4052" s="1" t="s">
        <v>4219</v>
      </c>
      <c r="F4052" s="1" t="s">
        <v>4024</v>
      </c>
      <c r="G4052" s="1" t="s">
        <v>4025</v>
      </c>
      <c r="H4052" s="2" t="s">
        <v>4095</v>
      </c>
      <c r="I4052" s="1" t="s">
        <v>4277</v>
      </c>
      <c r="J4052" s="1" t="s">
        <v>52</v>
      </c>
      <c r="K4052" s="1" t="s">
        <v>4095</v>
      </c>
      <c r="L4052" s="39" t="s">
        <v>46</v>
      </c>
      <c r="M4052" s="3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4217</v>
      </c>
      <c r="B4053" s="2" t="s">
        <v>4021</v>
      </c>
      <c r="C4053" s="1" t="s">
        <v>4218</v>
      </c>
      <c r="D4053" s="1" t="s">
        <v>14</v>
      </c>
      <c r="E4053" s="1" t="s">
        <v>4219</v>
      </c>
      <c r="F4053" s="1" t="s">
        <v>4024</v>
      </c>
      <c r="G4053" s="1" t="s">
        <v>4025</v>
      </c>
      <c r="H4053" s="2" t="s">
        <v>4097</v>
      </c>
      <c r="I4053" s="1" t="s">
        <v>4278</v>
      </c>
      <c r="J4053" s="1" t="s">
        <v>52</v>
      </c>
      <c r="K4053" s="1" t="s">
        <v>4097</v>
      </c>
      <c r="L4053" s="39" t="s">
        <v>46</v>
      </c>
      <c r="M4053" s="3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4217</v>
      </c>
      <c r="B4054" s="2" t="s">
        <v>4021</v>
      </c>
      <c r="C4054" s="1" t="s">
        <v>4218</v>
      </c>
      <c r="D4054" s="1" t="s">
        <v>14</v>
      </c>
      <c r="E4054" s="1" t="s">
        <v>4219</v>
      </c>
      <c r="F4054" s="1" t="s">
        <v>4024</v>
      </c>
      <c r="G4054" s="1" t="s">
        <v>4025</v>
      </c>
      <c r="H4054" s="2" t="s">
        <v>4099</v>
      </c>
      <c r="I4054" s="1" t="s">
        <v>4279</v>
      </c>
      <c r="J4054" s="1" t="s">
        <v>52</v>
      </c>
      <c r="K4054" s="1" t="s">
        <v>4099</v>
      </c>
      <c r="L4054" s="39" t="s">
        <v>46</v>
      </c>
      <c r="M4054" s="3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4217</v>
      </c>
      <c r="B4055" s="2" t="s">
        <v>4021</v>
      </c>
      <c r="C4055" s="1" t="s">
        <v>4218</v>
      </c>
      <c r="D4055" s="1" t="s">
        <v>14</v>
      </c>
      <c r="E4055" s="1" t="s">
        <v>4219</v>
      </c>
      <c r="F4055" s="1" t="s">
        <v>4024</v>
      </c>
      <c r="G4055" s="1" t="s">
        <v>4025</v>
      </c>
      <c r="H4055" s="2" t="s">
        <v>4101</v>
      </c>
      <c r="I4055" s="1" t="s">
        <v>4280</v>
      </c>
      <c r="J4055" s="1" t="s">
        <v>52</v>
      </c>
      <c r="K4055" s="1" t="s">
        <v>4101</v>
      </c>
      <c r="L4055" s="39" t="s">
        <v>46</v>
      </c>
      <c r="M4055" s="3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4221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4217</v>
      </c>
      <c r="B4056" s="2" t="s">
        <v>4021</v>
      </c>
      <c r="C4056" s="1" t="s">
        <v>4218</v>
      </c>
      <c r="D4056" s="1" t="s">
        <v>14</v>
      </c>
      <c r="E4056" s="1" t="s">
        <v>4219</v>
      </c>
      <c r="F4056" s="1" t="s">
        <v>4024</v>
      </c>
      <c r="G4056" s="1" t="s">
        <v>4025</v>
      </c>
      <c r="H4056" s="2" t="s">
        <v>4103</v>
      </c>
      <c r="I4056" s="1" t="s">
        <v>4281</v>
      </c>
      <c r="J4056" s="1" t="s">
        <v>52</v>
      </c>
      <c r="K4056" s="1" t="s">
        <v>4103</v>
      </c>
      <c r="L4056" s="39" t="s">
        <v>46</v>
      </c>
      <c r="M4056" s="3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4221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4217</v>
      </c>
      <c r="B4057" s="2" t="s">
        <v>4021</v>
      </c>
      <c r="C4057" s="1" t="s">
        <v>4218</v>
      </c>
      <c r="D4057" s="1" t="s">
        <v>14</v>
      </c>
      <c r="E4057" s="1" t="s">
        <v>4219</v>
      </c>
      <c r="F4057" s="1" t="s">
        <v>4024</v>
      </c>
      <c r="G4057" s="1" t="s">
        <v>4025</v>
      </c>
      <c r="H4057" s="2" t="s">
        <v>4105</v>
      </c>
      <c r="I4057" s="1" t="s">
        <v>4282</v>
      </c>
      <c r="J4057" s="1" t="s">
        <v>52</v>
      </c>
      <c r="K4057" s="1" t="s">
        <v>4105</v>
      </c>
      <c r="L4057" s="39" t="s">
        <v>46</v>
      </c>
      <c r="M4057" s="3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4221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4217</v>
      </c>
      <c r="B4058" s="2" t="s">
        <v>4021</v>
      </c>
      <c r="C4058" s="1" t="s">
        <v>4218</v>
      </c>
      <c r="D4058" s="1" t="s">
        <v>14</v>
      </c>
      <c r="E4058" s="1" t="s">
        <v>4219</v>
      </c>
      <c r="F4058" s="1" t="s">
        <v>4024</v>
      </c>
      <c r="G4058" s="1" t="s">
        <v>4025</v>
      </c>
      <c r="H4058" s="2" t="s">
        <v>4107</v>
      </c>
      <c r="I4058" s="1" t="s">
        <v>4283</v>
      </c>
      <c r="J4058" s="1" t="s">
        <v>52</v>
      </c>
      <c r="K4058" s="1" t="s">
        <v>4107</v>
      </c>
      <c r="L4058" s="39" t="s">
        <v>46</v>
      </c>
      <c r="M4058" s="3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4221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4217</v>
      </c>
      <c r="B4059" s="2" t="s">
        <v>4021</v>
      </c>
      <c r="C4059" s="1" t="s">
        <v>4218</v>
      </c>
      <c r="D4059" s="1" t="s">
        <v>14</v>
      </c>
      <c r="E4059" s="1" t="s">
        <v>4219</v>
      </c>
      <c r="F4059" s="1" t="s">
        <v>4024</v>
      </c>
      <c r="G4059" s="1" t="s">
        <v>4044</v>
      </c>
      <c r="H4059" s="2" t="s">
        <v>4109</v>
      </c>
      <c r="I4059" s="1" t="s">
        <v>4284</v>
      </c>
      <c r="J4059" s="1" t="s">
        <v>52</v>
      </c>
      <c r="K4059" s="1" t="s">
        <v>4109</v>
      </c>
      <c r="L4059" s="39" t="s">
        <v>46</v>
      </c>
      <c r="M4059" s="3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4221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4217</v>
      </c>
      <c r="B4060" s="2" t="s">
        <v>4021</v>
      </c>
      <c r="C4060" s="1" t="s">
        <v>4218</v>
      </c>
      <c r="D4060" s="1" t="s">
        <v>14</v>
      </c>
      <c r="E4060" s="1" t="s">
        <v>4219</v>
      </c>
      <c r="F4060" s="1" t="s">
        <v>4024</v>
      </c>
      <c r="G4060" s="1" t="s">
        <v>4044</v>
      </c>
      <c r="H4060" s="2" t="s">
        <v>4111</v>
      </c>
      <c r="I4060" s="1" t="s">
        <v>4285</v>
      </c>
      <c r="J4060" s="1" t="s">
        <v>52</v>
      </c>
      <c r="K4060" s="1" t="s">
        <v>4111</v>
      </c>
      <c r="L4060" s="39" t="s">
        <v>46</v>
      </c>
      <c r="M4060" s="3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4221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4217</v>
      </c>
      <c r="B4061" s="2" t="s">
        <v>4021</v>
      </c>
      <c r="C4061" s="1" t="s">
        <v>4218</v>
      </c>
      <c r="D4061" s="1" t="s">
        <v>14</v>
      </c>
      <c r="E4061" s="1" t="s">
        <v>4219</v>
      </c>
      <c r="F4061" s="1" t="s">
        <v>4024</v>
      </c>
      <c r="G4061" s="1" t="s">
        <v>4025</v>
      </c>
      <c r="H4061" s="2" t="s">
        <v>4113</v>
      </c>
      <c r="I4061" s="1" t="s">
        <v>4286</v>
      </c>
      <c r="J4061" s="1" t="s">
        <v>52</v>
      </c>
      <c r="K4061" s="1" t="s">
        <v>4113</v>
      </c>
      <c r="L4061" s="39" t="s">
        <v>46</v>
      </c>
      <c r="M4061" s="3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4221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4217</v>
      </c>
      <c r="B4062" s="2" t="s">
        <v>4021</v>
      </c>
      <c r="C4062" s="1" t="s">
        <v>4218</v>
      </c>
      <c r="D4062" s="1" t="s">
        <v>14</v>
      </c>
      <c r="E4062" s="1" t="s">
        <v>4219</v>
      </c>
      <c r="F4062" s="1" t="s">
        <v>4024</v>
      </c>
      <c r="G4062" s="1" t="s">
        <v>4025</v>
      </c>
      <c r="H4062" s="2" t="s">
        <v>4115</v>
      </c>
      <c r="I4062" s="1" t="s">
        <v>4287</v>
      </c>
      <c r="J4062" s="1" t="s">
        <v>52</v>
      </c>
      <c r="K4062" s="1" t="s">
        <v>4115</v>
      </c>
      <c r="L4062" s="39" t="s">
        <v>46</v>
      </c>
      <c r="M4062" s="3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4221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4217</v>
      </c>
      <c r="B4063" s="2" t="s">
        <v>4021</v>
      </c>
      <c r="C4063" s="1" t="s">
        <v>4218</v>
      </c>
      <c r="D4063" s="1" t="s">
        <v>14</v>
      </c>
      <c r="E4063" s="1" t="s">
        <v>4219</v>
      </c>
      <c r="F4063" s="1" t="s">
        <v>4024</v>
      </c>
      <c r="G4063" s="1" t="s">
        <v>4025</v>
      </c>
      <c r="H4063" s="2" t="s">
        <v>4117</v>
      </c>
      <c r="I4063" s="1" t="s">
        <v>4288</v>
      </c>
      <c r="J4063" s="1" t="s">
        <v>52</v>
      </c>
      <c r="K4063" s="1" t="s">
        <v>4117</v>
      </c>
      <c r="L4063" s="39" t="s">
        <v>46</v>
      </c>
      <c r="M4063" s="3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4221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4217</v>
      </c>
      <c r="B4064" s="2" t="s">
        <v>4021</v>
      </c>
      <c r="C4064" s="1" t="s">
        <v>4218</v>
      </c>
      <c r="D4064" s="1" t="s">
        <v>14</v>
      </c>
      <c r="E4064" s="1" t="s">
        <v>4219</v>
      </c>
      <c r="F4064" s="1" t="s">
        <v>4024</v>
      </c>
      <c r="G4064" s="1" t="s">
        <v>4025</v>
      </c>
      <c r="H4064" s="2" t="s">
        <v>4119</v>
      </c>
      <c r="I4064" s="1" t="s">
        <v>4289</v>
      </c>
      <c r="J4064" s="1" t="s">
        <v>52</v>
      </c>
      <c r="K4064" s="1" t="s">
        <v>4119</v>
      </c>
      <c r="L4064" s="39" t="s">
        <v>46</v>
      </c>
      <c r="M4064" s="3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4221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4217</v>
      </c>
      <c r="B4065" s="2" t="s">
        <v>4021</v>
      </c>
      <c r="C4065" s="1" t="s">
        <v>4218</v>
      </c>
      <c r="D4065" s="1" t="s">
        <v>14</v>
      </c>
      <c r="E4065" s="1" t="s">
        <v>4219</v>
      </c>
      <c r="F4065" s="1" t="s">
        <v>4024</v>
      </c>
      <c r="G4065" s="1" t="s">
        <v>4025</v>
      </c>
      <c r="H4065" s="2" t="s">
        <v>4121</v>
      </c>
      <c r="I4065" s="1" t="s">
        <v>4290</v>
      </c>
      <c r="J4065" s="1" t="s">
        <v>52</v>
      </c>
      <c r="K4065" s="1" t="s">
        <v>4121</v>
      </c>
      <c r="L4065" s="39" t="s">
        <v>46</v>
      </c>
      <c r="M4065" s="3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4221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4217</v>
      </c>
      <c r="B4066" s="2" t="s">
        <v>4021</v>
      </c>
      <c r="C4066" s="1" t="s">
        <v>4218</v>
      </c>
      <c r="D4066" s="1" t="s">
        <v>14</v>
      </c>
      <c r="E4066" s="1" t="s">
        <v>4219</v>
      </c>
      <c r="F4066" s="1" t="s">
        <v>4024</v>
      </c>
      <c r="G4066" s="1" t="s">
        <v>4025</v>
      </c>
      <c r="H4066" s="2" t="s">
        <v>4123</v>
      </c>
      <c r="I4066" s="1" t="s">
        <v>4291</v>
      </c>
      <c r="J4066" s="1" t="s">
        <v>52</v>
      </c>
      <c r="K4066" s="1" t="s">
        <v>4123</v>
      </c>
      <c r="L4066" s="39" t="s">
        <v>46</v>
      </c>
      <c r="M4066" s="3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4221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4217</v>
      </c>
      <c r="B4067" s="2" t="s">
        <v>4021</v>
      </c>
      <c r="C4067" s="1" t="s">
        <v>4218</v>
      </c>
      <c r="D4067" s="1" t="s">
        <v>14</v>
      </c>
      <c r="E4067" s="1" t="s">
        <v>4219</v>
      </c>
      <c r="F4067" s="1" t="s">
        <v>4024</v>
      </c>
      <c r="G4067" s="1" t="s">
        <v>4025</v>
      </c>
      <c r="H4067" s="2" t="s">
        <v>4125</v>
      </c>
      <c r="I4067" s="1" t="s">
        <v>4292</v>
      </c>
      <c r="J4067" s="1" t="s">
        <v>52</v>
      </c>
      <c r="K4067" s="1" t="s">
        <v>4125</v>
      </c>
      <c r="L4067" s="39" t="s">
        <v>46</v>
      </c>
      <c r="M4067" s="3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4221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4217</v>
      </c>
      <c r="B4068" s="2" t="s">
        <v>4021</v>
      </c>
      <c r="C4068" s="1" t="s">
        <v>4218</v>
      </c>
      <c r="D4068" s="1" t="s">
        <v>14</v>
      </c>
      <c r="E4068" s="1" t="s">
        <v>4219</v>
      </c>
      <c r="F4068" s="1" t="s">
        <v>4024</v>
      </c>
      <c r="G4068" s="1" t="s">
        <v>4025</v>
      </c>
      <c r="H4068" s="2" t="s">
        <v>4127</v>
      </c>
      <c r="I4068" s="1" t="s">
        <v>4293</v>
      </c>
      <c r="J4068" s="1" t="s">
        <v>52</v>
      </c>
      <c r="K4068" s="1" t="s">
        <v>4127</v>
      </c>
      <c r="L4068" s="39" t="s">
        <v>46</v>
      </c>
      <c r="M4068" s="3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4221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4217</v>
      </c>
      <c r="B4069" s="2" t="s">
        <v>4021</v>
      </c>
      <c r="C4069" s="1" t="s">
        <v>4218</v>
      </c>
      <c r="D4069" s="1" t="s">
        <v>14</v>
      </c>
      <c r="E4069" s="1" t="s">
        <v>4219</v>
      </c>
      <c r="F4069" s="1" t="s">
        <v>4024</v>
      </c>
      <c r="G4069" s="1" t="s">
        <v>4044</v>
      </c>
      <c r="H4069" s="2" t="s">
        <v>4129</v>
      </c>
      <c r="I4069" s="1" t="s">
        <v>4294</v>
      </c>
      <c r="J4069" s="1" t="s">
        <v>52</v>
      </c>
      <c r="K4069" s="1" t="s">
        <v>4129</v>
      </c>
      <c r="L4069" s="39" t="s">
        <v>46</v>
      </c>
      <c r="M4069" s="3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4221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4217</v>
      </c>
      <c r="B4070" s="2" t="s">
        <v>4021</v>
      </c>
      <c r="C4070" s="1" t="s">
        <v>4218</v>
      </c>
      <c r="D4070" s="1" t="s">
        <v>14</v>
      </c>
      <c r="E4070" s="1" t="s">
        <v>4219</v>
      </c>
      <c r="F4070" s="1" t="s">
        <v>4024</v>
      </c>
      <c r="G4070" s="1" t="s">
        <v>4044</v>
      </c>
      <c r="H4070" s="2" t="s">
        <v>4131</v>
      </c>
      <c r="I4070" s="1" t="s">
        <v>4295</v>
      </c>
      <c r="J4070" s="1" t="s">
        <v>52</v>
      </c>
      <c r="K4070" s="1" t="s">
        <v>4131</v>
      </c>
      <c r="L4070" s="39" t="s">
        <v>46</v>
      </c>
      <c r="M4070" s="3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4221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4296</v>
      </c>
      <c r="B4071" s="2" t="s">
        <v>4021</v>
      </c>
      <c r="C4071" s="1" t="s">
        <v>4297</v>
      </c>
      <c r="D4071" s="1" t="s">
        <v>14</v>
      </c>
      <c r="E4071" s="1" t="s">
        <v>4298</v>
      </c>
      <c r="F4071" s="1" t="s">
        <v>4024</v>
      </c>
      <c r="G4071" s="1" t="s">
        <v>4299</v>
      </c>
      <c r="H4071" s="2" t="s">
        <v>4300</v>
      </c>
      <c r="I4071" s="1" t="s">
        <v>4301</v>
      </c>
      <c r="J4071" s="1" t="s">
        <v>38</v>
      </c>
      <c r="K4071" s="1" t="s">
        <v>4300</v>
      </c>
      <c r="L4071" s="39" t="s">
        <v>46</v>
      </c>
      <c r="M4071" s="3" t="n">
        <v>45727</v>
      </c>
      <c r="N4071" s="1" t="s">
        <v>392</v>
      </c>
      <c r="O4071" s="1" t="s">
        <v>4034</v>
      </c>
      <c r="P4071" s="1" t="s">
        <v>192</v>
      </c>
      <c r="Q4071" s="1" t="s">
        <v>4029</v>
      </c>
      <c r="R4071" s="1" t="s">
        <v>44</v>
      </c>
      <c r="S4071" s="1" t="s">
        <v>4035</v>
      </c>
      <c r="T4071" s="1" t="s">
        <v>46</v>
      </c>
      <c r="U4071" s="1" t="n">
        <v>1000</v>
      </c>
      <c r="V4071" s="1" t="n">
        <v>1</v>
      </c>
      <c r="W4071" s="1" t="s">
        <v>4221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4296</v>
      </c>
      <c r="B4072" s="2" t="s">
        <v>4021</v>
      </c>
      <c r="C4072" s="1" t="s">
        <v>4297</v>
      </c>
      <c r="D4072" s="1" t="s">
        <v>14</v>
      </c>
      <c r="E4072" s="1" t="s">
        <v>4298</v>
      </c>
      <c r="F4072" s="1" t="s">
        <v>4024</v>
      </c>
      <c r="G4072" s="1" t="s">
        <v>4299</v>
      </c>
      <c r="H4072" s="2" t="s">
        <v>4302</v>
      </c>
      <c r="I4072" s="1" t="s">
        <v>4303</v>
      </c>
      <c r="J4072" s="1" t="s">
        <v>38</v>
      </c>
      <c r="K4072" s="1" t="s">
        <v>4302</v>
      </c>
      <c r="L4072" s="39" t="s">
        <v>46</v>
      </c>
      <c r="M4072" s="3" t="n">
        <v>45727</v>
      </c>
      <c r="N4072" s="1" t="s">
        <v>392</v>
      </c>
      <c r="O4072" s="1" t="s">
        <v>4034</v>
      </c>
      <c r="P4072" s="1" t="s">
        <v>192</v>
      </c>
      <c r="Q4072" s="1" t="s">
        <v>4029</v>
      </c>
      <c r="R4072" s="1" t="s">
        <v>44</v>
      </c>
      <c r="S4072" s="1" t="s">
        <v>4035</v>
      </c>
      <c r="T4072" s="1" t="s">
        <v>46</v>
      </c>
      <c r="U4072" s="1" t="n">
        <v>1000</v>
      </c>
      <c r="V4072" s="1" t="n">
        <v>2</v>
      </c>
      <c r="W4072" s="1" t="s">
        <v>4221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4296</v>
      </c>
      <c r="B4073" s="2" t="s">
        <v>4021</v>
      </c>
      <c r="C4073" s="1" t="s">
        <v>4297</v>
      </c>
      <c r="D4073" s="1" t="s">
        <v>14</v>
      </c>
      <c r="E4073" s="1" t="s">
        <v>4298</v>
      </c>
      <c r="F4073" s="1" t="s">
        <v>4024</v>
      </c>
      <c r="G4073" s="1" t="s">
        <v>4299</v>
      </c>
      <c r="H4073" s="2" t="s">
        <v>4304</v>
      </c>
      <c r="I4073" s="1" t="s">
        <v>4305</v>
      </c>
      <c r="J4073" s="1" t="s">
        <v>38</v>
      </c>
      <c r="K4073" s="1" t="s">
        <v>4304</v>
      </c>
      <c r="L4073" s="39" t="s">
        <v>46</v>
      </c>
      <c r="M4073" s="3" t="n">
        <v>45727</v>
      </c>
      <c r="N4073" s="1" t="s">
        <v>392</v>
      </c>
      <c r="O4073" s="1" t="s">
        <v>4034</v>
      </c>
      <c r="P4073" s="1" t="s">
        <v>192</v>
      </c>
      <c r="Q4073" s="1" t="s">
        <v>4029</v>
      </c>
      <c r="R4073" s="1" t="s">
        <v>44</v>
      </c>
      <c r="S4073" s="1" t="s">
        <v>4035</v>
      </c>
      <c r="T4073" s="1" t="s">
        <v>46</v>
      </c>
      <c r="U4073" s="1" t="n">
        <v>1000</v>
      </c>
      <c r="V4073" s="1" t="n">
        <v>3</v>
      </c>
      <c r="W4073" s="1" t="s">
        <v>4221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4296</v>
      </c>
      <c r="B4074" s="2" t="s">
        <v>4021</v>
      </c>
      <c r="C4074" s="1" t="s">
        <v>4297</v>
      </c>
      <c r="D4074" s="1" t="s">
        <v>14</v>
      </c>
      <c r="E4074" s="1" t="s">
        <v>4298</v>
      </c>
      <c r="F4074" s="1" t="s">
        <v>4024</v>
      </c>
      <c r="G4074" s="1" t="s">
        <v>4299</v>
      </c>
      <c r="H4074" s="2" t="s">
        <v>4306</v>
      </c>
      <c r="I4074" s="1" t="s">
        <v>4307</v>
      </c>
      <c r="J4074" s="1" t="s">
        <v>38</v>
      </c>
      <c r="K4074" s="1" t="s">
        <v>4306</v>
      </c>
      <c r="L4074" s="39" t="s">
        <v>46</v>
      </c>
      <c r="M4074" s="3" t="n">
        <v>45734</v>
      </c>
      <c r="N4074" s="1" t="s">
        <v>392</v>
      </c>
      <c r="O4074" s="1" t="s">
        <v>4034</v>
      </c>
      <c r="P4074" s="1" t="s">
        <v>192</v>
      </c>
      <c r="Q4074" s="1" t="s">
        <v>4029</v>
      </c>
      <c r="R4074" s="1" t="s">
        <v>44</v>
      </c>
      <c r="S4074" s="1" t="s">
        <v>4035</v>
      </c>
      <c r="T4074" s="1" t="s">
        <v>46</v>
      </c>
      <c r="U4074" s="1" t="n">
        <v>1000</v>
      </c>
      <c r="V4074" s="1" t="n">
        <v>1</v>
      </c>
      <c r="W4074" s="1" t="s">
        <v>4221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4296</v>
      </c>
      <c r="B4075" s="2" t="s">
        <v>4021</v>
      </c>
      <c r="C4075" s="1" t="s">
        <v>4297</v>
      </c>
      <c r="D4075" s="1" t="s">
        <v>14</v>
      </c>
      <c r="E4075" s="1" t="s">
        <v>4298</v>
      </c>
      <c r="F4075" s="1" t="s">
        <v>4024</v>
      </c>
      <c r="G4075" s="1" t="s">
        <v>4299</v>
      </c>
      <c r="H4075" s="2" t="s">
        <v>4308</v>
      </c>
      <c r="I4075" s="1" t="s">
        <v>4309</v>
      </c>
      <c r="J4075" s="1" t="s">
        <v>38</v>
      </c>
      <c r="K4075" s="1" t="s">
        <v>4308</v>
      </c>
      <c r="L4075" s="39" t="s">
        <v>46</v>
      </c>
      <c r="M4075" s="3" t="n">
        <v>45734</v>
      </c>
      <c r="N4075" s="1" t="s">
        <v>392</v>
      </c>
      <c r="O4075" s="1" t="s">
        <v>4034</v>
      </c>
      <c r="P4075" s="1" t="s">
        <v>192</v>
      </c>
      <c r="Q4075" s="1" t="s">
        <v>4029</v>
      </c>
      <c r="R4075" s="1" t="s">
        <v>44</v>
      </c>
      <c r="S4075" s="1" t="s">
        <v>4035</v>
      </c>
      <c r="T4075" s="1" t="s">
        <v>46</v>
      </c>
      <c r="U4075" s="1" t="n">
        <v>1000</v>
      </c>
      <c r="V4075" s="1" t="n">
        <v>2</v>
      </c>
      <c r="W4075" s="1" t="s">
        <v>4221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4296</v>
      </c>
      <c r="B4076" s="2" t="s">
        <v>4021</v>
      </c>
      <c r="C4076" s="1" t="s">
        <v>4297</v>
      </c>
      <c r="D4076" s="1" t="s">
        <v>14</v>
      </c>
      <c r="E4076" s="1" t="s">
        <v>4298</v>
      </c>
      <c r="F4076" s="1" t="s">
        <v>4024</v>
      </c>
      <c r="G4076" s="1" t="s">
        <v>4299</v>
      </c>
      <c r="H4076" s="2" t="s">
        <v>4310</v>
      </c>
      <c r="I4076" s="1" t="s">
        <v>4311</v>
      </c>
      <c r="J4076" s="1" t="s">
        <v>38</v>
      </c>
      <c r="K4076" s="1" t="s">
        <v>4310</v>
      </c>
      <c r="L4076" s="39" t="s">
        <v>46</v>
      </c>
      <c r="M4076" s="3" t="n">
        <v>45734</v>
      </c>
      <c r="N4076" s="1" t="s">
        <v>392</v>
      </c>
      <c r="O4076" s="1" t="s">
        <v>4034</v>
      </c>
      <c r="P4076" s="1" t="s">
        <v>192</v>
      </c>
      <c r="Q4076" s="1" t="s">
        <v>4029</v>
      </c>
      <c r="R4076" s="1" t="s">
        <v>44</v>
      </c>
      <c r="S4076" s="1" t="s">
        <v>4035</v>
      </c>
      <c r="T4076" s="1" t="s">
        <v>46</v>
      </c>
      <c r="U4076" s="1" t="n">
        <v>1000</v>
      </c>
      <c r="V4076" s="1" t="n">
        <v>3</v>
      </c>
      <c r="W4076" s="1" t="s">
        <v>4221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4296</v>
      </c>
      <c r="B4077" s="2" t="s">
        <v>4021</v>
      </c>
      <c r="C4077" s="1" t="s">
        <v>4297</v>
      </c>
      <c r="D4077" s="1" t="s">
        <v>14</v>
      </c>
      <c r="E4077" s="1" t="s">
        <v>4298</v>
      </c>
      <c r="F4077" s="1" t="s">
        <v>4024</v>
      </c>
      <c r="G4077" s="1" t="s">
        <v>4299</v>
      </c>
      <c r="H4077" s="2" t="s">
        <v>4312</v>
      </c>
      <c r="I4077" s="1" t="s">
        <v>4313</v>
      </c>
      <c r="J4077" s="1" t="s">
        <v>38</v>
      </c>
      <c r="K4077" s="1" t="s">
        <v>4312</v>
      </c>
      <c r="L4077" s="39" t="s">
        <v>46</v>
      </c>
      <c r="M4077" s="3" t="n">
        <v>45740</v>
      </c>
      <c r="N4077" s="1" t="s">
        <v>392</v>
      </c>
      <c r="O4077" s="1" t="s">
        <v>4034</v>
      </c>
      <c r="P4077" s="1" t="s">
        <v>192</v>
      </c>
      <c r="Q4077" s="1" t="s">
        <v>4029</v>
      </c>
      <c r="R4077" s="1" t="s">
        <v>44</v>
      </c>
      <c r="S4077" s="1" t="s">
        <v>4035</v>
      </c>
      <c r="T4077" s="1" t="s">
        <v>46</v>
      </c>
      <c r="U4077" s="1" t="n">
        <v>1000</v>
      </c>
      <c r="V4077" s="1" t="n">
        <v>1</v>
      </c>
      <c r="W4077" s="1" t="s">
        <v>4221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4296</v>
      </c>
      <c r="B4078" s="2" t="s">
        <v>4021</v>
      </c>
      <c r="C4078" s="1" t="s">
        <v>4297</v>
      </c>
      <c r="D4078" s="1" t="s">
        <v>14</v>
      </c>
      <c r="E4078" s="1" t="s">
        <v>4298</v>
      </c>
      <c r="F4078" s="1" t="s">
        <v>4024</v>
      </c>
      <c r="G4078" s="1" t="s">
        <v>4299</v>
      </c>
      <c r="H4078" s="2" t="s">
        <v>4314</v>
      </c>
      <c r="I4078" s="1" t="s">
        <v>4315</v>
      </c>
      <c r="J4078" s="1" t="s">
        <v>38</v>
      </c>
      <c r="K4078" s="1" t="s">
        <v>4314</v>
      </c>
      <c r="L4078" s="39" t="s">
        <v>46</v>
      </c>
      <c r="M4078" s="3" t="n">
        <v>45740</v>
      </c>
      <c r="N4078" s="1" t="s">
        <v>392</v>
      </c>
      <c r="O4078" s="1" t="s">
        <v>4034</v>
      </c>
      <c r="P4078" s="1" t="s">
        <v>192</v>
      </c>
      <c r="Q4078" s="1" t="s">
        <v>4029</v>
      </c>
      <c r="R4078" s="1" t="s">
        <v>44</v>
      </c>
      <c r="S4078" s="1" t="s">
        <v>4035</v>
      </c>
      <c r="T4078" s="1" t="s">
        <v>46</v>
      </c>
      <c r="U4078" s="1" t="n">
        <v>1000</v>
      </c>
      <c r="V4078" s="1" t="n">
        <v>2</v>
      </c>
      <c r="W4078" s="1" t="s">
        <v>4221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4296</v>
      </c>
      <c r="B4079" s="2" t="s">
        <v>4021</v>
      </c>
      <c r="C4079" s="1" t="s">
        <v>4297</v>
      </c>
      <c r="D4079" s="1" t="s">
        <v>14</v>
      </c>
      <c r="E4079" s="1" t="s">
        <v>4298</v>
      </c>
      <c r="F4079" s="1" t="s">
        <v>4024</v>
      </c>
      <c r="G4079" s="1" t="s">
        <v>4299</v>
      </c>
      <c r="H4079" s="2" t="s">
        <v>4316</v>
      </c>
      <c r="I4079" s="1" t="s">
        <v>4317</v>
      </c>
      <c r="J4079" s="1" t="s">
        <v>38</v>
      </c>
      <c r="K4079" s="1" t="s">
        <v>4316</v>
      </c>
      <c r="L4079" s="39" t="s">
        <v>46</v>
      </c>
      <c r="M4079" s="3" t="n">
        <v>45740</v>
      </c>
      <c r="N4079" s="1" t="s">
        <v>392</v>
      </c>
      <c r="O4079" s="1" t="s">
        <v>4034</v>
      </c>
      <c r="P4079" s="1" t="s">
        <v>192</v>
      </c>
      <c r="Q4079" s="1" t="s">
        <v>4029</v>
      </c>
      <c r="R4079" s="1" t="s">
        <v>44</v>
      </c>
      <c r="S4079" s="1" t="s">
        <v>4035</v>
      </c>
      <c r="T4079" s="1" t="s">
        <v>46</v>
      </c>
      <c r="U4079" s="1" t="n">
        <v>1000</v>
      </c>
      <c r="V4079" s="1" t="n">
        <v>3</v>
      </c>
      <c r="W4079" s="1" t="s">
        <v>4221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4296</v>
      </c>
      <c r="B4080" s="2" t="s">
        <v>4021</v>
      </c>
      <c r="C4080" s="1" t="s">
        <v>4297</v>
      </c>
      <c r="D4080" s="1" t="s">
        <v>14</v>
      </c>
      <c r="E4080" s="1" t="s">
        <v>4298</v>
      </c>
      <c r="F4080" s="1" t="s">
        <v>4024</v>
      </c>
      <c r="G4080" s="1" t="s">
        <v>4299</v>
      </c>
      <c r="H4080" s="2" t="s">
        <v>4318</v>
      </c>
      <c r="I4080" s="1" t="s">
        <v>4319</v>
      </c>
      <c r="J4080" s="1" t="s">
        <v>52</v>
      </c>
      <c r="K4080" s="1" t="s">
        <v>4318</v>
      </c>
      <c r="L4080" s="39" t="s">
        <v>46</v>
      </c>
      <c r="M4080" s="3" t="n">
        <v>45727</v>
      </c>
      <c r="N4080" s="1" t="s">
        <v>392</v>
      </c>
      <c r="O4080" s="1" t="s">
        <v>4227</v>
      </c>
      <c r="P4080" s="1" t="s">
        <v>192</v>
      </c>
      <c r="Q4080" s="1" t="s">
        <v>4029</v>
      </c>
      <c r="R4080" s="1" t="s">
        <v>44</v>
      </c>
      <c r="S4080" s="1" t="s">
        <v>4030</v>
      </c>
      <c r="T4080" s="1" t="s">
        <v>46</v>
      </c>
      <c r="U4080" s="1" t="n">
        <v>1000</v>
      </c>
      <c r="V4080" s="1" t="n">
        <v>1</v>
      </c>
      <c r="W4080" s="1" t="s">
        <v>4221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4296</v>
      </c>
      <c r="B4081" s="2" t="s">
        <v>4021</v>
      </c>
      <c r="C4081" s="1" t="s">
        <v>4297</v>
      </c>
      <c r="D4081" s="1" t="s">
        <v>14</v>
      </c>
      <c r="E4081" s="1" t="s">
        <v>4298</v>
      </c>
      <c r="F4081" s="1" t="s">
        <v>4024</v>
      </c>
      <c r="G4081" s="1" t="s">
        <v>4299</v>
      </c>
      <c r="H4081" s="2" t="s">
        <v>4320</v>
      </c>
      <c r="I4081" s="1" t="s">
        <v>4321</v>
      </c>
      <c r="J4081" s="1" t="s">
        <v>52</v>
      </c>
      <c r="K4081" s="1" t="s">
        <v>4320</v>
      </c>
      <c r="L4081" s="39" t="s">
        <v>46</v>
      </c>
      <c r="M4081" s="3" t="n">
        <v>45727</v>
      </c>
      <c r="N4081" s="1" t="s">
        <v>392</v>
      </c>
      <c r="O4081" s="1" t="s">
        <v>4227</v>
      </c>
      <c r="P4081" s="1" t="s">
        <v>192</v>
      </c>
      <c r="Q4081" s="1" t="s">
        <v>4029</v>
      </c>
      <c r="R4081" s="1" t="s">
        <v>44</v>
      </c>
      <c r="S4081" s="1" t="s">
        <v>4030</v>
      </c>
      <c r="T4081" s="1" t="s">
        <v>46</v>
      </c>
      <c r="U4081" s="1" t="n">
        <v>1000</v>
      </c>
      <c r="V4081" s="1" t="n">
        <v>2</v>
      </c>
      <c r="W4081" s="1" t="s">
        <v>4221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4296</v>
      </c>
      <c r="B4082" s="2" t="s">
        <v>4021</v>
      </c>
      <c r="C4082" s="1" t="s">
        <v>4297</v>
      </c>
      <c r="D4082" s="1" t="s">
        <v>14</v>
      </c>
      <c r="E4082" s="1" t="s">
        <v>4298</v>
      </c>
      <c r="F4082" s="1" t="s">
        <v>4024</v>
      </c>
      <c r="G4082" s="1" t="s">
        <v>4299</v>
      </c>
      <c r="H4082" s="2" t="s">
        <v>4322</v>
      </c>
      <c r="I4082" s="1" t="s">
        <v>4323</v>
      </c>
      <c r="J4082" s="1" t="s">
        <v>52</v>
      </c>
      <c r="K4082" s="1" t="s">
        <v>4322</v>
      </c>
      <c r="L4082" s="39" t="s">
        <v>46</v>
      </c>
      <c r="M4082" s="3" t="n">
        <v>45727</v>
      </c>
      <c r="N4082" s="1" t="s">
        <v>392</v>
      </c>
      <c r="O4082" s="1" t="s">
        <v>4227</v>
      </c>
      <c r="P4082" s="1" t="s">
        <v>192</v>
      </c>
      <c r="Q4082" s="1" t="s">
        <v>4029</v>
      </c>
      <c r="R4082" s="1" t="s">
        <v>44</v>
      </c>
      <c r="S4082" s="1" t="s">
        <v>4030</v>
      </c>
      <c r="T4082" s="1" t="s">
        <v>46</v>
      </c>
      <c r="U4082" s="1" t="n">
        <v>1000</v>
      </c>
      <c r="V4082" s="1" t="n">
        <v>3</v>
      </c>
      <c r="W4082" s="1" t="s">
        <v>4221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4296</v>
      </c>
      <c r="B4083" s="2" t="s">
        <v>4021</v>
      </c>
      <c r="C4083" s="1" t="s">
        <v>4297</v>
      </c>
      <c r="D4083" s="1" t="s">
        <v>14</v>
      </c>
      <c r="E4083" s="1" t="s">
        <v>4298</v>
      </c>
      <c r="F4083" s="1" t="s">
        <v>4024</v>
      </c>
      <c r="G4083" s="1" t="s">
        <v>4299</v>
      </c>
      <c r="H4083" s="2" t="s">
        <v>4324</v>
      </c>
      <c r="I4083" s="1" t="s">
        <v>4325</v>
      </c>
      <c r="J4083" s="1" t="s">
        <v>52</v>
      </c>
      <c r="K4083" s="1" t="s">
        <v>4324</v>
      </c>
      <c r="L4083" s="39" t="s">
        <v>46</v>
      </c>
      <c r="M4083" s="3" t="n">
        <v>45734</v>
      </c>
      <c r="N4083" s="1" t="s">
        <v>392</v>
      </c>
      <c r="O4083" s="1" t="s">
        <v>4227</v>
      </c>
      <c r="P4083" s="1" t="s">
        <v>192</v>
      </c>
      <c r="Q4083" s="1" t="s">
        <v>4029</v>
      </c>
      <c r="R4083" s="1" t="s">
        <v>44</v>
      </c>
      <c r="S4083" s="1" t="s">
        <v>4030</v>
      </c>
      <c r="T4083" s="1" t="s">
        <v>46</v>
      </c>
      <c r="U4083" s="1" t="n">
        <v>1000</v>
      </c>
      <c r="V4083" s="1" t="n">
        <v>1</v>
      </c>
      <c r="W4083" s="1" t="s">
        <v>4221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4296</v>
      </c>
      <c r="B4084" s="2" t="s">
        <v>4021</v>
      </c>
      <c r="C4084" s="1" t="s">
        <v>4297</v>
      </c>
      <c r="D4084" s="1" t="s">
        <v>14</v>
      </c>
      <c r="E4084" s="1" t="s">
        <v>4298</v>
      </c>
      <c r="F4084" s="1" t="s">
        <v>4024</v>
      </c>
      <c r="G4084" s="1" t="s">
        <v>4299</v>
      </c>
      <c r="H4084" s="2" t="s">
        <v>4326</v>
      </c>
      <c r="I4084" s="1" t="s">
        <v>4327</v>
      </c>
      <c r="J4084" s="1" t="s">
        <v>52</v>
      </c>
      <c r="K4084" s="1" t="s">
        <v>4326</v>
      </c>
      <c r="L4084" s="39" t="s">
        <v>46</v>
      </c>
      <c r="M4084" s="3" t="n">
        <v>45734</v>
      </c>
      <c r="N4084" s="1" t="s">
        <v>392</v>
      </c>
      <c r="O4084" s="1" t="s">
        <v>4227</v>
      </c>
      <c r="P4084" s="1" t="s">
        <v>192</v>
      </c>
      <c r="Q4084" s="1" t="s">
        <v>4029</v>
      </c>
      <c r="R4084" s="1" t="s">
        <v>44</v>
      </c>
      <c r="S4084" s="1" t="s">
        <v>4030</v>
      </c>
      <c r="T4084" s="1" t="s">
        <v>46</v>
      </c>
      <c r="U4084" s="1" t="n">
        <v>1000</v>
      </c>
      <c r="V4084" s="1" t="n">
        <v>2</v>
      </c>
      <c r="W4084" s="1" t="s">
        <v>4221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4296</v>
      </c>
      <c r="B4085" s="2" t="s">
        <v>4021</v>
      </c>
      <c r="C4085" s="1" t="s">
        <v>4297</v>
      </c>
      <c r="D4085" s="1" t="s">
        <v>14</v>
      </c>
      <c r="E4085" s="1" t="s">
        <v>4298</v>
      </c>
      <c r="F4085" s="1" t="s">
        <v>4024</v>
      </c>
      <c r="G4085" s="1" t="s">
        <v>4299</v>
      </c>
      <c r="H4085" s="2" t="s">
        <v>4328</v>
      </c>
      <c r="I4085" s="1" t="s">
        <v>4329</v>
      </c>
      <c r="J4085" s="1" t="s">
        <v>52</v>
      </c>
      <c r="K4085" s="1" t="s">
        <v>4328</v>
      </c>
      <c r="L4085" s="39" t="s">
        <v>46</v>
      </c>
      <c r="M4085" s="3" t="n">
        <v>45734</v>
      </c>
      <c r="N4085" s="1" t="s">
        <v>392</v>
      </c>
      <c r="O4085" s="1" t="s">
        <v>4227</v>
      </c>
      <c r="P4085" s="1" t="s">
        <v>192</v>
      </c>
      <c r="Q4085" s="1" t="s">
        <v>4029</v>
      </c>
      <c r="R4085" s="1" t="s">
        <v>44</v>
      </c>
      <c r="S4085" s="1" t="s">
        <v>4030</v>
      </c>
      <c r="T4085" s="1" t="s">
        <v>46</v>
      </c>
      <c r="U4085" s="1" t="n">
        <v>1000</v>
      </c>
      <c r="V4085" s="1" t="n">
        <v>3</v>
      </c>
      <c r="W4085" s="1" t="s">
        <v>4221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4296</v>
      </c>
      <c r="B4086" s="2" t="s">
        <v>4021</v>
      </c>
      <c r="C4086" s="1" t="s">
        <v>4297</v>
      </c>
      <c r="D4086" s="1" t="s">
        <v>14</v>
      </c>
      <c r="E4086" s="1" t="s">
        <v>4298</v>
      </c>
      <c r="F4086" s="1" t="s">
        <v>4024</v>
      </c>
      <c r="G4086" s="1" t="s">
        <v>4299</v>
      </c>
      <c r="H4086" s="2" t="s">
        <v>4330</v>
      </c>
      <c r="I4086" s="1" t="s">
        <v>4331</v>
      </c>
      <c r="J4086" s="1" t="s">
        <v>52</v>
      </c>
      <c r="K4086" s="1" t="s">
        <v>4330</v>
      </c>
      <c r="L4086" s="39" t="s">
        <v>46</v>
      </c>
      <c r="M4086" s="3" t="n">
        <v>45740</v>
      </c>
      <c r="N4086" s="1" t="s">
        <v>392</v>
      </c>
      <c r="O4086" s="1" t="s">
        <v>4227</v>
      </c>
      <c r="P4086" s="1" t="s">
        <v>192</v>
      </c>
      <c r="Q4086" s="1" t="s">
        <v>4029</v>
      </c>
      <c r="R4086" s="1" t="s">
        <v>44</v>
      </c>
      <c r="S4086" s="1" t="s">
        <v>4030</v>
      </c>
      <c r="T4086" s="1" t="s">
        <v>46</v>
      </c>
      <c r="U4086" s="1" t="n">
        <v>1000</v>
      </c>
      <c r="V4086" s="1" t="n">
        <v>1</v>
      </c>
      <c r="W4086" s="1" t="s">
        <v>4221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4296</v>
      </c>
      <c r="B4087" s="2" t="s">
        <v>4021</v>
      </c>
      <c r="C4087" s="1" t="s">
        <v>4297</v>
      </c>
      <c r="D4087" s="1" t="s">
        <v>14</v>
      </c>
      <c r="E4087" s="1" t="s">
        <v>4298</v>
      </c>
      <c r="F4087" s="1" t="s">
        <v>4024</v>
      </c>
      <c r="G4087" s="1" t="s">
        <v>4299</v>
      </c>
      <c r="H4087" s="2" t="s">
        <v>4332</v>
      </c>
      <c r="I4087" s="1" t="s">
        <v>4333</v>
      </c>
      <c r="J4087" s="1" t="s">
        <v>52</v>
      </c>
      <c r="K4087" s="1" t="s">
        <v>4332</v>
      </c>
      <c r="L4087" s="39" t="s">
        <v>46</v>
      </c>
      <c r="M4087" s="3" t="n">
        <v>45740</v>
      </c>
      <c r="N4087" s="1" t="s">
        <v>392</v>
      </c>
      <c r="O4087" s="1" t="s">
        <v>4227</v>
      </c>
      <c r="P4087" s="1" t="s">
        <v>192</v>
      </c>
      <c r="Q4087" s="1" t="s">
        <v>4029</v>
      </c>
      <c r="R4087" s="1" t="s">
        <v>44</v>
      </c>
      <c r="S4087" s="1" t="s">
        <v>4030</v>
      </c>
      <c r="T4087" s="1" t="s">
        <v>46</v>
      </c>
      <c r="U4087" s="1" t="n">
        <v>1000</v>
      </c>
      <c r="V4087" s="1" t="n">
        <v>2</v>
      </c>
      <c r="W4087" s="1" t="s">
        <v>4221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4296</v>
      </c>
      <c r="B4088" s="2" t="s">
        <v>4021</v>
      </c>
      <c r="C4088" s="1" t="s">
        <v>4297</v>
      </c>
      <c r="D4088" s="1" t="s">
        <v>14</v>
      </c>
      <c r="E4088" s="1" t="s">
        <v>4298</v>
      </c>
      <c r="F4088" s="1" t="s">
        <v>4024</v>
      </c>
      <c r="G4088" s="1" t="s">
        <v>4299</v>
      </c>
      <c r="H4088" s="2" t="s">
        <v>4334</v>
      </c>
      <c r="I4088" s="1" t="s">
        <v>4335</v>
      </c>
      <c r="J4088" s="1" t="s">
        <v>52</v>
      </c>
      <c r="K4088" s="1" t="s">
        <v>4334</v>
      </c>
      <c r="L4088" s="39" t="s">
        <v>46</v>
      </c>
      <c r="M4088" s="3" t="n">
        <v>45740</v>
      </c>
      <c r="N4088" s="1" t="s">
        <v>392</v>
      </c>
      <c r="O4088" s="1" t="s">
        <v>4227</v>
      </c>
      <c r="P4088" s="1" t="s">
        <v>192</v>
      </c>
      <c r="Q4088" s="1" t="s">
        <v>4029</v>
      </c>
      <c r="R4088" s="1" t="s">
        <v>44</v>
      </c>
      <c r="S4088" s="1" t="s">
        <v>4030</v>
      </c>
      <c r="T4088" s="1" t="s">
        <v>46</v>
      </c>
      <c r="U4088" s="1" t="n">
        <v>1000</v>
      </c>
      <c r="V4088" s="1" t="n">
        <v>3</v>
      </c>
      <c r="W4088" s="1" t="s">
        <v>4221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4296</v>
      </c>
      <c r="B4089" s="2" t="s">
        <v>4021</v>
      </c>
      <c r="C4089" s="1" t="s">
        <v>4297</v>
      </c>
      <c r="D4089" s="1" t="s">
        <v>14</v>
      </c>
      <c r="E4089" s="1" t="s">
        <v>4298</v>
      </c>
      <c r="F4089" s="1" t="s">
        <v>4024</v>
      </c>
      <c r="G4089" s="1" t="s">
        <v>4299</v>
      </c>
      <c r="H4089" s="2" t="s">
        <v>4336</v>
      </c>
      <c r="I4089" s="1" t="s">
        <v>4337</v>
      </c>
      <c r="J4089" s="1" t="s">
        <v>52</v>
      </c>
      <c r="K4089" s="1" t="s">
        <v>4336</v>
      </c>
      <c r="L4089" s="39" t="s">
        <v>46</v>
      </c>
      <c r="M4089" s="3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4221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4296</v>
      </c>
      <c r="B4090" s="2" t="s">
        <v>4021</v>
      </c>
      <c r="C4090" s="1" t="s">
        <v>4297</v>
      </c>
      <c r="D4090" s="1" t="s">
        <v>14</v>
      </c>
      <c r="E4090" s="1" t="s">
        <v>4298</v>
      </c>
      <c r="F4090" s="1" t="s">
        <v>4024</v>
      </c>
      <c r="G4090" s="1" t="s">
        <v>4299</v>
      </c>
      <c r="H4090" s="2" t="s">
        <v>4338</v>
      </c>
      <c r="I4090" s="1" t="s">
        <v>4339</v>
      </c>
      <c r="J4090" s="1" t="s">
        <v>52</v>
      </c>
      <c r="K4090" s="1" t="s">
        <v>4338</v>
      </c>
      <c r="L4090" s="39" t="s">
        <v>46</v>
      </c>
      <c r="M4090" s="3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4221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4296</v>
      </c>
      <c r="B4091" s="2" t="s">
        <v>4021</v>
      </c>
      <c r="C4091" s="1" t="s">
        <v>4297</v>
      </c>
      <c r="D4091" s="1" t="s">
        <v>14</v>
      </c>
      <c r="E4091" s="1" t="s">
        <v>4298</v>
      </c>
      <c r="F4091" s="1" t="s">
        <v>4024</v>
      </c>
      <c r="G4091" s="1" t="s">
        <v>4299</v>
      </c>
      <c r="H4091" s="2" t="s">
        <v>4340</v>
      </c>
      <c r="I4091" s="1" t="s">
        <v>4341</v>
      </c>
      <c r="J4091" s="1" t="s">
        <v>52</v>
      </c>
      <c r="K4091" s="1" t="s">
        <v>4340</v>
      </c>
      <c r="L4091" s="39" t="s">
        <v>46</v>
      </c>
      <c r="M4091" s="3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4221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4296</v>
      </c>
      <c r="B4092" s="2" t="s">
        <v>4021</v>
      </c>
      <c r="C4092" s="1" t="s">
        <v>4297</v>
      </c>
      <c r="D4092" s="1" t="s">
        <v>14</v>
      </c>
      <c r="E4092" s="1" t="s">
        <v>4298</v>
      </c>
      <c r="F4092" s="1" t="s">
        <v>4024</v>
      </c>
      <c r="G4092" s="1" t="s">
        <v>4299</v>
      </c>
      <c r="H4092" s="2" t="s">
        <v>4342</v>
      </c>
      <c r="I4092" s="1" t="s">
        <v>4343</v>
      </c>
      <c r="J4092" s="1" t="s">
        <v>52</v>
      </c>
      <c r="K4092" s="1" t="s">
        <v>4342</v>
      </c>
      <c r="L4092" s="39" t="s">
        <v>46</v>
      </c>
      <c r="M4092" s="3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4221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4296</v>
      </c>
      <c r="B4093" s="2" t="s">
        <v>4021</v>
      </c>
      <c r="C4093" s="1" t="s">
        <v>4297</v>
      </c>
      <c r="D4093" s="1" t="s">
        <v>14</v>
      </c>
      <c r="E4093" s="1" t="s">
        <v>4298</v>
      </c>
      <c r="F4093" s="1" t="s">
        <v>4024</v>
      </c>
      <c r="G4093" s="1" t="s">
        <v>4299</v>
      </c>
      <c r="H4093" s="2" t="s">
        <v>4344</v>
      </c>
      <c r="I4093" s="1" t="s">
        <v>4345</v>
      </c>
      <c r="J4093" s="1" t="s">
        <v>52</v>
      </c>
      <c r="K4093" s="1" t="s">
        <v>4344</v>
      </c>
      <c r="L4093" s="39" t="s">
        <v>46</v>
      </c>
      <c r="M4093" s="3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4221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4296</v>
      </c>
      <c r="B4094" s="2" t="s">
        <v>4021</v>
      </c>
      <c r="C4094" s="1" t="s">
        <v>4297</v>
      </c>
      <c r="D4094" s="1" t="s">
        <v>14</v>
      </c>
      <c r="E4094" s="1" t="s">
        <v>4298</v>
      </c>
      <c r="F4094" s="1" t="s">
        <v>4024</v>
      </c>
      <c r="G4094" s="1" t="s">
        <v>4299</v>
      </c>
      <c r="H4094" s="2" t="s">
        <v>4201</v>
      </c>
      <c r="I4094" s="1" t="s">
        <v>4346</v>
      </c>
      <c r="J4094" s="1" t="s">
        <v>52</v>
      </c>
      <c r="K4094" s="1" t="s">
        <v>4201</v>
      </c>
      <c r="L4094" s="39" t="s">
        <v>46</v>
      </c>
      <c r="M4094" s="3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4221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4296</v>
      </c>
      <c r="B4095" s="2" t="s">
        <v>4021</v>
      </c>
      <c r="C4095" s="1" t="s">
        <v>4297</v>
      </c>
      <c r="D4095" s="1" t="s">
        <v>14</v>
      </c>
      <c r="E4095" s="1" t="s">
        <v>4298</v>
      </c>
      <c r="F4095" s="1" t="s">
        <v>4024</v>
      </c>
      <c r="G4095" s="1" t="s">
        <v>4299</v>
      </c>
      <c r="H4095" s="2" t="s">
        <v>4203</v>
      </c>
      <c r="I4095" s="1" t="s">
        <v>4347</v>
      </c>
      <c r="J4095" s="1" t="s">
        <v>52</v>
      </c>
      <c r="K4095" s="1" t="s">
        <v>4203</v>
      </c>
      <c r="L4095" s="39" t="s">
        <v>46</v>
      </c>
      <c r="M4095" s="3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4221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4296</v>
      </c>
      <c r="B4096" s="2" t="s">
        <v>4021</v>
      </c>
      <c r="C4096" s="1" t="s">
        <v>4297</v>
      </c>
      <c r="D4096" s="1" t="s">
        <v>14</v>
      </c>
      <c r="E4096" s="1" t="s">
        <v>4298</v>
      </c>
      <c r="F4096" s="1" t="s">
        <v>4024</v>
      </c>
      <c r="G4096" s="1" t="s">
        <v>4299</v>
      </c>
      <c r="H4096" s="2" t="s">
        <v>4205</v>
      </c>
      <c r="I4096" s="1" t="s">
        <v>4348</v>
      </c>
      <c r="J4096" s="1" t="s">
        <v>52</v>
      </c>
      <c r="K4096" s="1" t="s">
        <v>4205</v>
      </c>
      <c r="L4096" s="39" t="s">
        <v>46</v>
      </c>
      <c r="M4096" s="3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4221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4296</v>
      </c>
      <c r="B4097" s="2" t="s">
        <v>4021</v>
      </c>
      <c r="C4097" s="1" t="s">
        <v>4297</v>
      </c>
      <c r="D4097" s="1" t="s">
        <v>14</v>
      </c>
      <c r="E4097" s="1" t="s">
        <v>4298</v>
      </c>
      <c r="F4097" s="1" t="s">
        <v>4024</v>
      </c>
      <c r="G4097" s="1" t="s">
        <v>4299</v>
      </c>
      <c r="H4097" s="2" t="s">
        <v>4207</v>
      </c>
      <c r="I4097" s="1" t="s">
        <v>4349</v>
      </c>
      <c r="J4097" s="1" t="s">
        <v>52</v>
      </c>
      <c r="K4097" s="1" t="s">
        <v>4207</v>
      </c>
      <c r="L4097" s="39" t="s">
        <v>46</v>
      </c>
      <c r="M4097" s="3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4221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4296</v>
      </c>
      <c r="B4098" s="2" t="s">
        <v>4021</v>
      </c>
      <c r="C4098" s="1" t="s">
        <v>4297</v>
      </c>
      <c r="D4098" s="1" t="s">
        <v>14</v>
      </c>
      <c r="E4098" s="1" t="s">
        <v>4298</v>
      </c>
      <c r="F4098" s="1" t="s">
        <v>4024</v>
      </c>
      <c r="G4098" s="1" t="s">
        <v>4299</v>
      </c>
      <c r="H4098" s="2" t="s">
        <v>4350</v>
      </c>
      <c r="I4098" s="1" t="s">
        <v>4351</v>
      </c>
      <c r="J4098" s="1" t="s">
        <v>52</v>
      </c>
      <c r="K4098" s="1" t="s">
        <v>4350</v>
      </c>
      <c r="L4098" s="39" t="s">
        <v>46</v>
      </c>
      <c r="M4098" s="3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4221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4296</v>
      </c>
      <c r="B4099" s="2" t="s">
        <v>4021</v>
      </c>
      <c r="C4099" s="1" t="s">
        <v>4297</v>
      </c>
      <c r="D4099" s="1" t="s">
        <v>14</v>
      </c>
      <c r="E4099" s="1" t="s">
        <v>4298</v>
      </c>
      <c r="F4099" s="1" t="s">
        <v>4024</v>
      </c>
      <c r="G4099" s="1" t="s">
        <v>4299</v>
      </c>
      <c r="H4099" s="2" t="s">
        <v>4209</v>
      </c>
      <c r="I4099" s="1" t="s">
        <v>4352</v>
      </c>
      <c r="J4099" s="1" t="s">
        <v>52</v>
      </c>
      <c r="K4099" s="1" t="s">
        <v>4209</v>
      </c>
      <c r="L4099" s="39" t="s">
        <v>46</v>
      </c>
      <c r="M4099" s="3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4221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4296</v>
      </c>
      <c r="B4100" s="2" t="s">
        <v>4021</v>
      </c>
      <c r="C4100" s="1" t="s">
        <v>4297</v>
      </c>
      <c r="D4100" s="1" t="s">
        <v>14</v>
      </c>
      <c r="E4100" s="1" t="s">
        <v>4298</v>
      </c>
      <c r="F4100" s="1" t="s">
        <v>4024</v>
      </c>
      <c r="G4100" s="1" t="s">
        <v>4299</v>
      </c>
      <c r="H4100" s="2" t="s">
        <v>4211</v>
      </c>
      <c r="I4100" s="1" t="s">
        <v>4353</v>
      </c>
      <c r="J4100" s="1" t="s">
        <v>52</v>
      </c>
      <c r="K4100" s="1" t="s">
        <v>4211</v>
      </c>
      <c r="L4100" s="39" t="s">
        <v>46</v>
      </c>
      <c r="M4100" s="3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4221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4296</v>
      </c>
      <c r="B4101" s="2" t="s">
        <v>4021</v>
      </c>
      <c r="C4101" s="1" t="s">
        <v>4297</v>
      </c>
      <c r="D4101" s="1" t="s">
        <v>14</v>
      </c>
      <c r="E4101" s="1" t="s">
        <v>4298</v>
      </c>
      <c r="F4101" s="1" t="s">
        <v>4024</v>
      </c>
      <c r="G4101" s="1" t="s">
        <v>4299</v>
      </c>
      <c r="H4101" s="2" t="s">
        <v>4213</v>
      </c>
      <c r="I4101" s="1" t="s">
        <v>4354</v>
      </c>
      <c r="J4101" s="1" t="s">
        <v>52</v>
      </c>
      <c r="K4101" s="1" t="s">
        <v>4213</v>
      </c>
      <c r="L4101" s="39" t="s">
        <v>46</v>
      </c>
      <c r="M4101" s="3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4221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4296</v>
      </c>
      <c r="B4102" s="2" t="s">
        <v>4021</v>
      </c>
      <c r="C4102" s="1" t="s">
        <v>4297</v>
      </c>
      <c r="D4102" s="1" t="s">
        <v>14</v>
      </c>
      <c r="E4102" s="1" t="s">
        <v>4298</v>
      </c>
      <c r="F4102" s="1" t="s">
        <v>4024</v>
      </c>
      <c r="G4102" s="1" t="s">
        <v>4299</v>
      </c>
      <c r="H4102" s="2" t="s">
        <v>4215</v>
      </c>
      <c r="I4102" s="1" t="s">
        <v>4355</v>
      </c>
      <c r="J4102" s="1" t="s">
        <v>52</v>
      </c>
      <c r="K4102" s="1" t="s">
        <v>4215</v>
      </c>
      <c r="L4102" s="39" t="s">
        <v>46</v>
      </c>
      <c r="M4102" s="3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4221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4296</v>
      </c>
      <c r="B4103" s="2" t="s">
        <v>4021</v>
      </c>
      <c r="C4103" s="1" t="s">
        <v>4297</v>
      </c>
      <c r="D4103" s="1" t="s">
        <v>14</v>
      </c>
      <c r="E4103" s="1" t="s">
        <v>4298</v>
      </c>
      <c r="F4103" s="1" t="s">
        <v>4024</v>
      </c>
      <c r="G4103" s="1" t="s">
        <v>4299</v>
      </c>
      <c r="H4103" s="2" t="s">
        <v>4356</v>
      </c>
      <c r="I4103" s="1" t="s">
        <v>4357</v>
      </c>
      <c r="J4103" s="1" t="s">
        <v>52</v>
      </c>
      <c r="K4103" s="1" t="s">
        <v>4356</v>
      </c>
      <c r="L4103" s="39" t="s">
        <v>46</v>
      </c>
      <c r="M4103" s="3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4221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4358</v>
      </c>
      <c r="B4104" s="2" t="s">
        <v>4021</v>
      </c>
      <c r="C4104" s="1" t="s">
        <v>4359</v>
      </c>
      <c r="D4104" s="1" t="s">
        <v>14</v>
      </c>
      <c r="E4104" s="1" t="s">
        <v>4360</v>
      </c>
      <c r="F4104" s="1" t="s">
        <v>4024</v>
      </c>
      <c r="G4104" s="1" t="s">
        <v>4299</v>
      </c>
      <c r="H4104" s="2" t="s">
        <v>4361</v>
      </c>
      <c r="I4104" s="1" t="s">
        <v>4362</v>
      </c>
      <c r="J4104" s="1" t="s">
        <v>52</v>
      </c>
      <c r="K4104" s="1" t="s">
        <v>4361</v>
      </c>
      <c r="L4104" s="39" t="s">
        <v>46</v>
      </c>
      <c r="M4104" s="3" t="n">
        <v>45727</v>
      </c>
      <c r="N4104" s="1" t="s">
        <v>392</v>
      </c>
      <c r="O4104" s="1" t="s">
        <v>4363</v>
      </c>
      <c r="P4104" s="1" t="s">
        <v>192</v>
      </c>
      <c r="Q4104" s="1" t="s">
        <v>4029</v>
      </c>
      <c r="R4104" s="1" t="s">
        <v>44</v>
      </c>
      <c r="S4104" s="1" t="s">
        <v>4364</v>
      </c>
      <c r="T4104" s="1" t="s">
        <v>46</v>
      </c>
      <c r="U4104" s="1" t="n">
        <v>1000</v>
      </c>
      <c r="V4104" s="1" t="n">
        <v>1</v>
      </c>
      <c r="W4104" s="1" t="s">
        <v>4365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4358</v>
      </c>
      <c r="B4105" s="2" t="s">
        <v>4021</v>
      </c>
      <c r="C4105" s="1" t="s">
        <v>4359</v>
      </c>
      <c r="D4105" s="1" t="s">
        <v>14</v>
      </c>
      <c r="E4105" s="1" t="s">
        <v>4360</v>
      </c>
      <c r="F4105" s="1" t="s">
        <v>4024</v>
      </c>
      <c r="G4105" s="1" t="s">
        <v>4299</v>
      </c>
      <c r="H4105" s="2" t="s">
        <v>4366</v>
      </c>
      <c r="I4105" s="1" t="s">
        <v>4367</v>
      </c>
      <c r="J4105" s="1" t="s">
        <v>52</v>
      </c>
      <c r="K4105" s="1" t="s">
        <v>4366</v>
      </c>
      <c r="L4105" s="39" t="s">
        <v>46</v>
      </c>
      <c r="M4105" s="3" t="n">
        <v>45727</v>
      </c>
      <c r="N4105" s="1" t="s">
        <v>392</v>
      </c>
      <c r="O4105" s="1" t="s">
        <v>4363</v>
      </c>
      <c r="P4105" s="1" t="s">
        <v>192</v>
      </c>
      <c r="Q4105" s="1" t="s">
        <v>4029</v>
      </c>
      <c r="R4105" s="1" t="s">
        <v>44</v>
      </c>
      <c r="S4105" s="1" t="s">
        <v>4364</v>
      </c>
      <c r="T4105" s="1" t="s">
        <v>46</v>
      </c>
      <c r="U4105" s="1" t="n">
        <v>1000</v>
      </c>
      <c r="V4105" s="1" t="n">
        <v>2</v>
      </c>
      <c r="W4105" s="1" t="s">
        <v>4365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4358</v>
      </c>
      <c r="B4106" s="2" t="s">
        <v>4021</v>
      </c>
      <c r="C4106" s="1" t="s">
        <v>4359</v>
      </c>
      <c r="D4106" s="1" t="s">
        <v>14</v>
      </c>
      <c r="E4106" s="1" t="s">
        <v>4360</v>
      </c>
      <c r="F4106" s="1" t="s">
        <v>4024</v>
      </c>
      <c r="G4106" s="1" t="s">
        <v>4299</v>
      </c>
      <c r="H4106" s="2" t="s">
        <v>4368</v>
      </c>
      <c r="I4106" s="1" t="s">
        <v>4369</v>
      </c>
      <c r="J4106" s="1" t="s">
        <v>52</v>
      </c>
      <c r="K4106" s="1" t="s">
        <v>4368</v>
      </c>
      <c r="L4106" s="39" t="s">
        <v>46</v>
      </c>
      <c r="M4106" s="3" t="n">
        <v>45727</v>
      </c>
      <c r="N4106" s="1" t="s">
        <v>392</v>
      </c>
      <c r="O4106" s="1" t="s">
        <v>4363</v>
      </c>
      <c r="P4106" s="1" t="s">
        <v>192</v>
      </c>
      <c r="Q4106" s="1" t="s">
        <v>4029</v>
      </c>
      <c r="R4106" s="1" t="s">
        <v>44</v>
      </c>
      <c r="S4106" s="1" t="s">
        <v>4364</v>
      </c>
      <c r="T4106" s="1" t="s">
        <v>46</v>
      </c>
      <c r="U4106" s="1" t="n">
        <v>1000</v>
      </c>
      <c r="V4106" s="1" t="n">
        <v>3</v>
      </c>
      <c r="W4106" s="1" t="s">
        <v>4365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4358</v>
      </c>
      <c r="B4107" s="2" t="s">
        <v>4021</v>
      </c>
      <c r="C4107" s="1" t="s">
        <v>4359</v>
      </c>
      <c r="D4107" s="1" t="s">
        <v>14</v>
      </c>
      <c r="E4107" s="1" t="s">
        <v>4360</v>
      </c>
      <c r="F4107" s="1" t="s">
        <v>4024</v>
      </c>
      <c r="G4107" s="1" t="s">
        <v>4299</v>
      </c>
      <c r="H4107" s="2" t="s">
        <v>4300</v>
      </c>
      <c r="I4107" s="1" t="s">
        <v>4370</v>
      </c>
      <c r="J4107" s="1" t="s">
        <v>38</v>
      </c>
      <c r="K4107" s="1" t="s">
        <v>4300</v>
      </c>
      <c r="L4107" s="39" t="s">
        <v>46</v>
      </c>
      <c r="M4107" s="3" t="n">
        <v>45727</v>
      </c>
      <c r="N4107" s="1" t="s">
        <v>392</v>
      </c>
      <c r="O4107" s="1" t="s">
        <v>4034</v>
      </c>
      <c r="P4107" s="1" t="s">
        <v>192</v>
      </c>
      <c r="Q4107" s="1" t="s">
        <v>4029</v>
      </c>
      <c r="R4107" s="1" t="s">
        <v>44</v>
      </c>
      <c r="S4107" s="1" t="s">
        <v>4035</v>
      </c>
      <c r="T4107" s="1" t="s">
        <v>46</v>
      </c>
      <c r="U4107" s="1" t="n">
        <v>1000</v>
      </c>
      <c r="V4107" s="1" t="n">
        <v>1</v>
      </c>
      <c r="W4107" s="1" t="s">
        <v>4365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4358</v>
      </c>
      <c r="B4108" s="2" t="s">
        <v>4021</v>
      </c>
      <c r="C4108" s="1" t="s">
        <v>4359</v>
      </c>
      <c r="D4108" s="1" t="s">
        <v>14</v>
      </c>
      <c r="E4108" s="1" t="s">
        <v>4360</v>
      </c>
      <c r="F4108" s="1" t="s">
        <v>4024</v>
      </c>
      <c r="G4108" s="1" t="s">
        <v>4299</v>
      </c>
      <c r="H4108" s="2" t="s">
        <v>4302</v>
      </c>
      <c r="I4108" s="1" t="s">
        <v>4371</v>
      </c>
      <c r="J4108" s="1" t="s">
        <v>38</v>
      </c>
      <c r="K4108" s="1" t="s">
        <v>4302</v>
      </c>
      <c r="L4108" s="39" t="s">
        <v>46</v>
      </c>
      <c r="M4108" s="3" t="n">
        <v>45727</v>
      </c>
      <c r="N4108" s="1" t="s">
        <v>392</v>
      </c>
      <c r="O4108" s="1" t="s">
        <v>4034</v>
      </c>
      <c r="P4108" s="1" t="s">
        <v>192</v>
      </c>
      <c r="Q4108" s="1" t="s">
        <v>4029</v>
      </c>
      <c r="R4108" s="1" t="s">
        <v>44</v>
      </c>
      <c r="S4108" s="1" t="s">
        <v>4035</v>
      </c>
      <c r="T4108" s="1" t="s">
        <v>46</v>
      </c>
      <c r="U4108" s="1" t="n">
        <v>1000</v>
      </c>
      <c r="V4108" s="1" t="n">
        <v>2</v>
      </c>
      <c r="W4108" s="1" t="s">
        <v>4365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4358</v>
      </c>
      <c r="B4109" s="2" t="s">
        <v>4021</v>
      </c>
      <c r="C4109" s="1" t="s">
        <v>4359</v>
      </c>
      <c r="D4109" s="1" t="s">
        <v>14</v>
      </c>
      <c r="E4109" s="1" t="s">
        <v>4360</v>
      </c>
      <c r="F4109" s="1" t="s">
        <v>4024</v>
      </c>
      <c r="G4109" s="1" t="s">
        <v>4299</v>
      </c>
      <c r="H4109" s="2" t="s">
        <v>4304</v>
      </c>
      <c r="I4109" s="1" t="s">
        <v>4372</v>
      </c>
      <c r="J4109" s="1" t="s">
        <v>38</v>
      </c>
      <c r="K4109" s="1" t="s">
        <v>4304</v>
      </c>
      <c r="L4109" s="39" t="s">
        <v>46</v>
      </c>
      <c r="M4109" s="3" t="n">
        <v>45727</v>
      </c>
      <c r="N4109" s="1" t="s">
        <v>392</v>
      </c>
      <c r="O4109" s="1" t="s">
        <v>4034</v>
      </c>
      <c r="P4109" s="1" t="s">
        <v>192</v>
      </c>
      <c r="Q4109" s="1" t="s">
        <v>4029</v>
      </c>
      <c r="R4109" s="1" t="s">
        <v>44</v>
      </c>
      <c r="S4109" s="1" t="s">
        <v>4035</v>
      </c>
      <c r="T4109" s="1" t="s">
        <v>46</v>
      </c>
      <c r="U4109" s="1" t="n">
        <v>1000</v>
      </c>
      <c r="V4109" s="1" t="n">
        <v>3</v>
      </c>
      <c r="W4109" s="1" t="s">
        <v>4365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4358</v>
      </c>
      <c r="B4110" s="2" t="s">
        <v>4021</v>
      </c>
      <c r="C4110" s="1" t="s">
        <v>4359</v>
      </c>
      <c r="D4110" s="1" t="s">
        <v>14</v>
      </c>
      <c r="E4110" s="1" t="s">
        <v>4360</v>
      </c>
      <c r="F4110" s="1" t="s">
        <v>4024</v>
      </c>
      <c r="G4110" s="1" t="s">
        <v>4299</v>
      </c>
      <c r="H4110" s="2" t="s">
        <v>4318</v>
      </c>
      <c r="I4110" s="1" t="s">
        <v>4373</v>
      </c>
      <c r="J4110" s="1" t="s">
        <v>52</v>
      </c>
      <c r="K4110" s="1" t="s">
        <v>4318</v>
      </c>
      <c r="L4110" s="39" t="s">
        <v>46</v>
      </c>
      <c r="M4110" s="3" t="n">
        <v>45727</v>
      </c>
      <c r="N4110" s="1" t="s">
        <v>392</v>
      </c>
      <c r="O4110" s="1" t="s">
        <v>4374</v>
      </c>
      <c r="P4110" s="1" t="s">
        <v>192</v>
      </c>
      <c r="Q4110" s="1" t="s">
        <v>4029</v>
      </c>
      <c r="R4110" s="1" t="s">
        <v>44</v>
      </c>
      <c r="S4110" s="1" t="s">
        <v>4030</v>
      </c>
      <c r="T4110" s="1" t="s">
        <v>46</v>
      </c>
      <c r="U4110" s="1" t="n">
        <v>1000</v>
      </c>
      <c r="V4110" s="1" t="n">
        <v>1</v>
      </c>
      <c r="W4110" s="1" t="s">
        <v>4365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4358</v>
      </c>
      <c r="B4111" s="2" t="s">
        <v>4021</v>
      </c>
      <c r="C4111" s="1" t="s">
        <v>4359</v>
      </c>
      <c r="D4111" s="1" t="s">
        <v>14</v>
      </c>
      <c r="E4111" s="1" t="s">
        <v>4360</v>
      </c>
      <c r="F4111" s="1" t="s">
        <v>4024</v>
      </c>
      <c r="G4111" s="1" t="s">
        <v>4299</v>
      </c>
      <c r="H4111" s="2" t="s">
        <v>4320</v>
      </c>
      <c r="I4111" s="1" t="s">
        <v>4375</v>
      </c>
      <c r="J4111" s="1" t="s">
        <v>52</v>
      </c>
      <c r="K4111" s="1" t="s">
        <v>4320</v>
      </c>
      <c r="L4111" s="39" t="s">
        <v>46</v>
      </c>
      <c r="M4111" s="3" t="n">
        <v>45727</v>
      </c>
      <c r="N4111" s="1" t="s">
        <v>392</v>
      </c>
      <c r="O4111" s="1" t="s">
        <v>4374</v>
      </c>
      <c r="P4111" s="1" t="s">
        <v>192</v>
      </c>
      <c r="Q4111" s="1" t="s">
        <v>4029</v>
      </c>
      <c r="R4111" s="1" t="s">
        <v>44</v>
      </c>
      <c r="S4111" s="1" t="s">
        <v>4030</v>
      </c>
      <c r="T4111" s="1" t="s">
        <v>46</v>
      </c>
      <c r="U4111" s="1" t="n">
        <v>1000</v>
      </c>
      <c r="V4111" s="1" t="n">
        <v>2</v>
      </c>
      <c r="W4111" s="1" t="s">
        <v>4365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4358</v>
      </c>
      <c r="B4112" s="2" t="s">
        <v>4021</v>
      </c>
      <c r="C4112" s="1" t="s">
        <v>4359</v>
      </c>
      <c r="D4112" s="1" t="s">
        <v>14</v>
      </c>
      <c r="E4112" s="1" t="s">
        <v>4360</v>
      </c>
      <c r="F4112" s="1" t="s">
        <v>4024</v>
      </c>
      <c r="G4112" s="1" t="s">
        <v>4299</v>
      </c>
      <c r="H4112" s="2" t="s">
        <v>4322</v>
      </c>
      <c r="I4112" s="1" t="s">
        <v>4376</v>
      </c>
      <c r="J4112" s="1" t="s">
        <v>52</v>
      </c>
      <c r="K4112" s="1" t="s">
        <v>4322</v>
      </c>
      <c r="L4112" s="39" t="s">
        <v>46</v>
      </c>
      <c r="M4112" s="3" t="n">
        <v>45727</v>
      </c>
      <c r="N4112" s="1" t="s">
        <v>392</v>
      </c>
      <c r="O4112" s="1" t="s">
        <v>4374</v>
      </c>
      <c r="P4112" s="1" t="s">
        <v>192</v>
      </c>
      <c r="Q4112" s="1" t="s">
        <v>4029</v>
      </c>
      <c r="R4112" s="1" t="s">
        <v>44</v>
      </c>
      <c r="S4112" s="1" t="s">
        <v>4030</v>
      </c>
      <c r="T4112" s="1" t="s">
        <v>46</v>
      </c>
      <c r="U4112" s="1" t="n">
        <v>1000</v>
      </c>
      <c r="V4112" s="1" t="n">
        <v>3</v>
      </c>
      <c r="W4112" s="1" t="s">
        <v>4365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4358</v>
      </c>
      <c r="B4113" s="2" t="s">
        <v>4021</v>
      </c>
      <c r="C4113" s="1" t="s">
        <v>4359</v>
      </c>
      <c r="D4113" s="1" t="s">
        <v>14</v>
      </c>
      <c r="E4113" s="1" t="s">
        <v>4360</v>
      </c>
      <c r="F4113" s="1" t="s">
        <v>4024</v>
      </c>
      <c r="G4113" s="1" t="s">
        <v>4299</v>
      </c>
      <c r="H4113" s="2" t="s">
        <v>4377</v>
      </c>
      <c r="I4113" s="1" t="s">
        <v>4378</v>
      </c>
      <c r="J4113" s="1" t="s">
        <v>52</v>
      </c>
      <c r="K4113" s="1" t="s">
        <v>4377</v>
      </c>
      <c r="L4113" s="39" t="s">
        <v>46</v>
      </c>
      <c r="M4113" s="3" t="n">
        <v>45727</v>
      </c>
      <c r="N4113" s="1" t="s">
        <v>392</v>
      </c>
      <c r="O4113" s="1" t="s">
        <v>4379</v>
      </c>
      <c r="P4113" s="1" t="s">
        <v>192</v>
      </c>
      <c r="Q4113" s="1" t="s">
        <v>4029</v>
      </c>
      <c r="R4113" s="1" t="s">
        <v>44</v>
      </c>
      <c r="S4113" s="1" t="s">
        <v>4380</v>
      </c>
      <c r="T4113" s="1" t="s">
        <v>46</v>
      </c>
      <c r="U4113" s="1" t="n">
        <v>1000</v>
      </c>
      <c r="V4113" s="1" t="n">
        <v>1</v>
      </c>
      <c r="W4113" s="1" t="s">
        <v>4365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4358</v>
      </c>
      <c r="B4114" s="2" t="s">
        <v>4021</v>
      </c>
      <c r="C4114" s="1" t="s">
        <v>4359</v>
      </c>
      <c r="D4114" s="1" t="s">
        <v>14</v>
      </c>
      <c r="E4114" s="1" t="s">
        <v>4360</v>
      </c>
      <c r="F4114" s="1" t="s">
        <v>4024</v>
      </c>
      <c r="G4114" s="1" t="s">
        <v>4299</v>
      </c>
      <c r="H4114" s="2" t="s">
        <v>4381</v>
      </c>
      <c r="I4114" s="1" t="s">
        <v>4382</v>
      </c>
      <c r="J4114" s="1" t="s">
        <v>52</v>
      </c>
      <c r="K4114" s="1" t="s">
        <v>4381</v>
      </c>
      <c r="L4114" s="39" t="s">
        <v>46</v>
      </c>
      <c r="M4114" s="3" t="n">
        <v>45727</v>
      </c>
      <c r="N4114" s="1" t="s">
        <v>392</v>
      </c>
      <c r="O4114" s="1" t="s">
        <v>4379</v>
      </c>
      <c r="P4114" s="1" t="s">
        <v>192</v>
      </c>
      <c r="Q4114" s="1" t="s">
        <v>4029</v>
      </c>
      <c r="R4114" s="1" t="s">
        <v>44</v>
      </c>
      <c r="S4114" s="1" t="s">
        <v>4380</v>
      </c>
      <c r="T4114" s="1" t="s">
        <v>46</v>
      </c>
      <c r="U4114" s="1" t="n">
        <v>1000</v>
      </c>
      <c r="V4114" s="1" t="n">
        <v>2</v>
      </c>
      <c r="W4114" s="1" t="s">
        <v>4365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4358</v>
      </c>
      <c r="B4115" s="2" t="s">
        <v>4021</v>
      </c>
      <c r="C4115" s="1" t="s">
        <v>4359</v>
      </c>
      <c r="D4115" s="1" t="s">
        <v>14</v>
      </c>
      <c r="E4115" s="1" t="s">
        <v>4360</v>
      </c>
      <c r="F4115" s="1" t="s">
        <v>4024</v>
      </c>
      <c r="G4115" s="1" t="s">
        <v>4299</v>
      </c>
      <c r="H4115" s="2" t="s">
        <v>4383</v>
      </c>
      <c r="I4115" s="1" t="s">
        <v>4384</v>
      </c>
      <c r="J4115" s="1" t="s">
        <v>52</v>
      </c>
      <c r="K4115" s="1" t="s">
        <v>4383</v>
      </c>
      <c r="L4115" s="39" t="s">
        <v>46</v>
      </c>
      <c r="M4115" s="3" t="n">
        <v>45727</v>
      </c>
      <c r="N4115" s="1" t="s">
        <v>392</v>
      </c>
      <c r="O4115" s="1" t="s">
        <v>4379</v>
      </c>
      <c r="P4115" s="1" t="s">
        <v>192</v>
      </c>
      <c r="Q4115" s="1" t="s">
        <v>4029</v>
      </c>
      <c r="R4115" s="1" t="s">
        <v>44</v>
      </c>
      <c r="S4115" s="1" t="s">
        <v>4380</v>
      </c>
      <c r="T4115" s="1" t="s">
        <v>46</v>
      </c>
      <c r="U4115" s="1" t="n">
        <v>1000</v>
      </c>
      <c r="V4115" s="1" t="n">
        <v>3</v>
      </c>
      <c r="W4115" s="1" t="s">
        <v>4365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4358</v>
      </c>
      <c r="B4116" s="2" t="s">
        <v>4021</v>
      </c>
      <c r="C4116" s="1" t="s">
        <v>4359</v>
      </c>
      <c r="D4116" s="1" t="s">
        <v>14</v>
      </c>
      <c r="E4116" s="1" t="s">
        <v>4360</v>
      </c>
      <c r="F4116" s="1" t="s">
        <v>4024</v>
      </c>
      <c r="G4116" s="1" t="s">
        <v>4299</v>
      </c>
      <c r="H4116" s="2" t="s">
        <v>4385</v>
      </c>
      <c r="I4116" s="1" t="s">
        <v>4386</v>
      </c>
      <c r="J4116" s="1" t="s">
        <v>52</v>
      </c>
      <c r="K4116" s="1" t="s">
        <v>4385</v>
      </c>
      <c r="L4116" s="39" t="s">
        <v>46</v>
      </c>
      <c r="M4116" s="3" t="n">
        <v>45734</v>
      </c>
      <c r="N4116" s="1" t="s">
        <v>392</v>
      </c>
      <c r="O4116" s="1" t="s">
        <v>4363</v>
      </c>
      <c r="P4116" s="1" t="s">
        <v>192</v>
      </c>
      <c r="Q4116" s="1" t="s">
        <v>4029</v>
      </c>
      <c r="R4116" s="1" t="s">
        <v>44</v>
      </c>
      <c r="S4116" s="1" t="s">
        <v>4364</v>
      </c>
      <c r="T4116" s="1" t="s">
        <v>46</v>
      </c>
      <c r="U4116" s="1" t="n">
        <v>1000</v>
      </c>
      <c r="V4116" s="1" t="n">
        <v>1</v>
      </c>
      <c r="W4116" s="1" t="s">
        <v>4365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4358</v>
      </c>
      <c r="B4117" s="2" t="s">
        <v>4021</v>
      </c>
      <c r="C4117" s="1" t="s">
        <v>4359</v>
      </c>
      <c r="D4117" s="1" t="s">
        <v>14</v>
      </c>
      <c r="E4117" s="1" t="s">
        <v>4360</v>
      </c>
      <c r="F4117" s="1" t="s">
        <v>4024</v>
      </c>
      <c r="G4117" s="1" t="s">
        <v>4299</v>
      </c>
      <c r="H4117" s="2" t="s">
        <v>4387</v>
      </c>
      <c r="I4117" s="1" t="s">
        <v>4388</v>
      </c>
      <c r="J4117" s="1" t="s">
        <v>52</v>
      </c>
      <c r="K4117" s="1" t="s">
        <v>4387</v>
      </c>
      <c r="L4117" s="39" t="s">
        <v>46</v>
      </c>
      <c r="M4117" s="3" t="n">
        <v>45734</v>
      </c>
      <c r="N4117" s="1" t="s">
        <v>392</v>
      </c>
      <c r="O4117" s="1" t="s">
        <v>4363</v>
      </c>
      <c r="P4117" s="1" t="s">
        <v>192</v>
      </c>
      <c r="Q4117" s="1" t="s">
        <v>4029</v>
      </c>
      <c r="R4117" s="1" t="s">
        <v>44</v>
      </c>
      <c r="S4117" s="1" t="s">
        <v>4364</v>
      </c>
      <c r="T4117" s="1" t="s">
        <v>46</v>
      </c>
      <c r="U4117" s="1" t="n">
        <v>1000</v>
      </c>
      <c r="V4117" s="1" t="n">
        <v>2</v>
      </c>
      <c r="W4117" s="1" t="s">
        <v>4365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4358</v>
      </c>
      <c r="B4118" s="2" t="s">
        <v>4021</v>
      </c>
      <c r="C4118" s="1" t="s">
        <v>4359</v>
      </c>
      <c r="D4118" s="1" t="s">
        <v>14</v>
      </c>
      <c r="E4118" s="1" t="s">
        <v>4360</v>
      </c>
      <c r="F4118" s="1" t="s">
        <v>4024</v>
      </c>
      <c r="G4118" s="1" t="s">
        <v>4299</v>
      </c>
      <c r="H4118" s="2" t="s">
        <v>4389</v>
      </c>
      <c r="I4118" s="1" t="s">
        <v>4390</v>
      </c>
      <c r="J4118" s="1" t="s">
        <v>52</v>
      </c>
      <c r="K4118" s="1" t="s">
        <v>4389</v>
      </c>
      <c r="L4118" s="39" t="s">
        <v>46</v>
      </c>
      <c r="M4118" s="3" t="n">
        <v>45734</v>
      </c>
      <c r="N4118" s="1" t="s">
        <v>392</v>
      </c>
      <c r="O4118" s="1" t="s">
        <v>4363</v>
      </c>
      <c r="P4118" s="1" t="s">
        <v>192</v>
      </c>
      <c r="Q4118" s="1" t="s">
        <v>4029</v>
      </c>
      <c r="R4118" s="1" t="s">
        <v>44</v>
      </c>
      <c r="S4118" s="1" t="s">
        <v>4364</v>
      </c>
      <c r="T4118" s="1" t="s">
        <v>46</v>
      </c>
      <c r="U4118" s="1" t="n">
        <v>1000</v>
      </c>
      <c r="V4118" s="1" t="n">
        <v>3</v>
      </c>
      <c r="W4118" s="1" t="s">
        <v>4365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4358</v>
      </c>
      <c r="B4119" s="2" t="s">
        <v>4021</v>
      </c>
      <c r="C4119" s="1" t="s">
        <v>4359</v>
      </c>
      <c r="D4119" s="1" t="s">
        <v>14</v>
      </c>
      <c r="E4119" s="1" t="s">
        <v>4360</v>
      </c>
      <c r="F4119" s="1" t="s">
        <v>4024</v>
      </c>
      <c r="G4119" s="1" t="s">
        <v>4299</v>
      </c>
      <c r="H4119" s="2" t="s">
        <v>4306</v>
      </c>
      <c r="I4119" s="1" t="s">
        <v>4391</v>
      </c>
      <c r="J4119" s="1" t="s">
        <v>38</v>
      </c>
      <c r="K4119" s="1" t="s">
        <v>4306</v>
      </c>
      <c r="L4119" s="39" t="s">
        <v>46</v>
      </c>
      <c r="M4119" s="3" t="n">
        <v>45734</v>
      </c>
      <c r="N4119" s="1" t="s">
        <v>392</v>
      </c>
      <c r="O4119" s="1" t="s">
        <v>4034</v>
      </c>
      <c r="P4119" s="1" t="s">
        <v>192</v>
      </c>
      <c r="Q4119" s="1" t="s">
        <v>4029</v>
      </c>
      <c r="R4119" s="1" t="s">
        <v>44</v>
      </c>
      <c r="S4119" s="1" t="s">
        <v>4035</v>
      </c>
      <c r="T4119" s="1" t="s">
        <v>46</v>
      </c>
      <c r="U4119" s="1" t="n">
        <v>1000</v>
      </c>
      <c r="V4119" s="1" t="n">
        <v>1</v>
      </c>
      <c r="W4119" s="1" t="s">
        <v>4365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4358</v>
      </c>
      <c r="B4120" s="2" t="s">
        <v>4021</v>
      </c>
      <c r="C4120" s="1" t="s">
        <v>4359</v>
      </c>
      <c r="D4120" s="1" t="s">
        <v>14</v>
      </c>
      <c r="E4120" s="1" t="s">
        <v>4360</v>
      </c>
      <c r="F4120" s="1" t="s">
        <v>4024</v>
      </c>
      <c r="G4120" s="1" t="s">
        <v>4299</v>
      </c>
      <c r="H4120" s="2" t="s">
        <v>4308</v>
      </c>
      <c r="I4120" s="1" t="s">
        <v>4392</v>
      </c>
      <c r="J4120" s="1" t="s">
        <v>38</v>
      </c>
      <c r="K4120" s="1" t="s">
        <v>4308</v>
      </c>
      <c r="L4120" s="39" t="s">
        <v>46</v>
      </c>
      <c r="M4120" s="3" t="n">
        <v>45734</v>
      </c>
      <c r="N4120" s="1" t="s">
        <v>392</v>
      </c>
      <c r="O4120" s="1" t="s">
        <v>4034</v>
      </c>
      <c r="P4120" s="1" t="s">
        <v>192</v>
      </c>
      <c r="Q4120" s="1" t="s">
        <v>4029</v>
      </c>
      <c r="R4120" s="1" t="s">
        <v>44</v>
      </c>
      <c r="S4120" s="1" t="s">
        <v>4035</v>
      </c>
      <c r="T4120" s="1" t="s">
        <v>46</v>
      </c>
      <c r="U4120" s="1" t="n">
        <v>1000</v>
      </c>
      <c r="V4120" s="1" t="n">
        <v>2</v>
      </c>
      <c r="W4120" s="1" t="s">
        <v>4365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4358</v>
      </c>
      <c r="B4121" s="2" t="s">
        <v>4021</v>
      </c>
      <c r="C4121" s="1" t="s">
        <v>4359</v>
      </c>
      <c r="D4121" s="1" t="s">
        <v>14</v>
      </c>
      <c r="E4121" s="1" t="s">
        <v>4360</v>
      </c>
      <c r="F4121" s="1" t="s">
        <v>4024</v>
      </c>
      <c r="G4121" s="1" t="s">
        <v>4299</v>
      </c>
      <c r="H4121" s="2" t="s">
        <v>4310</v>
      </c>
      <c r="I4121" s="1" t="s">
        <v>4393</v>
      </c>
      <c r="J4121" s="1" t="s">
        <v>38</v>
      </c>
      <c r="K4121" s="1" t="s">
        <v>4310</v>
      </c>
      <c r="L4121" s="39" t="s">
        <v>46</v>
      </c>
      <c r="M4121" s="3" t="n">
        <v>45734</v>
      </c>
      <c r="N4121" s="1" t="s">
        <v>392</v>
      </c>
      <c r="O4121" s="1" t="s">
        <v>4034</v>
      </c>
      <c r="P4121" s="1" t="s">
        <v>192</v>
      </c>
      <c r="Q4121" s="1" t="s">
        <v>4029</v>
      </c>
      <c r="R4121" s="1" t="s">
        <v>44</v>
      </c>
      <c r="S4121" s="1" t="s">
        <v>4035</v>
      </c>
      <c r="T4121" s="1" t="s">
        <v>46</v>
      </c>
      <c r="U4121" s="1" t="n">
        <v>1000</v>
      </c>
      <c r="V4121" s="1" t="n">
        <v>3</v>
      </c>
      <c r="W4121" s="1" t="s">
        <v>4365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4358</v>
      </c>
      <c r="B4122" s="2" t="s">
        <v>4021</v>
      </c>
      <c r="C4122" s="1" t="s">
        <v>4359</v>
      </c>
      <c r="D4122" s="1" t="s">
        <v>14</v>
      </c>
      <c r="E4122" s="1" t="s">
        <v>4360</v>
      </c>
      <c r="F4122" s="1" t="s">
        <v>4024</v>
      </c>
      <c r="G4122" s="1" t="s">
        <v>4299</v>
      </c>
      <c r="H4122" s="2" t="s">
        <v>4324</v>
      </c>
      <c r="I4122" s="1" t="s">
        <v>4394</v>
      </c>
      <c r="J4122" s="1" t="s">
        <v>52</v>
      </c>
      <c r="K4122" s="1" t="s">
        <v>4324</v>
      </c>
      <c r="L4122" s="39" t="s">
        <v>46</v>
      </c>
      <c r="M4122" s="3" t="n">
        <v>45734</v>
      </c>
      <c r="N4122" s="1" t="s">
        <v>392</v>
      </c>
      <c r="O4122" s="1" t="s">
        <v>4374</v>
      </c>
      <c r="P4122" s="1" t="s">
        <v>192</v>
      </c>
      <c r="Q4122" s="1" t="s">
        <v>4029</v>
      </c>
      <c r="R4122" s="1" t="s">
        <v>44</v>
      </c>
      <c r="S4122" s="1" t="s">
        <v>4030</v>
      </c>
      <c r="T4122" s="1" t="s">
        <v>46</v>
      </c>
      <c r="U4122" s="1" t="n">
        <v>1000</v>
      </c>
      <c r="V4122" s="1" t="n">
        <v>1</v>
      </c>
      <c r="W4122" s="1" t="s">
        <v>4365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4358</v>
      </c>
      <c r="B4123" s="2" t="s">
        <v>4021</v>
      </c>
      <c r="C4123" s="1" t="s">
        <v>4359</v>
      </c>
      <c r="D4123" s="1" t="s">
        <v>14</v>
      </c>
      <c r="E4123" s="1" t="s">
        <v>4360</v>
      </c>
      <c r="F4123" s="1" t="s">
        <v>4024</v>
      </c>
      <c r="G4123" s="1" t="s">
        <v>4299</v>
      </c>
      <c r="H4123" s="2" t="s">
        <v>4326</v>
      </c>
      <c r="I4123" s="1" t="s">
        <v>4395</v>
      </c>
      <c r="J4123" s="1" t="s">
        <v>52</v>
      </c>
      <c r="K4123" s="1" t="s">
        <v>4326</v>
      </c>
      <c r="L4123" s="39" t="s">
        <v>46</v>
      </c>
      <c r="M4123" s="3" t="n">
        <v>45734</v>
      </c>
      <c r="N4123" s="1" t="s">
        <v>392</v>
      </c>
      <c r="O4123" s="1" t="s">
        <v>4374</v>
      </c>
      <c r="P4123" s="1" t="s">
        <v>192</v>
      </c>
      <c r="Q4123" s="1" t="s">
        <v>4029</v>
      </c>
      <c r="R4123" s="1" t="s">
        <v>44</v>
      </c>
      <c r="S4123" s="1" t="s">
        <v>4030</v>
      </c>
      <c r="T4123" s="1" t="s">
        <v>46</v>
      </c>
      <c r="U4123" s="1" t="n">
        <v>1000</v>
      </c>
      <c r="V4123" s="1" t="n">
        <v>2</v>
      </c>
      <c r="W4123" s="1" t="s">
        <v>4365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4358</v>
      </c>
      <c r="B4124" s="2" t="s">
        <v>4021</v>
      </c>
      <c r="C4124" s="1" t="s">
        <v>4359</v>
      </c>
      <c r="D4124" s="1" t="s">
        <v>14</v>
      </c>
      <c r="E4124" s="1" t="s">
        <v>4360</v>
      </c>
      <c r="F4124" s="1" t="s">
        <v>4024</v>
      </c>
      <c r="G4124" s="1" t="s">
        <v>4299</v>
      </c>
      <c r="H4124" s="2" t="s">
        <v>4328</v>
      </c>
      <c r="I4124" s="1" t="s">
        <v>4396</v>
      </c>
      <c r="J4124" s="1" t="s">
        <v>52</v>
      </c>
      <c r="K4124" s="1" t="s">
        <v>4328</v>
      </c>
      <c r="L4124" s="39" t="s">
        <v>46</v>
      </c>
      <c r="M4124" s="3" t="n">
        <v>45734</v>
      </c>
      <c r="N4124" s="1" t="s">
        <v>392</v>
      </c>
      <c r="O4124" s="1" t="s">
        <v>4374</v>
      </c>
      <c r="P4124" s="1" t="s">
        <v>192</v>
      </c>
      <c r="Q4124" s="1" t="s">
        <v>4029</v>
      </c>
      <c r="R4124" s="1" t="s">
        <v>44</v>
      </c>
      <c r="S4124" s="1" t="s">
        <v>4030</v>
      </c>
      <c r="T4124" s="1" t="s">
        <v>46</v>
      </c>
      <c r="U4124" s="1" t="n">
        <v>1000</v>
      </c>
      <c r="V4124" s="1" t="n">
        <v>3</v>
      </c>
      <c r="W4124" s="1" t="s">
        <v>4365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4358</v>
      </c>
      <c r="B4125" s="2" t="s">
        <v>4021</v>
      </c>
      <c r="C4125" s="1" t="s">
        <v>4359</v>
      </c>
      <c r="D4125" s="1" t="s">
        <v>14</v>
      </c>
      <c r="E4125" s="1" t="s">
        <v>4360</v>
      </c>
      <c r="F4125" s="1" t="s">
        <v>4024</v>
      </c>
      <c r="G4125" s="1" t="s">
        <v>4299</v>
      </c>
      <c r="H4125" s="2" t="s">
        <v>4397</v>
      </c>
      <c r="I4125" s="1" t="s">
        <v>4398</v>
      </c>
      <c r="J4125" s="1" t="s">
        <v>52</v>
      </c>
      <c r="K4125" s="1" t="s">
        <v>4397</v>
      </c>
      <c r="L4125" s="39" t="s">
        <v>46</v>
      </c>
      <c r="M4125" s="3" t="n">
        <v>45740</v>
      </c>
      <c r="N4125" s="1" t="s">
        <v>392</v>
      </c>
      <c r="O4125" s="1" t="s">
        <v>4363</v>
      </c>
      <c r="P4125" s="1" t="s">
        <v>192</v>
      </c>
      <c r="Q4125" s="1" t="s">
        <v>4029</v>
      </c>
      <c r="R4125" s="1" t="s">
        <v>44</v>
      </c>
      <c r="S4125" s="1" t="s">
        <v>4364</v>
      </c>
      <c r="T4125" s="1" t="s">
        <v>46</v>
      </c>
      <c r="U4125" s="1" t="n">
        <v>1000</v>
      </c>
      <c r="V4125" s="1" t="n">
        <v>1</v>
      </c>
      <c r="W4125" s="1" t="s">
        <v>4365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4358</v>
      </c>
      <c r="B4126" s="2" t="s">
        <v>4021</v>
      </c>
      <c r="C4126" s="1" t="s">
        <v>4359</v>
      </c>
      <c r="D4126" s="1" t="s">
        <v>14</v>
      </c>
      <c r="E4126" s="1" t="s">
        <v>4360</v>
      </c>
      <c r="F4126" s="1" t="s">
        <v>4024</v>
      </c>
      <c r="G4126" s="1" t="s">
        <v>4299</v>
      </c>
      <c r="H4126" s="2" t="s">
        <v>4399</v>
      </c>
      <c r="I4126" s="1" t="s">
        <v>4400</v>
      </c>
      <c r="J4126" s="1" t="s">
        <v>52</v>
      </c>
      <c r="K4126" s="1" t="s">
        <v>4399</v>
      </c>
      <c r="L4126" s="39" t="s">
        <v>46</v>
      </c>
      <c r="M4126" s="3" t="n">
        <v>45740</v>
      </c>
      <c r="N4126" s="1" t="s">
        <v>392</v>
      </c>
      <c r="O4126" s="1" t="s">
        <v>4363</v>
      </c>
      <c r="P4126" s="1" t="s">
        <v>192</v>
      </c>
      <c r="Q4126" s="1" t="s">
        <v>4029</v>
      </c>
      <c r="R4126" s="1" t="s">
        <v>44</v>
      </c>
      <c r="S4126" s="1" t="s">
        <v>4364</v>
      </c>
      <c r="T4126" s="1" t="s">
        <v>46</v>
      </c>
      <c r="U4126" s="1" t="n">
        <v>1000</v>
      </c>
      <c r="V4126" s="1" t="n">
        <v>2</v>
      </c>
      <c r="W4126" s="1" t="s">
        <v>4365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4358</v>
      </c>
      <c r="B4127" s="2" t="s">
        <v>4021</v>
      </c>
      <c r="C4127" s="1" t="s">
        <v>4359</v>
      </c>
      <c r="D4127" s="1" t="s">
        <v>14</v>
      </c>
      <c r="E4127" s="1" t="s">
        <v>4360</v>
      </c>
      <c r="F4127" s="1" t="s">
        <v>4024</v>
      </c>
      <c r="G4127" s="1" t="s">
        <v>4299</v>
      </c>
      <c r="H4127" s="2" t="s">
        <v>4401</v>
      </c>
      <c r="I4127" s="1" t="s">
        <v>4402</v>
      </c>
      <c r="J4127" s="1" t="s">
        <v>52</v>
      </c>
      <c r="K4127" s="1" t="s">
        <v>4401</v>
      </c>
      <c r="L4127" s="39" t="s">
        <v>46</v>
      </c>
      <c r="M4127" s="3" t="n">
        <v>45740</v>
      </c>
      <c r="N4127" s="1" t="s">
        <v>392</v>
      </c>
      <c r="O4127" s="1" t="s">
        <v>4363</v>
      </c>
      <c r="P4127" s="1" t="s">
        <v>192</v>
      </c>
      <c r="Q4127" s="1" t="s">
        <v>4029</v>
      </c>
      <c r="R4127" s="1" t="s">
        <v>44</v>
      </c>
      <c r="S4127" s="1" t="s">
        <v>4364</v>
      </c>
      <c r="T4127" s="1" t="s">
        <v>46</v>
      </c>
      <c r="U4127" s="1" t="n">
        <v>1000</v>
      </c>
      <c r="V4127" s="1" t="n">
        <v>3</v>
      </c>
      <c r="W4127" s="1" t="s">
        <v>4365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4358</v>
      </c>
      <c r="B4128" s="2" t="s">
        <v>4021</v>
      </c>
      <c r="C4128" s="1" t="s">
        <v>4359</v>
      </c>
      <c r="D4128" s="1" t="s">
        <v>14</v>
      </c>
      <c r="E4128" s="1" t="s">
        <v>4360</v>
      </c>
      <c r="F4128" s="1" t="s">
        <v>4024</v>
      </c>
      <c r="G4128" s="1" t="s">
        <v>4299</v>
      </c>
      <c r="H4128" s="2" t="s">
        <v>4312</v>
      </c>
      <c r="I4128" s="1" t="s">
        <v>4403</v>
      </c>
      <c r="J4128" s="1" t="s">
        <v>38</v>
      </c>
      <c r="K4128" s="1" t="s">
        <v>4312</v>
      </c>
      <c r="L4128" s="39" t="s">
        <v>46</v>
      </c>
      <c r="M4128" s="3" t="n">
        <v>45740</v>
      </c>
      <c r="N4128" s="1" t="s">
        <v>392</v>
      </c>
      <c r="O4128" s="1" t="s">
        <v>4034</v>
      </c>
      <c r="P4128" s="1" t="s">
        <v>192</v>
      </c>
      <c r="Q4128" s="1" t="s">
        <v>4029</v>
      </c>
      <c r="R4128" s="1" t="s">
        <v>44</v>
      </c>
      <c r="S4128" s="1" t="s">
        <v>4035</v>
      </c>
      <c r="T4128" s="1" t="s">
        <v>46</v>
      </c>
      <c r="U4128" s="1" t="n">
        <v>1000</v>
      </c>
      <c r="V4128" s="1" t="n">
        <v>1</v>
      </c>
      <c r="W4128" s="1" t="s">
        <v>4365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4358</v>
      </c>
      <c r="B4129" s="2" t="s">
        <v>4021</v>
      </c>
      <c r="C4129" s="1" t="s">
        <v>4359</v>
      </c>
      <c r="D4129" s="1" t="s">
        <v>14</v>
      </c>
      <c r="E4129" s="1" t="s">
        <v>4360</v>
      </c>
      <c r="F4129" s="1" t="s">
        <v>4024</v>
      </c>
      <c r="G4129" s="1" t="s">
        <v>4299</v>
      </c>
      <c r="H4129" s="2" t="s">
        <v>4314</v>
      </c>
      <c r="I4129" s="1" t="s">
        <v>4404</v>
      </c>
      <c r="J4129" s="1" t="s">
        <v>38</v>
      </c>
      <c r="K4129" s="1" t="s">
        <v>4314</v>
      </c>
      <c r="L4129" s="39" t="s">
        <v>46</v>
      </c>
      <c r="M4129" s="3" t="n">
        <v>45740</v>
      </c>
      <c r="N4129" s="1" t="s">
        <v>392</v>
      </c>
      <c r="O4129" s="1" t="s">
        <v>4034</v>
      </c>
      <c r="P4129" s="1" t="s">
        <v>192</v>
      </c>
      <c r="Q4129" s="1" t="s">
        <v>4029</v>
      </c>
      <c r="R4129" s="1" t="s">
        <v>44</v>
      </c>
      <c r="S4129" s="1" t="s">
        <v>4035</v>
      </c>
      <c r="T4129" s="1" t="s">
        <v>46</v>
      </c>
      <c r="U4129" s="1" t="n">
        <v>1000</v>
      </c>
      <c r="V4129" s="1" t="n">
        <v>2</v>
      </c>
      <c r="W4129" s="1" t="s">
        <v>4365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4358</v>
      </c>
      <c r="B4130" s="2" t="s">
        <v>4021</v>
      </c>
      <c r="C4130" s="1" t="s">
        <v>4359</v>
      </c>
      <c r="D4130" s="1" t="s">
        <v>14</v>
      </c>
      <c r="E4130" s="1" t="s">
        <v>4360</v>
      </c>
      <c r="F4130" s="1" t="s">
        <v>4024</v>
      </c>
      <c r="G4130" s="1" t="s">
        <v>4299</v>
      </c>
      <c r="H4130" s="2" t="s">
        <v>4316</v>
      </c>
      <c r="I4130" s="1" t="s">
        <v>4405</v>
      </c>
      <c r="J4130" s="1" t="s">
        <v>38</v>
      </c>
      <c r="K4130" s="1" t="s">
        <v>4316</v>
      </c>
      <c r="L4130" s="39" t="s">
        <v>46</v>
      </c>
      <c r="M4130" s="3" t="n">
        <v>45740</v>
      </c>
      <c r="N4130" s="1" t="s">
        <v>392</v>
      </c>
      <c r="O4130" s="1" t="s">
        <v>4034</v>
      </c>
      <c r="P4130" s="1" t="s">
        <v>192</v>
      </c>
      <c r="Q4130" s="1" t="s">
        <v>4029</v>
      </c>
      <c r="R4130" s="1" t="s">
        <v>44</v>
      </c>
      <c r="S4130" s="1" t="s">
        <v>4035</v>
      </c>
      <c r="T4130" s="1" t="s">
        <v>46</v>
      </c>
      <c r="U4130" s="1" t="n">
        <v>1000</v>
      </c>
      <c r="V4130" s="1" t="n">
        <v>3</v>
      </c>
      <c r="W4130" s="1" t="s">
        <v>4365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4358</v>
      </c>
      <c r="B4131" s="2" t="s">
        <v>4021</v>
      </c>
      <c r="C4131" s="1" t="s">
        <v>4359</v>
      </c>
      <c r="D4131" s="1" t="s">
        <v>14</v>
      </c>
      <c r="E4131" s="1" t="s">
        <v>4360</v>
      </c>
      <c r="F4131" s="1" t="s">
        <v>4024</v>
      </c>
      <c r="G4131" s="1" t="s">
        <v>4299</v>
      </c>
      <c r="H4131" s="2" t="s">
        <v>4330</v>
      </c>
      <c r="I4131" s="1" t="s">
        <v>4406</v>
      </c>
      <c r="J4131" s="1" t="s">
        <v>52</v>
      </c>
      <c r="K4131" s="1" t="s">
        <v>4330</v>
      </c>
      <c r="L4131" s="39" t="s">
        <v>46</v>
      </c>
      <c r="M4131" s="3" t="n">
        <v>45740</v>
      </c>
      <c r="N4131" s="1" t="s">
        <v>392</v>
      </c>
      <c r="O4131" s="1" t="s">
        <v>4374</v>
      </c>
      <c r="P4131" s="1" t="s">
        <v>192</v>
      </c>
      <c r="Q4131" s="1" t="s">
        <v>4029</v>
      </c>
      <c r="R4131" s="1" t="s">
        <v>44</v>
      </c>
      <c r="S4131" s="1" t="s">
        <v>4030</v>
      </c>
      <c r="T4131" s="1" t="s">
        <v>46</v>
      </c>
      <c r="U4131" s="1" t="n">
        <v>1000</v>
      </c>
      <c r="V4131" s="1" t="n">
        <v>1</v>
      </c>
      <c r="W4131" s="1" t="s">
        <v>4365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4358</v>
      </c>
      <c r="B4132" s="2" t="s">
        <v>4021</v>
      </c>
      <c r="C4132" s="1" t="s">
        <v>4359</v>
      </c>
      <c r="D4132" s="1" t="s">
        <v>14</v>
      </c>
      <c r="E4132" s="1" t="s">
        <v>4360</v>
      </c>
      <c r="F4132" s="1" t="s">
        <v>4024</v>
      </c>
      <c r="G4132" s="1" t="s">
        <v>4299</v>
      </c>
      <c r="H4132" s="2" t="s">
        <v>4332</v>
      </c>
      <c r="I4132" s="1" t="s">
        <v>4407</v>
      </c>
      <c r="J4132" s="1" t="s">
        <v>52</v>
      </c>
      <c r="K4132" s="1" t="s">
        <v>4332</v>
      </c>
      <c r="L4132" s="39" t="s">
        <v>46</v>
      </c>
      <c r="M4132" s="3" t="n">
        <v>45740</v>
      </c>
      <c r="N4132" s="1" t="s">
        <v>392</v>
      </c>
      <c r="O4132" s="1" t="s">
        <v>4374</v>
      </c>
      <c r="P4132" s="1" t="s">
        <v>192</v>
      </c>
      <c r="Q4132" s="1" t="s">
        <v>4029</v>
      </c>
      <c r="R4132" s="1" t="s">
        <v>44</v>
      </c>
      <c r="S4132" s="1" t="s">
        <v>4030</v>
      </c>
      <c r="T4132" s="1" t="s">
        <v>46</v>
      </c>
      <c r="U4132" s="1" t="n">
        <v>1000</v>
      </c>
      <c r="V4132" s="1" t="n">
        <v>2</v>
      </c>
      <c r="W4132" s="1" t="s">
        <v>4365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4358</v>
      </c>
      <c r="B4133" s="2" t="s">
        <v>4021</v>
      </c>
      <c r="C4133" s="1" t="s">
        <v>4359</v>
      </c>
      <c r="D4133" s="1" t="s">
        <v>14</v>
      </c>
      <c r="E4133" s="1" t="s">
        <v>4360</v>
      </c>
      <c r="F4133" s="1" t="s">
        <v>4024</v>
      </c>
      <c r="G4133" s="1" t="s">
        <v>4299</v>
      </c>
      <c r="H4133" s="2" t="s">
        <v>4334</v>
      </c>
      <c r="I4133" s="1" t="s">
        <v>4408</v>
      </c>
      <c r="J4133" s="1" t="s">
        <v>52</v>
      </c>
      <c r="K4133" s="1" t="s">
        <v>4334</v>
      </c>
      <c r="L4133" s="39" t="s">
        <v>46</v>
      </c>
      <c r="M4133" s="3" t="n">
        <v>45740</v>
      </c>
      <c r="N4133" s="1" t="s">
        <v>392</v>
      </c>
      <c r="O4133" s="1" t="s">
        <v>4374</v>
      </c>
      <c r="P4133" s="1" t="s">
        <v>192</v>
      </c>
      <c r="Q4133" s="1" t="s">
        <v>4029</v>
      </c>
      <c r="R4133" s="1" t="s">
        <v>44</v>
      </c>
      <c r="S4133" s="1" t="s">
        <v>4030</v>
      </c>
      <c r="T4133" s="1" t="s">
        <v>46</v>
      </c>
      <c r="U4133" s="1" t="n">
        <v>1000</v>
      </c>
      <c r="V4133" s="1" t="n">
        <v>3</v>
      </c>
      <c r="W4133" s="1" t="s">
        <v>4365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4358</v>
      </c>
      <c r="B4134" s="2" t="s">
        <v>4021</v>
      </c>
      <c r="C4134" s="1" t="s">
        <v>4359</v>
      </c>
      <c r="D4134" s="1" t="s">
        <v>14</v>
      </c>
      <c r="E4134" s="1" t="s">
        <v>4360</v>
      </c>
      <c r="F4134" s="1" t="s">
        <v>4024</v>
      </c>
      <c r="G4134" s="1" t="s">
        <v>4299</v>
      </c>
      <c r="H4134" s="2" t="s">
        <v>4409</v>
      </c>
      <c r="I4134" s="1" t="s">
        <v>4410</v>
      </c>
      <c r="J4134" s="1" t="s">
        <v>52</v>
      </c>
      <c r="K4134" s="1" t="s">
        <v>4409</v>
      </c>
      <c r="L4134" s="39" t="s">
        <v>46</v>
      </c>
      <c r="M4134" s="3" t="n">
        <v>45740</v>
      </c>
      <c r="N4134" s="1" t="s">
        <v>392</v>
      </c>
      <c r="O4134" s="1" t="s">
        <v>4379</v>
      </c>
      <c r="P4134" s="1" t="s">
        <v>192</v>
      </c>
      <c r="Q4134" s="1" t="s">
        <v>4029</v>
      </c>
      <c r="R4134" s="1" t="s">
        <v>44</v>
      </c>
      <c r="S4134" s="1" t="s">
        <v>4380</v>
      </c>
      <c r="T4134" s="1" t="s">
        <v>46</v>
      </c>
      <c r="U4134" s="1" t="n">
        <v>1000</v>
      </c>
      <c r="V4134" s="1" t="n">
        <v>1</v>
      </c>
      <c r="W4134" s="1" t="s">
        <v>4365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4358</v>
      </c>
      <c r="B4135" s="2" t="s">
        <v>4021</v>
      </c>
      <c r="C4135" s="1" t="s">
        <v>4359</v>
      </c>
      <c r="D4135" s="1" t="s">
        <v>14</v>
      </c>
      <c r="E4135" s="1" t="s">
        <v>4360</v>
      </c>
      <c r="F4135" s="1" t="s">
        <v>4024</v>
      </c>
      <c r="G4135" s="1" t="s">
        <v>4299</v>
      </c>
      <c r="H4135" s="2" t="s">
        <v>4411</v>
      </c>
      <c r="I4135" s="1" t="s">
        <v>4412</v>
      </c>
      <c r="J4135" s="1" t="s">
        <v>52</v>
      </c>
      <c r="K4135" s="1" t="s">
        <v>4411</v>
      </c>
      <c r="L4135" s="39" t="s">
        <v>46</v>
      </c>
      <c r="M4135" s="3" t="n">
        <v>45740</v>
      </c>
      <c r="N4135" s="1" t="s">
        <v>392</v>
      </c>
      <c r="O4135" s="1" t="s">
        <v>4379</v>
      </c>
      <c r="P4135" s="1" t="s">
        <v>192</v>
      </c>
      <c r="Q4135" s="1" t="s">
        <v>4029</v>
      </c>
      <c r="R4135" s="1" t="s">
        <v>44</v>
      </c>
      <c r="S4135" s="1" t="s">
        <v>4380</v>
      </c>
      <c r="T4135" s="1" t="s">
        <v>46</v>
      </c>
      <c r="U4135" s="1" t="n">
        <v>1000</v>
      </c>
      <c r="V4135" s="1" t="n">
        <v>2</v>
      </c>
      <c r="W4135" s="1" t="s">
        <v>4365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4358</v>
      </c>
      <c r="B4136" s="2" t="s">
        <v>4021</v>
      </c>
      <c r="C4136" s="1" t="s">
        <v>4359</v>
      </c>
      <c r="D4136" s="1" t="s">
        <v>14</v>
      </c>
      <c r="E4136" s="1" t="s">
        <v>4360</v>
      </c>
      <c r="F4136" s="1" t="s">
        <v>4024</v>
      </c>
      <c r="G4136" s="1" t="s">
        <v>4299</v>
      </c>
      <c r="H4136" s="2" t="s">
        <v>4413</v>
      </c>
      <c r="I4136" s="1" t="s">
        <v>4414</v>
      </c>
      <c r="J4136" s="1" t="s">
        <v>52</v>
      </c>
      <c r="K4136" s="1" t="s">
        <v>4413</v>
      </c>
      <c r="L4136" s="39" t="s">
        <v>46</v>
      </c>
      <c r="M4136" s="3" t="n">
        <v>45740</v>
      </c>
      <c r="N4136" s="1" t="s">
        <v>392</v>
      </c>
      <c r="O4136" s="1" t="s">
        <v>4379</v>
      </c>
      <c r="P4136" s="1" t="s">
        <v>192</v>
      </c>
      <c r="Q4136" s="1" t="s">
        <v>4029</v>
      </c>
      <c r="R4136" s="1" t="s">
        <v>44</v>
      </c>
      <c r="S4136" s="1" t="s">
        <v>4380</v>
      </c>
      <c r="T4136" s="1" t="s">
        <v>46</v>
      </c>
      <c r="U4136" s="1" t="n">
        <v>1000</v>
      </c>
      <c r="V4136" s="1" t="n">
        <v>3</v>
      </c>
      <c r="W4136" s="1" t="s">
        <v>4365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4358</v>
      </c>
      <c r="B4137" s="2" t="s">
        <v>4021</v>
      </c>
      <c r="C4137" s="1" t="s">
        <v>4359</v>
      </c>
      <c r="D4137" s="1" t="s">
        <v>14</v>
      </c>
      <c r="E4137" s="1" t="s">
        <v>4360</v>
      </c>
      <c r="F4137" s="1" t="s">
        <v>4024</v>
      </c>
      <c r="G4137" s="1" t="s">
        <v>4299</v>
      </c>
      <c r="H4137" s="2" t="s">
        <v>4336</v>
      </c>
      <c r="I4137" s="1" t="s">
        <v>4415</v>
      </c>
      <c r="J4137" s="1" t="s">
        <v>52</v>
      </c>
      <c r="K4137" s="1" t="s">
        <v>4336</v>
      </c>
      <c r="L4137" s="39" t="s">
        <v>46</v>
      </c>
      <c r="M4137" s="3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4365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4358</v>
      </c>
      <c r="B4138" s="2" t="s">
        <v>4021</v>
      </c>
      <c r="C4138" s="1" t="s">
        <v>4359</v>
      </c>
      <c r="D4138" s="1" t="s">
        <v>14</v>
      </c>
      <c r="E4138" s="1" t="s">
        <v>4360</v>
      </c>
      <c r="F4138" s="1" t="s">
        <v>4024</v>
      </c>
      <c r="G4138" s="1" t="s">
        <v>4299</v>
      </c>
      <c r="H4138" s="2" t="s">
        <v>4338</v>
      </c>
      <c r="I4138" s="1" t="s">
        <v>4416</v>
      </c>
      <c r="J4138" s="1" t="s">
        <v>52</v>
      </c>
      <c r="K4138" s="1" t="s">
        <v>4338</v>
      </c>
      <c r="L4138" s="39" t="s">
        <v>46</v>
      </c>
      <c r="M4138" s="3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4365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4358</v>
      </c>
      <c r="B4139" s="2" t="s">
        <v>4021</v>
      </c>
      <c r="C4139" s="1" t="s">
        <v>4359</v>
      </c>
      <c r="D4139" s="1" t="s">
        <v>14</v>
      </c>
      <c r="E4139" s="1" t="s">
        <v>4360</v>
      </c>
      <c r="F4139" s="1" t="s">
        <v>4024</v>
      </c>
      <c r="G4139" s="1" t="s">
        <v>4299</v>
      </c>
      <c r="H4139" s="2" t="s">
        <v>4340</v>
      </c>
      <c r="I4139" s="1" t="s">
        <v>4417</v>
      </c>
      <c r="J4139" s="1" t="s">
        <v>52</v>
      </c>
      <c r="K4139" s="1" t="s">
        <v>4340</v>
      </c>
      <c r="L4139" s="39" t="s">
        <v>46</v>
      </c>
      <c r="M4139" s="3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4365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4358</v>
      </c>
      <c r="B4140" s="2" t="s">
        <v>4021</v>
      </c>
      <c r="C4140" s="1" t="s">
        <v>4359</v>
      </c>
      <c r="D4140" s="1" t="s">
        <v>14</v>
      </c>
      <c r="E4140" s="1" t="s">
        <v>4360</v>
      </c>
      <c r="F4140" s="1" t="s">
        <v>4024</v>
      </c>
      <c r="G4140" s="1" t="s">
        <v>4299</v>
      </c>
      <c r="H4140" s="2" t="s">
        <v>4342</v>
      </c>
      <c r="I4140" s="1" t="s">
        <v>4418</v>
      </c>
      <c r="J4140" s="1" t="s">
        <v>52</v>
      </c>
      <c r="K4140" s="1" t="s">
        <v>4342</v>
      </c>
      <c r="L4140" s="39" t="s">
        <v>46</v>
      </c>
      <c r="M4140" s="3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4365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4358</v>
      </c>
      <c r="B4141" s="2" t="s">
        <v>4021</v>
      </c>
      <c r="C4141" s="1" t="s">
        <v>4359</v>
      </c>
      <c r="D4141" s="1" t="s">
        <v>14</v>
      </c>
      <c r="E4141" s="1" t="s">
        <v>4360</v>
      </c>
      <c r="F4141" s="1" t="s">
        <v>4024</v>
      </c>
      <c r="G4141" s="1" t="s">
        <v>4299</v>
      </c>
      <c r="H4141" s="2" t="s">
        <v>4344</v>
      </c>
      <c r="I4141" s="1" t="s">
        <v>4419</v>
      </c>
      <c r="J4141" s="1" t="s">
        <v>52</v>
      </c>
      <c r="K4141" s="1" t="s">
        <v>4344</v>
      </c>
      <c r="L4141" s="39" t="s">
        <v>46</v>
      </c>
      <c r="M4141" s="3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4365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4358</v>
      </c>
      <c r="B4142" s="2" t="s">
        <v>4021</v>
      </c>
      <c r="C4142" s="1" t="s">
        <v>4359</v>
      </c>
      <c r="D4142" s="1" t="s">
        <v>14</v>
      </c>
      <c r="E4142" s="1" t="s">
        <v>4360</v>
      </c>
      <c r="F4142" s="1" t="s">
        <v>4024</v>
      </c>
      <c r="G4142" s="1" t="s">
        <v>4299</v>
      </c>
      <c r="H4142" s="2" t="s">
        <v>4201</v>
      </c>
      <c r="I4142" s="1" t="s">
        <v>4420</v>
      </c>
      <c r="J4142" s="1" t="s">
        <v>52</v>
      </c>
      <c r="K4142" s="1" t="s">
        <v>4201</v>
      </c>
      <c r="L4142" s="39" t="s">
        <v>46</v>
      </c>
      <c r="M4142" s="3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4365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4358</v>
      </c>
      <c r="B4143" s="2" t="s">
        <v>4021</v>
      </c>
      <c r="C4143" s="1" t="s">
        <v>4359</v>
      </c>
      <c r="D4143" s="1" t="s">
        <v>14</v>
      </c>
      <c r="E4143" s="1" t="s">
        <v>4360</v>
      </c>
      <c r="F4143" s="1" t="s">
        <v>4024</v>
      </c>
      <c r="G4143" s="1" t="s">
        <v>4299</v>
      </c>
      <c r="H4143" s="2" t="s">
        <v>4203</v>
      </c>
      <c r="I4143" s="1" t="s">
        <v>4421</v>
      </c>
      <c r="J4143" s="1" t="s">
        <v>52</v>
      </c>
      <c r="K4143" s="1" t="s">
        <v>4203</v>
      </c>
      <c r="L4143" s="39" t="s">
        <v>46</v>
      </c>
      <c r="M4143" s="3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4365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4358</v>
      </c>
      <c r="B4144" s="2" t="s">
        <v>4021</v>
      </c>
      <c r="C4144" s="1" t="s">
        <v>4359</v>
      </c>
      <c r="D4144" s="1" t="s">
        <v>14</v>
      </c>
      <c r="E4144" s="1" t="s">
        <v>4360</v>
      </c>
      <c r="F4144" s="1" t="s">
        <v>4024</v>
      </c>
      <c r="G4144" s="1" t="s">
        <v>4299</v>
      </c>
      <c r="H4144" s="2" t="s">
        <v>4205</v>
      </c>
      <c r="I4144" s="1" t="s">
        <v>4422</v>
      </c>
      <c r="J4144" s="1" t="s">
        <v>52</v>
      </c>
      <c r="K4144" s="1" t="s">
        <v>4205</v>
      </c>
      <c r="L4144" s="39" t="s">
        <v>46</v>
      </c>
      <c r="M4144" s="3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4365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4358</v>
      </c>
      <c r="B4145" s="2" t="s">
        <v>4021</v>
      </c>
      <c r="C4145" s="1" t="s">
        <v>4359</v>
      </c>
      <c r="D4145" s="1" t="s">
        <v>14</v>
      </c>
      <c r="E4145" s="1" t="s">
        <v>4360</v>
      </c>
      <c r="F4145" s="1" t="s">
        <v>4024</v>
      </c>
      <c r="G4145" s="1" t="s">
        <v>4299</v>
      </c>
      <c r="H4145" s="2" t="s">
        <v>4207</v>
      </c>
      <c r="I4145" s="1" t="s">
        <v>4423</v>
      </c>
      <c r="J4145" s="1" t="s">
        <v>52</v>
      </c>
      <c r="K4145" s="1" t="s">
        <v>4207</v>
      </c>
      <c r="L4145" s="39" t="s">
        <v>46</v>
      </c>
      <c r="M4145" s="3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4365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4358</v>
      </c>
      <c r="B4146" s="2" t="s">
        <v>4021</v>
      </c>
      <c r="C4146" s="1" t="s">
        <v>4359</v>
      </c>
      <c r="D4146" s="1" t="s">
        <v>14</v>
      </c>
      <c r="E4146" s="1" t="s">
        <v>4360</v>
      </c>
      <c r="F4146" s="1" t="s">
        <v>4024</v>
      </c>
      <c r="G4146" s="1" t="s">
        <v>4299</v>
      </c>
      <c r="H4146" s="2" t="s">
        <v>4350</v>
      </c>
      <c r="I4146" s="1" t="s">
        <v>4424</v>
      </c>
      <c r="J4146" s="1" t="s">
        <v>52</v>
      </c>
      <c r="K4146" s="1" t="s">
        <v>4350</v>
      </c>
      <c r="L4146" s="39" t="s">
        <v>46</v>
      </c>
      <c r="M4146" s="3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4365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4358</v>
      </c>
      <c r="B4147" s="2" t="s">
        <v>4021</v>
      </c>
      <c r="C4147" s="1" t="s">
        <v>4359</v>
      </c>
      <c r="D4147" s="1" t="s">
        <v>14</v>
      </c>
      <c r="E4147" s="1" t="s">
        <v>4360</v>
      </c>
      <c r="F4147" s="1" t="s">
        <v>4024</v>
      </c>
      <c r="G4147" s="1" t="s">
        <v>4299</v>
      </c>
      <c r="H4147" s="2" t="s">
        <v>4209</v>
      </c>
      <c r="I4147" s="1" t="s">
        <v>4425</v>
      </c>
      <c r="J4147" s="1" t="s">
        <v>52</v>
      </c>
      <c r="K4147" s="1" t="s">
        <v>4209</v>
      </c>
      <c r="L4147" s="39" t="s">
        <v>46</v>
      </c>
      <c r="M4147" s="3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4365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4358</v>
      </c>
      <c r="B4148" s="2" t="s">
        <v>4021</v>
      </c>
      <c r="C4148" s="1" t="s">
        <v>4359</v>
      </c>
      <c r="D4148" s="1" t="s">
        <v>14</v>
      </c>
      <c r="E4148" s="1" t="s">
        <v>4360</v>
      </c>
      <c r="F4148" s="1" t="s">
        <v>4024</v>
      </c>
      <c r="G4148" s="1" t="s">
        <v>4299</v>
      </c>
      <c r="H4148" s="2" t="s">
        <v>4211</v>
      </c>
      <c r="I4148" s="1" t="s">
        <v>4426</v>
      </c>
      <c r="J4148" s="1" t="s">
        <v>52</v>
      </c>
      <c r="K4148" s="1" t="s">
        <v>4211</v>
      </c>
      <c r="L4148" s="39" t="s">
        <v>46</v>
      </c>
      <c r="M4148" s="3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4365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4358</v>
      </c>
      <c r="B4149" s="2" t="s">
        <v>4021</v>
      </c>
      <c r="C4149" s="1" t="s">
        <v>4359</v>
      </c>
      <c r="D4149" s="1" t="s">
        <v>14</v>
      </c>
      <c r="E4149" s="1" t="s">
        <v>4360</v>
      </c>
      <c r="F4149" s="1" t="s">
        <v>4024</v>
      </c>
      <c r="G4149" s="1" t="s">
        <v>4299</v>
      </c>
      <c r="H4149" s="2" t="s">
        <v>4213</v>
      </c>
      <c r="I4149" s="1" t="s">
        <v>4427</v>
      </c>
      <c r="J4149" s="1" t="s">
        <v>52</v>
      </c>
      <c r="K4149" s="1" t="s">
        <v>4213</v>
      </c>
      <c r="L4149" s="39" t="s">
        <v>46</v>
      </c>
      <c r="M4149" s="3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4365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4358</v>
      </c>
      <c r="B4150" s="2" t="s">
        <v>4021</v>
      </c>
      <c r="C4150" s="1" t="s">
        <v>4359</v>
      </c>
      <c r="D4150" s="1" t="s">
        <v>14</v>
      </c>
      <c r="E4150" s="1" t="s">
        <v>4360</v>
      </c>
      <c r="F4150" s="1" t="s">
        <v>4024</v>
      </c>
      <c r="G4150" s="1" t="s">
        <v>4299</v>
      </c>
      <c r="H4150" s="2" t="s">
        <v>4215</v>
      </c>
      <c r="I4150" s="1" t="s">
        <v>4428</v>
      </c>
      <c r="J4150" s="1" t="s">
        <v>52</v>
      </c>
      <c r="K4150" s="1" t="s">
        <v>4215</v>
      </c>
      <c r="L4150" s="39" t="s">
        <v>46</v>
      </c>
      <c r="M4150" s="3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4365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4358</v>
      </c>
      <c r="B4151" s="2" t="s">
        <v>4021</v>
      </c>
      <c r="C4151" s="1" t="s">
        <v>4359</v>
      </c>
      <c r="D4151" s="1" t="s">
        <v>14</v>
      </c>
      <c r="E4151" s="1" t="s">
        <v>4360</v>
      </c>
      <c r="F4151" s="1" t="s">
        <v>4024</v>
      </c>
      <c r="G4151" s="1" t="s">
        <v>4299</v>
      </c>
      <c r="H4151" s="2" t="s">
        <v>4356</v>
      </c>
      <c r="I4151" s="1" t="s">
        <v>4429</v>
      </c>
      <c r="J4151" s="1" t="s">
        <v>52</v>
      </c>
      <c r="K4151" s="1" t="s">
        <v>4356</v>
      </c>
      <c r="L4151" s="39" t="s">
        <v>46</v>
      </c>
      <c r="M4151" s="3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4365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4430</v>
      </c>
      <c r="B4152" s="2" t="s">
        <v>4021</v>
      </c>
      <c r="C4152" s="1" t="s">
        <v>4431</v>
      </c>
      <c r="D4152" s="1" t="s">
        <v>14</v>
      </c>
      <c r="E4152" s="1" t="s">
        <v>4432</v>
      </c>
      <c r="F4152" s="1" t="s">
        <v>4024</v>
      </c>
      <c r="G4152" s="1" t="s">
        <v>4025</v>
      </c>
      <c r="H4152" s="2" t="s">
        <v>4433</v>
      </c>
      <c r="I4152" s="1" t="s">
        <v>4434</v>
      </c>
      <c r="J4152" s="1" t="s">
        <v>52</v>
      </c>
      <c r="K4152" s="1" t="s">
        <v>4433</v>
      </c>
      <c r="L4152" s="39" t="s">
        <v>46</v>
      </c>
      <c r="M4152" s="3" t="n">
        <v>45377</v>
      </c>
      <c r="N4152" s="1" t="s">
        <v>392</v>
      </c>
      <c r="O4152" s="1" t="s">
        <v>4028</v>
      </c>
      <c r="P4152" s="1" t="s">
        <v>192</v>
      </c>
      <c r="Q4152" s="1" t="s">
        <v>4029</v>
      </c>
      <c r="R4152" s="1" t="s">
        <v>44</v>
      </c>
      <c r="S4152" s="1" t="s">
        <v>4030</v>
      </c>
      <c r="T4152" s="1" t="s">
        <v>46</v>
      </c>
      <c r="U4152" s="1" t="n">
        <v>1500</v>
      </c>
      <c r="V4152" s="1" t="n">
        <v>1</v>
      </c>
      <c r="W4152" s="1" t="s">
        <v>4365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4430</v>
      </c>
      <c r="B4153" s="2" t="s">
        <v>4021</v>
      </c>
      <c r="C4153" s="1" t="s">
        <v>4431</v>
      </c>
      <c r="D4153" s="1" t="s">
        <v>14</v>
      </c>
      <c r="E4153" s="1" t="s">
        <v>4432</v>
      </c>
      <c r="F4153" s="1" t="s">
        <v>4024</v>
      </c>
      <c r="G4153" s="1" t="s">
        <v>4025</v>
      </c>
      <c r="H4153" s="2" t="s">
        <v>4435</v>
      </c>
      <c r="I4153" s="1" t="s">
        <v>4436</v>
      </c>
      <c r="J4153" s="1" t="s">
        <v>52</v>
      </c>
      <c r="K4153" s="1" t="s">
        <v>4435</v>
      </c>
      <c r="L4153" s="39" t="s">
        <v>46</v>
      </c>
      <c r="M4153" s="3" t="n">
        <v>45377</v>
      </c>
      <c r="N4153" s="1" t="s">
        <v>392</v>
      </c>
      <c r="O4153" s="1" t="s">
        <v>4028</v>
      </c>
      <c r="P4153" s="1" t="s">
        <v>192</v>
      </c>
      <c r="Q4153" s="1" t="s">
        <v>4029</v>
      </c>
      <c r="R4153" s="1" t="s">
        <v>44</v>
      </c>
      <c r="S4153" s="1" t="s">
        <v>4030</v>
      </c>
      <c r="T4153" s="1" t="s">
        <v>46</v>
      </c>
      <c r="U4153" s="1" t="n">
        <v>1500</v>
      </c>
      <c r="V4153" s="1" t="n">
        <v>2</v>
      </c>
      <c r="W4153" s="1" t="s">
        <v>4365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4430</v>
      </c>
      <c r="B4154" s="2" t="s">
        <v>4021</v>
      </c>
      <c r="C4154" s="1" t="s">
        <v>4431</v>
      </c>
      <c r="D4154" s="1" t="s">
        <v>14</v>
      </c>
      <c r="E4154" s="1" t="s">
        <v>4432</v>
      </c>
      <c r="F4154" s="1" t="s">
        <v>4024</v>
      </c>
      <c r="G4154" s="1" t="s">
        <v>4025</v>
      </c>
      <c r="H4154" s="2" t="s">
        <v>4437</v>
      </c>
      <c r="I4154" s="1" t="s">
        <v>4438</v>
      </c>
      <c r="J4154" s="1" t="s">
        <v>52</v>
      </c>
      <c r="K4154" s="1" t="s">
        <v>4437</v>
      </c>
      <c r="L4154" s="39" t="s">
        <v>46</v>
      </c>
      <c r="M4154" s="3" t="n">
        <v>45377</v>
      </c>
      <c r="N4154" s="1" t="s">
        <v>392</v>
      </c>
      <c r="O4154" s="1" t="s">
        <v>4028</v>
      </c>
      <c r="P4154" s="1" t="s">
        <v>192</v>
      </c>
      <c r="Q4154" s="1" t="s">
        <v>4029</v>
      </c>
      <c r="R4154" s="1" t="s">
        <v>44</v>
      </c>
      <c r="S4154" s="1" t="s">
        <v>4030</v>
      </c>
      <c r="T4154" s="1" t="s">
        <v>46</v>
      </c>
      <c r="U4154" s="1" t="n">
        <v>1500</v>
      </c>
      <c r="V4154" s="1" t="n">
        <v>3</v>
      </c>
      <c r="W4154" s="1" t="s">
        <v>4365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4430</v>
      </c>
      <c r="B4155" s="2" t="s">
        <v>4021</v>
      </c>
      <c r="C4155" s="1" t="s">
        <v>4431</v>
      </c>
      <c r="D4155" s="1" t="s">
        <v>14</v>
      </c>
      <c r="E4155" s="1" t="s">
        <v>4432</v>
      </c>
      <c r="F4155" s="1" t="s">
        <v>4024</v>
      </c>
      <c r="G4155" s="1" t="s">
        <v>4025</v>
      </c>
      <c r="H4155" s="2" t="s">
        <v>4439</v>
      </c>
      <c r="I4155" s="1" t="s">
        <v>4440</v>
      </c>
      <c r="J4155" s="1" t="s">
        <v>52</v>
      </c>
      <c r="K4155" s="1" t="s">
        <v>4439</v>
      </c>
      <c r="L4155" s="39" t="s">
        <v>46</v>
      </c>
      <c r="M4155" s="3" t="n">
        <v>45413</v>
      </c>
      <c r="N4155" s="1" t="s">
        <v>392</v>
      </c>
      <c r="O4155" s="1" t="s">
        <v>4028</v>
      </c>
      <c r="P4155" s="1" t="s">
        <v>192</v>
      </c>
      <c r="Q4155" s="1" t="s">
        <v>4029</v>
      </c>
      <c r="R4155" s="1" t="s">
        <v>44</v>
      </c>
      <c r="S4155" s="1" t="s">
        <v>4030</v>
      </c>
      <c r="T4155" s="1" t="s">
        <v>46</v>
      </c>
      <c r="U4155" s="1" t="n">
        <v>800</v>
      </c>
      <c r="V4155" s="1" t="n">
        <v>1</v>
      </c>
      <c r="W4155" s="1" t="s">
        <v>4365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4430</v>
      </c>
      <c r="B4156" s="2" t="s">
        <v>4021</v>
      </c>
      <c r="C4156" s="1" t="s">
        <v>4431</v>
      </c>
      <c r="D4156" s="1" t="s">
        <v>14</v>
      </c>
      <c r="E4156" s="1" t="s">
        <v>4432</v>
      </c>
      <c r="F4156" s="1" t="s">
        <v>4024</v>
      </c>
      <c r="G4156" s="1" t="s">
        <v>4025</v>
      </c>
      <c r="H4156" s="2" t="s">
        <v>4441</v>
      </c>
      <c r="I4156" s="1" t="s">
        <v>4442</v>
      </c>
      <c r="J4156" s="1" t="s">
        <v>52</v>
      </c>
      <c r="K4156" s="1" t="s">
        <v>4441</v>
      </c>
      <c r="L4156" s="39" t="s">
        <v>46</v>
      </c>
      <c r="M4156" s="3" t="n">
        <v>45413</v>
      </c>
      <c r="N4156" s="1" t="s">
        <v>392</v>
      </c>
      <c r="O4156" s="1" t="s">
        <v>4028</v>
      </c>
      <c r="P4156" s="1" t="s">
        <v>192</v>
      </c>
      <c r="Q4156" s="1" t="s">
        <v>4029</v>
      </c>
      <c r="R4156" s="1" t="s">
        <v>44</v>
      </c>
      <c r="S4156" s="1" t="s">
        <v>4030</v>
      </c>
      <c r="T4156" s="1" t="s">
        <v>46</v>
      </c>
      <c r="U4156" s="1" t="n">
        <v>800</v>
      </c>
      <c r="V4156" s="1" t="n">
        <v>2</v>
      </c>
      <c r="W4156" s="1" t="s">
        <v>4365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4430</v>
      </c>
      <c r="B4157" s="2" t="s">
        <v>4021</v>
      </c>
      <c r="C4157" s="1" t="s">
        <v>4431</v>
      </c>
      <c r="D4157" s="1" t="s">
        <v>14</v>
      </c>
      <c r="E4157" s="1" t="s">
        <v>4432</v>
      </c>
      <c r="F4157" s="1" t="s">
        <v>4024</v>
      </c>
      <c r="G4157" s="1" t="s">
        <v>4025</v>
      </c>
      <c r="H4157" s="2" t="s">
        <v>4443</v>
      </c>
      <c r="I4157" s="1" t="s">
        <v>4444</v>
      </c>
      <c r="J4157" s="1" t="s">
        <v>52</v>
      </c>
      <c r="K4157" s="1" t="s">
        <v>4443</v>
      </c>
      <c r="L4157" s="39" t="s">
        <v>46</v>
      </c>
      <c r="M4157" s="3" t="n">
        <v>45413</v>
      </c>
      <c r="N4157" s="1" t="s">
        <v>392</v>
      </c>
      <c r="O4157" s="1" t="s">
        <v>4028</v>
      </c>
      <c r="P4157" s="1" t="s">
        <v>192</v>
      </c>
      <c r="Q4157" s="1" t="s">
        <v>4029</v>
      </c>
      <c r="R4157" s="1" t="s">
        <v>44</v>
      </c>
      <c r="S4157" s="1" t="s">
        <v>4030</v>
      </c>
      <c r="T4157" s="1" t="s">
        <v>46</v>
      </c>
      <c r="U4157" s="1" t="n">
        <v>800</v>
      </c>
      <c r="V4157" s="1" t="n">
        <v>3</v>
      </c>
      <c r="W4157" s="1" t="s">
        <v>4365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4430</v>
      </c>
      <c r="B4158" s="2" t="s">
        <v>4021</v>
      </c>
      <c r="C4158" s="1" t="s">
        <v>4431</v>
      </c>
      <c r="D4158" s="1" t="s">
        <v>14</v>
      </c>
      <c r="E4158" s="1" t="s">
        <v>4432</v>
      </c>
      <c r="F4158" s="1" t="s">
        <v>4024</v>
      </c>
      <c r="G4158" s="1" t="s">
        <v>4025</v>
      </c>
      <c r="H4158" s="2" t="s">
        <v>4445</v>
      </c>
      <c r="I4158" s="1" t="s">
        <v>4446</v>
      </c>
      <c r="J4158" s="1" t="s">
        <v>52</v>
      </c>
      <c r="K4158" s="1" t="s">
        <v>4445</v>
      </c>
      <c r="L4158" s="39" t="s">
        <v>46</v>
      </c>
      <c r="M4158" s="3" t="n">
        <v>45419</v>
      </c>
      <c r="N4158" s="1" t="s">
        <v>392</v>
      </c>
      <c r="O4158" s="1" t="s">
        <v>4363</v>
      </c>
      <c r="P4158" s="1" t="s">
        <v>43</v>
      </c>
      <c r="Q4158" s="1" t="s">
        <v>43</v>
      </c>
      <c r="R4158" s="1" t="s">
        <v>44</v>
      </c>
      <c r="S4158" s="1" t="s">
        <v>4364</v>
      </c>
      <c r="T4158" s="1" t="s">
        <v>46</v>
      </c>
      <c r="U4158" s="1" t="n">
        <v>800</v>
      </c>
      <c r="V4158" s="1" t="n">
        <v>1</v>
      </c>
      <c r="W4158" s="1" t="s">
        <v>4365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4430</v>
      </c>
      <c r="B4159" s="2" t="s">
        <v>4021</v>
      </c>
      <c r="C4159" s="1" t="s">
        <v>4431</v>
      </c>
      <c r="D4159" s="1" t="s">
        <v>14</v>
      </c>
      <c r="E4159" s="1" t="s">
        <v>4432</v>
      </c>
      <c r="F4159" s="1" t="s">
        <v>4024</v>
      </c>
      <c r="G4159" s="1" t="s">
        <v>4025</v>
      </c>
      <c r="H4159" s="2" t="s">
        <v>4447</v>
      </c>
      <c r="I4159" s="1" t="s">
        <v>4448</v>
      </c>
      <c r="J4159" s="1" t="s">
        <v>52</v>
      </c>
      <c r="K4159" s="1" t="s">
        <v>4447</v>
      </c>
      <c r="L4159" s="39" t="s">
        <v>46</v>
      </c>
      <c r="M4159" s="3" t="n">
        <v>45433</v>
      </c>
      <c r="N4159" s="1" t="s">
        <v>392</v>
      </c>
      <c r="O4159" s="1" t="s">
        <v>4363</v>
      </c>
      <c r="P4159" s="1" t="s">
        <v>43</v>
      </c>
      <c r="Q4159" s="1" t="s">
        <v>43</v>
      </c>
      <c r="R4159" s="1" t="s">
        <v>44</v>
      </c>
      <c r="S4159" s="1" t="s">
        <v>4364</v>
      </c>
      <c r="T4159" s="1" t="s">
        <v>46</v>
      </c>
      <c r="U4159" s="1" t="n">
        <v>800</v>
      </c>
      <c r="V4159" s="1" t="n">
        <v>1</v>
      </c>
      <c r="W4159" s="1" t="s">
        <v>4365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4430</v>
      </c>
      <c r="B4160" s="2" t="s">
        <v>4021</v>
      </c>
      <c r="C4160" s="1" t="s">
        <v>4431</v>
      </c>
      <c r="D4160" s="1" t="s">
        <v>14</v>
      </c>
      <c r="E4160" s="1" t="s">
        <v>4432</v>
      </c>
      <c r="F4160" s="1" t="s">
        <v>4024</v>
      </c>
      <c r="G4160" s="1" t="s">
        <v>4025</v>
      </c>
      <c r="H4160" s="2" t="s">
        <v>4449</v>
      </c>
      <c r="I4160" s="1" t="s">
        <v>4450</v>
      </c>
      <c r="J4160" s="1" t="s">
        <v>52</v>
      </c>
      <c r="K4160" s="1" t="s">
        <v>4449</v>
      </c>
      <c r="L4160" s="39" t="s">
        <v>46</v>
      </c>
      <c r="M4160" s="3" t="n">
        <v>45440</v>
      </c>
      <c r="N4160" s="1" t="s">
        <v>392</v>
      </c>
      <c r="O4160" s="1" t="s">
        <v>4363</v>
      </c>
      <c r="P4160" s="1" t="s">
        <v>43</v>
      </c>
      <c r="Q4160" s="1" t="s">
        <v>43</v>
      </c>
      <c r="R4160" s="1" t="s">
        <v>44</v>
      </c>
      <c r="S4160" s="1" t="s">
        <v>4364</v>
      </c>
      <c r="T4160" s="1" t="s">
        <v>46</v>
      </c>
      <c r="U4160" s="1" t="n">
        <v>800</v>
      </c>
      <c r="V4160" s="1" t="n">
        <v>1</v>
      </c>
      <c r="W4160" s="1" t="s">
        <v>4365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4430</v>
      </c>
      <c r="B4161" s="2" t="s">
        <v>4021</v>
      </c>
      <c r="C4161" s="1" t="s">
        <v>4431</v>
      </c>
      <c r="D4161" s="1" t="s">
        <v>14</v>
      </c>
      <c r="E4161" s="1" t="s">
        <v>4432</v>
      </c>
      <c r="F4161" s="1" t="s">
        <v>4024</v>
      </c>
      <c r="G4161" s="1" t="s">
        <v>4025</v>
      </c>
      <c r="H4161" s="2" t="s">
        <v>4136</v>
      </c>
      <c r="I4161" s="1" t="s">
        <v>4451</v>
      </c>
      <c r="J4161" s="1" t="s">
        <v>38</v>
      </c>
      <c r="K4161" s="1" t="s">
        <v>4136</v>
      </c>
      <c r="L4161" s="39" t="s">
        <v>46</v>
      </c>
      <c r="M4161" s="3" t="n">
        <v>45419</v>
      </c>
      <c r="N4161" s="1" t="s">
        <v>392</v>
      </c>
      <c r="O4161" s="1" t="s">
        <v>4034</v>
      </c>
      <c r="P4161" s="1" t="s">
        <v>43</v>
      </c>
      <c r="Q4161" s="1" t="s">
        <v>43</v>
      </c>
      <c r="R4161" s="1" t="s">
        <v>44</v>
      </c>
      <c r="S4161" s="1" t="s">
        <v>4035</v>
      </c>
      <c r="T4161" s="1" t="s">
        <v>46</v>
      </c>
      <c r="U4161" s="1" t="n">
        <v>800</v>
      </c>
      <c r="V4161" s="1" t="n">
        <v>1</v>
      </c>
      <c r="W4161" s="1" t="s">
        <v>4365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4430</v>
      </c>
      <c r="B4162" s="2" t="s">
        <v>4021</v>
      </c>
      <c r="C4162" s="1" t="s">
        <v>4431</v>
      </c>
      <c r="D4162" s="1" t="s">
        <v>14</v>
      </c>
      <c r="E4162" s="1" t="s">
        <v>4432</v>
      </c>
      <c r="F4162" s="1" t="s">
        <v>4024</v>
      </c>
      <c r="G4162" s="1" t="s">
        <v>4025</v>
      </c>
      <c r="H4162" s="2" t="s">
        <v>4139</v>
      </c>
      <c r="I4162" s="1" t="s">
        <v>4452</v>
      </c>
      <c r="J4162" s="1" t="s">
        <v>38</v>
      </c>
      <c r="K4162" s="1" t="s">
        <v>4139</v>
      </c>
      <c r="L4162" s="39" t="s">
        <v>46</v>
      </c>
      <c r="M4162" s="3" t="n">
        <v>45433</v>
      </c>
      <c r="N4162" s="1" t="s">
        <v>392</v>
      </c>
      <c r="O4162" s="1" t="s">
        <v>4034</v>
      </c>
      <c r="P4162" s="1" t="s">
        <v>43</v>
      </c>
      <c r="Q4162" s="1" t="s">
        <v>43</v>
      </c>
      <c r="R4162" s="1" t="s">
        <v>44</v>
      </c>
      <c r="S4162" s="1" t="s">
        <v>4035</v>
      </c>
      <c r="T4162" s="1" t="s">
        <v>46</v>
      </c>
      <c r="U4162" s="1" t="n">
        <v>800</v>
      </c>
      <c r="V4162" s="1" t="n">
        <v>1</v>
      </c>
      <c r="W4162" s="1" t="s">
        <v>4365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4430</v>
      </c>
      <c r="B4163" s="2" t="s">
        <v>4021</v>
      </c>
      <c r="C4163" s="1" t="s">
        <v>4431</v>
      </c>
      <c r="D4163" s="1" t="s">
        <v>14</v>
      </c>
      <c r="E4163" s="1" t="s">
        <v>4432</v>
      </c>
      <c r="F4163" s="1" t="s">
        <v>4024</v>
      </c>
      <c r="G4163" s="1" t="s">
        <v>4025</v>
      </c>
      <c r="H4163" s="2" t="s">
        <v>4141</v>
      </c>
      <c r="I4163" s="1" t="s">
        <v>4453</v>
      </c>
      <c r="J4163" s="1" t="s">
        <v>38</v>
      </c>
      <c r="K4163" s="1" t="s">
        <v>4141</v>
      </c>
      <c r="L4163" s="39" t="s">
        <v>46</v>
      </c>
      <c r="M4163" s="3" t="n">
        <v>45440</v>
      </c>
      <c r="N4163" s="1" t="s">
        <v>392</v>
      </c>
      <c r="O4163" s="1" t="s">
        <v>4034</v>
      </c>
      <c r="P4163" s="1" t="s">
        <v>43</v>
      </c>
      <c r="Q4163" s="1" t="s">
        <v>43</v>
      </c>
      <c r="R4163" s="1" t="s">
        <v>44</v>
      </c>
      <c r="S4163" s="1" t="s">
        <v>4035</v>
      </c>
      <c r="T4163" s="1" t="s">
        <v>46</v>
      </c>
      <c r="U4163" s="1" t="n">
        <v>800</v>
      </c>
      <c r="V4163" s="1" t="n">
        <v>1</v>
      </c>
      <c r="W4163" s="1" t="s">
        <v>4365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4430</v>
      </c>
      <c r="B4164" s="2" t="s">
        <v>4021</v>
      </c>
      <c r="C4164" s="1" t="s">
        <v>4431</v>
      </c>
      <c r="D4164" s="1" t="s">
        <v>14</v>
      </c>
      <c r="E4164" s="1" t="s">
        <v>4432</v>
      </c>
      <c r="F4164" s="1" t="s">
        <v>4024</v>
      </c>
      <c r="G4164" s="1" t="s">
        <v>4025</v>
      </c>
      <c r="H4164" s="2" t="s">
        <v>4454</v>
      </c>
      <c r="I4164" s="1" t="s">
        <v>4455</v>
      </c>
      <c r="J4164" s="1" t="s">
        <v>52</v>
      </c>
      <c r="K4164" s="1" t="s">
        <v>4454</v>
      </c>
      <c r="L4164" s="39" t="s">
        <v>46</v>
      </c>
      <c r="M4164" s="3" t="n">
        <v>45419</v>
      </c>
      <c r="N4164" s="1" t="s">
        <v>392</v>
      </c>
      <c r="O4164" s="1" t="s">
        <v>4227</v>
      </c>
      <c r="P4164" s="1" t="s">
        <v>43</v>
      </c>
      <c r="Q4164" s="1" t="s">
        <v>43</v>
      </c>
      <c r="R4164" s="1" t="s">
        <v>44</v>
      </c>
      <c r="S4164" s="1" t="s">
        <v>4030</v>
      </c>
      <c r="T4164" s="1" t="s">
        <v>46</v>
      </c>
      <c r="U4164" s="1" t="n">
        <v>800</v>
      </c>
      <c r="V4164" s="1" t="n">
        <v>1</v>
      </c>
      <c r="W4164" s="1" t="s">
        <v>4365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4430</v>
      </c>
      <c r="B4165" s="2" t="s">
        <v>4021</v>
      </c>
      <c r="C4165" s="1" t="s">
        <v>4431</v>
      </c>
      <c r="D4165" s="1" t="s">
        <v>14</v>
      </c>
      <c r="E4165" s="1" t="s">
        <v>4432</v>
      </c>
      <c r="F4165" s="1" t="s">
        <v>4024</v>
      </c>
      <c r="G4165" s="1" t="s">
        <v>4025</v>
      </c>
      <c r="H4165" s="2" t="s">
        <v>4456</v>
      </c>
      <c r="I4165" s="1" t="s">
        <v>4457</v>
      </c>
      <c r="J4165" s="1" t="s">
        <v>52</v>
      </c>
      <c r="K4165" s="1" t="s">
        <v>4456</v>
      </c>
      <c r="L4165" s="39" t="s">
        <v>46</v>
      </c>
      <c r="M4165" s="3" t="n">
        <v>45433</v>
      </c>
      <c r="N4165" s="1" t="s">
        <v>392</v>
      </c>
      <c r="O4165" s="1" t="s">
        <v>4227</v>
      </c>
      <c r="P4165" s="1" t="s">
        <v>43</v>
      </c>
      <c r="Q4165" s="1" t="s">
        <v>43</v>
      </c>
      <c r="R4165" s="1" t="s">
        <v>44</v>
      </c>
      <c r="S4165" s="1" t="s">
        <v>4030</v>
      </c>
      <c r="T4165" s="1" t="s">
        <v>46</v>
      </c>
      <c r="U4165" s="1" t="n">
        <v>800</v>
      </c>
      <c r="V4165" s="1" t="n">
        <v>1</v>
      </c>
      <c r="W4165" s="1" t="s">
        <v>4365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4430</v>
      </c>
      <c r="B4166" s="2" t="s">
        <v>4021</v>
      </c>
      <c r="C4166" s="1" t="s">
        <v>4431</v>
      </c>
      <c r="D4166" s="1" t="s">
        <v>14</v>
      </c>
      <c r="E4166" s="1" t="s">
        <v>4432</v>
      </c>
      <c r="F4166" s="1" t="s">
        <v>4024</v>
      </c>
      <c r="G4166" s="1" t="s">
        <v>4025</v>
      </c>
      <c r="H4166" s="2" t="s">
        <v>4458</v>
      </c>
      <c r="I4166" s="1" t="s">
        <v>4459</v>
      </c>
      <c r="J4166" s="1" t="s">
        <v>52</v>
      </c>
      <c r="K4166" s="1" t="s">
        <v>4458</v>
      </c>
      <c r="L4166" s="39" t="s">
        <v>46</v>
      </c>
      <c r="M4166" s="3" t="n">
        <v>45440</v>
      </c>
      <c r="N4166" s="1" t="s">
        <v>392</v>
      </c>
      <c r="O4166" s="1" t="s">
        <v>4227</v>
      </c>
      <c r="P4166" s="1" t="s">
        <v>43</v>
      </c>
      <c r="Q4166" s="1" t="s">
        <v>43</v>
      </c>
      <c r="R4166" s="1" t="s">
        <v>44</v>
      </c>
      <c r="S4166" s="1" t="s">
        <v>4030</v>
      </c>
      <c r="T4166" s="1" t="s">
        <v>46</v>
      </c>
      <c r="U4166" s="1" t="n">
        <v>800</v>
      </c>
      <c r="V4166" s="1" t="n">
        <v>1</v>
      </c>
      <c r="W4166" s="1" t="s">
        <v>4365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4430</v>
      </c>
      <c r="B4167" s="2" t="s">
        <v>4021</v>
      </c>
      <c r="C4167" s="1" t="s">
        <v>4431</v>
      </c>
      <c r="D4167" s="1" t="s">
        <v>14</v>
      </c>
      <c r="E4167" s="1" t="s">
        <v>4432</v>
      </c>
      <c r="F4167" s="1" t="s">
        <v>4024</v>
      </c>
      <c r="G4167" s="1" t="s">
        <v>4025</v>
      </c>
      <c r="H4167" s="2" t="s">
        <v>4460</v>
      </c>
      <c r="I4167" s="1" t="s">
        <v>4461</v>
      </c>
      <c r="J4167" s="1" t="s">
        <v>52</v>
      </c>
      <c r="K4167" s="1" t="s">
        <v>4460</v>
      </c>
      <c r="L4167" s="39" t="s">
        <v>46</v>
      </c>
      <c r="M4167" s="3" t="n">
        <v>45419</v>
      </c>
      <c r="N4167" s="1" t="s">
        <v>392</v>
      </c>
      <c r="O4167" s="1" t="s">
        <v>4379</v>
      </c>
      <c r="P4167" s="1" t="s">
        <v>43</v>
      </c>
      <c r="Q4167" s="1" t="s">
        <v>43</v>
      </c>
      <c r="R4167" s="1" t="s">
        <v>44</v>
      </c>
      <c r="S4167" s="1" t="s">
        <v>4380</v>
      </c>
      <c r="T4167" s="1" t="s">
        <v>46</v>
      </c>
      <c r="U4167" s="1" t="n">
        <v>800</v>
      </c>
      <c r="V4167" s="1" t="n">
        <v>1</v>
      </c>
      <c r="W4167" s="1" t="s">
        <v>4365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4430</v>
      </c>
      <c r="B4168" s="2" t="s">
        <v>4021</v>
      </c>
      <c r="C4168" s="1" t="s">
        <v>4431</v>
      </c>
      <c r="D4168" s="1" t="s">
        <v>14</v>
      </c>
      <c r="E4168" s="1" t="s">
        <v>4432</v>
      </c>
      <c r="F4168" s="1" t="s">
        <v>4024</v>
      </c>
      <c r="G4168" s="1" t="s">
        <v>4025</v>
      </c>
      <c r="H4168" s="2" t="s">
        <v>4462</v>
      </c>
      <c r="I4168" s="1" t="s">
        <v>4463</v>
      </c>
      <c r="J4168" s="1" t="s">
        <v>52</v>
      </c>
      <c r="K4168" s="1" t="s">
        <v>4462</v>
      </c>
      <c r="L4168" s="39" t="s">
        <v>46</v>
      </c>
      <c r="M4168" s="3" t="n">
        <v>45433</v>
      </c>
      <c r="N4168" s="1" t="s">
        <v>392</v>
      </c>
      <c r="O4168" s="1" t="s">
        <v>4379</v>
      </c>
      <c r="P4168" s="1" t="s">
        <v>43</v>
      </c>
      <c r="Q4168" s="1" t="s">
        <v>43</v>
      </c>
      <c r="R4168" s="1" t="s">
        <v>44</v>
      </c>
      <c r="S4168" s="1" t="s">
        <v>4380</v>
      </c>
      <c r="T4168" s="1" t="s">
        <v>46</v>
      </c>
      <c r="U4168" s="1" t="n">
        <v>800</v>
      </c>
      <c r="V4168" s="1" t="n">
        <v>1</v>
      </c>
      <c r="W4168" s="1" t="s">
        <v>4365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4430</v>
      </c>
      <c r="B4169" s="2" t="s">
        <v>4021</v>
      </c>
      <c r="C4169" s="1" t="s">
        <v>4431</v>
      </c>
      <c r="D4169" s="1" t="s">
        <v>14</v>
      </c>
      <c r="E4169" s="1" t="s">
        <v>4432</v>
      </c>
      <c r="F4169" s="1" t="s">
        <v>4024</v>
      </c>
      <c r="G4169" s="1" t="s">
        <v>4025</v>
      </c>
      <c r="H4169" s="2" t="s">
        <v>4464</v>
      </c>
      <c r="I4169" s="1" t="s">
        <v>4465</v>
      </c>
      <c r="J4169" s="1" t="s">
        <v>52</v>
      </c>
      <c r="K4169" s="1" t="s">
        <v>4464</v>
      </c>
      <c r="L4169" s="39" t="s">
        <v>46</v>
      </c>
      <c r="M4169" s="3" t="n">
        <v>45440</v>
      </c>
      <c r="N4169" s="1" t="s">
        <v>392</v>
      </c>
      <c r="O4169" s="1" t="s">
        <v>4379</v>
      </c>
      <c r="P4169" s="1" t="s">
        <v>43</v>
      </c>
      <c r="Q4169" s="1" t="s">
        <v>43</v>
      </c>
      <c r="R4169" s="1" t="s">
        <v>44</v>
      </c>
      <c r="S4169" s="1" t="s">
        <v>4380</v>
      </c>
      <c r="T4169" s="1" t="s">
        <v>46</v>
      </c>
      <c r="U4169" s="1" t="n">
        <v>800</v>
      </c>
      <c r="V4169" s="1" t="n">
        <v>1</v>
      </c>
      <c r="W4169" s="1" t="s">
        <v>4365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4430</v>
      </c>
      <c r="B4170" s="2" t="s">
        <v>4021</v>
      </c>
      <c r="C4170" s="1" t="s">
        <v>4431</v>
      </c>
      <c r="D4170" s="1" t="s">
        <v>14</v>
      </c>
      <c r="E4170" s="1" t="s">
        <v>4432</v>
      </c>
      <c r="F4170" s="1" t="s">
        <v>4024</v>
      </c>
      <c r="G4170" s="1" t="s">
        <v>4025</v>
      </c>
      <c r="H4170" s="2" t="s">
        <v>4169</v>
      </c>
      <c r="I4170" s="1" t="s">
        <v>4466</v>
      </c>
      <c r="J4170" s="1" t="s">
        <v>52</v>
      </c>
      <c r="K4170" s="1" t="s">
        <v>4169</v>
      </c>
      <c r="L4170" s="39" t="s">
        <v>46</v>
      </c>
      <c r="M4170" s="3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4365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4430</v>
      </c>
      <c r="B4171" s="2" t="s">
        <v>4021</v>
      </c>
      <c r="C4171" s="1" t="s">
        <v>4431</v>
      </c>
      <c r="D4171" s="1" t="s">
        <v>14</v>
      </c>
      <c r="E4171" s="1" t="s">
        <v>4432</v>
      </c>
      <c r="F4171" s="1" t="s">
        <v>4024</v>
      </c>
      <c r="G4171" s="1" t="s">
        <v>4025</v>
      </c>
      <c r="H4171" s="2" t="s">
        <v>4171</v>
      </c>
      <c r="I4171" s="1" t="s">
        <v>4467</v>
      </c>
      <c r="J4171" s="1" t="s">
        <v>52</v>
      </c>
      <c r="K4171" s="1" t="s">
        <v>4171</v>
      </c>
      <c r="L4171" s="39" t="s">
        <v>46</v>
      </c>
      <c r="M4171" s="3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4365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4430</v>
      </c>
      <c r="B4172" s="2" t="s">
        <v>4021</v>
      </c>
      <c r="C4172" s="1" t="s">
        <v>4431</v>
      </c>
      <c r="D4172" s="1" t="s">
        <v>14</v>
      </c>
      <c r="E4172" s="1" t="s">
        <v>4432</v>
      </c>
      <c r="F4172" s="1" t="s">
        <v>4024</v>
      </c>
      <c r="G4172" s="1" t="s">
        <v>4025</v>
      </c>
      <c r="H4172" s="2" t="s">
        <v>4173</v>
      </c>
      <c r="I4172" s="1" t="s">
        <v>4468</v>
      </c>
      <c r="J4172" s="1" t="s">
        <v>52</v>
      </c>
      <c r="K4172" s="1" t="s">
        <v>4173</v>
      </c>
      <c r="L4172" s="39" t="s">
        <v>46</v>
      </c>
      <c r="M4172" s="3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4365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4430</v>
      </c>
      <c r="B4173" s="2" t="s">
        <v>4021</v>
      </c>
      <c r="C4173" s="1" t="s">
        <v>4431</v>
      </c>
      <c r="D4173" s="1" t="s">
        <v>14</v>
      </c>
      <c r="E4173" s="1" t="s">
        <v>4432</v>
      </c>
      <c r="F4173" s="1" t="s">
        <v>4024</v>
      </c>
      <c r="G4173" s="1" t="s">
        <v>4025</v>
      </c>
      <c r="H4173" s="2" t="s">
        <v>4175</v>
      </c>
      <c r="I4173" s="1" t="s">
        <v>4469</v>
      </c>
      <c r="J4173" s="1" t="s">
        <v>52</v>
      </c>
      <c r="K4173" s="1" t="s">
        <v>4175</v>
      </c>
      <c r="L4173" s="39" t="s">
        <v>46</v>
      </c>
      <c r="M4173" s="3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4365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4430</v>
      </c>
      <c r="B4174" s="2" t="s">
        <v>4021</v>
      </c>
      <c r="C4174" s="1" t="s">
        <v>4431</v>
      </c>
      <c r="D4174" s="1" t="s">
        <v>14</v>
      </c>
      <c r="E4174" s="1" t="s">
        <v>4432</v>
      </c>
      <c r="F4174" s="1" t="s">
        <v>4024</v>
      </c>
      <c r="G4174" s="1" t="s">
        <v>4025</v>
      </c>
      <c r="H4174" s="2" t="s">
        <v>4177</v>
      </c>
      <c r="I4174" s="1" t="s">
        <v>4470</v>
      </c>
      <c r="J4174" s="1" t="s">
        <v>52</v>
      </c>
      <c r="K4174" s="1" t="s">
        <v>4177</v>
      </c>
      <c r="L4174" s="39" t="s">
        <v>46</v>
      </c>
      <c r="M4174" s="3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4365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4430</v>
      </c>
      <c r="B4175" s="2" t="s">
        <v>4021</v>
      </c>
      <c r="C4175" s="1" t="s">
        <v>4431</v>
      </c>
      <c r="D4175" s="1" t="s">
        <v>14</v>
      </c>
      <c r="E4175" s="1" t="s">
        <v>4432</v>
      </c>
      <c r="F4175" s="1" t="s">
        <v>4024</v>
      </c>
      <c r="G4175" s="1" t="s">
        <v>4025</v>
      </c>
      <c r="H4175" s="2" t="s">
        <v>4179</v>
      </c>
      <c r="I4175" s="1" t="s">
        <v>4471</v>
      </c>
      <c r="J4175" s="1" t="s">
        <v>52</v>
      </c>
      <c r="K4175" s="1" t="s">
        <v>4179</v>
      </c>
      <c r="L4175" s="39" t="s">
        <v>46</v>
      </c>
      <c r="M4175" s="3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4365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4430</v>
      </c>
      <c r="B4176" s="2" t="s">
        <v>4021</v>
      </c>
      <c r="C4176" s="1" t="s">
        <v>4431</v>
      </c>
      <c r="D4176" s="1" t="s">
        <v>14</v>
      </c>
      <c r="E4176" s="1" t="s">
        <v>4432</v>
      </c>
      <c r="F4176" s="1" t="s">
        <v>4024</v>
      </c>
      <c r="G4176" s="1" t="s">
        <v>4025</v>
      </c>
      <c r="H4176" s="2" t="s">
        <v>4181</v>
      </c>
      <c r="I4176" s="1" t="s">
        <v>4472</v>
      </c>
      <c r="J4176" s="1" t="s">
        <v>52</v>
      </c>
      <c r="K4176" s="1" t="s">
        <v>4181</v>
      </c>
      <c r="L4176" s="39" t="s">
        <v>46</v>
      </c>
      <c r="M4176" s="3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4365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4430</v>
      </c>
      <c r="B4177" s="2" t="s">
        <v>4021</v>
      </c>
      <c r="C4177" s="1" t="s">
        <v>4431</v>
      </c>
      <c r="D4177" s="1" t="s">
        <v>14</v>
      </c>
      <c r="E4177" s="1" t="s">
        <v>4432</v>
      </c>
      <c r="F4177" s="1" t="s">
        <v>4024</v>
      </c>
      <c r="G4177" s="1" t="s">
        <v>4025</v>
      </c>
      <c r="H4177" s="2" t="s">
        <v>4183</v>
      </c>
      <c r="I4177" s="1" t="s">
        <v>4473</v>
      </c>
      <c r="J4177" s="1" t="s">
        <v>52</v>
      </c>
      <c r="K4177" s="1" t="s">
        <v>4183</v>
      </c>
      <c r="L4177" s="39" t="s">
        <v>46</v>
      </c>
      <c r="M4177" s="3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4365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4430</v>
      </c>
      <c r="B4178" s="2" t="s">
        <v>4021</v>
      </c>
      <c r="C4178" s="1" t="s">
        <v>4431</v>
      </c>
      <c r="D4178" s="1" t="s">
        <v>14</v>
      </c>
      <c r="E4178" s="1" t="s">
        <v>4432</v>
      </c>
      <c r="F4178" s="1" t="s">
        <v>4024</v>
      </c>
      <c r="G4178" s="1" t="s">
        <v>4025</v>
      </c>
      <c r="H4178" s="2" t="s">
        <v>4185</v>
      </c>
      <c r="I4178" s="1" t="s">
        <v>4474</v>
      </c>
      <c r="J4178" s="1" t="s">
        <v>52</v>
      </c>
      <c r="K4178" s="1" t="s">
        <v>4185</v>
      </c>
      <c r="L4178" s="39" t="s">
        <v>46</v>
      </c>
      <c r="M4178" s="3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4365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4430</v>
      </c>
      <c r="B4179" s="2" t="s">
        <v>4021</v>
      </c>
      <c r="C4179" s="1" t="s">
        <v>4431</v>
      </c>
      <c r="D4179" s="1" t="s">
        <v>14</v>
      </c>
      <c r="E4179" s="1" t="s">
        <v>4432</v>
      </c>
      <c r="F4179" s="1" t="s">
        <v>4024</v>
      </c>
      <c r="G4179" s="1" t="s">
        <v>4025</v>
      </c>
      <c r="H4179" s="2" t="s">
        <v>4187</v>
      </c>
      <c r="I4179" s="1" t="s">
        <v>4475</v>
      </c>
      <c r="J4179" s="1" t="s">
        <v>52</v>
      </c>
      <c r="K4179" s="1" t="s">
        <v>4187</v>
      </c>
      <c r="L4179" s="39" t="s">
        <v>46</v>
      </c>
      <c r="M4179" s="3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4365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4430</v>
      </c>
      <c r="B4180" s="2" t="s">
        <v>4021</v>
      </c>
      <c r="C4180" s="1" t="s">
        <v>4431</v>
      </c>
      <c r="D4180" s="1" t="s">
        <v>14</v>
      </c>
      <c r="E4180" s="1" t="s">
        <v>4432</v>
      </c>
      <c r="F4180" s="1" t="s">
        <v>4024</v>
      </c>
      <c r="G4180" s="1" t="s">
        <v>4025</v>
      </c>
      <c r="H4180" s="2" t="s">
        <v>4189</v>
      </c>
      <c r="I4180" s="1" t="s">
        <v>4476</v>
      </c>
      <c r="J4180" s="1" t="s">
        <v>52</v>
      </c>
      <c r="K4180" s="1" t="s">
        <v>4189</v>
      </c>
      <c r="L4180" s="39" t="s">
        <v>46</v>
      </c>
      <c r="M4180" s="3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4365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4430</v>
      </c>
      <c r="B4181" s="2" t="s">
        <v>4021</v>
      </c>
      <c r="C4181" s="1" t="s">
        <v>4431</v>
      </c>
      <c r="D4181" s="1" t="s">
        <v>14</v>
      </c>
      <c r="E4181" s="1" t="s">
        <v>4432</v>
      </c>
      <c r="F4181" s="1" t="s">
        <v>4024</v>
      </c>
      <c r="G4181" s="1" t="s">
        <v>4025</v>
      </c>
      <c r="H4181" s="2" t="s">
        <v>4191</v>
      </c>
      <c r="I4181" s="1" t="s">
        <v>4477</v>
      </c>
      <c r="J4181" s="1" t="s">
        <v>52</v>
      </c>
      <c r="K4181" s="1" t="s">
        <v>4191</v>
      </c>
      <c r="L4181" s="39" t="s">
        <v>46</v>
      </c>
      <c r="M4181" s="3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4365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4430</v>
      </c>
      <c r="B4182" s="2" t="s">
        <v>4021</v>
      </c>
      <c r="C4182" s="1" t="s">
        <v>4431</v>
      </c>
      <c r="D4182" s="1" t="s">
        <v>14</v>
      </c>
      <c r="E4182" s="1" t="s">
        <v>4432</v>
      </c>
      <c r="F4182" s="1" t="s">
        <v>4024</v>
      </c>
      <c r="G4182" s="1" t="s">
        <v>4025</v>
      </c>
      <c r="H4182" s="2" t="s">
        <v>4193</v>
      </c>
      <c r="I4182" s="1" t="s">
        <v>4478</v>
      </c>
      <c r="J4182" s="1" t="s">
        <v>52</v>
      </c>
      <c r="K4182" s="1" t="s">
        <v>4193</v>
      </c>
      <c r="L4182" s="39" t="s">
        <v>46</v>
      </c>
      <c r="M4182" s="3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4365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4430</v>
      </c>
      <c r="B4183" s="2" t="s">
        <v>4021</v>
      </c>
      <c r="C4183" s="1" t="s">
        <v>4431</v>
      </c>
      <c r="D4183" s="1" t="s">
        <v>14</v>
      </c>
      <c r="E4183" s="1" t="s">
        <v>4432</v>
      </c>
      <c r="F4183" s="1" t="s">
        <v>4024</v>
      </c>
      <c r="G4183" s="1" t="s">
        <v>4025</v>
      </c>
      <c r="H4183" s="2" t="s">
        <v>4195</v>
      </c>
      <c r="I4183" s="1" t="s">
        <v>4479</v>
      </c>
      <c r="J4183" s="1" t="s">
        <v>52</v>
      </c>
      <c r="K4183" s="1" t="s">
        <v>4195</v>
      </c>
      <c r="L4183" s="39" t="s">
        <v>46</v>
      </c>
      <c r="M4183" s="3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4365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4430</v>
      </c>
      <c r="B4184" s="2" t="s">
        <v>4021</v>
      </c>
      <c r="C4184" s="1" t="s">
        <v>4431</v>
      </c>
      <c r="D4184" s="1" t="s">
        <v>14</v>
      </c>
      <c r="E4184" s="1" t="s">
        <v>4432</v>
      </c>
      <c r="F4184" s="1" t="s">
        <v>4024</v>
      </c>
      <c r="G4184" s="1" t="s">
        <v>4025</v>
      </c>
      <c r="H4184" s="2" t="s">
        <v>4197</v>
      </c>
      <c r="I4184" s="1" t="s">
        <v>4480</v>
      </c>
      <c r="J4184" s="1" t="s">
        <v>52</v>
      </c>
      <c r="K4184" s="1" t="s">
        <v>4197</v>
      </c>
      <c r="L4184" s="39" t="s">
        <v>46</v>
      </c>
      <c r="M4184" s="3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4365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4430</v>
      </c>
      <c r="B4185" s="2" t="s">
        <v>4021</v>
      </c>
      <c r="C4185" s="1" t="s">
        <v>4431</v>
      </c>
      <c r="D4185" s="1" t="s">
        <v>14</v>
      </c>
      <c r="E4185" s="1" t="s">
        <v>4432</v>
      </c>
      <c r="F4185" s="1" t="s">
        <v>4024</v>
      </c>
      <c r="G4185" s="1" t="s">
        <v>4025</v>
      </c>
      <c r="H4185" s="2" t="s">
        <v>4199</v>
      </c>
      <c r="I4185" s="1" t="s">
        <v>4481</v>
      </c>
      <c r="J4185" s="1" t="s">
        <v>52</v>
      </c>
      <c r="K4185" s="1" t="s">
        <v>4199</v>
      </c>
      <c r="L4185" s="39" t="s">
        <v>46</v>
      </c>
      <c r="M4185" s="3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4365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4482</v>
      </c>
      <c r="B4186" s="2" t="s">
        <v>4021</v>
      </c>
      <c r="C4186" s="1" t="s">
        <v>4483</v>
      </c>
      <c r="D4186" s="1" t="s">
        <v>14</v>
      </c>
      <c r="E4186" s="1" t="s">
        <v>4484</v>
      </c>
      <c r="F4186" s="1" t="s">
        <v>4024</v>
      </c>
      <c r="G4186" s="1" t="s">
        <v>4144</v>
      </c>
      <c r="H4186" s="2" t="s">
        <v>4485</v>
      </c>
      <c r="I4186" s="1" t="s">
        <v>4486</v>
      </c>
      <c r="J4186" s="1" t="s">
        <v>38</v>
      </c>
      <c r="K4186" s="1" t="s">
        <v>4485</v>
      </c>
      <c r="L4186" s="39" t="s">
        <v>46</v>
      </c>
      <c r="M4186" s="3" t="n">
        <v>45566</v>
      </c>
      <c r="N4186" s="1" t="s">
        <v>392</v>
      </c>
      <c r="O4186" s="1" t="s">
        <v>4028</v>
      </c>
      <c r="P4186" s="1" t="s">
        <v>192</v>
      </c>
      <c r="Q4186" s="1" t="s">
        <v>4029</v>
      </c>
      <c r="R4186" s="1" t="s">
        <v>44</v>
      </c>
      <c r="S4186" s="1" t="s">
        <v>4030</v>
      </c>
      <c r="T4186" s="1" t="s">
        <v>46</v>
      </c>
      <c r="U4186" s="1" t="n">
        <v>1000</v>
      </c>
      <c r="V4186" s="1" t="n">
        <v>1</v>
      </c>
      <c r="W4186" s="1" t="s">
        <v>4487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4482</v>
      </c>
      <c r="B4187" s="2" t="s">
        <v>4021</v>
      </c>
      <c r="C4187" s="1" t="s">
        <v>4483</v>
      </c>
      <c r="D4187" s="1" t="s">
        <v>14</v>
      </c>
      <c r="E4187" s="1" t="s">
        <v>4484</v>
      </c>
      <c r="F4187" s="1" t="s">
        <v>4024</v>
      </c>
      <c r="G4187" s="1" t="s">
        <v>4144</v>
      </c>
      <c r="H4187" s="2" t="s">
        <v>4488</v>
      </c>
      <c r="I4187" s="1" t="s">
        <v>4489</v>
      </c>
      <c r="J4187" s="1" t="s">
        <v>38</v>
      </c>
      <c r="K4187" s="1" t="s">
        <v>4488</v>
      </c>
      <c r="L4187" s="39" t="s">
        <v>46</v>
      </c>
      <c r="M4187" s="3" t="n">
        <v>45566</v>
      </c>
      <c r="N4187" s="1" t="s">
        <v>392</v>
      </c>
      <c r="O4187" s="1" t="s">
        <v>4028</v>
      </c>
      <c r="P4187" s="1" t="s">
        <v>192</v>
      </c>
      <c r="Q4187" s="1" t="s">
        <v>4029</v>
      </c>
      <c r="R4187" s="1" t="s">
        <v>44</v>
      </c>
      <c r="S4187" s="1" t="s">
        <v>4030</v>
      </c>
      <c r="T4187" s="1" t="s">
        <v>46</v>
      </c>
      <c r="U4187" s="1" t="n">
        <v>1000</v>
      </c>
      <c r="V4187" s="1" t="n">
        <v>2</v>
      </c>
      <c r="W4187" s="1" t="s">
        <v>4487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4482</v>
      </c>
      <c r="B4188" s="2" t="s">
        <v>4021</v>
      </c>
      <c r="C4188" s="1" t="s">
        <v>4483</v>
      </c>
      <c r="D4188" s="1" t="s">
        <v>14</v>
      </c>
      <c r="E4188" s="1" t="s">
        <v>4484</v>
      </c>
      <c r="F4188" s="1" t="s">
        <v>4024</v>
      </c>
      <c r="G4188" s="1" t="s">
        <v>4144</v>
      </c>
      <c r="H4188" s="2" t="s">
        <v>4490</v>
      </c>
      <c r="I4188" s="1" t="s">
        <v>4491</v>
      </c>
      <c r="J4188" s="1" t="s">
        <v>38</v>
      </c>
      <c r="K4188" s="1" t="s">
        <v>4490</v>
      </c>
      <c r="L4188" s="39" t="s">
        <v>46</v>
      </c>
      <c r="M4188" s="3" t="n">
        <v>45566</v>
      </c>
      <c r="N4188" s="1" t="s">
        <v>392</v>
      </c>
      <c r="O4188" s="1" t="s">
        <v>4028</v>
      </c>
      <c r="P4188" s="1" t="s">
        <v>192</v>
      </c>
      <c r="Q4188" s="1" t="s">
        <v>4029</v>
      </c>
      <c r="R4188" s="1" t="s">
        <v>44</v>
      </c>
      <c r="S4188" s="1" t="s">
        <v>4030</v>
      </c>
      <c r="T4188" s="1" t="s">
        <v>46</v>
      </c>
      <c r="U4188" s="1" t="n">
        <v>1000</v>
      </c>
      <c r="V4188" s="1" t="n">
        <v>3</v>
      </c>
      <c r="W4188" s="1" t="s">
        <v>4487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4482</v>
      </c>
      <c r="B4189" s="2" t="s">
        <v>4021</v>
      </c>
      <c r="C4189" s="1" t="s">
        <v>4483</v>
      </c>
      <c r="D4189" s="1" t="s">
        <v>14</v>
      </c>
      <c r="E4189" s="1" t="s">
        <v>4484</v>
      </c>
      <c r="F4189" s="1" t="s">
        <v>4024</v>
      </c>
      <c r="G4189" s="1" t="s">
        <v>4144</v>
      </c>
      <c r="H4189" s="2" t="s">
        <v>4492</v>
      </c>
      <c r="I4189" s="1" t="s">
        <v>4493</v>
      </c>
      <c r="J4189" s="1" t="s">
        <v>52</v>
      </c>
      <c r="K4189" s="1" t="s">
        <v>4492</v>
      </c>
      <c r="L4189" s="39" t="s">
        <v>46</v>
      </c>
      <c r="M4189" s="3" t="n">
        <v>45566</v>
      </c>
      <c r="N4189" s="1" t="s">
        <v>392</v>
      </c>
      <c r="O4189" s="1" t="s">
        <v>4494</v>
      </c>
      <c r="P4189" s="1" t="s">
        <v>192</v>
      </c>
      <c r="Q4189" s="1" t="s">
        <v>4029</v>
      </c>
      <c r="R4189" s="1" t="s">
        <v>44</v>
      </c>
      <c r="S4189" s="1" t="s">
        <v>4380</v>
      </c>
      <c r="T4189" s="1" t="s">
        <v>46</v>
      </c>
      <c r="U4189" s="1" t="n">
        <v>1000</v>
      </c>
      <c r="V4189" s="1" t="n">
        <v>1</v>
      </c>
      <c r="W4189" s="1" t="s">
        <v>4487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4482</v>
      </c>
      <c r="B4190" s="2" t="s">
        <v>4021</v>
      </c>
      <c r="C4190" s="1" t="s">
        <v>4483</v>
      </c>
      <c r="D4190" s="1" t="s">
        <v>14</v>
      </c>
      <c r="E4190" s="1" t="s">
        <v>4484</v>
      </c>
      <c r="F4190" s="1" t="s">
        <v>4024</v>
      </c>
      <c r="G4190" s="1" t="s">
        <v>4144</v>
      </c>
      <c r="H4190" s="2" t="s">
        <v>4495</v>
      </c>
      <c r="I4190" s="1" t="s">
        <v>4496</v>
      </c>
      <c r="J4190" s="1" t="s">
        <v>52</v>
      </c>
      <c r="K4190" s="1" t="s">
        <v>4495</v>
      </c>
      <c r="L4190" s="39" t="s">
        <v>46</v>
      </c>
      <c r="M4190" s="3" t="n">
        <v>45566</v>
      </c>
      <c r="N4190" s="1" t="s">
        <v>392</v>
      </c>
      <c r="O4190" s="1" t="s">
        <v>4494</v>
      </c>
      <c r="P4190" s="1" t="s">
        <v>192</v>
      </c>
      <c r="Q4190" s="1" t="s">
        <v>4029</v>
      </c>
      <c r="R4190" s="1" t="s">
        <v>44</v>
      </c>
      <c r="S4190" s="1" t="s">
        <v>4380</v>
      </c>
      <c r="T4190" s="1" t="s">
        <v>46</v>
      </c>
      <c r="U4190" s="1" t="n">
        <v>1000</v>
      </c>
      <c r="V4190" s="1" t="n">
        <v>2</v>
      </c>
      <c r="W4190" s="1" t="s">
        <v>4487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4482</v>
      </c>
      <c r="B4191" s="2" t="s">
        <v>4021</v>
      </c>
      <c r="C4191" s="1" t="s">
        <v>4483</v>
      </c>
      <c r="D4191" s="1" t="s">
        <v>14</v>
      </c>
      <c r="E4191" s="1" t="s">
        <v>4484</v>
      </c>
      <c r="F4191" s="1" t="s">
        <v>4024</v>
      </c>
      <c r="G4191" s="1" t="s">
        <v>4144</v>
      </c>
      <c r="H4191" s="2" t="s">
        <v>4497</v>
      </c>
      <c r="I4191" s="1" t="s">
        <v>4498</v>
      </c>
      <c r="J4191" s="1" t="s">
        <v>52</v>
      </c>
      <c r="K4191" s="1" t="s">
        <v>4497</v>
      </c>
      <c r="L4191" s="39" t="s">
        <v>46</v>
      </c>
      <c r="M4191" s="3" t="n">
        <v>45566</v>
      </c>
      <c r="N4191" s="1" t="s">
        <v>392</v>
      </c>
      <c r="O4191" s="1" t="s">
        <v>4494</v>
      </c>
      <c r="P4191" s="1" t="s">
        <v>192</v>
      </c>
      <c r="Q4191" s="1" t="s">
        <v>4029</v>
      </c>
      <c r="R4191" s="1" t="s">
        <v>44</v>
      </c>
      <c r="S4191" s="1" t="s">
        <v>4380</v>
      </c>
      <c r="T4191" s="1" t="s">
        <v>46</v>
      </c>
      <c r="U4191" s="1" t="n">
        <v>1000</v>
      </c>
      <c r="V4191" s="1" t="n">
        <v>3</v>
      </c>
      <c r="W4191" s="1" t="s">
        <v>4487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4482</v>
      </c>
      <c r="B4192" s="2" t="s">
        <v>4021</v>
      </c>
      <c r="C4192" s="1" t="s">
        <v>4483</v>
      </c>
      <c r="D4192" s="1" t="s">
        <v>14</v>
      </c>
      <c r="E4192" s="1" t="s">
        <v>4484</v>
      </c>
      <c r="F4192" s="1" t="s">
        <v>4024</v>
      </c>
      <c r="G4192" s="1" t="s">
        <v>4144</v>
      </c>
      <c r="H4192" s="2" t="s">
        <v>4499</v>
      </c>
      <c r="I4192" s="1" t="s">
        <v>4500</v>
      </c>
      <c r="J4192" s="1" t="s">
        <v>38</v>
      </c>
      <c r="K4192" s="1" t="s">
        <v>4499</v>
      </c>
      <c r="L4192" s="39" t="s">
        <v>46</v>
      </c>
      <c r="M4192" s="3" t="n">
        <v>45573</v>
      </c>
      <c r="N4192" s="1" t="s">
        <v>392</v>
      </c>
      <c r="O4192" s="1" t="s">
        <v>4028</v>
      </c>
      <c r="P4192" s="1" t="s">
        <v>192</v>
      </c>
      <c r="Q4192" s="1" t="s">
        <v>4029</v>
      </c>
      <c r="R4192" s="1" t="s">
        <v>44</v>
      </c>
      <c r="S4192" s="1" t="s">
        <v>4030</v>
      </c>
      <c r="T4192" s="1" t="s">
        <v>46</v>
      </c>
      <c r="U4192" s="1" t="n">
        <v>1000</v>
      </c>
      <c r="V4192" s="1" t="n">
        <v>1</v>
      </c>
      <c r="W4192" s="1" t="s">
        <v>4487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4482</v>
      </c>
      <c r="B4193" s="2" t="s">
        <v>4021</v>
      </c>
      <c r="C4193" s="1" t="s">
        <v>4483</v>
      </c>
      <c r="D4193" s="1" t="s">
        <v>14</v>
      </c>
      <c r="E4193" s="1" t="s">
        <v>4484</v>
      </c>
      <c r="F4193" s="1" t="s">
        <v>4024</v>
      </c>
      <c r="G4193" s="1" t="s">
        <v>4144</v>
      </c>
      <c r="H4193" s="2" t="s">
        <v>4501</v>
      </c>
      <c r="I4193" s="1" t="s">
        <v>4502</v>
      </c>
      <c r="J4193" s="1" t="s">
        <v>38</v>
      </c>
      <c r="K4193" s="1" t="s">
        <v>4501</v>
      </c>
      <c r="L4193" s="39" t="s">
        <v>46</v>
      </c>
      <c r="M4193" s="3" t="n">
        <v>45573</v>
      </c>
      <c r="N4193" s="1" t="s">
        <v>392</v>
      </c>
      <c r="O4193" s="1" t="s">
        <v>4028</v>
      </c>
      <c r="P4193" s="1" t="s">
        <v>192</v>
      </c>
      <c r="Q4193" s="1" t="s">
        <v>4029</v>
      </c>
      <c r="R4193" s="1" t="s">
        <v>44</v>
      </c>
      <c r="S4193" s="1" t="s">
        <v>4030</v>
      </c>
      <c r="T4193" s="1" t="s">
        <v>46</v>
      </c>
      <c r="U4193" s="1" t="n">
        <v>1000</v>
      </c>
      <c r="V4193" s="1" t="n">
        <v>2</v>
      </c>
      <c r="W4193" s="1" t="s">
        <v>4487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4482</v>
      </c>
      <c r="B4194" s="2" t="s">
        <v>4021</v>
      </c>
      <c r="C4194" s="1" t="s">
        <v>4483</v>
      </c>
      <c r="D4194" s="1" t="s">
        <v>14</v>
      </c>
      <c r="E4194" s="1" t="s">
        <v>4484</v>
      </c>
      <c r="F4194" s="1" t="s">
        <v>4024</v>
      </c>
      <c r="G4194" s="1" t="s">
        <v>4144</v>
      </c>
      <c r="H4194" s="2" t="s">
        <v>4503</v>
      </c>
      <c r="I4194" s="1" t="s">
        <v>4504</v>
      </c>
      <c r="J4194" s="1" t="s">
        <v>38</v>
      </c>
      <c r="K4194" s="1" t="s">
        <v>4503</v>
      </c>
      <c r="L4194" s="39" t="s">
        <v>46</v>
      </c>
      <c r="M4194" s="3" t="n">
        <v>45573</v>
      </c>
      <c r="N4194" s="1" t="s">
        <v>392</v>
      </c>
      <c r="O4194" s="1" t="s">
        <v>4028</v>
      </c>
      <c r="P4194" s="1" t="s">
        <v>192</v>
      </c>
      <c r="Q4194" s="1" t="s">
        <v>4029</v>
      </c>
      <c r="R4194" s="1" t="s">
        <v>44</v>
      </c>
      <c r="S4194" s="1" t="s">
        <v>4030</v>
      </c>
      <c r="T4194" s="1" t="s">
        <v>46</v>
      </c>
      <c r="U4194" s="1" t="n">
        <v>1000</v>
      </c>
      <c r="V4194" s="1" t="n">
        <v>3</v>
      </c>
      <c r="W4194" s="1" t="s">
        <v>4487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4482</v>
      </c>
      <c r="B4195" s="2" t="s">
        <v>4021</v>
      </c>
      <c r="C4195" s="1" t="s">
        <v>4483</v>
      </c>
      <c r="D4195" s="1" t="s">
        <v>14</v>
      </c>
      <c r="E4195" s="1" t="s">
        <v>4484</v>
      </c>
      <c r="F4195" s="1" t="s">
        <v>4024</v>
      </c>
      <c r="G4195" s="1" t="s">
        <v>4144</v>
      </c>
      <c r="H4195" s="2" t="s">
        <v>4505</v>
      </c>
      <c r="I4195" s="1" t="s">
        <v>4506</v>
      </c>
      <c r="J4195" s="1" t="s">
        <v>52</v>
      </c>
      <c r="K4195" s="1" t="s">
        <v>4505</v>
      </c>
      <c r="L4195" s="39" t="s">
        <v>46</v>
      </c>
      <c r="M4195" s="3" t="n">
        <v>45573</v>
      </c>
      <c r="N4195" s="1" t="s">
        <v>392</v>
      </c>
      <c r="O4195" s="1" t="s">
        <v>4494</v>
      </c>
      <c r="P4195" s="1" t="s">
        <v>192</v>
      </c>
      <c r="Q4195" s="1" t="s">
        <v>4029</v>
      </c>
      <c r="R4195" s="1" t="s">
        <v>44</v>
      </c>
      <c r="S4195" s="1" t="s">
        <v>4380</v>
      </c>
      <c r="T4195" s="1" t="s">
        <v>46</v>
      </c>
      <c r="U4195" s="1" t="n">
        <v>1000</v>
      </c>
      <c r="V4195" s="1" t="n">
        <v>1</v>
      </c>
      <c r="W4195" s="1" t="s">
        <v>4487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4482</v>
      </c>
      <c r="B4196" s="2" t="s">
        <v>4021</v>
      </c>
      <c r="C4196" s="1" t="s">
        <v>4483</v>
      </c>
      <c r="D4196" s="1" t="s">
        <v>14</v>
      </c>
      <c r="E4196" s="1" t="s">
        <v>4484</v>
      </c>
      <c r="F4196" s="1" t="s">
        <v>4024</v>
      </c>
      <c r="G4196" s="1" t="s">
        <v>4144</v>
      </c>
      <c r="H4196" s="2" t="s">
        <v>4507</v>
      </c>
      <c r="I4196" s="1" t="s">
        <v>4508</v>
      </c>
      <c r="J4196" s="1" t="s">
        <v>52</v>
      </c>
      <c r="K4196" s="1" t="s">
        <v>4507</v>
      </c>
      <c r="L4196" s="39" t="s">
        <v>46</v>
      </c>
      <c r="M4196" s="3" t="n">
        <v>45573</v>
      </c>
      <c r="N4196" s="1" t="s">
        <v>392</v>
      </c>
      <c r="O4196" s="1" t="s">
        <v>4494</v>
      </c>
      <c r="P4196" s="1" t="s">
        <v>192</v>
      </c>
      <c r="Q4196" s="1" t="s">
        <v>4029</v>
      </c>
      <c r="R4196" s="1" t="s">
        <v>44</v>
      </c>
      <c r="S4196" s="1" t="s">
        <v>4380</v>
      </c>
      <c r="T4196" s="1" t="s">
        <v>46</v>
      </c>
      <c r="U4196" s="1" t="n">
        <v>1000</v>
      </c>
      <c r="V4196" s="1" t="n">
        <v>2</v>
      </c>
      <c r="W4196" s="1" t="s">
        <v>4487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4482</v>
      </c>
      <c r="B4197" s="2" t="s">
        <v>4021</v>
      </c>
      <c r="C4197" s="1" t="s">
        <v>4483</v>
      </c>
      <c r="D4197" s="1" t="s">
        <v>14</v>
      </c>
      <c r="E4197" s="1" t="s">
        <v>4484</v>
      </c>
      <c r="F4197" s="1" t="s">
        <v>4024</v>
      </c>
      <c r="G4197" s="1" t="s">
        <v>4144</v>
      </c>
      <c r="H4197" s="2" t="s">
        <v>4509</v>
      </c>
      <c r="I4197" s="1" t="s">
        <v>4510</v>
      </c>
      <c r="J4197" s="1" t="s">
        <v>52</v>
      </c>
      <c r="K4197" s="1" t="s">
        <v>4509</v>
      </c>
      <c r="L4197" s="39" t="s">
        <v>46</v>
      </c>
      <c r="M4197" s="3" t="n">
        <v>45573</v>
      </c>
      <c r="N4197" s="1" t="s">
        <v>392</v>
      </c>
      <c r="O4197" s="1" t="s">
        <v>4494</v>
      </c>
      <c r="P4197" s="1" t="s">
        <v>192</v>
      </c>
      <c r="Q4197" s="1" t="s">
        <v>4029</v>
      </c>
      <c r="R4197" s="1" t="s">
        <v>44</v>
      </c>
      <c r="S4197" s="1" t="s">
        <v>4380</v>
      </c>
      <c r="T4197" s="1" t="s">
        <v>46</v>
      </c>
      <c r="U4197" s="1" t="n">
        <v>1000</v>
      </c>
      <c r="V4197" s="1" t="n">
        <v>3</v>
      </c>
      <c r="W4197" s="1" t="s">
        <v>4487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4482</v>
      </c>
      <c r="B4198" s="2" t="s">
        <v>4021</v>
      </c>
      <c r="C4198" s="1" t="s">
        <v>4483</v>
      </c>
      <c r="D4198" s="1" t="s">
        <v>14</v>
      </c>
      <c r="E4198" s="1" t="s">
        <v>4484</v>
      </c>
      <c r="F4198" s="1" t="s">
        <v>4024</v>
      </c>
      <c r="G4198" s="1" t="s">
        <v>4144</v>
      </c>
      <c r="H4198" s="2" t="s">
        <v>4511</v>
      </c>
      <c r="I4198" s="1" t="s">
        <v>4512</v>
      </c>
      <c r="J4198" s="1" t="s">
        <v>38</v>
      </c>
      <c r="K4198" s="1" t="s">
        <v>4511</v>
      </c>
      <c r="L4198" s="39" t="s">
        <v>46</v>
      </c>
      <c r="M4198" s="3" t="n">
        <v>45580</v>
      </c>
      <c r="N4198" s="1" t="s">
        <v>392</v>
      </c>
      <c r="O4198" s="1" t="s">
        <v>4028</v>
      </c>
      <c r="P4198" s="1" t="s">
        <v>192</v>
      </c>
      <c r="Q4198" s="1" t="s">
        <v>4029</v>
      </c>
      <c r="R4198" s="1" t="s">
        <v>44</v>
      </c>
      <c r="S4198" s="1" t="s">
        <v>4030</v>
      </c>
      <c r="T4198" s="1" t="s">
        <v>46</v>
      </c>
      <c r="U4198" s="1" t="n">
        <v>601</v>
      </c>
      <c r="V4198" s="1" t="n">
        <v>1</v>
      </c>
      <c r="W4198" s="1" t="s">
        <v>4487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4482</v>
      </c>
      <c r="B4199" s="2" t="s">
        <v>4021</v>
      </c>
      <c r="C4199" s="1" t="s">
        <v>4483</v>
      </c>
      <c r="D4199" s="1" t="s">
        <v>14</v>
      </c>
      <c r="E4199" s="1" t="s">
        <v>4484</v>
      </c>
      <c r="F4199" s="1" t="s">
        <v>4024</v>
      </c>
      <c r="G4199" s="1" t="s">
        <v>4144</v>
      </c>
      <c r="H4199" s="2" t="s">
        <v>4513</v>
      </c>
      <c r="I4199" s="1" t="s">
        <v>4514</v>
      </c>
      <c r="J4199" s="1" t="s">
        <v>38</v>
      </c>
      <c r="K4199" s="1" t="s">
        <v>4513</v>
      </c>
      <c r="L4199" s="39" t="s">
        <v>46</v>
      </c>
      <c r="M4199" s="3" t="n">
        <v>45580</v>
      </c>
      <c r="N4199" s="1" t="s">
        <v>392</v>
      </c>
      <c r="O4199" s="1" t="s">
        <v>4028</v>
      </c>
      <c r="P4199" s="1" t="s">
        <v>192</v>
      </c>
      <c r="Q4199" s="1" t="s">
        <v>4029</v>
      </c>
      <c r="R4199" s="1" t="s">
        <v>44</v>
      </c>
      <c r="S4199" s="1" t="s">
        <v>4030</v>
      </c>
      <c r="T4199" s="1" t="s">
        <v>46</v>
      </c>
      <c r="U4199" s="1" t="n">
        <v>573</v>
      </c>
      <c r="V4199" s="1" t="n">
        <v>2</v>
      </c>
      <c r="W4199" s="1" t="s">
        <v>4487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4482</v>
      </c>
      <c r="B4200" s="2" t="s">
        <v>4021</v>
      </c>
      <c r="C4200" s="1" t="s">
        <v>4483</v>
      </c>
      <c r="D4200" s="1" t="s">
        <v>14</v>
      </c>
      <c r="E4200" s="1" t="s">
        <v>4484</v>
      </c>
      <c r="F4200" s="1" t="s">
        <v>4024</v>
      </c>
      <c r="G4200" s="1" t="s">
        <v>4144</v>
      </c>
      <c r="H4200" s="2" t="s">
        <v>4515</v>
      </c>
      <c r="I4200" s="1" t="s">
        <v>4516</v>
      </c>
      <c r="J4200" s="1" t="s">
        <v>52</v>
      </c>
      <c r="K4200" s="1" t="s">
        <v>4515</v>
      </c>
      <c r="L4200" s="39" t="s">
        <v>46</v>
      </c>
      <c r="M4200" s="3" t="n">
        <v>45580</v>
      </c>
      <c r="N4200" s="1" t="s">
        <v>392</v>
      </c>
      <c r="O4200" s="1" t="s">
        <v>4494</v>
      </c>
      <c r="P4200" s="1" t="s">
        <v>192</v>
      </c>
      <c r="Q4200" s="1" t="s">
        <v>4029</v>
      </c>
      <c r="R4200" s="1" t="s">
        <v>44</v>
      </c>
      <c r="S4200" s="1" t="s">
        <v>4380</v>
      </c>
      <c r="T4200" s="1" t="s">
        <v>46</v>
      </c>
      <c r="U4200" s="1" t="n">
        <v>428</v>
      </c>
      <c r="V4200" s="1" t="n">
        <v>1</v>
      </c>
      <c r="W4200" s="1" t="s">
        <v>4487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4482</v>
      </c>
      <c r="B4201" s="2" t="s">
        <v>4021</v>
      </c>
      <c r="C4201" s="1" t="s">
        <v>4483</v>
      </c>
      <c r="D4201" s="1" t="s">
        <v>14</v>
      </c>
      <c r="E4201" s="1" t="s">
        <v>4484</v>
      </c>
      <c r="F4201" s="1" t="s">
        <v>4024</v>
      </c>
      <c r="G4201" s="1" t="s">
        <v>4144</v>
      </c>
      <c r="H4201" s="2" t="s">
        <v>4517</v>
      </c>
      <c r="I4201" s="1" t="s">
        <v>4518</v>
      </c>
      <c r="J4201" s="1" t="s">
        <v>52</v>
      </c>
      <c r="K4201" s="1" t="s">
        <v>4517</v>
      </c>
      <c r="L4201" s="39" t="s">
        <v>46</v>
      </c>
      <c r="M4201" s="3" t="n">
        <v>45580</v>
      </c>
      <c r="N4201" s="1" t="s">
        <v>392</v>
      </c>
      <c r="O4201" s="1" t="s">
        <v>4494</v>
      </c>
      <c r="P4201" s="1" t="s">
        <v>192</v>
      </c>
      <c r="Q4201" s="1" t="s">
        <v>4029</v>
      </c>
      <c r="R4201" s="1" t="s">
        <v>44</v>
      </c>
      <c r="S4201" s="1" t="s">
        <v>4380</v>
      </c>
      <c r="T4201" s="1" t="s">
        <v>46</v>
      </c>
      <c r="U4201" s="1" t="n">
        <v>638</v>
      </c>
      <c r="V4201" s="1" t="n">
        <v>2</v>
      </c>
      <c r="W4201" s="1" t="s">
        <v>4487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4482</v>
      </c>
      <c r="B4202" s="2" t="s">
        <v>4021</v>
      </c>
      <c r="C4202" s="1" t="s">
        <v>4483</v>
      </c>
      <c r="D4202" s="1" t="s">
        <v>14</v>
      </c>
      <c r="E4202" s="1" t="s">
        <v>4484</v>
      </c>
      <c r="F4202" s="1" t="s">
        <v>4024</v>
      </c>
      <c r="G4202" s="1" t="s">
        <v>4144</v>
      </c>
      <c r="H4202" s="2" t="s">
        <v>4519</v>
      </c>
      <c r="I4202" s="1" t="s">
        <v>4520</v>
      </c>
      <c r="J4202" s="1" t="s">
        <v>52</v>
      </c>
      <c r="K4202" s="1" t="s">
        <v>4519</v>
      </c>
      <c r="L4202" s="39" t="s">
        <v>46</v>
      </c>
      <c r="M4202" s="3" t="n">
        <v>45580</v>
      </c>
      <c r="N4202" s="1" t="s">
        <v>392</v>
      </c>
      <c r="O4202" s="1" t="s">
        <v>4494</v>
      </c>
      <c r="P4202" s="1" t="s">
        <v>192</v>
      </c>
      <c r="Q4202" s="1" t="s">
        <v>4029</v>
      </c>
      <c r="R4202" s="1" t="s">
        <v>44</v>
      </c>
      <c r="S4202" s="1" t="s">
        <v>4380</v>
      </c>
      <c r="T4202" s="1" t="s">
        <v>46</v>
      </c>
      <c r="U4202" s="1" t="n">
        <v>747</v>
      </c>
      <c r="V4202" s="1" t="n">
        <v>3</v>
      </c>
      <c r="W4202" s="1" t="s">
        <v>4487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4482</v>
      </c>
      <c r="B4203" s="2" t="s">
        <v>4021</v>
      </c>
      <c r="C4203" s="1" t="s">
        <v>4483</v>
      </c>
      <c r="D4203" s="1" t="s">
        <v>14</v>
      </c>
      <c r="E4203" s="1" t="s">
        <v>4484</v>
      </c>
      <c r="F4203" s="1" t="s">
        <v>4024</v>
      </c>
      <c r="G4203" s="1" t="s">
        <v>4144</v>
      </c>
      <c r="H4203" s="2" t="s">
        <v>4201</v>
      </c>
      <c r="I4203" s="1" t="s">
        <v>4521</v>
      </c>
      <c r="J4203" s="1" t="s">
        <v>52</v>
      </c>
      <c r="K4203" s="1" t="s">
        <v>4201</v>
      </c>
      <c r="L4203" s="39" t="s">
        <v>46</v>
      </c>
      <c r="M4203" s="3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4487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4482</v>
      </c>
      <c r="B4204" s="2" t="s">
        <v>4021</v>
      </c>
      <c r="C4204" s="1" t="s">
        <v>4483</v>
      </c>
      <c r="D4204" s="1" t="s">
        <v>14</v>
      </c>
      <c r="E4204" s="1" t="s">
        <v>4484</v>
      </c>
      <c r="F4204" s="1" t="s">
        <v>4024</v>
      </c>
      <c r="G4204" s="1" t="s">
        <v>4144</v>
      </c>
      <c r="H4204" s="2" t="s">
        <v>4203</v>
      </c>
      <c r="I4204" s="1" t="s">
        <v>4522</v>
      </c>
      <c r="J4204" s="1" t="s">
        <v>52</v>
      </c>
      <c r="K4204" s="1" t="s">
        <v>4203</v>
      </c>
      <c r="L4204" s="39" t="s">
        <v>46</v>
      </c>
      <c r="M4204" s="3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4487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4482</v>
      </c>
      <c r="B4205" s="2" t="s">
        <v>4021</v>
      </c>
      <c r="C4205" s="1" t="s">
        <v>4483</v>
      </c>
      <c r="D4205" s="1" t="s">
        <v>14</v>
      </c>
      <c r="E4205" s="1" t="s">
        <v>4484</v>
      </c>
      <c r="F4205" s="1" t="s">
        <v>4024</v>
      </c>
      <c r="G4205" s="1" t="s">
        <v>4144</v>
      </c>
      <c r="H4205" s="2" t="s">
        <v>4205</v>
      </c>
      <c r="I4205" s="1" t="s">
        <v>4523</v>
      </c>
      <c r="J4205" s="1" t="s">
        <v>52</v>
      </c>
      <c r="K4205" s="1" t="s">
        <v>4205</v>
      </c>
      <c r="L4205" s="39" t="s">
        <v>46</v>
      </c>
      <c r="M4205" s="3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4487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4482</v>
      </c>
      <c r="B4206" s="2" t="s">
        <v>4021</v>
      </c>
      <c r="C4206" s="1" t="s">
        <v>4483</v>
      </c>
      <c r="D4206" s="1" t="s">
        <v>14</v>
      </c>
      <c r="E4206" s="1" t="s">
        <v>4484</v>
      </c>
      <c r="F4206" s="1" t="s">
        <v>4024</v>
      </c>
      <c r="G4206" s="1" t="s">
        <v>4144</v>
      </c>
      <c r="H4206" s="2" t="s">
        <v>4207</v>
      </c>
      <c r="I4206" s="1" t="s">
        <v>4524</v>
      </c>
      <c r="J4206" s="1" t="s">
        <v>52</v>
      </c>
      <c r="K4206" s="1" t="s">
        <v>4207</v>
      </c>
      <c r="L4206" s="39" t="s">
        <v>46</v>
      </c>
      <c r="M4206" s="3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4487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4482</v>
      </c>
      <c r="B4207" s="2" t="s">
        <v>4021</v>
      </c>
      <c r="C4207" s="1" t="s">
        <v>4483</v>
      </c>
      <c r="D4207" s="1" t="s">
        <v>14</v>
      </c>
      <c r="E4207" s="1" t="s">
        <v>4484</v>
      </c>
      <c r="F4207" s="1" t="s">
        <v>4024</v>
      </c>
      <c r="G4207" s="1" t="s">
        <v>4144</v>
      </c>
      <c r="H4207" s="2" t="s">
        <v>4209</v>
      </c>
      <c r="I4207" s="1" t="s">
        <v>4525</v>
      </c>
      <c r="J4207" s="1" t="s">
        <v>52</v>
      </c>
      <c r="K4207" s="1" t="s">
        <v>4209</v>
      </c>
      <c r="L4207" s="39" t="s">
        <v>46</v>
      </c>
      <c r="M4207" s="3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4487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4482</v>
      </c>
      <c r="B4208" s="2" t="s">
        <v>4021</v>
      </c>
      <c r="C4208" s="1" t="s">
        <v>4483</v>
      </c>
      <c r="D4208" s="1" t="s">
        <v>14</v>
      </c>
      <c r="E4208" s="1" t="s">
        <v>4484</v>
      </c>
      <c r="F4208" s="1" t="s">
        <v>4024</v>
      </c>
      <c r="G4208" s="1" t="s">
        <v>4144</v>
      </c>
      <c r="H4208" s="2" t="s">
        <v>4211</v>
      </c>
      <c r="I4208" s="1" t="s">
        <v>4526</v>
      </c>
      <c r="J4208" s="1" t="s">
        <v>52</v>
      </c>
      <c r="K4208" s="1" t="s">
        <v>4211</v>
      </c>
      <c r="L4208" s="39" t="s">
        <v>46</v>
      </c>
      <c r="M4208" s="3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4487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4482</v>
      </c>
      <c r="B4209" s="2" t="s">
        <v>4021</v>
      </c>
      <c r="C4209" s="1" t="s">
        <v>4483</v>
      </c>
      <c r="D4209" s="1" t="s">
        <v>14</v>
      </c>
      <c r="E4209" s="1" t="s">
        <v>4484</v>
      </c>
      <c r="F4209" s="1" t="s">
        <v>4024</v>
      </c>
      <c r="G4209" s="1" t="s">
        <v>4144</v>
      </c>
      <c r="H4209" s="2" t="s">
        <v>4213</v>
      </c>
      <c r="I4209" s="1" t="s">
        <v>4527</v>
      </c>
      <c r="J4209" s="1" t="s">
        <v>52</v>
      </c>
      <c r="K4209" s="1" t="s">
        <v>4213</v>
      </c>
      <c r="L4209" s="39" t="s">
        <v>46</v>
      </c>
      <c r="M4209" s="3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4487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4482</v>
      </c>
      <c r="B4210" s="2" t="s">
        <v>4021</v>
      </c>
      <c r="C4210" s="1" t="s">
        <v>4483</v>
      </c>
      <c r="D4210" s="1" t="s">
        <v>14</v>
      </c>
      <c r="E4210" s="1" t="s">
        <v>4484</v>
      </c>
      <c r="F4210" s="1" t="s">
        <v>4024</v>
      </c>
      <c r="G4210" s="1" t="s">
        <v>4144</v>
      </c>
      <c r="H4210" s="2" t="s">
        <v>4215</v>
      </c>
      <c r="I4210" s="1" t="s">
        <v>4528</v>
      </c>
      <c r="J4210" s="1" t="s">
        <v>52</v>
      </c>
      <c r="K4210" s="1" t="s">
        <v>4215</v>
      </c>
      <c r="L4210" s="39" t="s">
        <v>46</v>
      </c>
      <c r="M4210" s="3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4487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4529</v>
      </c>
      <c r="B4211" s="2" t="s">
        <v>4021</v>
      </c>
      <c r="C4211" s="1" t="s">
        <v>4530</v>
      </c>
      <c r="D4211" s="1" t="s">
        <v>14</v>
      </c>
      <c r="E4211" s="1" t="s">
        <v>4531</v>
      </c>
      <c r="F4211" s="1" t="s">
        <v>4024</v>
      </c>
      <c r="G4211" s="1" t="s">
        <v>4025</v>
      </c>
      <c r="H4211" s="2" t="s">
        <v>4433</v>
      </c>
      <c r="I4211" s="1" t="s">
        <v>4532</v>
      </c>
      <c r="J4211" s="1" t="s">
        <v>52</v>
      </c>
      <c r="K4211" s="1" t="s">
        <v>4433</v>
      </c>
      <c r="L4211" s="39" t="s">
        <v>46</v>
      </c>
      <c r="M4211" s="3" t="n">
        <v>45377</v>
      </c>
      <c r="N4211" s="1" t="s">
        <v>392</v>
      </c>
      <c r="O4211" s="1" t="s">
        <v>4028</v>
      </c>
      <c r="P4211" s="1" t="s">
        <v>192</v>
      </c>
      <c r="Q4211" s="1" t="s">
        <v>4029</v>
      </c>
      <c r="R4211" s="1" t="s">
        <v>44</v>
      </c>
      <c r="S4211" s="1" t="s">
        <v>4030</v>
      </c>
      <c r="T4211" s="1" t="s">
        <v>46</v>
      </c>
      <c r="U4211" s="1" t="n">
        <v>1500</v>
      </c>
      <c r="V4211" s="1" t="n">
        <v>1</v>
      </c>
      <c r="W4211" s="1" t="s">
        <v>4533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4529</v>
      </c>
      <c r="B4212" s="2" t="s">
        <v>4021</v>
      </c>
      <c r="C4212" s="1" t="s">
        <v>4530</v>
      </c>
      <c r="D4212" s="1" t="s">
        <v>14</v>
      </c>
      <c r="E4212" s="1" t="s">
        <v>4531</v>
      </c>
      <c r="F4212" s="1" t="s">
        <v>4024</v>
      </c>
      <c r="G4212" s="1" t="s">
        <v>4025</v>
      </c>
      <c r="H4212" s="2" t="s">
        <v>4435</v>
      </c>
      <c r="I4212" s="1" t="s">
        <v>4534</v>
      </c>
      <c r="J4212" s="1" t="s">
        <v>52</v>
      </c>
      <c r="K4212" s="1" t="s">
        <v>4435</v>
      </c>
      <c r="L4212" s="39" t="s">
        <v>46</v>
      </c>
      <c r="M4212" s="3" t="n">
        <v>45377</v>
      </c>
      <c r="N4212" s="1" t="s">
        <v>392</v>
      </c>
      <c r="O4212" s="1" t="s">
        <v>4028</v>
      </c>
      <c r="P4212" s="1" t="s">
        <v>192</v>
      </c>
      <c r="Q4212" s="1" t="s">
        <v>4029</v>
      </c>
      <c r="R4212" s="1" t="s">
        <v>44</v>
      </c>
      <c r="S4212" s="1" t="s">
        <v>4030</v>
      </c>
      <c r="T4212" s="1" t="s">
        <v>46</v>
      </c>
      <c r="U4212" s="1" t="n">
        <v>1500</v>
      </c>
      <c r="V4212" s="1" t="n">
        <v>2</v>
      </c>
      <c r="W4212" s="1" t="s">
        <v>4533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4529</v>
      </c>
      <c r="B4213" s="2" t="s">
        <v>4021</v>
      </c>
      <c r="C4213" s="1" t="s">
        <v>4530</v>
      </c>
      <c r="D4213" s="1" t="s">
        <v>14</v>
      </c>
      <c r="E4213" s="1" t="s">
        <v>4531</v>
      </c>
      <c r="F4213" s="1" t="s">
        <v>4024</v>
      </c>
      <c r="G4213" s="1" t="s">
        <v>4025</v>
      </c>
      <c r="H4213" s="2" t="s">
        <v>4437</v>
      </c>
      <c r="I4213" s="1" t="s">
        <v>4535</v>
      </c>
      <c r="J4213" s="1" t="s">
        <v>52</v>
      </c>
      <c r="K4213" s="1" t="s">
        <v>4437</v>
      </c>
      <c r="L4213" s="39" t="s">
        <v>46</v>
      </c>
      <c r="M4213" s="3" t="n">
        <v>45377</v>
      </c>
      <c r="N4213" s="1" t="s">
        <v>392</v>
      </c>
      <c r="O4213" s="1" t="s">
        <v>4028</v>
      </c>
      <c r="P4213" s="1" t="s">
        <v>192</v>
      </c>
      <c r="Q4213" s="1" t="s">
        <v>4029</v>
      </c>
      <c r="R4213" s="1" t="s">
        <v>44</v>
      </c>
      <c r="S4213" s="1" t="s">
        <v>4030</v>
      </c>
      <c r="T4213" s="1" t="s">
        <v>46</v>
      </c>
      <c r="U4213" s="1" t="n">
        <v>1500</v>
      </c>
      <c r="V4213" s="1" t="n">
        <v>3</v>
      </c>
      <c r="W4213" s="1" t="s">
        <v>4533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4529</v>
      </c>
      <c r="B4214" s="2" t="s">
        <v>4021</v>
      </c>
      <c r="C4214" s="1" t="s">
        <v>4530</v>
      </c>
      <c r="D4214" s="1" t="s">
        <v>14</v>
      </c>
      <c r="E4214" s="1" t="s">
        <v>4531</v>
      </c>
      <c r="F4214" s="1" t="s">
        <v>4024</v>
      </c>
      <c r="G4214" s="1" t="s">
        <v>4025</v>
      </c>
      <c r="H4214" s="2" t="s">
        <v>4439</v>
      </c>
      <c r="I4214" s="1" t="s">
        <v>4536</v>
      </c>
      <c r="J4214" s="1" t="s">
        <v>52</v>
      </c>
      <c r="K4214" s="1" t="s">
        <v>4439</v>
      </c>
      <c r="L4214" s="39" t="s">
        <v>46</v>
      </c>
      <c r="M4214" s="3" t="n">
        <v>45413</v>
      </c>
      <c r="N4214" s="1" t="s">
        <v>392</v>
      </c>
      <c r="O4214" s="1" t="s">
        <v>4028</v>
      </c>
      <c r="P4214" s="1" t="s">
        <v>192</v>
      </c>
      <c r="Q4214" s="1" t="s">
        <v>4029</v>
      </c>
      <c r="R4214" s="1" t="s">
        <v>44</v>
      </c>
      <c r="S4214" s="1" t="s">
        <v>4030</v>
      </c>
      <c r="T4214" s="1" t="s">
        <v>46</v>
      </c>
      <c r="U4214" s="1" t="n">
        <v>800</v>
      </c>
      <c r="V4214" s="1" t="n">
        <v>1</v>
      </c>
      <c r="W4214" s="1" t="s">
        <v>4533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4529</v>
      </c>
      <c r="B4215" s="2" t="s">
        <v>4021</v>
      </c>
      <c r="C4215" s="1" t="s">
        <v>4530</v>
      </c>
      <c r="D4215" s="1" t="s">
        <v>14</v>
      </c>
      <c r="E4215" s="1" t="s">
        <v>4531</v>
      </c>
      <c r="F4215" s="1" t="s">
        <v>4024</v>
      </c>
      <c r="G4215" s="1" t="s">
        <v>4025</v>
      </c>
      <c r="H4215" s="2" t="s">
        <v>4441</v>
      </c>
      <c r="I4215" s="1" t="s">
        <v>4537</v>
      </c>
      <c r="J4215" s="1" t="s">
        <v>52</v>
      </c>
      <c r="K4215" s="1" t="s">
        <v>4441</v>
      </c>
      <c r="L4215" s="39" t="s">
        <v>46</v>
      </c>
      <c r="M4215" s="3" t="n">
        <v>45413</v>
      </c>
      <c r="N4215" s="1" t="s">
        <v>392</v>
      </c>
      <c r="O4215" s="1" t="s">
        <v>4028</v>
      </c>
      <c r="P4215" s="1" t="s">
        <v>192</v>
      </c>
      <c r="Q4215" s="1" t="s">
        <v>4029</v>
      </c>
      <c r="R4215" s="1" t="s">
        <v>44</v>
      </c>
      <c r="S4215" s="1" t="s">
        <v>4030</v>
      </c>
      <c r="T4215" s="1" t="s">
        <v>46</v>
      </c>
      <c r="U4215" s="1" t="n">
        <v>800</v>
      </c>
      <c r="V4215" s="1" t="n">
        <v>2</v>
      </c>
      <c r="W4215" s="1" t="s">
        <v>4533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4529</v>
      </c>
      <c r="B4216" s="2" t="s">
        <v>4021</v>
      </c>
      <c r="C4216" s="1" t="s">
        <v>4530</v>
      </c>
      <c r="D4216" s="1" t="s">
        <v>14</v>
      </c>
      <c r="E4216" s="1" t="s">
        <v>4531</v>
      </c>
      <c r="F4216" s="1" t="s">
        <v>4024</v>
      </c>
      <c r="G4216" s="1" t="s">
        <v>4025</v>
      </c>
      <c r="H4216" s="2" t="s">
        <v>4443</v>
      </c>
      <c r="I4216" s="1" t="s">
        <v>4538</v>
      </c>
      <c r="J4216" s="1" t="s">
        <v>52</v>
      </c>
      <c r="K4216" s="1" t="s">
        <v>4443</v>
      </c>
      <c r="L4216" s="39" t="s">
        <v>46</v>
      </c>
      <c r="M4216" s="3" t="n">
        <v>45413</v>
      </c>
      <c r="N4216" s="1" t="s">
        <v>392</v>
      </c>
      <c r="O4216" s="1" t="s">
        <v>4028</v>
      </c>
      <c r="P4216" s="1" t="s">
        <v>192</v>
      </c>
      <c r="Q4216" s="1" t="s">
        <v>4029</v>
      </c>
      <c r="R4216" s="1" t="s">
        <v>44</v>
      </c>
      <c r="S4216" s="1" t="s">
        <v>4030</v>
      </c>
      <c r="T4216" s="1" t="s">
        <v>46</v>
      </c>
      <c r="U4216" s="1" t="n">
        <v>800</v>
      </c>
      <c r="V4216" s="1" t="n">
        <v>3</v>
      </c>
      <c r="W4216" s="1" t="s">
        <v>4533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4529</v>
      </c>
      <c r="B4217" s="2" t="s">
        <v>4021</v>
      </c>
      <c r="C4217" s="1" t="s">
        <v>4530</v>
      </c>
      <c r="D4217" s="1" t="s">
        <v>14</v>
      </c>
      <c r="E4217" s="1" t="s">
        <v>4531</v>
      </c>
      <c r="F4217" s="1" t="s">
        <v>4024</v>
      </c>
      <c r="G4217" s="1" t="s">
        <v>4025</v>
      </c>
      <c r="H4217" s="2" t="s">
        <v>4136</v>
      </c>
      <c r="I4217" s="1" t="s">
        <v>4539</v>
      </c>
      <c r="J4217" s="1" t="s">
        <v>38</v>
      </c>
      <c r="K4217" s="1" t="s">
        <v>4136</v>
      </c>
      <c r="L4217" s="39" t="s">
        <v>46</v>
      </c>
      <c r="M4217" s="3" t="n">
        <v>45419</v>
      </c>
      <c r="N4217" s="1" t="s">
        <v>392</v>
      </c>
      <c r="O4217" s="1" t="s">
        <v>4034</v>
      </c>
      <c r="P4217" s="1" t="s">
        <v>43</v>
      </c>
      <c r="Q4217" s="1" t="s">
        <v>43</v>
      </c>
      <c r="R4217" s="1" t="s">
        <v>44</v>
      </c>
      <c r="S4217" s="1" t="s">
        <v>4035</v>
      </c>
      <c r="T4217" s="1" t="s">
        <v>46</v>
      </c>
      <c r="U4217" s="1" t="n">
        <v>800</v>
      </c>
      <c r="V4217" s="1" t="n">
        <v>1</v>
      </c>
      <c r="W4217" s="1" t="s">
        <v>4533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4529</v>
      </c>
      <c r="B4218" s="2" t="s">
        <v>4021</v>
      </c>
      <c r="C4218" s="1" t="s">
        <v>4530</v>
      </c>
      <c r="D4218" s="1" t="s">
        <v>14</v>
      </c>
      <c r="E4218" s="1" t="s">
        <v>4531</v>
      </c>
      <c r="F4218" s="1" t="s">
        <v>4024</v>
      </c>
      <c r="G4218" s="1" t="s">
        <v>4025</v>
      </c>
      <c r="H4218" s="2" t="s">
        <v>4139</v>
      </c>
      <c r="I4218" s="1" t="s">
        <v>4540</v>
      </c>
      <c r="J4218" s="1" t="s">
        <v>38</v>
      </c>
      <c r="K4218" s="1" t="s">
        <v>4139</v>
      </c>
      <c r="L4218" s="39" t="s">
        <v>46</v>
      </c>
      <c r="M4218" s="3" t="n">
        <v>45433</v>
      </c>
      <c r="N4218" s="1" t="s">
        <v>392</v>
      </c>
      <c r="O4218" s="1" t="s">
        <v>4034</v>
      </c>
      <c r="P4218" s="1" t="s">
        <v>43</v>
      </c>
      <c r="Q4218" s="1" t="s">
        <v>43</v>
      </c>
      <c r="R4218" s="1" t="s">
        <v>44</v>
      </c>
      <c r="S4218" s="1" t="s">
        <v>4035</v>
      </c>
      <c r="T4218" s="1" t="s">
        <v>46</v>
      </c>
      <c r="U4218" s="1" t="n">
        <v>800</v>
      </c>
      <c r="V4218" s="1" t="n">
        <v>1</v>
      </c>
      <c r="W4218" s="1" t="s">
        <v>4533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4529</v>
      </c>
      <c r="B4219" s="2" t="s">
        <v>4021</v>
      </c>
      <c r="C4219" s="1" t="s">
        <v>4530</v>
      </c>
      <c r="D4219" s="1" t="s">
        <v>14</v>
      </c>
      <c r="E4219" s="1" t="s">
        <v>4531</v>
      </c>
      <c r="F4219" s="1" t="s">
        <v>4024</v>
      </c>
      <c r="G4219" s="1" t="s">
        <v>4025</v>
      </c>
      <c r="H4219" s="2" t="s">
        <v>4141</v>
      </c>
      <c r="I4219" s="1" t="s">
        <v>4541</v>
      </c>
      <c r="J4219" s="1" t="s">
        <v>38</v>
      </c>
      <c r="K4219" s="1" t="s">
        <v>4141</v>
      </c>
      <c r="L4219" s="39" t="s">
        <v>46</v>
      </c>
      <c r="M4219" s="3" t="n">
        <v>45440</v>
      </c>
      <c r="N4219" s="1" t="s">
        <v>392</v>
      </c>
      <c r="O4219" s="1" t="s">
        <v>4034</v>
      </c>
      <c r="P4219" s="1" t="s">
        <v>43</v>
      </c>
      <c r="Q4219" s="1" t="s">
        <v>43</v>
      </c>
      <c r="R4219" s="1" t="s">
        <v>44</v>
      </c>
      <c r="S4219" s="1" t="s">
        <v>4035</v>
      </c>
      <c r="T4219" s="1" t="s">
        <v>46</v>
      </c>
      <c r="U4219" s="1" t="n">
        <v>800</v>
      </c>
      <c r="V4219" s="1" t="n">
        <v>1</v>
      </c>
      <c r="W4219" s="1" t="s">
        <v>4533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4529</v>
      </c>
      <c r="B4220" s="2" t="s">
        <v>4021</v>
      </c>
      <c r="C4220" s="1" t="s">
        <v>4530</v>
      </c>
      <c r="D4220" s="1" t="s">
        <v>14</v>
      </c>
      <c r="E4220" s="1" t="s">
        <v>4531</v>
      </c>
      <c r="F4220" s="1" t="s">
        <v>4024</v>
      </c>
      <c r="G4220" s="1" t="s">
        <v>4025</v>
      </c>
      <c r="H4220" s="2" t="s">
        <v>4542</v>
      </c>
      <c r="I4220" s="1" t="s">
        <v>4543</v>
      </c>
      <c r="J4220" s="1" t="s">
        <v>52</v>
      </c>
      <c r="K4220" s="1" t="s">
        <v>4542</v>
      </c>
      <c r="L4220" s="39" t="s">
        <v>46</v>
      </c>
      <c r="M4220" s="3" t="n">
        <v>45419</v>
      </c>
      <c r="N4220" s="1" t="s">
        <v>392</v>
      </c>
      <c r="O4220" s="1" t="s">
        <v>4544</v>
      </c>
      <c r="P4220" s="1" t="s">
        <v>43</v>
      </c>
      <c r="Q4220" s="1" t="s">
        <v>43</v>
      </c>
      <c r="R4220" s="1" t="s">
        <v>44</v>
      </c>
      <c r="S4220" s="1" t="s">
        <v>4545</v>
      </c>
      <c r="T4220" s="1" t="s">
        <v>46</v>
      </c>
      <c r="U4220" s="1" t="n">
        <v>800</v>
      </c>
      <c r="V4220" s="1" t="n">
        <v>1</v>
      </c>
      <c r="W4220" s="1" t="s">
        <v>4533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4529</v>
      </c>
      <c r="B4221" s="2" t="s">
        <v>4021</v>
      </c>
      <c r="C4221" s="1" t="s">
        <v>4530</v>
      </c>
      <c r="D4221" s="1" t="s">
        <v>14</v>
      </c>
      <c r="E4221" s="1" t="s">
        <v>4531</v>
      </c>
      <c r="F4221" s="1" t="s">
        <v>4024</v>
      </c>
      <c r="G4221" s="1" t="s">
        <v>4025</v>
      </c>
      <c r="H4221" s="2" t="s">
        <v>4546</v>
      </c>
      <c r="I4221" s="1" t="s">
        <v>4547</v>
      </c>
      <c r="J4221" s="1" t="s">
        <v>52</v>
      </c>
      <c r="K4221" s="1" t="s">
        <v>4546</v>
      </c>
      <c r="L4221" s="39" t="s">
        <v>46</v>
      </c>
      <c r="M4221" s="3" t="n">
        <v>45433</v>
      </c>
      <c r="N4221" s="1" t="s">
        <v>392</v>
      </c>
      <c r="O4221" s="1" t="s">
        <v>4544</v>
      </c>
      <c r="P4221" s="1" t="s">
        <v>43</v>
      </c>
      <c r="Q4221" s="1" t="s">
        <v>43</v>
      </c>
      <c r="R4221" s="1" t="s">
        <v>44</v>
      </c>
      <c r="S4221" s="1" t="s">
        <v>4545</v>
      </c>
      <c r="T4221" s="1" t="s">
        <v>46</v>
      </c>
      <c r="U4221" s="1" t="n">
        <v>800</v>
      </c>
      <c r="V4221" s="1" t="n">
        <v>1</v>
      </c>
      <c r="W4221" s="1" t="s">
        <v>4533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4529</v>
      </c>
      <c r="B4222" s="2" t="s">
        <v>4021</v>
      </c>
      <c r="C4222" s="1" t="s">
        <v>4530</v>
      </c>
      <c r="D4222" s="1" t="s">
        <v>14</v>
      </c>
      <c r="E4222" s="1" t="s">
        <v>4531</v>
      </c>
      <c r="F4222" s="1" t="s">
        <v>4024</v>
      </c>
      <c r="G4222" s="1" t="s">
        <v>4025</v>
      </c>
      <c r="H4222" s="2" t="s">
        <v>4548</v>
      </c>
      <c r="I4222" s="1" t="s">
        <v>4549</v>
      </c>
      <c r="J4222" s="1" t="s">
        <v>52</v>
      </c>
      <c r="K4222" s="1" t="s">
        <v>4548</v>
      </c>
      <c r="L4222" s="39" t="s">
        <v>46</v>
      </c>
      <c r="M4222" s="3" t="n">
        <v>45440</v>
      </c>
      <c r="N4222" s="1" t="s">
        <v>392</v>
      </c>
      <c r="O4222" s="1" t="s">
        <v>4544</v>
      </c>
      <c r="P4222" s="1" t="s">
        <v>43</v>
      </c>
      <c r="Q4222" s="1" t="s">
        <v>43</v>
      </c>
      <c r="R4222" s="1" t="s">
        <v>44</v>
      </c>
      <c r="S4222" s="1" t="s">
        <v>4545</v>
      </c>
      <c r="T4222" s="1" t="s">
        <v>46</v>
      </c>
      <c r="U4222" s="1" t="n">
        <v>800</v>
      </c>
      <c r="V4222" s="1" t="n">
        <v>1</v>
      </c>
      <c r="W4222" s="1" t="s">
        <v>4533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4529</v>
      </c>
      <c r="B4223" s="2" t="s">
        <v>4021</v>
      </c>
      <c r="C4223" s="1" t="s">
        <v>4530</v>
      </c>
      <c r="D4223" s="1" t="s">
        <v>14</v>
      </c>
      <c r="E4223" s="1" t="s">
        <v>4531</v>
      </c>
      <c r="F4223" s="1" t="s">
        <v>4024</v>
      </c>
      <c r="G4223" s="1" t="s">
        <v>4025</v>
      </c>
      <c r="H4223" s="2" t="s">
        <v>4550</v>
      </c>
      <c r="I4223" s="1" t="s">
        <v>4551</v>
      </c>
      <c r="J4223" s="1" t="s">
        <v>52</v>
      </c>
      <c r="K4223" s="1" t="s">
        <v>4550</v>
      </c>
      <c r="L4223" s="39" t="s">
        <v>46</v>
      </c>
      <c r="M4223" s="3" t="n">
        <v>45419</v>
      </c>
      <c r="N4223" s="1" t="s">
        <v>392</v>
      </c>
      <c r="O4223" s="1" t="s">
        <v>4552</v>
      </c>
      <c r="P4223" s="1" t="s">
        <v>43</v>
      </c>
      <c r="Q4223" s="1" t="s">
        <v>43</v>
      </c>
      <c r="R4223" s="1" t="s">
        <v>44</v>
      </c>
      <c r="S4223" s="1" t="s">
        <v>4553</v>
      </c>
      <c r="T4223" s="1" t="s">
        <v>46</v>
      </c>
      <c r="U4223" s="1" t="n">
        <v>800</v>
      </c>
      <c r="V4223" s="1" t="n">
        <v>1</v>
      </c>
      <c r="W4223" s="1" t="s">
        <v>4533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4529</v>
      </c>
      <c r="B4224" s="2" t="s">
        <v>4021</v>
      </c>
      <c r="C4224" s="1" t="s">
        <v>4530</v>
      </c>
      <c r="D4224" s="1" t="s">
        <v>14</v>
      </c>
      <c r="E4224" s="1" t="s">
        <v>4531</v>
      </c>
      <c r="F4224" s="1" t="s">
        <v>4024</v>
      </c>
      <c r="G4224" s="1" t="s">
        <v>4025</v>
      </c>
      <c r="H4224" s="2" t="s">
        <v>4554</v>
      </c>
      <c r="I4224" s="1" t="s">
        <v>4555</v>
      </c>
      <c r="J4224" s="1" t="s">
        <v>52</v>
      </c>
      <c r="K4224" s="1" t="s">
        <v>4554</v>
      </c>
      <c r="L4224" s="39" t="s">
        <v>46</v>
      </c>
      <c r="M4224" s="3" t="n">
        <v>45433</v>
      </c>
      <c r="N4224" s="1" t="s">
        <v>392</v>
      </c>
      <c r="O4224" s="1" t="s">
        <v>4552</v>
      </c>
      <c r="P4224" s="1" t="s">
        <v>43</v>
      </c>
      <c r="Q4224" s="1" t="s">
        <v>43</v>
      </c>
      <c r="R4224" s="1" t="s">
        <v>44</v>
      </c>
      <c r="S4224" s="1" t="s">
        <v>4553</v>
      </c>
      <c r="T4224" s="1" t="s">
        <v>46</v>
      </c>
      <c r="U4224" s="1" t="n">
        <v>800</v>
      </c>
      <c r="V4224" s="1" t="n">
        <v>1</v>
      </c>
      <c r="W4224" s="1" t="s">
        <v>4533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4529</v>
      </c>
      <c r="B4225" s="2" t="s">
        <v>4021</v>
      </c>
      <c r="C4225" s="1" t="s">
        <v>4530</v>
      </c>
      <c r="D4225" s="1" t="s">
        <v>14</v>
      </c>
      <c r="E4225" s="1" t="s">
        <v>4531</v>
      </c>
      <c r="F4225" s="1" t="s">
        <v>4024</v>
      </c>
      <c r="G4225" s="1" t="s">
        <v>4025</v>
      </c>
      <c r="H4225" s="2" t="s">
        <v>4556</v>
      </c>
      <c r="I4225" s="1" t="s">
        <v>4557</v>
      </c>
      <c r="J4225" s="1" t="s">
        <v>52</v>
      </c>
      <c r="K4225" s="1" t="s">
        <v>4556</v>
      </c>
      <c r="L4225" s="39" t="s">
        <v>46</v>
      </c>
      <c r="M4225" s="3" t="n">
        <v>45440</v>
      </c>
      <c r="N4225" s="1" t="s">
        <v>392</v>
      </c>
      <c r="O4225" s="1" t="s">
        <v>4552</v>
      </c>
      <c r="P4225" s="1" t="s">
        <v>43</v>
      </c>
      <c r="Q4225" s="1" t="s">
        <v>43</v>
      </c>
      <c r="R4225" s="1" t="s">
        <v>44</v>
      </c>
      <c r="S4225" s="1" t="s">
        <v>4553</v>
      </c>
      <c r="T4225" s="1" t="s">
        <v>46</v>
      </c>
      <c r="U4225" s="1" t="n">
        <v>800</v>
      </c>
      <c r="V4225" s="1" t="n">
        <v>1</v>
      </c>
      <c r="W4225" s="1" t="s">
        <v>4533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4529</v>
      </c>
      <c r="B4226" s="2" t="s">
        <v>4021</v>
      </c>
      <c r="C4226" s="1" t="s">
        <v>4530</v>
      </c>
      <c r="D4226" s="1" t="s">
        <v>14</v>
      </c>
      <c r="E4226" s="1" t="s">
        <v>4531</v>
      </c>
      <c r="F4226" s="1" t="s">
        <v>4024</v>
      </c>
      <c r="G4226" s="1" t="s">
        <v>4025</v>
      </c>
      <c r="H4226" s="2" t="s">
        <v>4558</v>
      </c>
      <c r="I4226" s="1" t="s">
        <v>4559</v>
      </c>
      <c r="J4226" s="1" t="s">
        <v>52</v>
      </c>
      <c r="K4226" s="1" t="s">
        <v>4558</v>
      </c>
      <c r="L4226" s="39" t="s">
        <v>46</v>
      </c>
      <c r="M4226" s="3" t="n">
        <v>45419</v>
      </c>
      <c r="N4226" s="1" t="s">
        <v>392</v>
      </c>
      <c r="O4226" s="1" t="s">
        <v>4227</v>
      </c>
      <c r="P4226" s="1" t="s">
        <v>43</v>
      </c>
      <c r="Q4226" s="1" t="s">
        <v>43</v>
      </c>
      <c r="R4226" s="1" t="s">
        <v>44</v>
      </c>
      <c r="S4226" s="1" t="s">
        <v>4030</v>
      </c>
      <c r="T4226" s="1" t="s">
        <v>46</v>
      </c>
      <c r="U4226" s="1" t="n">
        <v>800</v>
      </c>
      <c r="V4226" s="1" t="n">
        <v>1</v>
      </c>
      <c r="W4226" s="1" t="s">
        <v>4533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4529</v>
      </c>
      <c r="B4227" s="2" t="s">
        <v>4021</v>
      </c>
      <c r="C4227" s="1" t="s">
        <v>4530</v>
      </c>
      <c r="D4227" s="1" t="s">
        <v>14</v>
      </c>
      <c r="E4227" s="1" t="s">
        <v>4531</v>
      </c>
      <c r="F4227" s="1" t="s">
        <v>4024</v>
      </c>
      <c r="G4227" s="1" t="s">
        <v>4025</v>
      </c>
      <c r="H4227" s="2" t="s">
        <v>4560</v>
      </c>
      <c r="I4227" s="1" t="s">
        <v>4561</v>
      </c>
      <c r="J4227" s="1" t="s">
        <v>52</v>
      </c>
      <c r="K4227" s="1" t="s">
        <v>4560</v>
      </c>
      <c r="L4227" s="39" t="s">
        <v>46</v>
      </c>
      <c r="M4227" s="3" t="n">
        <v>45433</v>
      </c>
      <c r="N4227" s="1" t="s">
        <v>392</v>
      </c>
      <c r="O4227" s="1" t="s">
        <v>4227</v>
      </c>
      <c r="P4227" s="1" t="s">
        <v>43</v>
      </c>
      <c r="Q4227" s="1" t="s">
        <v>43</v>
      </c>
      <c r="R4227" s="1" t="s">
        <v>44</v>
      </c>
      <c r="S4227" s="1" t="s">
        <v>4030</v>
      </c>
      <c r="T4227" s="1" t="s">
        <v>46</v>
      </c>
      <c r="U4227" s="1" t="n">
        <v>800</v>
      </c>
      <c r="V4227" s="1" t="n">
        <v>1</v>
      </c>
      <c r="W4227" s="1" t="s">
        <v>4533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4529</v>
      </c>
      <c r="B4228" s="2" t="s">
        <v>4021</v>
      </c>
      <c r="C4228" s="1" t="s">
        <v>4530</v>
      </c>
      <c r="D4228" s="1" t="s">
        <v>14</v>
      </c>
      <c r="E4228" s="1" t="s">
        <v>4531</v>
      </c>
      <c r="F4228" s="1" t="s">
        <v>4024</v>
      </c>
      <c r="G4228" s="1" t="s">
        <v>4025</v>
      </c>
      <c r="H4228" s="2" t="s">
        <v>4562</v>
      </c>
      <c r="I4228" s="1" t="s">
        <v>4563</v>
      </c>
      <c r="J4228" s="1" t="s">
        <v>52</v>
      </c>
      <c r="K4228" s="1" t="s">
        <v>4562</v>
      </c>
      <c r="L4228" s="39" t="s">
        <v>46</v>
      </c>
      <c r="M4228" s="3" t="n">
        <v>45440</v>
      </c>
      <c r="N4228" s="1" t="s">
        <v>392</v>
      </c>
      <c r="O4228" s="1" t="s">
        <v>4227</v>
      </c>
      <c r="P4228" s="1" t="s">
        <v>43</v>
      </c>
      <c r="Q4228" s="1" t="s">
        <v>43</v>
      </c>
      <c r="R4228" s="1" t="s">
        <v>44</v>
      </c>
      <c r="S4228" s="1" t="s">
        <v>4030</v>
      </c>
      <c r="T4228" s="1" t="s">
        <v>46</v>
      </c>
      <c r="U4228" s="1" t="n">
        <v>800</v>
      </c>
      <c r="V4228" s="1" t="n">
        <v>1</v>
      </c>
      <c r="W4228" s="1" t="s">
        <v>4533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4529</v>
      </c>
      <c r="B4229" s="2" t="s">
        <v>4021</v>
      </c>
      <c r="C4229" s="1" t="s">
        <v>4530</v>
      </c>
      <c r="D4229" s="1" t="s">
        <v>14</v>
      </c>
      <c r="E4229" s="1" t="s">
        <v>4531</v>
      </c>
      <c r="F4229" s="1" t="s">
        <v>4024</v>
      </c>
      <c r="G4229" s="1" t="s">
        <v>4025</v>
      </c>
      <c r="H4229" s="2" t="s">
        <v>4169</v>
      </c>
      <c r="I4229" s="1" t="s">
        <v>4564</v>
      </c>
      <c r="J4229" s="1" t="s">
        <v>52</v>
      </c>
      <c r="K4229" s="1" t="s">
        <v>4169</v>
      </c>
      <c r="L4229" s="39" t="s">
        <v>46</v>
      </c>
      <c r="M4229" s="3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4533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4529</v>
      </c>
      <c r="B4230" s="2" t="s">
        <v>4021</v>
      </c>
      <c r="C4230" s="1" t="s">
        <v>4530</v>
      </c>
      <c r="D4230" s="1" t="s">
        <v>14</v>
      </c>
      <c r="E4230" s="1" t="s">
        <v>4531</v>
      </c>
      <c r="F4230" s="1" t="s">
        <v>4024</v>
      </c>
      <c r="G4230" s="1" t="s">
        <v>4025</v>
      </c>
      <c r="H4230" s="2" t="s">
        <v>4171</v>
      </c>
      <c r="I4230" s="1" t="s">
        <v>4565</v>
      </c>
      <c r="J4230" s="1" t="s">
        <v>52</v>
      </c>
      <c r="K4230" s="1" t="s">
        <v>4171</v>
      </c>
      <c r="L4230" s="39" t="s">
        <v>46</v>
      </c>
      <c r="M4230" s="3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4533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4529</v>
      </c>
      <c r="B4231" s="2" t="s">
        <v>4021</v>
      </c>
      <c r="C4231" s="1" t="s">
        <v>4530</v>
      </c>
      <c r="D4231" s="1" t="s">
        <v>14</v>
      </c>
      <c r="E4231" s="1" t="s">
        <v>4531</v>
      </c>
      <c r="F4231" s="1" t="s">
        <v>4024</v>
      </c>
      <c r="G4231" s="1" t="s">
        <v>4025</v>
      </c>
      <c r="H4231" s="2" t="s">
        <v>4173</v>
      </c>
      <c r="I4231" s="1" t="s">
        <v>4566</v>
      </c>
      <c r="J4231" s="1" t="s">
        <v>52</v>
      </c>
      <c r="K4231" s="1" t="s">
        <v>4173</v>
      </c>
      <c r="L4231" s="39" t="s">
        <v>46</v>
      </c>
      <c r="M4231" s="3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4533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4529</v>
      </c>
      <c r="B4232" s="2" t="s">
        <v>4021</v>
      </c>
      <c r="C4232" s="1" t="s">
        <v>4530</v>
      </c>
      <c r="D4232" s="1" t="s">
        <v>14</v>
      </c>
      <c r="E4232" s="1" t="s">
        <v>4531</v>
      </c>
      <c r="F4232" s="1" t="s">
        <v>4024</v>
      </c>
      <c r="G4232" s="1" t="s">
        <v>4025</v>
      </c>
      <c r="H4232" s="2" t="s">
        <v>4175</v>
      </c>
      <c r="I4232" s="1" t="s">
        <v>4567</v>
      </c>
      <c r="J4232" s="1" t="s">
        <v>52</v>
      </c>
      <c r="K4232" s="1" t="s">
        <v>4175</v>
      </c>
      <c r="L4232" s="39" t="s">
        <v>46</v>
      </c>
      <c r="M4232" s="3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4533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4529</v>
      </c>
      <c r="B4233" s="2" t="s">
        <v>4021</v>
      </c>
      <c r="C4233" s="1" t="s">
        <v>4530</v>
      </c>
      <c r="D4233" s="1" t="s">
        <v>14</v>
      </c>
      <c r="E4233" s="1" t="s">
        <v>4531</v>
      </c>
      <c r="F4233" s="1" t="s">
        <v>4024</v>
      </c>
      <c r="G4233" s="1" t="s">
        <v>4025</v>
      </c>
      <c r="H4233" s="2" t="s">
        <v>4177</v>
      </c>
      <c r="I4233" s="1" t="s">
        <v>4568</v>
      </c>
      <c r="J4233" s="1" t="s">
        <v>52</v>
      </c>
      <c r="K4233" s="1" t="s">
        <v>4177</v>
      </c>
      <c r="L4233" s="39" t="s">
        <v>46</v>
      </c>
      <c r="M4233" s="3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4533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4529</v>
      </c>
      <c r="B4234" s="2" t="s">
        <v>4021</v>
      </c>
      <c r="C4234" s="1" t="s">
        <v>4530</v>
      </c>
      <c r="D4234" s="1" t="s">
        <v>14</v>
      </c>
      <c r="E4234" s="1" t="s">
        <v>4531</v>
      </c>
      <c r="F4234" s="1" t="s">
        <v>4024</v>
      </c>
      <c r="G4234" s="1" t="s">
        <v>4025</v>
      </c>
      <c r="H4234" s="2" t="s">
        <v>4179</v>
      </c>
      <c r="I4234" s="1" t="s">
        <v>4569</v>
      </c>
      <c r="J4234" s="1" t="s">
        <v>52</v>
      </c>
      <c r="K4234" s="1" t="s">
        <v>4179</v>
      </c>
      <c r="L4234" s="39" t="s">
        <v>46</v>
      </c>
      <c r="M4234" s="3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4533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4529</v>
      </c>
      <c r="B4235" s="2" t="s">
        <v>4021</v>
      </c>
      <c r="C4235" s="1" t="s">
        <v>4530</v>
      </c>
      <c r="D4235" s="1" t="s">
        <v>14</v>
      </c>
      <c r="E4235" s="1" t="s">
        <v>4531</v>
      </c>
      <c r="F4235" s="1" t="s">
        <v>4024</v>
      </c>
      <c r="G4235" s="1" t="s">
        <v>4025</v>
      </c>
      <c r="H4235" s="2" t="s">
        <v>4181</v>
      </c>
      <c r="I4235" s="1" t="s">
        <v>4570</v>
      </c>
      <c r="J4235" s="1" t="s">
        <v>52</v>
      </c>
      <c r="K4235" s="1" t="s">
        <v>4181</v>
      </c>
      <c r="L4235" s="39" t="s">
        <v>46</v>
      </c>
      <c r="M4235" s="3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4533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4529</v>
      </c>
      <c r="B4236" s="2" t="s">
        <v>4021</v>
      </c>
      <c r="C4236" s="1" t="s">
        <v>4530</v>
      </c>
      <c r="D4236" s="1" t="s">
        <v>14</v>
      </c>
      <c r="E4236" s="1" t="s">
        <v>4531</v>
      </c>
      <c r="F4236" s="1" t="s">
        <v>4024</v>
      </c>
      <c r="G4236" s="1" t="s">
        <v>4025</v>
      </c>
      <c r="H4236" s="2" t="s">
        <v>4183</v>
      </c>
      <c r="I4236" s="1" t="s">
        <v>4571</v>
      </c>
      <c r="J4236" s="1" t="s">
        <v>52</v>
      </c>
      <c r="K4236" s="1" t="s">
        <v>4183</v>
      </c>
      <c r="L4236" s="39" t="s">
        <v>46</v>
      </c>
      <c r="M4236" s="3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4533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4529</v>
      </c>
      <c r="B4237" s="2" t="s">
        <v>4021</v>
      </c>
      <c r="C4237" s="1" t="s">
        <v>4530</v>
      </c>
      <c r="D4237" s="1" t="s">
        <v>14</v>
      </c>
      <c r="E4237" s="1" t="s">
        <v>4531</v>
      </c>
      <c r="F4237" s="1" t="s">
        <v>4024</v>
      </c>
      <c r="G4237" s="1" t="s">
        <v>4025</v>
      </c>
      <c r="H4237" s="2" t="s">
        <v>4185</v>
      </c>
      <c r="I4237" s="1" t="s">
        <v>4572</v>
      </c>
      <c r="J4237" s="1" t="s">
        <v>52</v>
      </c>
      <c r="K4237" s="1" t="s">
        <v>4185</v>
      </c>
      <c r="L4237" s="39" t="s">
        <v>46</v>
      </c>
      <c r="M4237" s="3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4533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4529</v>
      </c>
      <c r="B4238" s="2" t="s">
        <v>4021</v>
      </c>
      <c r="C4238" s="1" t="s">
        <v>4530</v>
      </c>
      <c r="D4238" s="1" t="s">
        <v>14</v>
      </c>
      <c r="E4238" s="1" t="s">
        <v>4531</v>
      </c>
      <c r="F4238" s="1" t="s">
        <v>4024</v>
      </c>
      <c r="G4238" s="1" t="s">
        <v>4025</v>
      </c>
      <c r="H4238" s="2" t="s">
        <v>4187</v>
      </c>
      <c r="I4238" s="1" t="s">
        <v>4573</v>
      </c>
      <c r="J4238" s="1" t="s">
        <v>52</v>
      </c>
      <c r="K4238" s="1" t="s">
        <v>4187</v>
      </c>
      <c r="L4238" s="39" t="s">
        <v>46</v>
      </c>
      <c r="M4238" s="3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4533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4529</v>
      </c>
      <c r="B4239" s="2" t="s">
        <v>4021</v>
      </c>
      <c r="C4239" s="1" t="s">
        <v>4530</v>
      </c>
      <c r="D4239" s="1" t="s">
        <v>14</v>
      </c>
      <c r="E4239" s="1" t="s">
        <v>4531</v>
      </c>
      <c r="F4239" s="1" t="s">
        <v>4024</v>
      </c>
      <c r="G4239" s="1" t="s">
        <v>4025</v>
      </c>
      <c r="H4239" s="2" t="s">
        <v>4189</v>
      </c>
      <c r="I4239" s="1" t="s">
        <v>4574</v>
      </c>
      <c r="J4239" s="1" t="s">
        <v>52</v>
      </c>
      <c r="K4239" s="1" t="s">
        <v>4189</v>
      </c>
      <c r="L4239" s="39" t="s">
        <v>46</v>
      </c>
      <c r="M4239" s="3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4533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4529</v>
      </c>
      <c r="B4240" s="2" t="s">
        <v>4021</v>
      </c>
      <c r="C4240" s="1" t="s">
        <v>4530</v>
      </c>
      <c r="D4240" s="1" t="s">
        <v>14</v>
      </c>
      <c r="E4240" s="1" t="s">
        <v>4531</v>
      </c>
      <c r="F4240" s="1" t="s">
        <v>4024</v>
      </c>
      <c r="G4240" s="1" t="s">
        <v>4025</v>
      </c>
      <c r="H4240" s="2" t="s">
        <v>4191</v>
      </c>
      <c r="I4240" s="1" t="s">
        <v>4575</v>
      </c>
      <c r="J4240" s="1" t="s">
        <v>52</v>
      </c>
      <c r="K4240" s="1" t="s">
        <v>4191</v>
      </c>
      <c r="L4240" s="39" t="s">
        <v>46</v>
      </c>
      <c r="M4240" s="3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4533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4529</v>
      </c>
      <c r="B4241" s="2" t="s">
        <v>4021</v>
      </c>
      <c r="C4241" s="1" t="s">
        <v>4530</v>
      </c>
      <c r="D4241" s="1" t="s">
        <v>14</v>
      </c>
      <c r="E4241" s="1" t="s">
        <v>4531</v>
      </c>
      <c r="F4241" s="1" t="s">
        <v>4024</v>
      </c>
      <c r="G4241" s="1" t="s">
        <v>4025</v>
      </c>
      <c r="H4241" s="2" t="s">
        <v>4193</v>
      </c>
      <c r="I4241" s="1" t="s">
        <v>4576</v>
      </c>
      <c r="J4241" s="1" t="s">
        <v>52</v>
      </c>
      <c r="K4241" s="1" t="s">
        <v>4193</v>
      </c>
      <c r="L4241" s="39" t="s">
        <v>46</v>
      </c>
      <c r="M4241" s="3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4533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4529</v>
      </c>
      <c r="B4242" s="2" t="s">
        <v>4021</v>
      </c>
      <c r="C4242" s="1" t="s">
        <v>4530</v>
      </c>
      <c r="D4242" s="1" t="s">
        <v>14</v>
      </c>
      <c r="E4242" s="1" t="s">
        <v>4531</v>
      </c>
      <c r="F4242" s="1" t="s">
        <v>4024</v>
      </c>
      <c r="G4242" s="1" t="s">
        <v>4025</v>
      </c>
      <c r="H4242" s="2" t="s">
        <v>4195</v>
      </c>
      <c r="I4242" s="1" t="s">
        <v>4577</v>
      </c>
      <c r="J4242" s="1" t="s">
        <v>52</v>
      </c>
      <c r="K4242" s="1" t="s">
        <v>4195</v>
      </c>
      <c r="L4242" s="39" t="s">
        <v>46</v>
      </c>
      <c r="M4242" s="3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4533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4529</v>
      </c>
      <c r="B4243" s="2" t="s">
        <v>4021</v>
      </c>
      <c r="C4243" s="1" t="s">
        <v>4530</v>
      </c>
      <c r="D4243" s="1" t="s">
        <v>14</v>
      </c>
      <c r="E4243" s="1" t="s">
        <v>4531</v>
      </c>
      <c r="F4243" s="1" t="s">
        <v>4024</v>
      </c>
      <c r="G4243" s="1" t="s">
        <v>4025</v>
      </c>
      <c r="H4243" s="2" t="s">
        <v>4197</v>
      </c>
      <c r="I4243" s="1" t="s">
        <v>4578</v>
      </c>
      <c r="J4243" s="1" t="s">
        <v>52</v>
      </c>
      <c r="K4243" s="1" t="s">
        <v>4197</v>
      </c>
      <c r="L4243" s="39" t="s">
        <v>46</v>
      </c>
      <c r="M4243" s="3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4533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4529</v>
      </c>
      <c r="B4244" s="2" t="s">
        <v>4021</v>
      </c>
      <c r="C4244" s="1" t="s">
        <v>4530</v>
      </c>
      <c r="D4244" s="1" t="s">
        <v>14</v>
      </c>
      <c r="E4244" s="1" t="s">
        <v>4531</v>
      </c>
      <c r="F4244" s="1" t="s">
        <v>4024</v>
      </c>
      <c r="G4244" s="1" t="s">
        <v>4025</v>
      </c>
      <c r="H4244" s="2" t="s">
        <v>4199</v>
      </c>
      <c r="I4244" s="1" t="s">
        <v>4579</v>
      </c>
      <c r="J4244" s="1" t="s">
        <v>52</v>
      </c>
      <c r="K4244" s="1" t="s">
        <v>4199</v>
      </c>
      <c r="L4244" s="39" t="s">
        <v>46</v>
      </c>
      <c r="M4244" s="3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4533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4580</v>
      </c>
      <c r="B4245" s="2" t="s">
        <v>4021</v>
      </c>
      <c r="C4245" s="1" t="s">
        <v>4581</v>
      </c>
      <c r="D4245" s="1" t="s">
        <v>14</v>
      </c>
      <c r="E4245" s="1" t="s">
        <v>4582</v>
      </c>
      <c r="F4245" s="1" t="s">
        <v>4024</v>
      </c>
      <c r="G4245" s="1" t="s">
        <v>4583</v>
      </c>
      <c r="H4245" s="2" t="s">
        <v>4584</v>
      </c>
      <c r="I4245" s="1" t="s">
        <v>4585</v>
      </c>
      <c r="J4245" s="1" t="s">
        <v>38</v>
      </c>
      <c r="K4245" s="1" t="s">
        <v>4584</v>
      </c>
      <c r="L4245" s="39" t="s">
        <v>46</v>
      </c>
      <c r="M4245" s="3" t="n">
        <v>45930</v>
      </c>
      <c r="N4245" s="1" t="s">
        <v>392</v>
      </c>
      <c r="O4245" s="1" t="s">
        <v>4028</v>
      </c>
      <c r="P4245" s="1" t="s">
        <v>192</v>
      </c>
      <c r="Q4245" s="1" t="s">
        <v>4029</v>
      </c>
      <c r="R4245" s="1" t="s">
        <v>44</v>
      </c>
      <c r="S4245" s="1" t="s">
        <v>4030</v>
      </c>
      <c r="T4245" s="1" t="s">
        <v>46</v>
      </c>
      <c r="U4245" s="1" t="n">
        <v>1000</v>
      </c>
      <c r="V4245" s="1" t="n">
        <v>1</v>
      </c>
      <c r="W4245" s="1" t="s">
        <v>4586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4580</v>
      </c>
      <c r="B4246" s="2" t="s">
        <v>4021</v>
      </c>
      <c r="C4246" s="1" t="s">
        <v>4581</v>
      </c>
      <c r="D4246" s="1" t="s">
        <v>14</v>
      </c>
      <c r="E4246" s="1" t="s">
        <v>4582</v>
      </c>
      <c r="F4246" s="1" t="s">
        <v>4024</v>
      </c>
      <c r="G4246" s="1" t="s">
        <v>4583</v>
      </c>
      <c r="H4246" s="2" t="s">
        <v>4587</v>
      </c>
      <c r="I4246" s="1" t="s">
        <v>4588</v>
      </c>
      <c r="J4246" s="1" t="s">
        <v>38</v>
      </c>
      <c r="K4246" s="1" t="s">
        <v>4587</v>
      </c>
      <c r="L4246" s="39" t="s">
        <v>46</v>
      </c>
      <c r="M4246" s="3" t="n">
        <v>45930</v>
      </c>
      <c r="N4246" s="1" t="s">
        <v>392</v>
      </c>
      <c r="O4246" s="1" t="s">
        <v>4028</v>
      </c>
      <c r="P4246" s="1" t="s">
        <v>192</v>
      </c>
      <c r="Q4246" s="1" t="s">
        <v>4029</v>
      </c>
      <c r="R4246" s="1" t="s">
        <v>44</v>
      </c>
      <c r="S4246" s="1" t="s">
        <v>4030</v>
      </c>
      <c r="T4246" s="1" t="s">
        <v>46</v>
      </c>
      <c r="U4246" s="1" t="n">
        <v>1000</v>
      </c>
      <c r="V4246" s="1" t="n">
        <v>2</v>
      </c>
      <c r="W4246" s="1" t="s">
        <v>4586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4580</v>
      </c>
      <c r="B4247" s="2" t="s">
        <v>4021</v>
      </c>
      <c r="C4247" s="1" t="s">
        <v>4581</v>
      </c>
      <c r="D4247" s="1" t="s">
        <v>14</v>
      </c>
      <c r="E4247" s="1" t="s">
        <v>4582</v>
      </c>
      <c r="F4247" s="1" t="s">
        <v>4024</v>
      </c>
      <c r="G4247" s="1" t="s">
        <v>4583</v>
      </c>
      <c r="H4247" s="2" t="s">
        <v>4589</v>
      </c>
      <c r="I4247" s="1" t="s">
        <v>4590</v>
      </c>
      <c r="J4247" s="1" t="s">
        <v>38</v>
      </c>
      <c r="K4247" s="1" t="s">
        <v>4589</v>
      </c>
      <c r="L4247" s="39" t="s">
        <v>46</v>
      </c>
      <c r="M4247" s="3" t="n">
        <v>45930</v>
      </c>
      <c r="N4247" s="1" t="s">
        <v>392</v>
      </c>
      <c r="O4247" s="1" t="s">
        <v>4028</v>
      </c>
      <c r="P4247" s="1" t="s">
        <v>192</v>
      </c>
      <c r="Q4247" s="1" t="s">
        <v>4029</v>
      </c>
      <c r="R4247" s="1" t="s">
        <v>44</v>
      </c>
      <c r="S4247" s="1" t="s">
        <v>4030</v>
      </c>
      <c r="T4247" s="1" t="s">
        <v>46</v>
      </c>
      <c r="U4247" s="1" t="n">
        <v>1000</v>
      </c>
      <c r="V4247" s="1" t="n">
        <v>3</v>
      </c>
      <c r="W4247" s="1" t="s">
        <v>4586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4580</v>
      </c>
      <c r="B4248" s="2" t="s">
        <v>4021</v>
      </c>
      <c r="C4248" s="1" t="s">
        <v>4581</v>
      </c>
      <c r="D4248" s="1" t="s">
        <v>14</v>
      </c>
      <c r="E4248" s="1" t="s">
        <v>4582</v>
      </c>
      <c r="F4248" s="1" t="s">
        <v>4024</v>
      </c>
      <c r="G4248" s="1" t="s">
        <v>4583</v>
      </c>
      <c r="H4248" s="2" t="s">
        <v>4591</v>
      </c>
      <c r="I4248" s="1" t="s">
        <v>4592</v>
      </c>
      <c r="J4248" s="1" t="s">
        <v>52</v>
      </c>
      <c r="K4248" s="1" t="s">
        <v>4591</v>
      </c>
      <c r="L4248" s="39" t="s">
        <v>46</v>
      </c>
      <c r="M4248" s="3" t="n">
        <v>45930</v>
      </c>
      <c r="N4248" s="1" t="s">
        <v>392</v>
      </c>
      <c r="O4248" s="1" t="s">
        <v>4494</v>
      </c>
      <c r="P4248" s="1" t="s">
        <v>192</v>
      </c>
      <c r="Q4248" s="1" t="s">
        <v>4029</v>
      </c>
      <c r="R4248" s="1" t="s">
        <v>44</v>
      </c>
      <c r="S4248" s="1" t="s">
        <v>4380</v>
      </c>
      <c r="T4248" s="1" t="s">
        <v>46</v>
      </c>
      <c r="U4248" s="1" t="n">
        <v>1000</v>
      </c>
      <c r="V4248" s="1" t="n">
        <v>1</v>
      </c>
      <c r="W4248" s="1" t="s">
        <v>4586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4580</v>
      </c>
      <c r="B4249" s="2" t="s">
        <v>4021</v>
      </c>
      <c r="C4249" s="1" t="s">
        <v>4581</v>
      </c>
      <c r="D4249" s="1" t="s">
        <v>14</v>
      </c>
      <c r="E4249" s="1" t="s">
        <v>4582</v>
      </c>
      <c r="F4249" s="1" t="s">
        <v>4024</v>
      </c>
      <c r="G4249" s="1" t="s">
        <v>4583</v>
      </c>
      <c r="H4249" s="2" t="s">
        <v>4593</v>
      </c>
      <c r="I4249" s="1" t="s">
        <v>4594</v>
      </c>
      <c r="J4249" s="1" t="s">
        <v>52</v>
      </c>
      <c r="K4249" s="1" t="s">
        <v>4593</v>
      </c>
      <c r="L4249" s="39" t="s">
        <v>46</v>
      </c>
      <c r="M4249" s="3" t="n">
        <v>45930</v>
      </c>
      <c r="N4249" s="1" t="s">
        <v>392</v>
      </c>
      <c r="O4249" s="1" t="s">
        <v>4494</v>
      </c>
      <c r="P4249" s="1" t="s">
        <v>192</v>
      </c>
      <c r="Q4249" s="1" t="s">
        <v>4029</v>
      </c>
      <c r="R4249" s="1" t="s">
        <v>44</v>
      </c>
      <c r="S4249" s="1" t="s">
        <v>4380</v>
      </c>
      <c r="T4249" s="1" t="s">
        <v>46</v>
      </c>
      <c r="U4249" s="1" t="n">
        <v>1000</v>
      </c>
      <c r="V4249" s="1" t="n">
        <v>2</v>
      </c>
      <c r="W4249" s="1" t="s">
        <v>4586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4580</v>
      </c>
      <c r="B4250" s="2" t="s">
        <v>4021</v>
      </c>
      <c r="C4250" s="1" t="s">
        <v>4581</v>
      </c>
      <c r="D4250" s="1" t="s">
        <v>14</v>
      </c>
      <c r="E4250" s="1" t="s">
        <v>4582</v>
      </c>
      <c r="F4250" s="1" t="s">
        <v>4024</v>
      </c>
      <c r="G4250" s="1" t="s">
        <v>4583</v>
      </c>
      <c r="H4250" s="2" t="s">
        <v>4595</v>
      </c>
      <c r="I4250" s="1" t="s">
        <v>4596</v>
      </c>
      <c r="J4250" s="1" t="s">
        <v>52</v>
      </c>
      <c r="K4250" s="1" t="s">
        <v>4595</v>
      </c>
      <c r="L4250" s="39" t="s">
        <v>46</v>
      </c>
      <c r="M4250" s="3" t="n">
        <v>45930</v>
      </c>
      <c r="N4250" s="1" t="s">
        <v>392</v>
      </c>
      <c r="O4250" s="1" t="s">
        <v>4494</v>
      </c>
      <c r="P4250" s="1" t="s">
        <v>192</v>
      </c>
      <c r="Q4250" s="1" t="s">
        <v>4029</v>
      </c>
      <c r="R4250" s="1" t="s">
        <v>44</v>
      </c>
      <c r="S4250" s="1" t="s">
        <v>4380</v>
      </c>
      <c r="T4250" s="1" t="s">
        <v>46</v>
      </c>
      <c r="U4250" s="1" t="n">
        <v>1000</v>
      </c>
      <c r="V4250" s="1" t="n">
        <v>3</v>
      </c>
      <c r="W4250" s="1" t="s">
        <v>4586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4580</v>
      </c>
      <c r="B4251" s="2" t="s">
        <v>4021</v>
      </c>
      <c r="C4251" s="1" t="s">
        <v>4581</v>
      </c>
      <c r="D4251" s="1" t="s">
        <v>14</v>
      </c>
      <c r="E4251" s="1" t="s">
        <v>4582</v>
      </c>
      <c r="F4251" s="1" t="s">
        <v>4024</v>
      </c>
      <c r="G4251" s="1" t="s">
        <v>4583</v>
      </c>
      <c r="H4251" s="2" t="s">
        <v>4597</v>
      </c>
      <c r="I4251" s="1" t="s">
        <v>4598</v>
      </c>
      <c r="J4251" s="1" t="s">
        <v>52</v>
      </c>
      <c r="K4251" s="1" t="s">
        <v>4597</v>
      </c>
      <c r="L4251" s="39" t="s">
        <v>46</v>
      </c>
      <c r="M4251" s="3" t="n">
        <v>45930</v>
      </c>
      <c r="N4251" s="1" t="s">
        <v>392</v>
      </c>
      <c r="O4251" s="1" t="s">
        <v>4599</v>
      </c>
      <c r="P4251" s="1" t="s">
        <v>192</v>
      </c>
      <c r="Q4251" s="1" t="s">
        <v>4029</v>
      </c>
      <c r="R4251" s="1" t="s">
        <v>44</v>
      </c>
      <c r="S4251" s="1" t="s">
        <v>4600</v>
      </c>
      <c r="T4251" s="1" t="s">
        <v>46</v>
      </c>
      <c r="U4251" s="1" t="n">
        <v>1000</v>
      </c>
      <c r="V4251" s="1" t="n">
        <v>1</v>
      </c>
      <c r="W4251" s="1" t="s">
        <v>4586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4580</v>
      </c>
      <c r="B4252" s="2" t="s">
        <v>4021</v>
      </c>
      <c r="C4252" s="1" t="s">
        <v>4581</v>
      </c>
      <c r="D4252" s="1" t="s">
        <v>14</v>
      </c>
      <c r="E4252" s="1" t="s">
        <v>4582</v>
      </c>
      <c r="F4252" s="1" t="s">
        <v>4024</v>
      </c>
      <c r="G4252" s="1" t="s">
        <v>4583</v>
      </c>
      <c r="H4252" s="2" t="s">
        <v>4601</v>
      </c>
      <c r="I4252" s="1" t="s">
        <v>4602</v>
      </c>
      <c r="J4252" s="1" t="s">
        <v>52</v>
      </c>
      <c r="K4252" s="1" t="s">
        <v>4601</v>
      </c>
      <c r="L4252" s="39" t="s">
        <v>46</v>
      </c>
      <c r="M4252" s="3" t="n">
        <v>45930</v>
      </c>
      <c r="N4252" s="1" t="s">
        <v>392</v>
      </c>
      <c r="O4252" s="1" t="s">
        <v>4599</v>
      </c>
      <c r="P4252" s="1" t="s">
        <v>192</v>
      </c>
      <c r="Q4252" s="1" t="s">
        <v>4029</v>
      </c>
      <c r="R4252" s="1" t="s">
        <v>44</v>
      </c>
      <c r="S4252" s="1" t="s">
        <v>4600</v>
      </c>
      <c r="T4252" s="1" t="s">
        <v>46</v>
      </c>
      <c r="U4252" s="1" t="n">
        <v>1000</v>
      </c>
      <c r="V4252" s="1" t="n">
        <v>2</v>
      </c>
      <c r="W4252" s="1" t="s">
        <v>4586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4580</v>
      </c>
      <c r="B4253" s="2" t="s">
        <v>4021</v>
      </c>
      <c r="C4253" s="1" t="s">
        <v>4581</v>
      </c>
      <c r="D4253" s="1" t="s">
        <v>14</v>
      </c>
      <c r="E4253" s="1" t="s">
        <v>4582</v>
      </c>
      <c r="F4253" s="1" t="s">
        <v>4024</v>
      </c>
      <c r="G4253" s="1" t="s">
        <v>4583</v>
      </c>
      <c r="H4253" s="2" t="s">
        <v>4603</v>
      </c>
      <c r="I4253" s="1" t="s">
        <v>4604</v>
      </c>
      <c r="J4253" s="1" t="s">
        <v>52</v>
      </c>
      <c r="K4253" s="1" t="s">
        <v>4603</v>
      </c>
      <c r="L4253" s="39" t="s">
        <v>46</v>
      </c>
      <c r="M4253" s="3" t="n">
        <v>45930</v>
      </c>
      <c r="N4253" s="1" t="s">
        <v>392</v>
      </c>
      <c r="O4253" s="1" t="s">
        <v>4599</v>
      </c>
      <c r="P4253" s="1" t="s">
        <v>192</v>
      </c>
      <c r="Q4253" s="1" t="s">
        <v>4029</v>
      </c>
      <c r="R4253" s="1" t="s">
        <v>44</v>
      </c>
      <c r="S4253" s="1" t="s">
        <v>4600</v>
      </c>
      <c r="T4253" s="1" t="s">
        <v>46</v>
      </c>
      <c r="U4253" s="1" t="n">
        <v>1000</v>
      </c>
      <c r="V4253" s="1" t="n">
        <v>3</v>
      </c>
      <c r="W4253" s="1" t="s">
        <v>4586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4580</v>
      </c>
      <c r="B4254" s="2" t="s">
        <v>4021</v>
      </c>
      <c r="C4254" s="1" t="s">
        <v>4581</v>
      </c>
      <c r="D4254" s="1" t="s">
        <v>14</v>
      </c>
      <c r="E4254" s="1" t="s">
        <v>4582</v>
      </c>
      <c r="F4254" s="1" t="s">
        <v>4024</v>
      </c>
      <c r="G4254" s="1" t="s">
        <v>4583</v>
      </c>
      <c r="H4254" s="2" t="s">
        <v>4605</v>
      </c>
      <c r="I4254" s="1" t="s">
        <v>4606</v>
      </c>
      <c r="J4254" s="1" t="s">
        <v>38</v>
      </c>
      <c r="K4254" s="1" t="s">
        <v>4605</v>
      </c>
      <c r="L4254" s="39" t="s">
        <v>46</v>
      </c>
      <c r="M4254" s="3" t="n">
        <v>45937</v>
      </c>
      <c r="N4254" s="1" t="s">
        <v>392</v>
      </c>
      <c r="O4254" s="1" t="s">
        <v>4028</v>
      </c>
      <c r="P4254" s="1" t="s">
        <v>192</v>
      </c>
      <c r="Q4254" s="1" t="s">
        <v>4029</v>
      </c>
      <c r="R4254" s="1" t="s">
        <v>44</v>
      </c>
      <c r="S4254" s="1" t="s">
        <v>4030</v>
      </c>
      <c r="T4254" s="1" t="s">
        <v>46</v>
      </c>
      <c r="U4254" s="1" t="n">
        <v>1000</v>
      </c>
      <c r="V4254" s="1" t="n">
        <v>1</v>
      </c>
      <c r="W4254" s="1" t="s">
        <v>4586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4580</v>
      </c>
      <c r="B4255" s="2" t="s">
        <v>4021</v>
      </c>
      <c r="C4255" s="1" t="s">
        <v>4581</v>
      </c>
      <c r="D4255" s="1" t="s">
        <v>14</v>
      </c>
      <c r="E4255" s="1" t="s">
        <v>4582</v>
      </c>
      <c r="F4255" s="1" t="s">
        <v>4024</v>
      </c>
      <c r="G4255" s="1" t="s">
        <v>4583</v>
      </c>
      <c r="H4255" s="2" t="s">
        <v>4607</v>
      </c>
      <c r="I4255" s="1" t="s">
        <v>4608</v>
      </c>
      <c r="J4255" s="1" t="s">
        <v>38</v>
      </c>
      <c r="K4255" s="1" t="s">
        <v>4607</v>
      </c>
      <c r="L4255" s="39" t="s">
        <v>46</v>
      </c>
      <c r="M4255" s="3" t="n">
        <v>45937</v>
      </c>
      <c r="N4255" s="1" t="s">
        <v>392</v>
      </c>
      <c r="O4255" s="1" t="s">
        <v>4028</v>
      </c>
      <c r="P4255" s="1" t="s">
        <v>192</v>
      </c>
      <c r="Q4255" s="1" t="s">
        <v>4029</v>
      </c>
      <c r="R4255" s="1" t="s">
        <v>44</v>
      </c>
      <c r="S4255" s="1" t="s">
        <v>4030</v>
      </c>
      <c r="T4255" s="1" t="s">
        <v>46</v>
      </c>
      <c r="U4255" s="1" t="n">
        <v>1000</v>
      </c>
      <c r="V4255" s="1" t="n">
        <v>2</v>
      </c>
      <c r="W4255" s="1" t="s">
        <v>4586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4580</v>
      </c>
      <c r="B4256" s="2" t="s">
        <v>4021</v>
      </c>
      <c r="C4256" s="1" t="s">
        <v>4581</v>
      </c>
      <c r="D4256" s="1" t="s">
        <v>14</v>
      </c>
      <c r="E4256" s="1" t="s">
        <v>4582</v>
      </c>
      <c r="F4256" s="1" t="s">
        <v>4024</v>
      </c>
      <c r="G4256" s="1" t="s">
        <v>4583</v>
      </c>
      <c r="H4256" s="2" t="s">
        <v>4609</v>
      </c>
      <c r="I4256" s="1" t="s">
        <v>4610</v>
      </c>
      <c r="J4256" s="1" t="s">
        <v>38</v>
      </c>
      <c r="K4256" s="1" t="s">
        <v>4609</v>
      </c>
      <c r="L4256" s="39" t="s">
        <v>46</v>
      </c>
      <c r="M4256" s="3" t="n">
        <v>45937</v>
      </c>
      <c r="N4256" s="1" t="s">
        <v>392</v>
      </c>
      <c r="O4256" s="1" t="s">
        <v>4028</v>
      </c>
      <c r="P4256" s="1" t="s">
        <v>192</v>
      </c>
      <c r="Q4256" s="1" t="s">
        <v>4029</v>
      </c>
      <c r="R4256" s="1" t="s">
        <v>44</v>
      </c>
      <c r="S4256" s="1" t="s">
        <v>4030</v>
      </c>
      <c r="T4256" s="1" t="s">
        <v>46</v>
      </c>
      <c r="U4256" s="1" t="n">
        <v>1000</v>
      </c>
      <c r="V4256" s="1" t="n">
        <v>3</v>
      </c>
      <c r="W4256" s="1" t="s">
        <v>4586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4580</v>
      </c>
      <c r="B4257" s="2" t="s">
        <v>4021</v>
      </c>
      <c r="C4257" s="1" t="s">
        <v>4581</v>
      </c>
      <c r="D4257" s="1" t="s">
        <v>14</v>
      </c>
      <c r="E4257" s="1" t="s">
        <v>4582</v>
      </c>
      <c r="F4257" s="1" t="s">
        <v>4024</v>
      </c>
      <c r="G4257" s="1" t="s">
        <v>4583</v>
      </c>
      <c r="H4257" s="2" t="s">
        <v>4611</v>
      </c>
      <c r="I4257" s="1" t="s">
        <v>4612</v>
      </c>
      <c r="J4257" s="1" t="s">
        <v>52</v>
      </c>
      <c r="K4257" s="1" t="s">
        <v>4611</v>
      </c>
      <c r="L4257" s="39" t="s">
        <v>46</v>
      </c>
      <c r="M4257" s="3" t="n">
        <v>45937</v>
      </c>
      <c r="N4257" s="1" t="s">
        <v>392</v>
      </c>
      <c r="O4257" s="1" t="s">
        <v>4494</v>
      </c>
      <c r="P4257" s="1" t="s">
        <v>192</v>
      </c>
      <c r="Q4257" s="1" t="s">
        <v>4029</v>
      </c>
      <c r="R4257" s="1" t="s">
        <v>44</v>
      </c>
      <c r="S4257" s="1" t="s">
        <v>4380</v>
      </c>
      <c r="T4257" s="1" t="s">
        <v>46</v>
      </c>
      <c r="U4257" s="1" t="n">
        <v>1000</v>
      </c>
      <c r="V4257" s="1" t="n">
        <v>1</v>
      </c>
      <c r="W4257" s="1" t="s">
        <v>4586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4580</v>
      </c>
      <c r="B4258" s="2" t="s">
        <v>4021</v>
      </c>
      <c r="C4258" s="1" t="s">
        <v>4581</v>
      </c>
      <c r="D4258" s="1" t="s">
        <v>14</v>
      </c>
      <c r="E4258" s="1" t="s">
        <v>4582</v>
      </c>
      <c r="F4258" s="1" t="s">
        <v>4024</v>
      </c>
      <c r="G4258" s="1" t="s">
        <v>4583</v>
      </c>
      <c r="H4258" s="2" t="s">
        <v>4613</v>
      </c>
      <c r="I4258" s="1" t="s">
        <v>4614</v>
      </c>
      <c r="J4258" s="1" t="s">
        <v>52</v>
      </c>
      <c r="K4258" s="1" t="s">
        <v>4613</v>
      </c>
      <c r="L4258" s="39" t="s">
        <v>46</v>
      </c>
      <c r="M4258" s="3" t="n">
        <v>45937</v>
      </c>
      <c r="N4258" s="1" t="s">
        <v>392</v>
      </c>
      <c r="O4258" s="1" t="s">
        <v>4494</v>
      </c>
      <c r="P4258" s="1" t="s">
        <v>192</v>
      </c>
      <c r="Q4258" s="1" t="s">
        <v>4029</v>
      </c>
      <c r="R4258" s="1" t="s">
        <v>44</v>
      </c>
      <c r="S4258" s="1" t="s">
        <v>4380</v>
      </c>
      <c r="T4258" s="1" t="s">
        <v>46</v>
      </c>
      <c r="U4258" s="1" t="n">
        <v>1000</v>
      </c>
      <c r="V4258" s="1" t="n">
        <v>2</v>
      </c>
      <c r="W4258" s="1" t="s">
        <v>4586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4580</v>
      </c>
      <c r="B4259" s="2" t="s">
        <v>4021</v>
      </c>
      <c r="C4259" s="1" t="s">
        <v>4581</v>
      </c>
      <c r="D4259" s="1" t="s">
        <v>14</v>
      </c>
      <c r="E4259" s="1" t="s">
        <v>4582</v>
      </c>
      <c r="F4259" s="1" t="s">
        <v>4024</v>
      </c>
      <c r="G4259" s="1" t="s">
        <v>4583</v>
      </c>
      <c r="H4259" s="2" t="s">
        <v>4615</v>
      </c>
      <c r="I4259" s="1" t="s">
        <v>4616</v>
      </c>
      <c r="J4259" s="1" t="s">
        <v>52</v>
      </c>
      <c r="K4259" s="1" t="s">
        <v>4615</v>
      </c>
      <c r="L4259" s="39" t="s">
        <v>46</v>
      </c>
      <c r="M4259" s="3" t="n">
        <v>45937</v>
      </c>
      <c r="N4259" s="1" t="s">
        <v>392</v>
      </c>
      <c r="O4259" s="1" t="s">
        <v>4494</v>
      </c>
      <c r="P4259" s="1" t="s">
        <v>192</v>
      </c>
      <c r="Q4259" s="1" t="s">
        <v>4029</v>
      </c>
      <c r="R4259" s="1" t="s">
        <v>44</v>
      </c>
      <c r="S4259" s="1" t="s">
        <v>4380</v>
      </c>
      <c r="T4259" s="1" t="s">
        <v>46</v>
      </c>
      <c r="U4259" s="1" t="n">
        <v>1000</v>
      </c>
      <c r="V4259" s="1" t="n">
        <v>3</v>
      </c>
      <c r="W4259" s="1" t="s">
        <v>4586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4580</v>
      </c>
      <c r="B4260" s="2" t="s">
        <v>4021</v>
      </c>
      <c r="C4260" s="1" t="s">
        <v>4581</v>
      </c>
      <c r="D4260" s="1" t="s">
        <v>14</v>
      </c>
      <c r="E4260" s="1" t="s">
        <v>4582</v>
      </c>
      <c r="F4260" s="1" t="s">
        <v>4024</v>
      </c>
      <c r="G4260" s="1" t="s">
        <v>4583</v>
      </c>
      <c r="H4260" s="2" t="s">
        <v>4617</v>
      </c>
      <c r="I4260" s="1" t="s">
        <v>4618</v>
      </c>
      <c r="J4260" s="1" t="s">
        <v>52</v>
      </c>
      <c r="K4260" s="1" t="s">
        <v>4617</v>
      </c>
      <c r="L4260" s="39" t="s">
        <v>46</v>
      </c>
      <c r="M4260" s="3" t="n">
        <v>45937</v>
      </c>
      <c r="N4260" s="1" t="s">
        <v>392</v>
      </c>
      <c r="O4260" s="1" t="s">
        <v>4599</v>
      </c>
      <c r="P4260" s="1" t="s">
        <v>192</v>
      </c>
      <c r="Q4260" s="1" t="s">
        <v>4029</v>
      </c>
      <c r="R4260" s="1" t="s">
        <v>44</v>
      </c>
      <c r="S4260" s="1" t="s">
        <v>4600</v>
      </c>
      <c r="T4260" s="1" t="s">
        <v>46</v>
      </c>
      <c r="U4260" s="1" t="n">
        <v>1000</v>
      </c>
      <c r="V4260" s="1" t="n">
        <v>1</v>
      </c>
      <c r="W4260" s="1" t="s">
        <v>4586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4580</v>
      </c>
      <c r="B4261" s="2" t="s">
        <v>4021</v>
      </c>
      <c r="C4261" s="1" t="s">
        <v>4581</v>
      </c>
      <c r="D4261" s="1" t="s">
        <v>14</v>
      </c>
      <c r="E4261" s="1" t="s">
        <v>4582</v>
      </c>
      <c r="F4261" s="1" t="s">
        <v>4024</v>
      </c>
      <c r="G4261" s="1" t="s">
        <v>4583</v>
      </c>
      <c r="H4261" s="2" t="s">
        <v>4619</v>
      </c>
      <c r="I4261" s="1" t="s">
        <v>4620</v>
      </c>
      <c r="J4261" s="1" t="s">
        <v>52</v>
      </c>
      <c r="K4261" s="1" t="s">
        <v>4619</v>
      </c>
      <c r="L4261" s="39" t="s">
        <v>46</v>
      </c>
      <c r="M4261" s="3" t="n">
        <v>45937</v>
      </c>
      <c r="N4261" s="1" t="s">
        <v>392</v>
      </c>
      <c r="O4261" s="1" t="s">
        <v>4599</v>
      </c>
      <c r="P4261" s="1" t="s">
        <v>192</v>
      </c>
      <c r="Q4261" s="1" t="s">
        <v>4029</v>
      </c>
      <c r="R4261" s="1" t="s">
        <v>44</v>
      </c>
      <c r="S4261" s="1" t="s">
        <v>4600</v>
      </c>
      <c r="T4261" s="1" t="s">
        <v>46</v>
      </c>
      <c r="U4261" s="1" t="n">
        <v>1000</v>
      </c>
      <c r="V4261" s="1" t="n">
        <v>2</v>
      </c>
      <c r="W4261" s="1" t="s">
        <v>4586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4580</v>
      </c>
      <c r="B4262" s="2" t="s">
        <v>4021</v>
      </c>
      <c r="C4262" s="1" t="s">
        <v>4581</v>
      </c>
      <c r="D4262" s="1" t="s">
        <v>14</v>
      </c>
      <c r="E4262" s="1" t="s">
        <v>4582</v>
      </c>
      <c r="F4262" s="1" t="s">
        <v>4024</v>
      </c>
      <c r="G4262" s="1" t="s">
        <v>4583</v>
      </c>
      <c r="H4262" s="2" t="s">
        <v>4621</v>
      </c>
      <c r="I4262" s="1" t="s">
        <v>4622</v>
      </c>
      <c r="J4262" s="1" t="s">
        <v>52</v>
      </c>
      <c r="K4262" s="1" t="s">
        <v>4621</v>
      </c>
      <c r="L4262" s="39" t="s">
        <v>46</v>
      </c>
      <c r="M4262" s="3" t="n">
        <v>45937</v>
      </c>
      <c r="N4262" s="1" t="s">
        <v>392</v>
      </c>
      <c r="O4262" s="1" t="s">
        <v>4599</v>
      </c>
      <c r="P4262" s="1" t="s">
        <v>192</v>
      </c>
      <c r="Q4262" s="1" t="s">
        <v>4029</v>
      </c>
      <c r="R4262" s="1" t="s">
        <v>44</v>
      </c>
      <c r="S4262" s="1" t="s">
        <v>4600</v>
      </c>
      <c r="T4262" s="1" t="s">
        <v>46</v>
      </c>
      <c r="U4262" s="1" t="n">
        <v>1000</v>
      </c>
      <c r="V4262" s="1" t="n">
        <v>3</v>
      </c>
      <c r="W4262" s="1" t="s">
        <v>4586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4580</v>
      </c>
      <c r="B4263" s="2" t="s">
        <v>4021</v>
      </c>
      <c r="C4263" s="1" t="s">
        <v>4581</v>
      </c>
      <c r="D4263" s="1" t="s">
        <v>14</v>
      </c>
      <c r="E4263" s="1" t="s">
        <v>4582</v>
      </c>
      <c r="F4263" s="1" t="s">
        <v>4024</v>
      </c>
      <c r="G4263" s="1" t="s">
        <v>4583</v>
      </c>
      <c r="H4263" s="2" t="s">
        <v>4623</v>
      </c>
      <c r="I4263" s="1" t="s">
        <v>4624</v>
      </c>
      <c r="J4263" s="1" t="s">
        <v>38</v>
      </c>
      <c r="K4263" s="1" t="s">
        <v>4623</v>
      </c>
      <c r="L4263" s="39" t="s">
        <v>46</v>
      </c>
      <c r="M4263" s="3" t="n">
        <v>45944</v>
      </c>
      <c r="N4263" s="1" t="s">
        <v>392</v>
      </c>
      <c r="O4263" s="1" t="s">
        <v>4028</v>
      </c>
      <c r="P4263" s="1" t="s">
        <v>192</v>
      </c>
      <c r="Q4263" s="1" t="s">
        <v>4029</v>
      </c>
      <c r="R4263" s="1" t="s">
        <v>44</v>
      </c>
      <c r="S4263" s="1" t="s">
        <v>4030</v>
      </c>
      <c r="T4263" s="1" t="s">
        <v>46</v>
      </c>
      <c r="U4263" s="1" t="n">
        <v>1000</v>
      </c>
      <c r="V4263" s="1" t="n">
        <v>1</v>
      </c>
      <c r="W4263" s="1" t="s">
        <v>4586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4580</v>
      </c>
      <c r="B4264" s="2" t="s">
        <v>4021</v>
      </c>
      <c r="C4264" s="1" t="s">
        <v>4581</v>
      </c>
      <c r="D4264" s="1" t="s">
        <v>14</v>
      </c>
      <c r="E4264" s="1" t="s">
        <v>4582</v>
      </c>
      <c r="F4264" s="1" t="s">
        <v>4024</v>
      </c>
      <c r="G4264" s="1" t="s">
        <v>4583</v>
      </c>
      <c r="H4264" s="2" t="s">
        <v>4625</v>
      </c>
      <c r="I4264" s="1" t="s">
        <v>4626</v>
      </c>
      <c r="J4264" s="1" t="s">
        <v>38</v>
      </c>
      <c r="K4264" s="1" t="s">
        <v>4625</v>
      </c>
      <c r="L4264" s="39" t="s">
        <v>46</v>
      </c>
      <c r="M4264" s="3" t="n">
        <v>45944</v>
      </c>
      <c r="N4264" s="1" t="s">
        <v>392</v>
      </c>
      <c r="O4264" s="1" t="s">
        <v>4028</v>
      </c>
      <c r="P4264" s="1" t="s">
        <v>192</v>
      </c>
      <c r="Q4264" s="1" t="s">
        <v>4029</v>
      </c>
      <c r="R4264" s="1" t="s">
        <v>44</v>
      </c>
      <c r="S4264" s="1" t="s">
        <v>4030</v>
      </c>
      <c r="T4264" s="1" t="s">
        <v>46</v>
      </c>
      <c r="U4264" s="1" t="n">
        <v>1000</v>
      </c>
      <c r="V4264" s="1" t="n">
        <v>2</v>
      </c>
      <c r="W4264" s="1" t="s">
        <v>4586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4580</v>
      </c>
      <c r="B4265" s="2" t="s">
        <v>4021</v>
      </c>
      <c r="C4265" s="1" t="s">
        <v>4581</v>
      </c>
      <c r="D4265" s="1" t="s">
        <v>14</v>
      </c>
      <c r="E4265" s="1" t="s">
        <v>4582</v>
      </c>
      <c r="F4265" s="1" t="s">
        <v>4024</v>
      </c>
      <c r="G4265" s="1" t="s">
        <v>4583</v>
      </c>
      <c r="H4265" s="2" t="s">
        <v>4627</v>
      </c>
      <c r="I4265" s="1" t="s">
        <v>4628</v>
      </c>
      <c r="J4265" s="1" t="s">
        <v>52</v>
      </c>
      <c r="K4265" s="1" t="s">
        <v>4627</v>
      </c>
      <c r="L4265" s="39" t="s">
        <v>46</v>
      </c>
      <c r="M4265" s="3" t="n">
        <v>45944</v>
      </c>
      <c r="N4265" s="1" t="s">
        <v>392</v>
      </c>
      <c r="O4265" s="1" t="s">
        <v>4494</v>
      </c>
      <c r="P4265" s="1" t="s">
        <v>192</v>
      </c>
      <c r="Q4265" s="1" t="s">
        <v>4029</v>
      </c>
      <c r="R4265" s="1" t="s">
        <v>44</v>
      </c>
      <c r="S4265" s="1" t="s">
        <v>4380</v>
      </c>
      <c r="T4265" s="1" t="s">
        <v>46</v>
      </c>
      <c r="U4265" s="1" t="n">
        <v>1000</v>
      </c>
      <c r="V4265" s="1" t="n">
        <v>1</v>
      </c>
      <c r="W4265" s="1" t="s">
        <v>4586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4580</v>
      </c>
      <c r="B4266" s="2" t="s">
        <v>4021</v>
      </c>
      <c r="C4266" s="1" t="s">
        <v>4581</v>
      </c>
      <c r="D4266" s="1" t="s">
        <v>14</v>
      </c>
      <c r="E4266" s="1" t="s">
        <v>4582</v>
      </c>
      <c r="F4266" s="1" t="s">
        <v>4024</v>
      </c>
      <c r="G4266" s="1" t="s">
        <v>4583</v>
      </c>
      <c r="H4266" s="2" t="s">
        <v>4629</v>
      </c>
      <c r="I4266" s="1" t="s">
        <v>4630</v>
      </c>
      <c r="J4266" s="1" t="s">
        <v>52</v>
      </c>
      <c r="K4266" s="1" t="s">
        <v>4629</v>
      </c>
      <c r="L4266" s="39" t="s">
        <v>46</v>
      </c>
      <c r="M4266" s="3" t="n">
        <v>45944</v>
      </c>
      <c r="N4266" s="1" t="s">
        <v>392</v>
      </c>
      <c r="O4266" s="1" t="s">
        <v>4494</v>
      </c>
      <c r="P4266" s="1" t="s">
        <v>192</v>
      </c>
      <c r="Q4266" s="1" t="s">
        <v>4029</v>
      </c>
      <c r="R4266" s="1" t="s">
        <v>44</v>
      </c>
      <c r="S4266" s="1" t="s">
        <v>4380</v>
      </c>
      <c r="T4266" s="1" t="s">
        <v>46</v>
      </c>
      <c r="U4266" s="1" t="n">
        <v>1000</v>
      </c>
      <c r="V4266" s="1" t="n">
        <v>2</v>
      </c>
      <c r="W4266" s="1" t="s">
        <v>4586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4580</v>
      </c>
      <c r="B4267" s="2" t="s">
        <v>4021</v>
      </c>
      <c r="C4267" s="1" t="s">
        <v>4581</v>
      </c>
      <c r="D4267" s="1" t="s">
        <v>14</v>
      </c>
      <c r="E4267" s="1" t="s">
        <v>4582</v>
      </c>
      <c r="F4267" s="1" t="s">
        <v>4024</v>
      </c>
      <c r="G4267" s="1" t="s">
        <v>4583</v>
      </c>
      <c r="H4267" s="2" t="s">
        <v>4631</v>
      </c>
      <c r="I4267" s="1" t="s">
        <v>4632</v>
      </c>
      <c r="J4267" s="1" t="s">
        <v>52</v>
      </c>
      <c r="K4267" s="1" t="s">
        <v>4631</v>
      </c>
      <c r="L4267" s="39" t="s">
        <v>46</v>
      </c>
      <c r="M4267" s="3" t="n">
        <v>45944</v>
      </c>
      <c r="N4267" s="1" t="s">
        <v>392</v>
      </c>
      <c r="O4267" s="1" t="s">
        <v>4494</v>
      </c>
      <c r="P4267" s="1" t="s">
        <v>192</v>
      </c>
      <c r="Q4267" s="1" t="s">
        <v>4029</v>
      </c>
      <c r="R4267" s="1" t="s">
        <v>44</v>
      </c>
      <c r="S4267" s="1" t="s">
        <v>4380</v>
      </c>
      <c r="T4267" s="1" t="s">
        <v>46</v>
      </c>
      <c r="U4267" s="1" t="n">
        <v>1000</v>
      </c>
      <c r="V4267" s="1" t="n">
        <v>3</v>
      </c>
      <c r="W4267" s="1" t="s">
        <v>4586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4580</v>
      </c>
      <c r="B4268" s="2" t="s">
        <v>4021</v>
      </c>
      <c r="C4268" s="1" t="s">
        <v>4581</v>
      </c>
      <c r="D4268" s="1" t="s">
        <v>14</v>
      </c>
      <c r="E4268" s="1" t="s">
        <v>4582</v>
      </c>
      <c r="F4268" s="1" t="s">
        <v>4024</v>
      </c>
      <c r="G4268" s="1" t="s">
        <v>4583</v>
      </c>
      <c r="H4268" s="2" t="s">
        <v>4633</v>
      </c>
      <c r="I4268" s="1" t="s">
        <v>4634</v>
      </c>
      <c r="J4268" s="1" t="s">
        <v>52</v>
      </c>
      <c r="K4268" s="1" t="s">
        <v>4633</v>
      </c>
      <c r="L4268" s="39" t="s">
        <v>46</v>
      </c>
      <c r="M4268" s="3" t="n">
        <v>45944</v>
      </c>
      <c r="N4268" s="1" t="s">
        <v>392</v>
      </c>
      <c r="O4268" s="1" t="s">
        <v>4599</v>
      </c>
      <c r="P4268" s="1" t="s">
        <v>192</v>
      </c>
      <c r="Q4268" s="1" t="s">
        <v>4029</v>
      </c>
      <c r="R4268" s="1" t="s">
        <v>44</v>
      </c>
      <c r="S4268" s="1" t="s">
        <v>4600</v>
      </c>
      <c r="T4268" s="1" t="s">
        <v>46</v>
      </c>
      <c r="U4268" s="1" t="n">
        <v>1000</v>
      </c>
      <c r="V4268" s="1" t="n">
        <v>1</v>
      </c>
      <c r="W4268" s="1" t="s">
        <v>4586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4580</v>
      </c>
      <c r="B4269" s="2" t="s">
        <v>4021</v>
      </c>
      <c r="C4269" s="1" t="s">
        <v>4581</v>
      </c>
      <c r="D4269" s="1" t="s">
        <v>14</v>
      </c>
      <c r="E4269" s="1" t="s">
        <v>4582</v>
      </c>
      <c r="F4269" s="1" t="s">
        <v>4024</v>
      </c>
      <c r="G4269" s="1" t="s">
        <v>4583</v>
      </c>
      <c r="H4269" s="2" t="s">
        <v>4635</v>
      </c>
      <c r="I4269" s="1" t="s">
        <v>4636</v>
      </c>
      <c r="J4269" s="1" t="s">
        <v>52</v>
      </c>
      <c r="K4269" s="1" t="s">
        <v>4635</v>
      </c>
      <c r="L4269" s="39" t="s">
        <v>46</v>
      </c>
      <c r="M4269" s="3" t="n">
        <v>45944</v>
      </c>
      <c r="N4269" s="1" t="s">
        <v>392</v>
      </c>
      <c r="O4269" s="1" t="s">
        <v>4599</v>
      </c>
      <c r="P4269" s="1" t="s">
        <v>192</v>
      </c>
      <c r="Q4269" s="1" t="s">
        <v>4029</v>
      </c>
      <c r="R4269" s="1" t="s">
        <v>44</v>
      </c>
      <c r="S4269" s="1" t="s">
        <v>4600</v>
      </c>
      <c r="T4269" s="1" t="s">
        <v>46</v>
      </c>
      <c r="U4269" s="1" t="n">
        <v>1000</v>
      </c>
      <c r="V4269" s="1" t="n">
        <v>2</v>
      </c>
      <c r="W4269" s="1" t="s">
        <v>4586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4580</v>
      </c>
      <c r="B4270" s="2" t="s">
        <v>4021</v>
      </c>
      <c r="C4270" s="1" t="s">
        <v>4581</v>
      </c>
      <c r="D4270" s="1" t="s">
        <v>14</v>
      </c>
      <c r="E4270" s="1" t="s">
        <v>4582</v>
      </c>
      <c r="F4270" s="1" t="s">
        <v>4024</v>
      </c>
      <c r="G4270" s="1" t="s">
        <v>4583</v>
      </c>
      <c r="H4270" s="2" t="s">
        <v>4637</v>
      </c>
      <c r="I4270" s="1" t="s">
        <v>4638</v>
      </c>
      <c r="J4270" s="1" t="s">
        <v>52</v>
      </c>
      <c r="K4270" s="1" t="s">
        <v>4637</v>
      </c>
      <c r="L4270" s="39" t="s">
        <v>46</v>
      </c>
      <c r="M4270" s="3" t="n">
        <v>45944</v>
      </c>
      <c r="N4270" s="1" t="s">
        <v>392</v>
      </c>
      <c r="O4270" s="1" t="s">
        <v>4599</v>
      </c>
      <c r="P4270" s="1" t="s">
        <v>192</v>
      </c>
      <c r="Q4270" s="1" t="s">
        <v>4029</v>
      </c>
      <c r="R4270" s="1" t="s">
        <v>44</v>
      </c>
      <c r="S4270" s="1" t="s">
        <v>4600</v>
      </c>
      <c r="T4270" s="1" t="s">
        <v>46</v>
      </c>
      <c r="U4270" s="1" t="n">
        <v>1000</v>
      </c>
      <c r="V4270" s="1" t="n">
        <v>3</v>
      </c>
      <c r="W4270" s="1" t="s">
        <v>4586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4580</v>
      </c>
      <c r="B4271" s="2" t="s">
        <v>4021</v>
      </c>
      <c r="C4271" s="1" t="s">
        <v>4581</v>
      </c>
      <c r="D4271" s="1" t="s">
        <v>14</v>
      </c>
      <c r="E4271" s="1" t="s">
        <v>4582</v>
      </c>
      <c r="F4271" s="1" t="s">
        <v>4024</v>
      </c>
      <c r="G4271" s="1" t="s">
        <v>4583</v>
      </c>
      <c r="H4271" s="2" t="s">
        <v>4639</v>
      </c>
      <c r="I4271" s="1" t="s">
        <v>4640</v>
      </c>
      <c r="J4271" s="1" t="s">
        <v>52</v>
      </c>
      <c r="K4271" s="1" t="s">
        <v>4639</v>
      </c>
      <c r="L4271" s="39" t="s">
        <v>46</v>
      </c>
      <c r="M4271" s="3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4586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4580</v>
      </c>
      <c r="B4272" s="2" t="s">
        <v>4021</v>
      </c>
      <c r="C4272" s="1" t="s">
        <v>4581</v>
      </c>
      <c r="D4272" s="1" t="s">
        <v>14</v>
      </c>
      <c r="E4272" s="1" t="s">
        <v>4582</v>
      </c>
      <c r="F4272" s="1" t="s">
        <v>4024</v>
      </c>
      <c r="G4272" s="1" t="s">
        <v>4583</v>
      </c>
      <c r="H4272" s="2" t="s">
        <v>4641</v>
      </c>
      <c r="I4272" s="1" t="s">
        <v>4642</v>
      </c>
      <c r="J4272" s="1" t="s">
        <v>52</v>
      </c>
      <c r="K4272" s="1" t="s">
        <v>4641</v>
      </c>
      <c r="L4272" s="39" t="s">
        <v>46</v>
      </c>
      <c r="M4272" s="3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4586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4580</v>
      </c>
      <c r="B4273" s="2" t="s">
        <v>4021</v>
      </c>
      <c r="C4273" s="1" t="s">
        <v>4581</v>
      </c>
      <c r="D4273" s="1" t="s">
        <v>14</v>
      </c>
      <c r="E4273" s="1" t="s">
        <v>4582</v>
      </c>
      <c r="F4273" s="1" t="s">
        <v>4024</v>
      </c>
      <c r="G4273" s="1" t="s">
        <v>4583</v>
      </c>
      <c r="H4273" s="2" t="s">
        <v>4643</v>
      </c>
      <c r="I4273" s="1" t="s">
        <v>4644</v>
      </c>
      <c r="J4273" s="1" t="s">
        <v>52</v>
      </c>
      <c r="K4273" s="1" t="s">
        <v>4643</v>
      </c>
      <c r="L4273" s="39" t="s">
        <v>46</v>
      </c>
      <c r="M4273" s="3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4586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4580</v>
      </c>
      <c r="B4274" s="2" t="s">
        <v>4021</v>
      </c>
      <c r="C4274" s="1" t="s">
        <v>4581</v>
      </c>
      <c r="D4274" s="1" t="s">
        <v>14</v>
      </c>
      <c r="E4274" s="1" t="s">
        <v>4582</v>
      </c>
      <c r="F4274" s="1" t="s">
        <v>4024</v>
      </c>
      <c r="G4274" s="1" t="s">
        <v>4583</v>
      </c>
      <c r="H4274" s="2" t="s">
        <v>4645</v>
      </c>
      <c r="I4274" s="1" t="s">
        <v>4646</v>
      </c>
      <c r="J4274" s="1" t="s">
        <v>52</v>
      </c>
      <c r="K4274" s="1" t="s">
        <v>4645</v>
      </c>
      <c r="L4274" s="39" t="s">
        <v>46</v>
      </c>
      <c r="M4274" s="3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4586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4580</v>
      </c>
      <c r="B4275" s="2" t="s">
        <v>4021</v>
      </c>
      <c r="C4275" s="1" t="s">
        <v>4581</v>
      </c>
      <c r="D4275" s="1" t="s">
        <v>14</v>
      </c>
      <c r="E4275" s="1" t="s">
        <v>4582</v>
      </c>
      <c r="F4275" s="1" t="s">
        <v>4024</v>
      </c>
      <c r="G4275" s="1" t="s">
        <v>4583</v>
      </c>
      <c r="H4275" s="2" t="s">
        <v>4209</v>
      </c>
      <c r="I4275" s="1" t="s">
        <v>4647</v>
      </c>
      <c r="J4275" s="1" t="s">
        <v>52</v>
      </c>
      <c r="K4275" s="1" t="s">
        <v>4209</v>
      </c>
      <c r="L4275" s="39" t="s">
        <v>46</v>
      </c>
      <c r="M4275" s="3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4586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4580</v>
      </c>
      <c r="B4276" s="2" t="s">
        <v>4021</v>
      </c>
      <c r="C4276" s="1" t="s">
        <v>4581</v>
      </c>
      <c r="D4276" s="1" t="s">
        <v>14</v>
      </c>
      <c r="E4276" s="1" t="s">
        <v>4582</v>
      </c>
      <c r="F4276" s="1" t="s">
        <v>4024</v>
      </c>
      <c r="G4276" s="1" t="s">
        <v>4583</v>
      </c>
      <c r="H4276" s="2" t="s">
        <v>4211</v>
      </c>
      <c r="I4276" s="1" t="s">
        <v>4648</v>
      </c>
      <c r="J4276" s="1" t="s">
        <v>52</v>
      </c>
      <c r="K4276" s="1" t="s">
        <v>4211</v>
      </c>
      <c r="L4276" s="39" t="s">
        <v>46</v>
      </c>
      <c r="M4276" s="3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4586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4580</v>
      </c>
      <c r="B4277" s="2" t="s">
        <v>4021</v>
      </c>
      <c r="C4277" s="1" t="s">
        <v>4581</v>
      </c>
      <c r="D4277" s="1" t="s">
        <v>14</v>
      </c>
      <c r="E4277" s="1" t="s">
        <v>4582</v>
      </c>
      <c r="F4277" s="1" t="s">
        <v>4024</v>
      </c>
      <c r="G4277" s="1" t="s">
        <v>4583</v>
      </c>
      <c r="H4277" s="2" t="s">
        <v>4213</v>
      </c>
      <c r="I4277" s="1" t="s">
        <v>4649</v>
      </c>
      <c r="J4277" s="1" t="s">
        <v>52</v>
      </c>
      <c r="K4277" s="1" t="s">
        <v>4213</v>
      </c>
      <c r="L4277" s="39" t="s">
        <v>46</v>
      </c>
      <c r="M4277" s="3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4586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4580</v>
      </c>
      <c r="B4278" s="2" t="s">
        <v>4021</v>
      </c>
      <c r="C4278" s="1" t="s">
        <v>4581</v>
      </c>
      <c r="D4278" s="1" t="s">
        <v>14</v>
      </c>
      <c r="E4278" s="1" t="s">
        <v>4582</v>
      </c>
      <c r="F4278" s="1" t="s">
        <v>4024</v>
      </c>
      <c r="G4278" s="1" t="s">
        <v>4583</v>
      </c>
      <c r="H4278" s="2" t="s">
        <v>4215</v>
      </c>
      <c r="I4278" s="1" t="s">
        <v>4650</v>
      </c>
      <c r="J4278" s="1" t="s">
        <v>52</v>
      </c>
      <c r="K4278" s="1" t="s">
        <v>4215</v>
      </c>
      <c r="L4278" s="39" t="s">
        <v>46</v>
      </c>
      <c r="M4278" s="3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4586</v>
      </c>
      <c r="X4278" s="1" t="s">
        <v>47</v>
      </c>
      <c r="Y4278" s="1" t="n">
        <v>5500</v>
      </c>
    </row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LEN(TRIM(Q1131))=0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LEN(TRIM(Q1109))=0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1" sqref="B3920:B4278 B14"/>
    </sheetView>
  </sheetViews>
  <sheetFormatPr defaultColWidth="13.019531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4651</v>
      </c>
      <c r="B1" s="1" t="s">
        <v>4652</v>
      </c>
      <c r="C1" s="1" t="s">
        <v>4653</v>
      </c>
      <c r="D1" s="1" t="s">
        <v>4654</v>
      </c>
      <c r="E1" s="6" t="s">
        <v>24</v>
      </c>
    </row>
    <row r="2" customFormat="false" ht="15" hidden="false" customHeight="false" outlineLevel="0" collapsed="false">
      <c r="A2" s="1" t="s">
        <v>4655</v>
      </c>
      <c r="B2" s="1" t="s">
        <v>4656</v>
      </c>
      <c r="C2" s="1" t="s">
        <v>4657</v>
      </c>
      <c r="D2" s="1" t="s">
        <v>4658</v>
      </c>
      <c r="E2" s="1" t="s">
        <v>4659</v>
      </c>
    </row>
    <row r="3" customFormat="false" ht="15" hidden="false" customHeight="false" outlineLevel="0" collapsed="false">
      <c r="A3" s="1" t="s">
        <v>4660</v>
      </c>
      <c r="B3" s="1" t="s">
        <v>4661</v>
      </c>
    </row>
    <row r="4" customFormat="false" ht="15" hidden="false" customHeight="false" outlineLevel="0" collapsed="false">
      <c r="A4" s="1" t="s">
        <v>4662</v>
      </c>
    </row>
    <row r="5" customFormat="false" ht="15.65" hidden="false" customHeight="false" outlineLevel="0" collapsed="false">
      <c r="A5" s="1" t="s">
        <v>4663</v>
      </c>
      <c r="B5" s="1" t="s">
        <v>246</v>
      </c>
      <c r="C5" s="9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4664</v>
      </c>
      <c r="B6" s="1" t="s">
        <v>41</v>
      </c>
      <c r="C6" s="9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4665</v>
      </c>
      <c r="B7" s="1" t="s">
        <v>392</v>
      </c>
      <c r="C7" s="9" t="s">
        <v>193</v>
      </c>
      <c r="D7" s="1" t="s">
        <v>81</v>
      </c>
    </row>
    <row r="8" customFormat="false" ht="15" hidden="false" customHeight="false" outlineLevel="0" collapsed="false">
      <c r="A8" s="1" t="s">
        <v>4666</v>
      </c>
      <c r="B8" s="6" t="s">
        <v>65</v>
      </c>
      <c r="C8" s="6" t="s">
        <v>4667</v>
      </c>
      <c r="D8" s="1" t="s">
        <v>69</v>
      </c>
    </row>
    <row r="9" customFormat="false" ht="15" hidden="false" customHeight="false" outlineLevel="0" collapsed="false">
      <c r="B9" s="6" t="s">
        <v>78</v>
      </c>
      <c r="C9" s="6" t="s">
        <v>4668</v>
      </c>
      <c r="D9" s="1" t="s">
        <v>46</v>
      </c>
    </row>
    <row r="10" customFormat="false" ht="15" hidden="false" customHeight="false" outlineLevel="0" collapsed="false">
      <c r="B10" s="6" t="s">
        <v>70</v>
      </c>
      <c r="C10" s="1" t="s">
        <v>4669</v>
      </c>
    </row>
    <row r="11" customFormat="false" ht="15" hidden="false" customHeight="false" outlineLevel="0" collapsed="false">
      <c r="B11" s="6" t="s">
        <v>465</v>
      </c>
    </row>
    <row r="12" customFormat="false" ht="15" hidden="false" customHeight="false" outlineLevel="0" collapsed="false">
      <c r="B12" s="6" t="s">
        <v>404</v>
      </c>
      <c r="C12" s="1" t="s">
        <v>4670</v>
      </c>
    </row>
    <row r="13" customFormat="false" ht="15" hidden="false" customHeight="false" outlineLevel="0" collapsed="false">
      <c r="B13" s="6" t="s">
        <v>325</v>
      </c>
    </row>
    <row r="14" customFormat="false" ht="15" hidden="false" customHeight="false" outlineLevel="0" collapsed="false">
      <c r="C14" s="6" t="s">
        <v>83</v>
      </c>
    </row>
    <row r="15" customFormat="false" ht="15" hidden="false" customHeight="false" outlineLevel="0" collapsed="false">
      <c r="C15" s="6" t="s">
        <v>74</v>
      </c>
    </row>
    <row r="16" customFormat="false" ht="15.65" hidden="false" customHeight="false" outlineLevel="0" collapsed="false">
      <c r="C16" s="9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2026-01-09T08:35:26Z</dcterms:modified>
  <cp:revision>170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